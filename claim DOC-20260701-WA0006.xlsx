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C AC" sheetId="1" r:id="rId4"/>
    <sheet state="hidden" name="REFERENCES" sheetId="2" r:id="rId5"/>
    <sheet state="visible" name="Cold Zone" sheetId="3" r:id="rId6"/>
    <sheet state="visible" name="Average Zone" sheetId="4" r:id="rId7"/>
    <sheet state="hidden" name="POSTCODES" sheetId="5" r:id="rId8"/>
  </sheets>
  <definedNames>
    <definedName name="HEERD3C1">#REF!</definedName>
    <definedName name="BCACZ">REFERENCES!$P$1:$Q$6</definedName>
    <definedName name="DaikinProductsMEPS">#REF!</definedName>
    <definedName name="GEMS_MEPS_PRCs">#REF!</definedName>
    <definedName name="HEABF3">#REF!</definedName>
    <definedName name="GEMS_MEPS">#REF!</definedName>
    <definedName name="HEABF4">#REF!</definedName>
    <definedName hidden="1" localSheetId="3" name="_xlnm._FilterDatabase">'Average Zone'!$A$1:$M$3874</definedName>
  </definedNames>
  <calcPr/>
</workbook>
</file>

<file path=xl/sharedStrings.xml><?xml version="1.0" encoding="utf-8"?>
<sst xmlns="http://schemas.openxmlformats.org/spreadsheetml/2006/main" count="40570" uniqueCount="3944">
  <si>
    <t>NCBA PDRS HVAC1 Calculation Tool</t>
  </si>
  <si>
    <t>Site Details</t>
  </si>
  <si>
    <t>NCBA RESA Number:</t>
  </si>
  <si>
    <t>Energy Saver:</t>
  </si>
  <si>
    <t>Installation Address:</t>
  </si>
  <si>
    <t>Activity Definition:</t>
  </si>
  <si>
    <t>HVAC1</t>
  </si>
  <si>
    <t>Suburb:</t>
  </si>
  <si>
    <t>BCA Climate Zone</t>
  </si>
  <si>
    <t>Postcode:</t>
  </si>
  <si>
    <t>Installation Date:</t>
  </si>
  <si>
    <t>Installation Type:</t>
  </si>
  <si>
    <t>Network Loss Factor</t>
  </si>
  <si>
    <t>Peak Demand Reduction Capacity</t>
  </si>
  <si>
    <t>PRCs Created</t>
  </si>
  <si>
    <t>Installation Details</t>
  </si>
  <si>
    <t>Unit Details</t>
  </si>
  <si>
    <t>Model Number</t>
  </si>
  <si>
    <t>Brand</t>
  </si>
  <si>
    <t>Configuration</t>
  </si>
  <si>
    <t>Size (Cooling Capacity)</t>
  </si>
  <si>
    <t>Heating Capacity</t>
  </si>
  <si>
    <t>Eligibility Check</t>
  </si>
  <si>
    <t>PDRC</t>
  </si>
  <si>
    <t/>
  </si>
  <si>
    <t>Based on the PDRS Rule effective 17 February 2023</t>
  </si>
  <si>
    <t>Replacement</t>
  </si>
  <si>
    <t>Yes</t>
  </si>
  <si>
    <t>Cooling Hours</t>
  </si>
  <si>
    <t>Heating Hours</t>
  </si>
  <si>
    <t>New</t>
  </si>
  <si>
    <t>Baseline AEER</t>
  </si>
  <si>
    <t>Baseline ACOP</t>
  </si>
  <si>
    <t>2 (Coffs Harbour/Ballina)</t>
  </si>
  <si>
    <t>No</t>
  </si>
  <si>
    <t>Hot</t>
  </si>
  <si>
    <t>Non-Ducted, Less than 4kW</t>
  </si>
  <si>
    <t>4 (Inland NSW)</t>
  </si>
  <si>
    <t>Average</t>
  </si>
  <si>
    <t>Non-Ducted, Between 4 and 10kW</t>
  </si>
  <si>
    <t>5 (Sydney/Newcastle/Wollongong)</t>
  </si>
  <si>
    <t>Cold</t>
  </si>
  <si>
    <t>Ducted, Less than 10kW</t>
  </si>
  <si>
    <t>6 (Parramatta/Penrith/Shoalhaven)</t>
  </si>
  <si>
    <t>Either, Between 10 and 39kW</t>
  </si>
  <si>
    <t>7 (Bathurst/Lithgow/Snowy/QPRC)</t>
  </si>
  <si>
    <t>Either, Between 39 and 65kW</t>
  </si>
  <si>
    <t>8 (Parts of Armidale/Oberon/Snowy)</t>
  </si>
  <si>
    <t>Model_No</t>
  </si>
  <si>
    <t>Configuration1</t>
  </si>
  <si>
    <t>Configuration2</t>
  </si>
  <si>
    <t>C-Total Cool Rated</t>
  </si>
  <si>
    <t>H-Total Heat Rated</t>
  </si>
  <si>
    <t>ELIGIBLE_COLD</t>
  </si>
  <si>
    <t>ESCs new</t>
  </si>
  <si>
    <t>PRCs new</t>
  </si>
  <si>
    <r>
      <rPr>
        <rFont val="Calibri"/>
        <b/>
        <color/>
        <sz val="11.0"/>
      </rPr>
      <t xml:space="preserve">Total incentive - </t>
    </r>
    <r>
      <rPr>
        <rFont val="Calibri"/>
        <b/>
        <color rgb="FFFF0000"/>
        <sz val="11.0"/>
      </rPr>
      <t>NEW</t>
    </r>
  </si>
  <si>
    <t>ESCs replacement</t>
  </si>
  <si>
    <t>PRCs replacement</t>
  </si>
  <si>
    <r>
      <rPr>
        <rFont val="Calibri"/>
        <b/>
        <color/>
        <sz val="11.0"/>
      </rPr>
      <t xml:space="preserve">Total incentive - </t>
    </r>
    <r>
      <rPr>
        <rFont val="Calibri"/>
        <b/>
        <color rgb="FFFF0000"/>
        <sz val="11.0"/>
      </rPr>
      <t>REPLACEMENT</t>
    </r>
  </si>
  <si>
    <t>URC-071AS / CRE-071AS</t>
  </si>
  <si>
    <t>ACTRON AIR</t>
  </si>
  <si>
    <t>Non Ducted</t>
  </si>
  <si>
    <t>Single Split System</t>
  </si>
  <si>
    <t>INELIGIBLE</t>
  </si>
  <si>
    <t>URC-100AS / CRE-100AS</t>
  </si>
  <si>
    <t>WRC-026AS / WRE-026AS</t>
  </si>
  <si>
    <t>ELIGIBLE</t>
  </si>
  <si>
    <t>WRC-035AS / WRE-035AS</t>
  </si>
  <si>
    <t>WRC-050AS / WRE-050AS</t>
  </si>
  <si>
    <t>WRC-071AS / WRE-071AS</t>
  </si>
  <si>
    <t>WRC-080AS / WRE-080AS</t>
  </si>
  <si>
    <t>URC-125AS / CRE-125AS</t>
  </si>
  <si>
    <t>URC-140AS / CRE-140AS</t>
  </si>
  <si>
    <t>CRV13AS / EVV13AS</t>
  </si>
  <si>
    <t>Ducted</t>
  </si>
  <si>
    <t>CRV13AS / EAA13AS &amp; EFV13AS</t>
  </si>
  <si>
    <t>URC-071AS / LRE-071AS</t>
  </si>
  <si>
    <t>URC-100AS / LRE-100AS</t>
  </si>
  <si>
    <t>URC-170AS / LRE-170AS</t>
  </si>
  <si>
    <t>SCA290C / SCG290E</t>
  </si>
  <si>
    <t>PCG290U</t>
  </si>
  <si>
    <t>Packaged</t>
  </si>
  <si>
    <t>PCG290L</t>
  </si>
  <si>
    <t>PCG290R</t>
  </si>
  <si>
    <t>PCG290</t>
  </si>
  <si>
    <t>CRQ2-14AS / ERQ2-14AS</t>
  </si>
  <si>
    <t>CRQ4-19AS / ERQ4-19AS</t>
  </si>
  <si>
    <t>CRQ3-17AS / ERQ3-17AS</t>
  </si>
  <si>
    <t>CRV13AT / EVV13AS</t>
  </si>
  <si>
    <t>CRV13AT / EAA13AS &amp; EFV13AS</t>
  </si>
  <si>
    <t>CRQ4-19AS / FRQ4-19AS &amp; ARV4-19AS</t>
  </si>
  <si>
    <t>PCG203U</t>
  </si>
  <si>
    <t>PCG203V</t>
  </si>
  <si>
    <t>LRC-071CS / LRE-071CS</t>
  </si>
  <si>
    <t>LRC-100CS / LRE-100CS</t>
  </si>
  <si>
    <t>URC-125CS / LRE-125CS</t>
  </si>
  <si>
    <t>URC-140CS / LRE-140CS</t>
  </si>
  <si>
    <t>LRC-170CS / LRE-170CS</t>
  </si>
  <si>
    <t>CRC-100CS / CRE-100CS</t>
  </si>
  <si>
    <t>URC-125CS / CRE-125CS</t>
  </si>
  <si>
    <t>URC-140CS / CRE-140CS</t>
  </si>
  <si>
    <t>CRV17AT / EVV17AS</t>
  </si>
  <si>
    <t>CRV17AT / EAA17AS &amp; EFV17AS</t>
  </si>
  <si>
    <t>CRV15AT / EVV15AS</t>
  </si>
  <si>
    <t>CRV15AT / EAA15AS &amp; EFV15AS</t>
  </si>
  <si>
    <t>PRV15AT-T</t>
  </si>
  <si>
    <t>PRV17AT-T</t>
  </si>
  <si>
    <t>CRV17AS / EVV17AS</t>
  </si>
  <si>
    <t>CRV17AS / EAA17AS &amp; EFV17AS</t>
  </si>
  <si>
    <t>CRV17AS / EVV17AS - EXV SE</t>
  </si>
  <si>
    <t>CRV17AT / EVV17AS - EXV SE</t>
  </si>
  <si>
    <t>CRV15AT / EVV15AS - EXV SE</t>
  </si>
  <si>
    <t>CRV15AS / EVV15AS</t>
  </si>
  <si>
    <t>CRV15AS / EAA15AS &amp; EFV15AS</t>
  </si>
  <si>
    <t>CRV15AS / EVV15AS - EXV SE</t>
  </si>
  <si>
    <t>CRS13AS / EVA13AS</t>
  </si>
  <si>
    <t>CRS13AS / ECA13AS &amp; EFA13AS</t>
  </si>
  <si>
    <t>CRS10AS / EVA10AS</t>
  </si>
  <si>
    <t>CRS13AT / EVA13AS</t>
  </si>
  <si>
    <t>CRS13AT / ECA13AS &amp; EFA13AS</t>
  </si>
  <si>
    <t>PKV290T-T</t>
  </si>
  <si>
    <t>CRV290T / EVA290T</t>
  </si>
  <si>
    <t>PKV290T-L</t>
  </si>
  <si>
    <t>PKV290T-R</t>
  </si>
  <si>
    <t>PKV290T-L/R</t>
  </si>
  <si>
    <t>CRA230T / EVA230S</t>
  </si>
  <si>
    <t>CRA230T / EAA230S &amp; EFA230S</t>
  </si>
  <si>
    <t>PCG233U</t>
  </si>
  <si>
    <t>PCG233V</t>
  </si>
  <si>
    <t>PCG233</t>
  </si>
  <si>
    <t>CRS15AS / EVA15AS</t>
  </si>
  <si>
    <t>CRS15AS / ECA15AS &amp; EFA15AS</t>
  </si>
  <si>
    <t>CRS17AT / EVA17AS</t>
  </si>
  <si>
    <t>CRS17AT / ECA17AS &amp; EFA17AS</t>
  </si>
  <si>
    <t>CRS15AT / EVA15AS</t>
  </si>
  <si>
    <t>CRS15AT / ECA15AS &amp; EFA15AS</t>
  </si>
  <si>
    <t>CRA200T / EVA200S</t>
  </si>
  <si>
    <t>CRA200T / EAA200S / EFA200S</t>
  </si>
  <si>
    <t>CRS23AT / EVA23AS</t>
  </si>
  <si>
    <t>CRS23AT / ECA23AS &amp; EFA23AS</t>
  </si>
  <si>
    <t>CRS20AT / EVA20AS</t>
  </si>
  <si>
    <t>CRS20AT / ECA20AS &amp; EFA20AS</t>
  </si>
  <si>
    <t>CRS17AS / EVA17AS</t>
  </si>
  <si>
    <t>CRS17AS / ECA17AS &amp; EFA17AS</t>
  </si>
  <si>
    <t>CRV19BT / EVV19BS</t>
  </si>
  <si>
    <t>CRV19BT / EAA19BS &amp; EFV19BS</t>
  </si>
  <si>
    <t>CRV13BT / EVV13BS</t>
  </si>
  <si>
    <t>CRV13BT / EAA13BS &amp; EFV13BS</t>
  </si>
  <si>
    <t>CRV13BS / EVV13BS</t>
  </si>
  <si>
    <t>CRV13BS / EAA13BS &amp; EFV13BS</t>
  </si>
  <si>
    <t>CRV15BS / EVV15BS</t>
  </si>
  <si>
    <t>CRV15BS / EAA15BS &amp; EFV15BS</t>
  </si>
  <si>
    <t>CRV15BT / EAA15BS &amp; EFV15BS</t>
  </si>
  <si>
    <t>CRV15BT / EVV15BS</t>
  </si>
  <si>
    <t>CRV17BS / EVV17BS</t>
  </si>
  <si>
    <t>CRV17BS / EAA17BS &amp; EFV17BS</t>
  </si>
  <si>
    <t>CRV17BT / EVV17BS</t>
  </si>
  <si>
    <t>CRV17BT / EAA17BS &amp; EFV17BS</t>
  </si>
  <si>
    <t>PKV240T-T</t>
  </si>
  <si>
    <t>PKV210T-T</t>
  </si>
  <si>
    <t>CRV240T / EVV240S</t>
  </si>
  <si>
    <t>CRV240T / EAA240S &amp; EFV240S</t>
  </si>
  <si>
    <t>CRV210T / EVV210S</t>
  </si>
  <si>
    <t>CRV210T / EAA210S &amp; EFV210S</t>
  </si>
  <si>
    <t>CRV25BT / EVV25BS</t>
  </si>
  <si>
    <t>CRV25BT / EAA25BS &amp; EFV25BS</t>
  </si>
  <si>
    <t>PRV17BT-T</t>
  </si>
  <si>
    <t>CRV22BT / EVV22BS</t>
  </si>
  <si>
    <t>CRV22BT / EAA22BS &amp; EFV22BS</t>
  </si>
  <si>
    <t>LRC-071DS / LRE-071DS</t>
  </si>
  <si>
    <t>URC-100DS / LRE-100DS</t>
  </si>
  <si>
    <t>LRC-170DS / LRE-170DS</t>
  </si>
  <si>
    <t>URC-125DS / LRE-125DS</t>
  </si>
  <si>
    <t>URC-140DS / LRE-140DS</t>
  </si>
  <si>
    <t>WRC-026DS / WRE-026DS</t>
  </si>
  <si>
    <t>WRC-035DS / WRE-035DS</t>
  </si>
  <si>
    <t>WRC-050DS / WRE-050DS</t>
  </si>
  <si>
    <t>WRC-060DS / WRE-060DS</t>
  </si>
  <si>
    <t>WRC-072DS / WRE-072DS</t>
  </si>
  <si>
    <t>WRC-080DS / WRE-080DS</t>
  </si>
  <si>
    <t>WRC-090DS / WRE-090DS</t>
  </si>
  <si>
    <t>URC-100DS / CRE-100DS</t>
  </si>
  <si>
    <t>URC-125DS / CRE-125DS</t>
  </si>
  <si>
    <t>URC-140DS / CRE-140DS</t>
  </si>
  <si>
    <t>PRV15BT-T</t>
  </si>
  <si>
    <t>WRC-026CS / WRE-026CS</t>
  </si>
  <si>
    <t>WRC-035CS / WRE-035CS</t>
  </si>
  <si>
    <t>WRC-085CS / WRE-085CS</t>
  </si>
  <si>
    <t>WRC-072CS / WRE-072CS</t>
  </si>
  <si>
    <t>WRC-050CS / WRE-050CS</t>
  </si>
  <si>
    <t>SCA260C/SCG260E</t>
  </si>
  <si>
    <t>PCG260U</t>
  </si>
  <si>
    <t>111700910/111700920</t>
  </si>
  <si>
    <t>ADVWIN</t>
  </si>
  <si>
    <t>RPA-020S-R410A</t>
  </si>
  <si>
    <t>aggreko</t>
  </si>
  <si>
    <t>IES-500-AC</t>
  </si>
  <si>
    <t>AirSmart</t>
  </si>
  <si>
    <t>IES-500</t>
  </si>
  <si>
    <t>IES-***</t>
  </si>
  <si>
    <t>IES-700</t>
  </si>
  <si>
    <t>IES-700-AC</t>
  </si>
  <si>
    <t>RAQ/K/WP/115</t>
  </si>
  <si>
    <t>AIRSTAGE</t>
  </si>
  <si>
    <t>RAQ/K/WP/ECO/115</t>
  </si>
  <si>
    <t>RAQ/K/WP/* 115</t>
  </si>
  <si>
    <t>RAQ/K/WP/15</t>
  </si>
  <si>
    <t>RAQ/K/WP/ECO/15</t>
  </si>
  <si>
    <t>RAQ/K/WP/17</t>
  </si>
  <si>
    <t>RAQ/K/WP/ECO/17</t>
  </si>
  <si>
    <t>RAQ/K/WP/110</t>
  </si>
  <si>
    <t>RAQ/K/WP/ECO/110</t>
  </si>
  <si>
    <t>RAQ/K/WP/112</t>
  </si>
  <si>
    <t>RAQ/K/WP/ECO/112</t>
  </si>
  <si>
    <t>RAQ/K/WP/118</t>
  </si>
  <si>
    <t>RAQ/K/WP/ECO/118</t>
  </si>
  <si>
    <t>RAQ/K/WP/224</t>
  </si>
  <si>
    <t>RAQ/K/WP/ECO/224</t>
  </si>
  <si>
    <t>RAQ/K/WP/* 15</t>
  </si>
  <si>
    <t>RAQ/K/WP/* 17</t>
  </si>
  <si>
    <t>RAQ/K/WP/* 112</t>
  </si>
  <si>
    <t>RAQ/K/WP/* 110</t>
  </si>
  <si>
    <t>RAQ/K/WP/* 118</t>
  </si>
  <si>
    <t>RAQ/K/WP/* 224</t>
  </si>
  <si>
    <t>RAQ/K/EC/WP/15</t>
  </si>
  <si>
    <t>RAQ/K/EC/WP/17</t>
  </si>
  <si>
    <t>RAQ/K/EC/WP/110</t>
  </si>
  <si>
    <t>RAQ/K/EC/WP/112</t>
  </si>
  <si>
    <t>RAQ/K/EC/WP/115</t>
  </si>
  <si>
    <t>RAQ/K/EC/WP/118</t>
  </si>
  <si>
    <t>RAQ/K/EC/WP/224</t>
  </si>
  <si>
    <t>RAQ/K/EC/WP/ECO/15</t>
  </si>
  <si>
    <t>RAQ/K/EC/WP/*15</t>
  </si>
  <si>
    <t>RAQ/K/EC/WP/ECO/17</t>
  </si>
  <si>
    <t>RAQ/K/EC/WP/*17</t>
  </si>
  <si>
    <t>RAQ/K/EC/WP/ECO/110</t>
  </si>
  <si>
    <t>RAQ/K/EC/WP/*110</t>
  </si>
  <si>
    <t>RAQ/K/EC/WP/ECO/112</t>
  </si>
  <si>
    <t>RAQ/K/EC/WP/*112</t>
  </si>
  <si>
    <t>RAQ/K/EC/WP/ECO/115</t>
  </si>
  <si>
    <t>RAQ/K/EC/WP/*115</t>
  </si>
  <si>
    <t>RAQ/K/EC/WP/ECO/118</t>
  </si>
  <si>
    <t>RAQ/K/EC/WP/*118</t>
  </si>
  <si>
    <t>RAQ/K/EC/WP/ECO/224</t>
  </si>
  <si>
    <t>RAQ/K/EC/WP/*224</t>
  </si>
  <si>
    <t>RAQ/L/EC/WP/15</t>
  </si>
  <si>
    <t>RAQ/L/EC/WP/17</t>
  </si>
  <si>
    <t>RAQ/L/EC/WP/110</t>
  </si>
  <si>
    <t>RAQ/L/EC/WP/112</t>
  </si>
  <si>
    <t>RAQ/L/EC/WP/115</t>
  </si>
  <si>
    <t>RAQ/L/EC/WP/118</t>
  </si>
  <si>
    <t>RAQ/L/EC/WP/120</t>
  </si>
  <si>
    <t>RAQ/L/EC/WP/224</t>
  </si>
  <si>
    <t>RAQ/K/EC/WP/120</t>
  </si>
  <si>
    <t>RAQ/K/EC/WP/ECO/120</t>
  </si>
  <si>
    <t>ATC-32DDNO H/C INVERTER-M7</t>
  </si>
  <si>
    <t>Airtemp</t>
  </si>
  <si>
    <t>Unitary double duct wall mounted</t>
  </si>
  <si>
    <t>AK-TP35</t>
  </si>
  <si>
    <t>AKAI</t>
  </si>
  <si>
    <t>AK-TP52</t>
  </si>
  <si>
    <t>AK-TP26</t>
  </si>
  <si>
    <t>AK-TP26M</t>
  </si>
  <si>
    <t>AK-TP50M</t>
  </si>
  <si>
    <t>AK-TP35M</t>
  </si>
  <si>
    <t>A-PAC-9-H</t>
  </si>
  <si>
    <t>ALFORDSON</t>
  </si>
  <si>
    <t>Portable</t>
  </si>
  <si>
    <t>A-PAC-9-FS-H</t>
  </si>
  <si>
    <t>A-PAC-9-CLT-H</t>
  </si>
  <si>
    <t>A-PAC-9-WAVE-H</t>
  </si>
  <si>
    <t>PAC-9-H</t>
  </si>
  <si>
    <t>A-PAC-12-H</t>
  </si>
  <si>
    <t>A-PAC-12-STR-H</t>
  </si>
  <si>
    <t>A-PAC-12-FLOW-H</t>
  </si>
  <si>
    <t>A-PAC-12-CLT-H</t>
  </si>
  <si>
    <t>PAC-12-H</t>
  </si>
  <si>
    <t>A-PAC-14-H</t>
  </si>
  <si>
    <t>A-PAC-14-STR-H</t>
  </si>
  <si>
    <t>A-PAC-14-FLOW-H</t>
  </si>
  <si>
    <t>A-PAC-14-CLT-H</t>
  </si>
  <si>
    <t>PAC-14-H</t>
  </si>
  <si>
    <t>P012AVR3SA-LTR</t>
  </si>
  <si>
    <t>APAC</t>
  </si>
  <si>
    <t>P012AVR3SA-LTS</t>
  </si>
  <si>
    <t>P012AVR3SA-RTR</t>
  </si>
  <si>
    <t>P012AVR3SA-RTS</t>
  </si>
  <si>
    <t>P012AVR3SA-LTT</t>
  </si>
  <si>
    <t>P012AVR3SA-RTT</t>
  </si>
  <si>
    <t>P012AVR3SA</t>
  </si>
  <si>
    <t>S012OVR3SA/S012ILR1SA-TR</t>
  </si>
  <si>
    <t>S012OVR3SA/S012ILR1SA-FR</t>
  </si>
  <si>
    <t>S012OVR3SA/S012IVR3SA-TR</t>
  </si>
  <si>
    <t>S012OVR3SA/S012ILR1SA-</t>
  </si>
  <si>
    <t>P015AVR3SA-LTR</t>
  </si>
  <si>
    <t>P015AVR3SA-LTS</t>
  </si>
  <si>
    <t>P015AVR3SA-RTR</t>
  </si>
  <si>
    <t>P015AVR3SA-RTS</t>
  </si>
  <si>
    <t>P015AVR3SA-LTT</t>
  </si>
  <si>
    <t>P015AVR3SA-RTT</t>
  </si>
  <si>
    <t>P015AVR3SA-</t>
  </si>
  <si>
    <t>S015OVR3SA / S015ILR1SA-TR</t>
  </si>
  <si>
    <t>S015OVR3SA / S015ILR1SA-FR</t>
  </si>
  <si>
    <t>S015OVR3SA / S015IVR3SA-TR</t>
  </si>
  <si>
    <t>S015OVR3SA / S015ILR1SA-</t>
  </si>
  <si>
    <t>P018AVR3SA-LTR</t>
  </si>
  <si>
    <t>P018AVR3SA-LTS</t>
  </si>
  <si>
    <t>P018AVR3SA-RTR</t>
  </si>
  <si>
    <t>P018AVR3SA-RTS</t>
  </si>
  <si>
    <t>P018AVR3SA-LTT</t>
  </si>
  <si>
    <t>P018AVR3SA-RTT</t>
  </si>
  <si>
    <t>P018AVR3SA-</t>
  </si>
  <si>
    <t>S018OVR3SA / S018ILR1SA-TR</t>
  </si>
  <si>
    <t>S018OVR3SA / S018ILR1SA-FR</t>
  </si>
  <si>
    <t>S018OVR3SA / S018IVR3SA-TR</t>
  </si>
  <si>
    <t>S018OVR3SA / S018ILR1SA-</t>
  </si>
  <si>
    <t>P015AHR3SA-LTT</t>
  </si>
  <si>
    <t>P015AHR3SA-LTR</t>
  </si>
  <si>
    <t>P015AHR3SA-LRR</t>
  </si>
  <si>
    <t>P015AHR3SA-LBB</t>
  </si>
  <si>
    <t>P015AHR3SA-RTT</t>
  </si>
  <si>
    <t>P015AHR3SA-RTR</t>
  </si>
  <si>
    <t>P015AHR3SA-RRR</t>
  </si>
  <si>
    <t>P015AHR3SA-RBB</t>
  </si>
  <si>
    <t>P015AHR3SA</t>
  </si>
  <si>
    <t>P015AHR3SA-</t>
  </si>
  <si>
    <t>P020AVR3SA-LTR</t>
  </si>
  <si>
    <t>P020AVR3SA-LTS</t>
  </si>
  <si>
    <t>P020AVR3SA-RTR</t>
  </si>
  <si>
    <t>P020AVR3SA-RTS</t>
  </si>
  <si>
    <t>P020AVR3SA-LTT</t>
  </si>
  <si>
    <t>P020AVR3SA-RTT</t>
  </si>
  <si>
    <t>P020AVR3SA-</t>
  </si>
  <si>
    <t>S020OVR3SA / S020ILR1SA-TR</t>
  </si>
  <si>
    <t>S020OVR3SA / S020ILR1SA-FR</t>
  </si>
  <si>
    <t>S020OVR3SA / S020IVR3SA-TR</t>
  </si>
  <si>
    <t>S020OVR3SA / S020ILR1SA-</t>
  </si>
  <si>
    <t>P023AVR3SA-LTR</t>
  </si>
  <si>
    <t>P023AVR3SA-LTS</t>
  </si>
  <si>
    <t>P023AVR3SA-RTR</t>
  </si>
  <si>
    <t>P023AVR3SA-RTS</t>
  </si>
  <si>
    <t>P023AVR3SA-LTT</t>
  </si>
  <si>
    <t>P023AVR3SA-RTT</t>
  </si>
  <si>
    <t>P023AVR3SA-</t>
  </si>
  <si>
    <t>S023OVR3SA / S023ILR1SA-TR</t>
  </si>
  <si>
    <t>S023OVR3SA / S023ILR1SA-FR</t>
  </si>
  <si>
    <t>S023OVR3SA / S023IVR3SA-TR</t>
  </si>
  <si>
    <t>S023OVR3SA / S023ILR1SA-</t>
  </si>
  <si>
    <t>P024AVR3SA-LTR</t>
  </si>
  <si>
    <t>P024AVR3SA-LTS</t>
  </si>
  <si>
    <t>P024AVR3SA-RTR</t>
  </si>
  <si>
    <t>P024AVR3SA-RTS</t>
  </si>
  <si>
    <t>P024AVR3SA-</t>
  </si>
  <si>
    <t>S024OVR3SA / S024IHR3SA-TR</t>
  </si>
  <si>
    <t>S024OVR3SA / S024IHR3SA-FR</t>
  </si>
  <si>
    <t>S024OVR3SA / S024ILR3SA-TR</t>
  </si>
  <si>
    <t>S024OVR3SA / S024ILR3SA-FR</t>
  </si>
  <si>
    <t>S024OVR3SA / S024IVR3SA-TR</t>
  </si>
  <si>
    <t>S024OVR3SA / S024IHR3SA-</t>
  </si>
  <si>
    <t>P018AHR3SA-LTT</t>
  </si>
  <si>
    <t>P018AHR3SA-LTR</t>
  </si>
  <si>
    <t>P018AHR3SA-LRR</t>
  </si>
  <si>
    <t>P018AHR3SA-LBB</t>
  </si>
  <si>
    <t>P018AHR3SA-RTT</t>
  </si>
  <si>
    <t>P018AHR3SA-RTR</t>
  </si>
  <si>
    <t>P018AHR3SA-RRR</t>
  </si>
  <si>
    <t>P018AHR3SA-RBB</t>
  </si>
  <si>
    <t>P018AHR3SA-</t>
  </si>
  <si>
    <t>P018AHR3SA</t>
  </si>
  <si>
    <t>P012AHR3SA-LTT</t>
  </si>
  <si>
    <t>P012AHR3SA-LTR</t>
  </si>
  <si>
    <t>P012AHR3SA-LRR</t>
  </si>
  <si>
    <t>P012AHR3SA-LBB</t>
  </si>
  <si>
    <t>P012AHR3SA-RTT</t>
  </si>
  <si>
    <t>P012AHR3SA-RTR</t>
  </si>
  <si>
    <t>P012AHR3SA-RRR</t>
  </si>
  <si>
    <t>P012AHR3SA-RBB</t>
  </si>
  <si>
    <t>P012AHR3SA-</t>
  </si>
  <si>
    <t>P012AHR3SA</t>
  </si>
  <si>
    <t>P020AHR3SA</t>
  </si>
  <si>
    <t>P020AHR3SA-LTT</t>
  </si>
  <si>
    <t>P020AHR3SA-LTR</t>
  </si>
  <si>
    <t>P020AHR3SA-LRR</t>
  </si>
  <si>
    <t>P020AHR3SA-LBB</t>
  </si>
  <si>
    <t>P020AHR3SA-RTT</t>
  </si>
  <si>
    <t>P020AHR3SA-RTR</t>
  </si>
  <si>
    <t>P020AHR3SA-RRR</t>
  </si>
  <si>
    <t>P020AHR3SA-RBB</t>
  </si>
  <si>
    <t>P020AHR3SA-</t>
  </si>
  <si>
    <t>P030AHR3SA-LTT</t>
  </si>
  <si>
    <t>P030AHR3SA-LTR</t>
  </si>
  <si>
    <t>P030AHR3SA-LRR</t>
  </si>
  <si>
    <t>P030AHR3SA-LBB</t>
  </si>
  <si>
    <t>P030AHR3SA-RTT</t>
  </si>
  <si>
    <t>P030AHR3SA-RTR</t>
  </si>
  <si>
    <t>P030AHR3SA-RRR</t>
  </si>
  <si>
    <t>P030AHR3SA-RBB</t>
  </si>
  <si>
    <t>P030AHR3SA-</t>
  </si>
  <si>
    <t>P030AVR3SA-LTR</t>
  </si>
  <si>
    <t>P030AVR3SA-LTS</t>
  </si>
  <si>
    <t>P030AVR3SA-RTR</t>
  </si>
  <si>
    <t>P030AVR3SA-RTS</t>
  </si>
  <si>
    <t>P030AVR3SA-</t>
  </si>
  <si>
    <t>S030OVR3SA / S030IHR3SA-TR</t>
  </si>
  <si>
    <t>S030OVR3SA / S030IHR3SA-FR</t>
  </si>
  <si>
    <t>S030OVR3SA / S030ILR3SA-TR</t>
  </si>
  <si>
    <t>S030OVR3SA / S030ILR3SA-FR</t>
  </si>
  <si>
    <t>S030OVR3SA / S030IVR3SA-TR</t>
  </si>
  <si>
    <t>S030OVR3SA / S030IHR3SA-</t>
  </si>
  <si>
    <t>P024AHR3SA</t>
  </si>
  <si>
    <t>P024AHR3SA-LTT</t>
  </si>
  <si>
    <t>P024AHR3SA-LTR</t>
  </si>
  <si>
    <t>P024AHR3SA-LRR</t>
  </si>
  <si>
    <t>P024AHR3SA-LBB</t>
  </si>
  <si>
    <t>P024AHR3SA-RTT</t>
  </si>
  <si>
    <t>P024AHR3SA-RTR</t>
  </si>
  <si>
    <t>P024AHR3SA-RRR</t>
  </si>
  <si>
    <t>P024AHR3SA-RBB</t>
  </si>
  <si>
    <t>P024AHR3SA-</t>
  </si>
  <si>
    <t>P023AHR3SA</t>
  </si>
  <si>
    <t>P023AHR3SA-LTT</t>
  </si>
  <si>
    <t>P023AHR3SA-LTR</t>
  </si>
  <si>
    <t>P023AHR3SA-LRR</t>
  </si>
  <si>
    <t>P023AHR3SA-LBB</t>
  </si>
  <si>
    <t>P023AHR3SA-RTT</t>
  </si>
  <si>
    <t>P023AHR3SA-RTR</t>
  </si>
  <si>
    <t>P023AHR3SA-RRR</t>
  </si>
  <si>
    <t>P023AHR3SA-RBB</t>
  </si>
  <si>
    <t>P023AHR3SA-</t>
  </si>
  <si>
    <t>ASR352HA</t>
  </si>
  <si>
    <t>Arlec</t>
  </si>
  <si>
    <t>PA1622HCHA</t>
  </si>
  <si>
    <t>PA1123BKHA</t>
  </si>
  <si>
    <t>AC25</t>
  </si>
  <si>
    <t>Astivita</t>
  </si>
  <si>
    <t>AC50</t>
  </si>
  <si>
    <t>AU-BS24HR-2A-O / AU-LCF24-2A-I</t>
  </si>
  <si>
    <t>AURORA</t>
  </si>
  <si>
    <t>AU-BS36HR-2A-O / AU-LCF36-2A-I</t>
  </si>
  <si>
    <t>ACPAC240</t>
  </si>
  <si>
    <t>AUSCLIMATE</t>
  </si>
  <si>
    <t>PAC1131</t>
  </si>
  <si>
    <t>Ausclimate 14K PAC</t>
  </si>
  <si>
    <t>CRC6960010/CRC6960110</t>
  </si>
  <si>
    <t>BONAIRE</t>
  </si>
  <si>
    <t>CRC6960012/CRC6960112</t>
  </si>
  <si>
    <t>CRC6960014/CRC6960114</t>
  </si>
  <si>
    <t>CRC6960016/CRC6960116</t>
  </si>
  <si>
    <t>CRC6960007/CRC6960107</t>
  </si>
  <si>
    <t>OPTIMA N-SERIES CRC6930182 / CRC6930082</t>
  </si>
  <si>
    <t>OPTIMA L-SERIES CRC6910082 / CRC6910182</t>
  </si>
  <si>
    <t>CRC6960018/CRC6960118</t>
  </si>
  <si>
    <t>CRC6970025/CRC6970125</t>
  </si>
  <si>
    <t>CRC6970035/CRC6970135</t>
  </si>
  <si>
    <t>CRC6970050/CRC6970150</t>
  </si>
  <si>
    <t>CRC6970071/CRC6970171</t>
  </si>
  <si>
    <t>6950020/6950120</t>
  </si>
  <si>
    <t>PRC6000141</t>
  </si>
  <si>
    <t>PRC6000135</t>
  </si>
  <si>
    <t>CRC6911082/CRC6911182</t>
  </si>
  <si>
    <t>CRC6911071/CRC6911171</t>
  </si>
  <si>
    <t>CRC6911050/CRC6911150</t>
  </si>
  <si>
    <t>CRC6911035/CRC6911135</t>
  </si>
  <si>
    <t>CRC6911025/CRC6911125</t>
  </si>
  <si>
    <t>CRC6911028/CRC6911128</t>
  </si>
  <si>
    <t>CRC6000027</t>
  </si>
  <si>
    <t>Window Wall</t>
  </si>
  <si>
    <t>CRC6000042</t>
  </si>
  <si>
    <t>CTG100S1AE/CTG100S1AI</t>
  </si>
  <si>
    <t>CTG125S1AE/CTG125S1AI</t>
  </si>
  <si>
    <t>CTG140S1AE/CTG140S1AI</t>
  </si>
  <si>
    <t>CTG160S1AE/CTG160S1AI</t>
  </si>
  <si>
    <t>STH026S1AE/STH026S1AI</t>
  </si>
  <si>
    <t>STH035S1AE/STH035S1AI</t>
  </si>
  <si>
    <t>STH053S1AE/STH053S1AI</t>
  </si>
  <si>
    <t>STH072S1AE/STH072S1AI</t>
  </si>
  <si>
    <t>STH082S1AE/STH082S1AI</t>
  </si>
  <si>
    <t>KDHV100D1S</t>
  </si>
  <si>
    <t>Braemar</t>
  </si>
  <si>
    <t>KCHV100D1B/KDHV100D1S</t>
  </si>
  <si>
    <t>KCHV100D1B/KDHV101D1S</t>
  </si>
  <si>
    <t>KCHV070D1B/KBHV070D1S</t>
  </si>
  <si>
    <t>KCHV100D1B/KBHV100D1S</t>
  </si>
  <si>
    <t>KCHV125D1B/KBHV125D1S</t>
  </si>
  <si>
    <t>KCHV140D1B/KBHV140D1S</t>
  </si>
  <si>
    <t>WCHV25D1T/WSHV25D1T</t>
  </si>
  <si>
    <t>WCHV35D1T/WSHV35D1T</t>
  </si>
  <si>
    <t>WCHV50D1T/WSHV50D1T</t>
  </si>
  <si>
    <t>WCHV70D1T/WSHV70D1T</t>
  </si>
  <si>
    <t>WCHV85D1T/WSHV85D1T</t>
  </si>
  <si>
    <t>KSHV52D1S/KCHV52D1S</t>
  </si>
  <si>
    <t>KSHV25D1S/KCHV25D1S</t>
  </si>
  <si>
    <t>KSHV35D1S/KCHV35D1S</t>
  </si>
  <si>
    <t>SCHV24D3S/SDHV24D1S</t>
  </si>
  <si>
    <t>SCHV20D3S/SDHV20D1S</t>
  </si>
  <si>
    <t>ACHV25D1S/ASHV25D1S</t>
  </si>
  <si>
    <t>ACHV35D1S/ASHV35D1S</t>
  </si>
  <si>
    <t>ACHV50D1S/ASHV50D1S</t>
  </si>
  <si>
    <t>ACHV70D1S/ASHV70D1S</t>
  </si>
  <si>
    <t>ACHV80D1S/ASHV80D1S</t>
  </si>
  <si>
    <t>KCHV160D1B/KGHV200A1S</t>
  </si>
  <si>
    <t>KCHA070D1B/KDHA070D1S</t>
  </si>
  <si>
    <t>KCHA100D1B/KDHA100D1S</t>
  </si>
  <si>
    <t>KCHA125D1B/KDHA125D1S</t>
  </si>
  <si>
    <t>KCHA140D1B/KDHA140D1S</t>
  </si>
  <si>
    <t>KCHA160D1B/KDHA160D1S</t>
  </si>
  <si>
    <t>SCHS20D3B/SDHS20D1S</t>
  </si>
  <si>
    <t>KCHA160D1B/KBHA160D1S</t>
  </si>
  <si>
    <t>KCHA070D1B/KBHA070D1S</t>
  </si>
  <si>
    <t>KCHA100D1B/KBHA100D1S</t>
  </si>
  <si>
    <t>KCHA125D1B/KBHA125D1S</t>
  </si>
  <si>
    <t>TCHV25T1S/TSHV25T1S</t>
  </si>
  <si>
    <t>TCHV35T1S/TSHV35T1S</t>
  </si>
  <si>
    <t>TCHV50T1S/TSHV50T1S</t>
  </si>
  <si>
    <t>TCHV70T1S/TSHV70T1S</t>
  </si>
  <si>
    <t>TCHV80T1S/TSHV80T1S</t>
  </si>
  <si>
    <t>KCHV160D1B/KGHV200A1T</t>
  </si>
  <si>
    <t>TCHV02T1S/TSHV02T1S</t>
  </si>
  <si>
    <t>TCHV03T1S/TSHV03T1S</t>
  </si>
  <si>
    <t>TCHV05T1S/TSHV05T1S</t>
  </si>
  <si>
    <t>TCHV07T1S/TSHV07T1S</t>
  </si>
  <si>
    <t>TCHV08T1S/TSHV08T1S</t>
  </si>
  <si>
    <t>RTHV500D3S</t>
  </si>
  <si>
    <t>AONSR13B1/AINHU11B1</t>
  </si>
  <si>
    <t>BRIVIS</t>
  </si>
  <si>
    <t>AONSR13B1/AINHU13B1</t>
  </si>
  <si>
    <t>AONSR15B1/AINHU15B1</t>
  </si>
  <si>
    <t>AONSR18B1/AINXU18B1</t>
  </si>
  <si>
    <t>42FHV067 &amp; 38FHV067</t>
  </si>
  <si>
    <t>Carrier</t>
  </si>
  <si>
    <t>42TSC090-1 &amp; 38TSC090-1</t>
  </si>
  <si>
    <t>42TSC125-1 &amp; 38TSC125-1</t>
  </si>
  <si>
    <t>42TSC135-1 &amp; 38TSC135-1</t>
  </si>
  <si>
    <t>38QHB050N8-1/42QHB050N8-1</t>
  </si>
  <si>
    <t>38SHDS070/42SHDS070</t>
  </si>
  <si>
    <t>38SHDS100/42SHDS100</t>
  </si>
  <si>
    <t>38QSM060D8S/42QSM060D8S</t>
  </si>
  <si>
    <t>38QSM070D8S/42QSM070D8S</t>
  </si>
  <si>
    <t>38QSM080D8S/42QSM080D8S</t>
  </si>
  <si>
    <t>38QSM090D8S/42QSM090D8S</t>
  </si>
  <si>
    <t>38QSM105D8S/42QSM105D8S</t>
  </si>
  <si>
    <t>38QSH090D8S/42QSH090D8S</t>
  </si>
  <si>
    <t>38QSH105D8S/42QSH105D8S</t>
  </si>
  <si>
    <t>38QSH125D8S/42QSH125D8S</t>
  </si>
  <si>
    <t>38QSH140D8S/42QSH140D8S</t>
  </si>
  <si>
    <t>51QPD12N7S</t>
  </si>
  <si>
    <t>38QSM053D8S/42QSM053D8S</t>
  </si>
  <si>
    <t>38QSH125D8S-1/42QSH125D8S-1</t>
  </si>
  <si>
    <t>38QSH140D8S-1/42QSH140D8S-1</t>
  </si>
  <si>
    <t>38QSH170D8S/42QSH170D8S</t>
  </si>
  <si>
    <t>38QSM125D8S/42QSM125D8S</t>
  </si>
  <si>
    <t>38QSM140D8S/42QSM140D8S</t>
  </si>
  <si>
    <t>51QPD12N7S-1</t>
  </si>
  <si>
    <t>38QHG020N8/42QHG020N8-1</t>
  </si>
  <si>
    <t>38QHG026N8/42QHG026N8-1</t>
  </si>
  <si>
    <t>38QHG035N8/42QHG035N8-1</t>
  </si>
  <si>
    <t>38QHG050N8/42QHG050N8-1</t>
  </si>
  <si>
    <t>38QHG060N8/42QHG060N8-1</t>
  </si>
  <si>
    <t>38QHG070N8-1/42QHG070N8-1</t>
  </si>
  <si>
    <t>38QHG080N8-1/42QHG080N8-1</t>
  </si>
  <si>
    <t>38QZY035N8/42QZY035N8</t>
  </si>
  <si>
    <t>38QZY050N8/42QZY050N8</t>
  </si>
  <si>
    <t>38QAG020N8/42QAG020N8</t>
  </si>
  <si>
    <t>38QAG026N8/42QAG026N8</t>
  </si>
  <si>
    <t>38QAG035N8/42QAG035N8</t>
  </si>
  <si>
    <t>38QAG050N8/42QAG050N8</t>
  </si>
  <si>
    <t>38QAG060N8/42QAG060N8</t>
  </si>
  <si>
    <t>38QAG070N8/42QAG070N8</t>
  </si>
  <si>
    <t>38QAG080N8/42QAG080N8</t>
  </si>
  <si>
    <t>38QRG020N8/42QRG020N8</t>
  </si>
  <si>
    <t>38QRG026N8/42QRG026N8</t>
  </si>
  <si>
    <t>38QRG035N8/42QRG035N8</t>
  </si>
  <si>
    <t>38QRG050N8/42QRG050N8</t>
  </si>
  <si>
    <t>38QRG060N8/42QRG060N8</t>
  </si>
  <si>
    <t>38QRG070N8/42QRG070N8</t>
  </si>
  <si>
    <t>38QRG080N8/42QRG080N8</t>
  </si>
  <si>
    <t>38QSH170D8S / 42QSH170D8S</t>
  </si>
  <si>
    <t>38QHB090N8-1/42QHB090N8-1</t>
  </si>
  <si>
    <t>38QSP070N8/42QSP070N8</t>
  </si>
  <si>
    <t>38QSP090N8/42QSP090N8</t>
  </si>
  <si>
    <t>38QSP105N8/42QSP105N8</t>
  </si>
  <si>
    <t>38QSV105N8/42QSV105N8H</t>
  </si>
  <si>
    <t>38QSV170N8/42QSV170N8S</t>
  </si>
  <si>
    <t>38QSV125N8E/42QSV125N8H</t>
  </si>
  <si>
    <t>38QSV140N8E/42QSV140N8H</t>
  </si>
  <si>
    <t>38QSV140N8E/42QSV140N8S</t>
  </si>
  <si>
    <t>38QAF020N8/42QAF020N8</t>
  </si>
  <si>
    <t>38QAF026N8/42QAF026N8</t>
  </si>
  <si>
    <t>38QAF035N8/42QAF035N8</t>
  </si>
  <si>
    <t>38QAF050N8/42QAF050N8</t>
  </si>
  <si>
    <t>38QAF060N8/42QAF060N8</t>
  </si>
  <si>
    <t>38QAF070N8/42QAF070N8</t>
  </si>
  <si>
    <t>38QAF080N8/42QAF080N8</t>
  </si>
  <si>
    <t>38QAF090N8/42QAF090N8</t>
  </si>
  <si>
    <t>38QRF020N8/42QRF020N8</t>
  </si>
  <si>
    <t>38QRF026N8/42QRF026N8</t>
  </si>
  <si>
    <t>38QRF035N8/42QRF035N8</t>
  </si>
  <si>
    <t>38QRF050N8/42QRF050N8</t>
  </si>
  <si>
    <t>38QRF060N8/42QRF060N8</t>
  </si>
  <si>
    <t>38QRF080N8/42QRF080N8</t>
  </si>
  <si>
    <t>38QRF090N8/42QRF090N8</t>
  </si>
  <si>
    <t>38QRF070N8/42QRF070N8</t>
  </si>
  <si>
    <t>YPF5-10H</t>
  </si>
  <si>
    <t>carson</t>
  </si>
  <si>
    <t>OL-BKYR47-A012D</t>
  </si>
  <si>
    <t>CPAC1609-H</t>
  </si>
  <si>
    <t>CLICK</t>
  </si>
  <si>
    <t>RPA-C020</t>
  </si>
  <si>
    <t>Coates</t>
  </si>
  <si>
    <t>CASG-XG20/CASN-XG20</t>
  </si>
  <si>
    <t>COMFEE</t>
  </si>
  <si>
    <t>CASG-XG25/CASN-XG25</t>
  </si>
  <si>
    <t>CASG-XG35/CASN-XG35</t>
  </si>
  <si>
    <t>CASG-XG50/CASN-XG50</t>
  </si>
  <si>
    <t>CASG-XG60/CASN-XG60</t>
  </si>
  <si>
    <t>CASG-XG70/CASN-XG70</t>
  </si>
  <si>
    <t>CASG-XG80/CASN-XG80</t>
  </si>
  <si>
    <t>CASG-XG51/CASN-XG51</t>
  </si>
  <si>
    <t>CASG-XG20B/CASN-XG20B</t>
  </si>
  <si>
    <t>CASG-XG26B/CASN-XG26B</t>
  </si>
  <si>
    <t>CASG-XG35B/CASN-XG35B</t>
  </si>
  <si>
    <t>CASG-XG50B/CASN-XG50B</t>
  </si>
  <si>
    <t>CASG-XG60B/CASN-XG60B</t>
  </si>
  <si>
    <t>CASG-XG70B/CASN-XG70B</t>
  </si>
  <si>
    <t>CASG-XG80B/CASN-XG80B</t>
  </si>
  <si>
    <t>A007H-09CH</t>
  </si>
  <si>
    <t>Craig&amp;Russell</t>
  </si>
  <si>
    <t>FDMA71AV1A / RZAV71CV1</t>
  </si>
  <si>
    <t>Daikin</t>
  </si>
  <si>
    <t>FDMA85AV1A / RZAV85CV1</t>
  </si>
  <si>
    <t>FDMA100AV1A / RZAV100CV1</t>
  </si>
  <si>
    <t>FDMA125AV1A / RZAV125CV1</t>
  </si>
  <si>
    <t>FDMA140AV1A / RZAV140CV1</t>
  </si>
  <si>
    <t>FDMA100AV1A / RZAV100CY1</t>
  </si>
  <si>
    <t>FDMA125AV1A / RZAV125CY1</t>
  </si>
  <si>
    <t>FDMA140AV1A / RZAV140CY1</t>
  </si>
  <si>
    <t>DRXF25TVMA / DTXF25TVMA</t>
  </si>
  <si>
    <t>DAIKIN</t>
  </si>
  <si>
    <t>DRXF35TVMA / DTXF35TVMA</t>
  </si>
  <si>
    <t>DRXF50TVMA / DTXF50TVMA</t>
  </si>
  <si>
    <t>DRXF60TVMA / DTXF60TVMA</t>
  </si>
  <si>
    <t>DRXF71TVMA / DTXF71TVMA</t>
  </si>
  <si>
    <t>FVXG25K2V1B / RXG25L2V1B</t>
  </si>
  <si>
    <t>FVXG35K2V1B / RXG35L2V1B</t>
  </si>
  <si>
    <t>FVXG50K2V1B / RXG50L2V1B</t>
  </si>
  <si>
    <t>FTXJ25PVMAW / RXJ25PVMA</t>
  </si>
  <si>
    <t>FTXJ25PVMAS / RXJ25PVMA</t>
  </si>
  <si>
    <t>FTXJ25P**** / RXJ25P***</t>
  </si>
  <si>
    <t>FTXJ35PVMAW / RxJ35PVMA</t>
  </si>
  <si>
    <t>FTXJ35PVMAS / RxJ35PVMA</t>
  </si>
  <si>
    <t>FTXJ35P**** / RXJ35P***</t>
  </si>
  <si>
    <t>FTXJ50PVMAW /  RXJ50PVMA</t>
  </si>
  <si>
    <t>FTXJ50PVMAS /  RXJ50PVMA</t>
  </si>
  <si>
    <t>FTXJ50P**** / RXJ50P***</t>
  </si>
  <si>
    <t>FDYQN160LAV1 / RZQ160LV1</t>
  </si>
  <si>
    <t>FDYQ60DV1 / RZQS60AV1</t>
  </si>
  <si>
    <t>RZAV60CV1 / FCA60CAVMA</t>
  </si>
  <si>
    <t>RZAV71CV1 / FCA71CAVMA</t>
  </si>
  <si>
    <t>RZAV85CV1 / FCA85CVMA</t>
  </si>
  <si>
    <t>RZAV100CV1 / FCA100CVMA</t>
  </si>
  <si>
    <t>RZAV125CV1 / FCA125CVMA</t>
  </si>
  <si>
    <t>RZAV140CV1 / FCA140CVMA</t>
  </si>
  <si>
    <t>RZAV71CY1 / FCA71CAVMA</t>
  </si>
  <si>
    <t>RZAV85CY1 / FCA85CVMA</t>
  </si>
  <si>
    <t>RZAV100CY1 / FCA100CVMA</t>
  </si>
  <si>
    <t>RZAV125CY1 / FCA125CVMA</t>
  </si>
  <si>
    <t>RZAV140CY1 / FCA140CVMA</t>
  </si>
  <si>
    <t>RZAC71CV1 / FCA71CAVMA</t>
  </si>
  <si>
    <t>RZAC85CV1 / FCA85CVMA</t>
  </si>
  <si>
    <t>RZAC100CV1 / FCA100CVMA</t>
  </si>
  <si>
    <t>RZAC125CV1 / FCA125CVMA</t>
  </si>
  <si>
    <t>RZAC140CV1 / FCA140CVMA</t>
  </si>
  <si>
    <t>RZAC85CY1 / FCA85CVMA</t>
  </si>
  <si>
    <t>RZAC100CY1 / FCA100CVMA</t>
  </si>
  <si>
    <t>RZAC125CY1 / FCA125CVMA</t>
  </si>
  <si>
    <t>RZAC140CY1 / FCA140CVMA</t>
  </si>
  <si>
    <t>RZAV50CV1 / FBA50BAVMA</t>
  </si>
  <si>
    <t>RZAV60CV1 / FBA60BAVMA</t>
  </si>
  <si>
    <t>RZAV71CV1 / FBA71BVMA</t>
  </si>
  <si>
    <t>RZAV85CV1 / FBA85BVMA</t>
  </si>
  <si>
    <t>RZAV100CV1 / FBA100BVMA</t>
  </si>
  <si>
    <t>RZAV125CV1 / FBA125BVMA</t>
  </si>
  <si>
    <t>RZAV140CV1 / FBA140BVMA</t>
  </si>
  <si>
    <t>RZAV71CY1 / FBA71BVMA</t>
  </si>
  <si>
    <t>RZAV85CY1 / FBA85BVMA</t>
  </si>
  <si>
    <t>RZAV100CY1 / FBA100BVMA</t>
  </si>
  <si>
    <t>RZAV125CY1 / FBA125BVMA</t>
  </si>
  <si>
    <t>RZAV140CY1 / FBA140BVMA</t>
  </si>
  <si>
    <t>RZAC71CV1 / FBA71BVMA</t>
  </si>
  <si>
    <t>RZAC85CV1 / FBA85BVMA</t>
  </si>
  <si>
    <t>RZAC85CY1 / FBA85BVMA</t>
  </si>
  <si>
    <t>RZAV50CV1 / FHA50BAVMA</t>
  </si>
  <si>
    <t>RZAV60CV1 / FHA60BAVMA</t>
  </si>
  <si>
    <t>RZAV71CV1 / FHA71BVMA</t>
  </si>
  <si>
    <t>RZAV85CV1 / FHA85BVMA</t>
  </si>
  <si>
    <t>RZAV100CV1 / FHA100BVMA</t>
  </si>
  <si>
    <t>RZAV125CV1 / FHA125BVMA</t>
  </si>
  <si>
    <t>RZAV71CY1 / FHA71BVMA</t>
  </si>
  <si>
    <t>RZAV85CY1 / FHA85BVMA</t>
  </si>
  <si>
    <t>RZAV100CY1 / FHA100BVMA</t>
  </si>
  <si>
    <t>RZAV125CY1 / FHA125BVMA</t>
  </si>
  <si>
    <t>RZAV140CY1 / FHA140BVMA</t>
  </si>
  <si>
    <t>RXC50AV1A / FTXC50AV1A</t>
  </si>
  <si>
    <t>RXC60AV1A / FTXC60AV1A</t>
  </si>
  <si>
    <t>RXC71AV1A / FTXC71AV1A</t>
  </si>
  <si>
    <t>RXC85AV1A / FTXC85AV1A</t>
  </si>
  <si>
    <t>RXC100AV1A / FTXC100AV1A</t>
  </si>
  <si>
    <t>RZAV50CV1 / FAA50BAVMA</t>
  </si>
  <si>
    <t>RZAV60CV1 / FAA60BAVMA</t>
  </si>
  <si>
    <t>RZAV71CV1 / FAA71BVMA</t>
  </si>
  <si>
    <t>RZAV85CV1 / FAA85BVMA</t>
  </si>
  <si>
    <t>RZAV100CV1 / FAA100BVMA</t>
  </si>
  <si>
    <t>RZAV71CY1 / FAA71BVMA</t>
  </si>
  <si>
    <t>RZAV85CY1 / FAA85BVMA</t>
  </si>
  <si>
    <t>RZAV100CY1 / FAA100BVMA</t>
  </si>
  <si>
    <t>FVXM25A2V1B / RXM25R5V1B</t>
  </si>
  <si>
    <t>FVXM35A2V1B / RXM35R5V1B</t>
  </si>
  <si>
    <t>FVXM50A2V1B / RXM50R2V1B</t>
  </si>
  <si>
    <t>RZAV140CV1 / FHA140BVMA</t>
  </si>
  <si>
    <t>RZAV50CV1 / FCA50CAVMA</t>
  </si>
  <si>
    <t>RXM20UVMZ / FTXM20UVMZ</t>
  </si>
  <si>
    <t>RXM85PAVMA / FTXM85PAVMA</t>
  </si>
  <si>
    <t>RXM95PAVMA / FTXM95PAVMA</t>
  </si>
  <si>
    <t>RXV85LVMA / FTXV85LVMA</t>
  </si>
  <si>
    <t>RXV95LVMA / FTXV95LVMA</t>
  </si>
  <si>
    <t>RXM25UVMZ / FTXM25UVMZ</t>
  </si>
  <si>
    <t>RXM35UVMZ / FTXM35UVMZ</t>
  </si>
  <si>
    <t>RXM46UVMZ / FTXM46UVMZ</t>
  </si>
  <si>
    <t>RXM50UVMZ / FTXM50UVMZ</t>
  </si>
  <si>
    <t>RXM60UVMZ / FTXM60UVMZ</t>
  </si>
  <si>
    <t>RXM71UVMZ / FTXM71UVMZ</t>
  </si>
  <si>
    <t>RXJ25TVMA / FTXJ25TVMA*</t>
  </si>
  <si>
    <t>RXJ25TVMA / FTXJ25TVMAW</t>
  </si>
  <si>
    <t>RXJ25TVMA / FTXJ25TVMAK</t>
  </si>
  <si>
    <t>RXJ35TVMA / FTXJ35TVMAK</t>
  </si>
  <si>
    <t>RXJ35TVMA / FTXJ35TVMA*</t>
  </si>
  <si>
    <t>RXJ35TVMA / FTXJ35TVMAW</t>
  </si>
  <si>
    <t>RXJ50TVMA / FTXJ50TVMA*</t>
  </si>
  <si>
    <t>RXJ50TVMA / FTXJ50TVMAW</t>
  </si>
  <si>
    <t>RXJ50TVMA / FTXJ50TVMAK</t>
  </si>
  <si>
    <t>RXJ60TVMA / FTXJ60TVMA*</t>
  </si>
  <si>
    <t>RXJ60TVMA / FTXJ60TVMAW</t>
  </si>
  <si>
    <t>RXJ60TVMA / FTXJ60TVMAK</t>
  </si>
  <si>
    <t>RXV20WVMA / FTXV20WVMA</t>
  </si>
  <si>
    <t>RXV35WVMA / FTXV35WVMA</t>
  </si>
  <si>
    <t>RXV46WVMA / FTXV46WVMA</t>
  </si>
  <si>
    <t>RXV50WVMA / FTXV50WVMA</t>
  </si>
  <si>
    <t>RXV60WVMA / FTXV60WVMA</t>
  </si>
  <si>
    <t>RXV71WVMA / FTXV71WVMA</t>
  </si>
  <si>
    <t>RXM20WVMA / FTXM20WVMA</t>
  </si>
  <si>
    <t>RXM25WVMA / FTXM25WVMA</t>
  </si>
  <si>
    <t>RXM35WVMA / FTXM35WVMA</t>
  </si>
  <si>
    <t>RXM46WVMA / FTXM46WVMA</t>
  </si>
  <si>
    <t>RXM50WVMA / FTXM50WVMA</t>
  </si>
  <si>
    <t>RXM60WVMA / FTXM60WVMA</t>
  </si>
  <si>
    <t>RXM71WVMA / FTXM71WVMA</t>
  </si>
  <si>
    <t>RZAV100FV1 / FBA100BVMA</t>
  </si>
  <si>
    <t>RZAV100FY1 / FBA100BVMA</t>
  </si>
  <si>
    <t>RZAV125FV1 / FBA125BVMA</t>
  </si>
  <si>
    <t>RZAV125FY1 / FBA125BVMA</t>
  </si>
  <si>
    <t>RZAV140FV1 / FBA140BVMA</t>
  </si>
  <si>
    <t>RZAV140FY1 / FBA140BVMA</t>
  </si>
  <si>
    <t>RZAV100FV1 / FCA100CVMA</t>
  </si>
  <si>
    <t>RZAV100FY1 / FCA100CVMA</t>
  </si>
  <si>
    <t>RZAV125FV1 / FCA125CVMA</t>
  </si>
  <si>
    <t>RZAV125FY1 / FCA125CVMA</t>
  </si>
  <si>
    <t>RZAC140FV1 / FCA140CVMA</t>
  </si>
  <si>
    <t>RZAC140FY1 / FCA140CVMA</t>
  </si>
  <si>
    <t>RZAV140FV1 / FCA140CVMA</t>
  </si>
  <si>
    <t>RZAV140FY1 / FCA140CVMA</t>
  </si>
  <si>
    <t>RZAV100FV1 / FHA100BVMA</t>
  </si>
  <si>
    <t>RZAV100FY1 / FHA100BVMA</t>
  </si>
  <si>
    <t>RZAV125FV1 / FHA125BVMA</t>
  </si>
  <si>
    <t>RZAV125FY1 / FHA125BVMA</t>
  </si>
  <si>
    <t>RZAV140FV1 / FHA140BVMA</t>
  </si>
  <si>
    <t>RZAV140FY1 / FHA140BVMA</t>
  </si>
  <si>
    <t>RXS25RV1A / FVXS25RV1A</t>
  </si>
  <si>
    <t>RXS35RV1A / FVXS35RV1A</t>
  </si>
  <si>
    <t>RXS45RV1A / FVXS45RV1A</t>
  </si>
  <si>
    <t>RXS50RV1A / FVXS50RV1A</t>
  </si>
  <si>
    <t>RXS60LAVMA / FVXS60LVMA</t>
  </si>
  <si>
    <t>RXS71LAVMA / FVXS71LVMA</t>
  </si>
  <si>
    <t>RZAV100FV1 / FDMA100AV1A</t>
  </si>
  <si>
    <t>RZAV100FY1 / FDMA100AV1A</t>
  </si>
  <si>
    <t>RZAV125FV1 / FDMA125AV1A</t>
  </si>
  <si>
    <t>RZAV125FY1 / FDMA125AV1A</t>
  </si>
  <si>
    <t>RZAV140FV1 / FDMA140AV1A</t>
  </si>
  <si>
    <t>RZAV140FY1 / FDMA140AV1A</t>
  </si>
  <si>
    <t>RZAC25GV1 / FDYBA25AV1</t>
  </si>
  <si>
    <t>RZAC35GV1 / FDYBA35AV1</t>
  </si>
  <si>
    <t>RZAC50GV1 / FDYBA50AV1</t>
  </si>
  <si>
    <t>RZAC60GV1 / FDYBA60AV1</t>
  </si>
  <si>
    <t>RZAC71GV1 / FDYBA71AV1</t>
  </si>
  <si>
    <t>RXC50A1V1A / FTXC50AV1A</t>
  </si>
  <si>
    <t>RXC60A1V1A / FTXC60AV1A</t>
  </si>
  <si>
    <t>RXC71A2V1A / FTXC71AV1A</t>
  </si>
  <si>
    <t>RXC85A2V1A / FTXC85AV1A</t>
  </si>
  <si>
    <t>RXC100A2V1A / FTXC100AV1A</t>
  </si>
  <si>
    <t>RZAV71C2Y1 / FAA71BVMA</t>
  </si>
  <si>
    <t>RZAV85C2Y1 / FAA85BVMA</t>
  </si>
  <si>
    <t>RZAV100C2Y1 / FAA100BVMA</t>
  </si>
  <si>
    <t>RXM20W1VMA / FTXM20W1VMA</t>
  </si>
  <si>
    <t>RXM25W1VMA / FTXM25W1VMA</t>
  </si>
  <si>
    <t>RXM35W1VMA / FTXM35W1VMA</t>
  </si>
  <si>
    <t>RXM46W1VMA / FTXM46W1VMA</t>
  </si>
  <si>
    <t>RXM50W1VMA / FTXM50W1VMA</t>
  </si>
  <si>
    <t>RXM60W1VMA / FTXM60W1VMA</t>
  </si>
  <si>
    <t>RXM71W1VMA / FTXM71W1VMA</t>
  </si>
  <si>
    <t>RZAV50C1V1 / FCA50CAVMA</t>
  </si>
  <si>
    <t>RZAV60C1V1 / FCA60CAVMA</t>
  </si>
  <si>
    <t>RZAV71C2V1 / FCA71CAVMA</t>
  </si>
  <si>
    <t>RZAV85C2V1 / FCA85CVMA</t>
  </si>
  <si>
    <t>RZAV100F2V1 / FCA100CVMA</t>
  </si>
  <si>
    <t>RZAV125F2V1 / FCA125CVMA</t>
  </si>
  <si>
    <t>RZAV140F2V1 / FCA140CVMA</t>
  </si>
  <si>
    <t>RZAV71C2Y1 / FCA71CAVMA</t>
  </si>
  <si>
    <t>RZAV85C2Y1 / FCA85CVMA</t>
  </si>
  <si>
    <t>RZAV100F2Y1 / FCA100CVMA</t>
  </si>
  <si>
    <t>RZAV125F2Y1 / FCA125CVMA</t>
  </si>
  <si>
    <t>RZAV140F2Y1 / FCA140CVMA</t>
  </si>
  <si>
    <t>RZAC71C1V1 / FCA71CAVMA</t>
  </si>
  <si>
    <t>RZAC85C2V1 / FCA85CVMA</t>
  </si>
  <si>
    <t>RZAC100C2V1 / FCA100CVMA</t>
  </si>
  <si>
    <t>RZAC125C2V1 / FCA125CVMA</t>
  </si>
  <si>
    <t>RZAC140F2V1 / FCA140CVMA</t>
  </si>
  <si>
    <t>RZAC85C2Y1 / FCA85CVMA</t>
  </si>
  <si>
    <t>RZAC100C2Y1 / FCA100CVMA</t>
  </si>
  <si>
    <t>RZAC125C2Y1 / FCA125CVMA</t>
  </si>
  <si>
    <t>RZAC140F2Y1 / FCA140CVMA</t>
  </si>
  <si>
    <t>RXV20W1VMA / FTXV20W1VMA</t>
  </si>
  <si>
    <t>RXV25W1VMA / FTXV25W1VMA</t>
  </si>
  <si>
    <t>RXV35W1VMA / FTXV35W1VMA</t>
  </si>
  <si>
    <t>RXV46W1VMA / FTXV46W1VMA</t>
  </si>
  <si>
    <t>RXV50W1VMA / FTXV50W1VMA</t>
  </si>
  <si>
    <t>RXV60W1VMA / FTXV60W1VMA</t>
  </si>
  <si>
    <t>RXV71W1VMA / FTXV71W1VMA</t>
  </si>
  <si>
    <t>RZAV50C1V1 / FHA50BAVMA</t>
  </si>
  <si>
    <t>RZAV60C1V1 / FHA60BAVMA</t>
  </si>
  <si>
    <t>RZAV71C2V1 / FHA71BVMA</t>
  </si>
  <si>
    <t>RZAV85C2V1 / FHA85BVMA</t>
  </si>
  <si>
    <t>RZAV100F2V1 / FHA100BVMA</t>
  </si>
  <si>
    <t>RZAV125F2V1 / FHA125BVMA</t>
  </si>
  <si>
    <t>RZAV140F2V1 / FHA140BVMA</t>
  </si>
  <si>
    <t>RZAV71C2Y1 / FHA71BVMA</t>
  </si>
  <si>
    <t>RZAV85C2Y1 / FHA85BVMA</t>
  </si>
  <si>
    <t>RZAV100F2Y1 / FHA100BVMA</t>
  </si>
  <si>
    <t>RZAV125F2Y1 / FHA125BVMA</t>
  </si>
  <si>
    <t>RZAV140F2Y1 / FHA140BVMA</t>
  </si>
  <si>
    <t>RXF20W1VMA / FTXF20W1VMA</t>
  </si>
  <si>
    <t>RXF25W1VMA / FTXF25W1VMA</t>
  </si>
  <si>
    <t>RXF35W1VMA / FTXF35W1VMA</t>
  </si>
  <si>
    <t>RXF46W1VMA / FTXF46W1VMA</t>
  </si>
  <si>
    <t>RXF50W1VMA / FTXF50W1VMA</t>
  </si>
  <si>
    <t>RXF60W1VMA / FTXF60W1VMA</t>
  </si>
  <si>
    <t>RXF71W1VMA / FTXF71W1VMA</t>
  </si>
  <si>
    <t>RZAV50C1V1 / FBA50BAVMA</t>
  </si>
  <si>
    <t>RZAV60C1V1 / FBA60BAVMA</t>
  </si>
  <si>
    <t>RZAV71C2V1 / FBA71BVMA</t>
  </si>
  <si>
    <t>RZAV85C2V1 / FBA85BVMA</t>
  </si>
  <si>
    <t>RZAV100F2V1 / FBA100BVMA</t>
  </si>
  <si>
    <t>RZAV125F2V1 / FBA125BVMA</t>
  </si>
  <si>
    <t>RZAV140F2V1 / FBA140BVMA</t>
  </si>
  <si>
    <t>RZAV71C2Y1 / FBA71BVMA</t>
  </si>
  <si>
    <t>RZAV85C2Y1 / FBA85BVMA</t>
  </si>
  <si>
    <t>RZAV100F2Y1 / FBA100BVMA</t>
  </si>
  <si>
    <t>RZAV125F2Y1 / FBA125BVMA</t>
  </si>
  <si>
    <t>RZAV140F2Y1 / FBA140BVMA</t>
  </si>
  <si>
    <t>RZAC71C1V1 / FBA71BVMA</t>
  </si>
  <si>
    <t>RZAC85C2V1 / FBA85BVMA</t>
  </si>
  <si>
    <t>RZAC85C2Y1 / FBA85BVMA</t>
  </si>
  <si>
    <t>RXM85P2VMA / FTXM85P2VMA</t>
  </si>
  <si>
    <t>RXM95P2VMA / FTXM95P2VMA</t>
  </si>
  <si>
    <t>RXV85L2VMA / FTXV85L2VMA</t>
  </si>
  <si>
    <t>RXV95L2VMA / FTXV95L2VMA</t>
  </si>
  <si>
    <t>UAYN350AFY1A</t>
  </si>
  <si>
    <t>RZQ180M2Y1 / FDYQN180LCV1</t>
  </si>
  <si>
    <t>RZAS71C2V1 / FDYA71AV1</t>
  </si>
  <si>
    <t>RZAS85C2V1 / FDYA85AV1</t>
  </si>
  <si>
    <t>RZAS100C2V1 / FDYA100AV1</t>
  </si>
  <si>
    <t>RZAS125C2V1 / FDYA125AV1</t>
  </si>
  <si>
    <t>RZAS140C2V1 / FDYA140AV1</t>
  </si>
  <si>
    <t>RZAS160C2V1 / FDYA160AV1</t>
  </si>
  <si>
    <t>RZA50C1V1 / FDYAN50AV1</t>
  </si>
  <si>
    <t>RZA60C1V1 / FDYAN60AV1</t>
  </si>
  <si>
    <t>RZA71C1V1 / FDYAN71AV1</t>
  </si>
  <si>
    <t>RZA85C2V1 / FDYAN85AV1</t>
  </si>
  <si>
    <t>RZA100C2V1 / FDYAN100AV1</t>
  </si>
  <si>
    <t>RZA125C2V1 / FDYAN125AV1</t>
  </si>
  <si>
    <t>RZA140C2V1 / FDYAN140AV1</t>
  </si>
  <si>
    <t>RZA160C2V1 / FDYAN160AV1</t>
  </si>
  <si>
    <t>RZA71C2Y1 / FDYAN71AV1</t>
  </si>
  <si>
    <t>RZA85C2Y1 / FDYAN85AV1</t>
  </si>
  <si>
    <t>RZA100C2Y1 / FDYAN100AV1</t>
  </si>
  <si>
    <t>RZA125C2Y1 / FDYAN125AV1</t>
  </si>
  <si>
    <t>RZA140C2Y1 / FDYAN140AV1</t>
  </si>
  <si>
    <t>RZA160C2Y1 / FDYAN160AV1</t>
  </si>
  <si>
    <t>UAYN400AFY1A</t>
  </si>
  <si>
    <t>UAYN470AFY1A</t>
  </si>
  <si>
    <t>UAYN530AFY1A</t>
  </si>
  <si>
    <t>RXV20W2VMA / FTXV20W2VMA</t>
  </si>
  <si>
    <t>RXV25W2VMA / FTXV25W2VMA</t>
  </si>
  <si>
    <t>RXV35W2VMA / FTXV35W2VMA</t>
  </si>
  <si>
    <t>RXV46W2VMA / FTXV46W2VMA</t>
  </si>
  <si>
    <t>RXV50W2VMA / FTXV50W2VMA</t>
  </si>
  <si>
    <t>RXV60W2VMA / FTXV60W2VMA</t>
  </si>
  <si>
    <t>RXV71W2VMA / FTXV71W2VMA</t>
  </si>
  <si>
    <t>RXM20W2VMA / FTXM20W2VMA</t>
  </si>
  <si>
    <t>RXM25W2VMA / FTXM25W2VMA</t>
  </si>
  <si>
    <t>RXM35W2VMA / FTXM35W2VMA</t>
  </si>
  <si>
    <t>RXM46W2VMA / FTXM46W2VMA</t>
  </si>
  <si>
    <t>RXM50W2VMA / FTXM50W2VMA</t>
  </si>
  <si>
    <t>RXM60W2VMA / FTXM60W2VMA</t>
  </si>
  <si>
    <t>RXM71W2VMA / FTXM71W2VMA</t>
  </si>
  <si>
    <t>RXF20W2VMA / FTXF20W2VMA</t>
  </si>
  <si>
    <t>RXF25W2VMA / FTXF25W2VMA</t>
  </si>
  <si>
    <t>RXF35W2VMA / FTXF35W2VMA</t>
  </si>
  <si>
    <t>RXF46W2VMA / FTXF46W2VMA</t>
  </si>
  <si>
    <t>RXF50W2VMA / FTXF50W2VMA</t>
  </si>
  <si>
    <t>RXF60W2VMA / FTXF60W2VMA</t>
  </si>
  <si>
    <t>RXF71W2VMA / FTXF71W2VMA</t>
  </si>
  <si>
    <t>RXM85WVMA / FTXM85WVMA</t>
  </si>
  <si>
    <t>RXM95WVMA / FTXM95WVMA</t>
  </si>
  <si>
    <t>RXV80WVMA / FTXV80WVMA</t>
  </si>
  <si>
    <t>RXV90WVMA / FTXV90WVMA</t>
  </si>
  <si>
    <t>RZA71CV1 / FDYUAN71AV1</t>
  </si>
  <si>
    <t>RZA125CV1 / FDYUAN125AV1</t>
  </si>
  <si>
    <t>RZA160CV1 / FDYUAN160AV1</t>
  </si>
  <si>
    <t>RZA71CY1 / FDYUAN71AV1</t>
  </si>
  <si>
    <t>RZA125CY1 / FDYUAN125AV1</t>
  </si>
  <si>
    <t>RZA160CY1 / FDYUAN160AV1</t>
  </si>
  <si>
    <t>RZA50C2V1 / FDYAN50AV1</t>
  </si>
  <si>
    <t>RZA60C2V1 / FDYAN60AV1</t>
  </si>
  <si>
    <t>RZA71C2V1 / FDYAN71AV1</t>
  </si>
  <si>
    <t>RXC50A2V1A / FTXC50AV1A</t>
  </si>
  <si>
    <t>RXC60A2V1A / FTXC60AV1A</t>
  </si>
  <si>
    <t>RZAV50C2V1 / FCA50CAVMA</t>
  </si>
  <si>
    <t>RZAV60C2V1 / FCA60CAVMA</t>
  </si>
  <si>
    <t>RZAC71C2V1 / FCA71CAVMA</t>
  </si>
  <si>
    <t>RZAC25G2V1 / FDYBA25AV1</t>
  </si>
  <si>
    <t>RZAC35G2V1 / FDYBA35AV1</t>
  </si>
  <si>
    <t>RZAC50G2V1 / FDYBA50AV1</t>
  </si>
  <si>
    <t>RZAC60G2V1 / FDYBA60AV1</t>
  </si>
  <si>
    <t>RZAC71G2V1 / FDYBA71AV1</t>
  </si>
  <si>
    <t>RZAV50C2V1 / FHA50CAVMA</t>
  </si>
  <si>
    <t>RZAV60C2V1 / FHA60CAVMA</t>
  </si>
  <si>
    <t>RZAV50C2V1 / FBA50BAVMA</t>
  </si>
  <si>
    <t>RZAV60C2V1 / FBA60BAVMA</t>
  </si>
  <si>
    <t>RZAC71C2V1 / FBA71BVMA</t>
  </si>
  <si>
    <t>RZAC71E2VM / FFA71BVM</t>
  </si>
  <si>
    <t>RZAC25E2VM / FFA25BVM</t>
  </si>
  <si>
    <t>RZAC35E2VM / FFA35BVM</t>
  </si>
  <si>
    <t>RZAC50E2VM / FFA50BVM</t>
  </si>
  <si>
    <t>RZAC60E2VM / FFA60BVM</t>
  </si>
  <si>
    <t>DRXF25T2VMA / DTXF25T2VMA</t>
  </si>
  <si>
    <t>DRXF35T2VMA / DTXF35T2VMA</t>
  </si>
  <si>
    <t>DRXF50T2VMA / DTXF50T2VMA</t>
  </si>
  <si>
    <t>DRXF60T2VMA / DTXF60T2VMA</t>
  </si>
  <si>
    <t>DRXF71T2VMA / DTXF71T2VMA</t>
  </si>
  <si>
    <t>RXJ25T2VMA / FTXJ25T2VMAK</t>
  </si>
  <si>
    <t>RXJ25T2VMA / FTXJ25T2VMAW</t>
  </si>
  <si>
    <t>RXJ25T2VMA / FTXJ25T2VMA*</t>
  </si>
  <si>
    <t>RXJ35T2VMA / FTXJ35T2VMAW</t>
  </si>
  <si>
    <t>RXJ35T2VMA / FTXJ35T2VMAK</t>
  </si>
  <si>
    <t>RXJ35T2VMA / FTXJ35T2VMA*</t>
  </si>
  <si>
    <t>RXJ50T2VMA / FTXJ50T2VMAK</t>
  </si>
  <si>
    <t>RXJ50T2VMA / FTXJ50T2VMAW</t>
  </si>
  <si>
    <t>RXJ50T2VMA / FTXJ50T2VMA*</t>
  </si>
  <si>
    <t>RXJ60T2VMA / FTXJ60T2VMAK</t>
  </si>
  <si>
    <t>RXJ60T2VMA / FTXJ60T2VMAW</t>
  </si>
  <si>
    <t>RXJ60T2VMA / FTXJ60T2VMA*</t>
  </si>
  <si>
    <t>RXS25R2V1A / FVXS25R2V1A</t>
  </si>
  <si>
    <t>RXS35R2V1A / FVXS35R2V1A</t>
  </si>
  <si>
    <t>RXS45R2V1A / FVXS45R2V1A</t>
  </si>
  <si>
    <t>RXS50R2V1A / FVXS50R2V1A</t>
  </si>
  <si>
    <t>RXS60L2VMA / FVXS60L2VMA</t>
  </si>
  <si>
    <t>RXS71L2VMA / FVXS71L2VMA</t>
  </si>
  <si>
    <t>RZAV50C2V1 / FCTA50AVMA</t>
  </si>
  <si>
    <t>RZAV60C2V1 / FCTA60AVMA</t>
  </si>
  <si>
    <t>RZAV71C2V1 / FCTA71AVMA</t>
  </si>
  <si>
    <t>RZAV71C2Y1 / FCTA71AVMA</t>
  </si>
  <si>
    <t>RZAV85C2V1 / FCTA85AVMA</t>
  </si>
  <si>
    <t>RZAV85C2Y1 / FCTA85AVMA</t>
  </si>
  <si>
    <t>RZAV100F2V1 / FCTA100AVMA</t>
  </si>
  <si>
    <t>RZAV100F2Y1 / FCTA100AVMA</t>
  </si>
  <si>
    <t>RZAV125F2V1 / FCTA125AVMA</t>
  </si>
  <si>
    <t>RZAV125F2Y1 / FCTA125AVMA</t>
  </si>
  <si>
    <t>RZAV140F2V1 / FCTA140AVMA</t>
  </si>
  <si>
    <t>RZAV140F2Y1 / FCTA140AVMA</t>
  </si>
  <si>
    <t>RZAV71C2V1 / FHA71CVMA</t>
  </si>
  <si>
    <t>RZAV71C2Y1 / FHA71CVMA</t>
  </si>
  <si>
    <t>RZAV85C2V1 / FHA85CVMA</t>
  </si>
  <si>
    <t>RZAV85C2Y1 / FHA85CVMA</t>
  </si>
  <si>
    <t>RZAV100F2V1 / FHA100CVMA</t>
  </si>
  <si>
    <t>RZAV100F2Y1 / FHA100CVMA</t>
  </si>
  <si>
    <t>RZAV125F2V1 / FHA125CVMA</t>
  </si>
  <si>
    <t>RZAV125F2Y1 / FHA125CVMA</t>
  </si>
  <si>
    <t>RZAV140F2V1 / FHA140CVMA</t>
  </si>
  <si>
    <t>RZAV140F2Y1 / FHA140CVMA</t>
  </si>
  <si>
    <t>RZA71C2V1 / FDYUAN71AV1</t>
  </si>
  <si>
    <t>RZA71C2Y1 / FDYUAN71AV1</t>
  </si>
  <si>
    <t>RZA125C2V1 / FDYUAN125AV1</t>
  </si>
  <si>
    <t>RZA125C2Y1 / FDYUAN125AV1</t>
  </si>
  <si>
    <t>RZA160C2V1 / FDYUAN160AV1</t>
  </si>
  <si>
    <t>RZA160C2Y1 / FDYUAN160AV1</t>
  </si>
  <si>
    <t>RZAS71C2V1 / FDYUA71AV1</t>
  </si>
  <si>
    <t>RZAS125C2V1 / FDYUA125AV1</t>
  </si>
  <si>
    <t>RZAS160C2V1 / FDYUA160AV1</t>
  </si>
  <si>
    <t>RXM50R5V1B / FVXM50A3V1B9</t>
  </si>
  <si>
    <t>RXM50R2V1B</t>
  </si>
  <si>
    <t>RXM50R5V1B / FVXM50A2V1B</t>
  </si>
  <si>
    <t>RXM50R5V1B / FVXM50A3V1B</t>
  </si>
  <si>
    <t>RXM50R2V1B / FVXM50A3V1B</t>
  </si>
  <si>
    <t>RXM50R2V1B / FVXM50A2V1B</t>
  </si>
  <si>
    <t>RXM35R5V1B9 / FVXM35A3V1B9</t>
  </si>
  <si>
    <t>RXM35R5V1B9 / FVXM35A3V1B</t>
  </si>
  <si>
    <t>RXM35R5V1B / FVXM35A2V1B</t>
  </si>
  <si>
    <t>RXM35R5V1B9 / FVXM35A2V1B</t>
  </si>
  <si>
    <t>RXM35R5V1B</t>
  </si>
  <si>
    <t>RXM25R5V1B9 / FVXM25A3V1B</t>
  </si>
  <si>
    <t>RXM25R5V1B / FVXM25A2V1B</t>
  </si>
  <si>
    <t>RXM25R5V1B9 / FVXM25A2V1B</t>
  </si>
  <si>
    <t>RXM25R5V1B</t>
  </si>
  <si>
    <t>RXM25R5V1B9 / FVXM25A3V1B9</t>
  </si>
  <si>
    <t>RXM25R5V1B / FVXM25A3V1B9</t>
  </si>
  <si>
    <t>RZYQ7T2Y1 / FDYQ180LCV1</t>
  </si>
  <si>
    <t>RZYQ7TA2Y1 / FDYQ180LCV1</t>
  </si>
  <si>
    <t>RZAV50CV1 / FCTA50AVMA</t>
  </si>
  <si>
    <t>RZAV60CV1 / FCTA60AVMA</t>
  </si>
  <si>
    <t>RZAV71CV1 / FCTA71AVMA</t>
  </si>
  <si>
    <t>RZAV71CY1 / FCTA71AVMA</t>
  </si>
  <si>
    <t>RZAV85CV1 / FCTA85AVMA</t>
  </si>
  <si>
    <t>RZAV85CY1 / FCTA85AVMA</t>
  </si>
  <si>
    <t>RZAV100FV1 / FCTA100AVMA</t>
  </si>
  <si>
    <t>RZAV100FY1 / FCTA100AVMA</t>
  </si>
  <si>
    <t>RZAV125FV1 / FCTA125AVMA</t>
  </si>
  <si>
    <t>RZAV125FY1 / FCTA125AVMA</t>
  </si>
  <si>
    <t>RZAV140FV1 / FCTA140AVMA</t>
  </si>
  <si>
    <t>RZAV140FY1 / FCTA140AVMA</t>
  </si>
  <si>
    <t>RZYQ7TY1 / FDYQ180LCV1</t>
  </si>
  <si>
    <t>RZYQ8TY1 / FDYQ200LCV1</t>
  </si>
  <si>
    <t>RZYQ10TY1 / FDYQ250LCV1</t>
  </si>
  <si>
    <t>RXM20YVMA / FTXM20YVMA</t>
  </si>
  <si>
    <t>RXM25YVMA / FTXM25YVMA</t>
  </si>
  <si>
    <t>RXM35YVMA / FTXM35YVMA</t>
  </si>
  <si>
    <t>RZAS71C2V1 / FDYUA71AV19</t>
  </si>
  <si>
    <t>RZAS85C2V1 / FDYA85AV19</t>
  </si>
  <si>
    <t>RZAS125C2V1 / FDYUA125AV19</t>
  </si>
  <si>
    <t>RZAS160C2V1 / FDYUA160AV19</t>
  </si>
  <si>
    <t>RZAS140C2V1 / FDYA140AV19</t>
  </si>
  <si>
    <t>UAYQ60CY1A</t>
  </si>
  <si>
    <t>RZAS100C2V1 / FDYA100AV19</t>
  </si>
  <si>
    <t>UAYQ90CY1A</t>
  </si>
  <si>
    <t>UAYN300AFY1A</t>
  </si>
  <si>
    <t>UAYQ150CY1A</t>
  </si>
  <si>
    <t>UAYQ180CY1A</t>
  </si>
  <si>
    <t>UAYQ210CY1A</t>
  </si>
  <si>
    <t>RZAS71C2V1 / FDYA71AV19</t>
  </si>
  <si>
    <t>RZAS125C2V1 / FDYA125AV19</t>
  </si>
  <si>
    <t>RZAS160C2V1 / FDYA160AV19</t>
  </si>
  <si>
    <t>RZAS125CV1 / FDYA125AV1</t>
  </si>
  <si>
    <t>RZAS125CV1 / FDYA125AV19</t>
  </si>
  <si>
    <t>UAYQ120CY1A</t>
  </si>
  <si>
    <t>RXM45YFVMA / FVXM45YVMA</t>
  </si>
  <si>
    <t>RZAS71CV1 / FDYUA71AV1</t>
  </si>
  <si>
    <t>RZAS71CV1 / FDYUA71AV19</t>
  </si>
  <si>
    <t>RZAS160CV1 / FDYUA160AV1</t>
  </si>
  <si>
    <t>RZAS160CV1 / FDYUA160AV19</t>
  </si>
  <si>
    <t>RXM50YFVMA / FVXM50YVMA</t>
  </si>
  <si>
    <t>RXM60YFVMA / FVXM60YVMA</t>
  </si>
  <si>
    <t>RXM71YFVMA / FVXM71YVMA</t>
  </si>
  <si>
    <t>RXM25YFVMA / FVXM25YVMA</t>
  </si>
  <si>
    <t>RXM35YFVMA / FVXM35YVMA</t>
  </si>
  <si>
    <t>RZAS125CV1 / FDYUA125AV1</t>
  </si>
  <si>
    <t>RZAS125CV1 / FDYUA125AV19</t>
  </si>
  <si>
    <t>RWXYQ4AV1/FXSQ100PAVE</t>
  </si>
  <si>
    <t>RWXYQ5AV1/FXSQ125PAVE</t>
  </si>
  <si>
    <t>RWXYQ3AV1/FXSQ80PAVE</t>
  </si>
  <si>
    <t>RZAV50CAV1 / FCA50CAVMA</t>
  </si>
  <si>
    <t>RZAV60CAV1 / FCA60CAVMA</t>
  </si>
  <si>
    <t>RZAV50CAV1 / FBA50BAVMA</t>
  </si>
  <si>
    <t>RZAV60CAV1 / FBA60BAVMA</t>
  </si>
  <si>
    <t>RZAV50CAV1 / FHA50CAVMA</t>
  </si>
  <si>
    <t>RZAV60CAV1 / FHA60CAVMA</t>
  </si>
  <si>
    <t>RXC50AAV1A / FTXC50AV1A</t>
  </si>
  <si>
    <t>RXC60AAV1A / FTXC60AV1A</t>
  </si>
  <si>
    <t>RZA50CAV1 / FDYAN50AV1</t>
  </si>
  <si>
    <t>RZA60CAV1 / FDYAN60AV1</t>
  </si>
  <si>
    <t>RZA71CAV1 / FDYAN71AV1</t>
  </si>
  <si>
    <t>RZAC50GAV1 / FDYBA50AV1</t>
  </si>
  <si>
    <t>RZAC60GAV1 / FDYBA60AV1</t>
  </si>
  <si>
    <t>RZAV50CAV1 / FCTA50AVMA</t>
  </si>
  <si>
    <t>RZAV60CAV1 / FCTA60AVMA</t>
  </si>
  <si>
    <t>RZA71CAV1 / FDYUAN71AV1</t>
  </si>
  <si>
    <t>RZAC71CAV1 / FCA71CAVMA</t>
  </si>
  <si>
    <t>RZAC71CAV1 / FBA71BVMA</t>
  </si>
  <si>
    <t>UAYN180AFY1A</t>
  </si>
  <si>
    <t>RZQ200MY1 / FDYQN200LCV1</t>
  </si>
  <si>
    <t>RZQ250LY1 / FDYQN250LBV1</t>
  </si>
  <si>
    <t>RZYQ8TAY1 / FDYQ200LCV1</t>
  </si>
  <si>
    <t>RZYQ10TAY1 / FDYQ250LCV1</t>
  </si>
  <si>
    <t>RZYQ7TAY1 / FDYQ180LCV1</t>
  </si>
  <si>
    <t>RZQ180MY1 / FDYQN180LCV1</t>
  </si>
  <si>
    <t>RZAC25EVM / FFA25AVM</t>
  </si>
  <si>
    <t>RZAC35EVM / FFA35AVM</t>
  </si>
  <si>
    <t>RZAC50EVM / FFA50AVM</t>
  </si>
  <si>
    <t>RZAC60EVM / FFA60AVM</t>
  </si>
  <si>
    <t>RZAC71EVM / FFA71AVM</t>
  </si>
  <si>
    <t>RZAS180DY1 / FDYA180AV1</t>
  </si>
  <si>
    <t>RZAS200DY1 / FDYA200AV1</t>
  </si>
  <si>
    <t>RZA50CV1 / FDYAN50AV1</t>
  </si>
  <si>
    <t>RZA60CV1 / FDYAN60AV1</t>
  </si>
  <si>
    <t>RZA71CV1 / FDYAN71AV1</t>
  </si>
  <si>
    <t>RZA85CV1 / FDYAN85AV1</t>
  </si>
  <si>
    <t>RZA100CV1 / FDYAN100AV1</t>
  </si>
  <si>
    <t>RZA125CV1 / FDYAN125AV1</t>
  </si>
  <si>
    <t>RZA140CV1 / FDYAN140AV1</t>
  </si>
  <si>
    <t>RZA160CV1 / FDYAN160AV1</t>
  </si>
  <si>
    <t>RXV46UVMA / FTXV46UVMA</t>
  </si>
  <si>
    <t>RZAS71CV1 / FDYA71AV1</t>
  </si>
  <si>
    <t>RZAS71CV1 / FDYA71AV19</t>
  </si>
  <si>
    <t>RZAS85CV1 / FDYA85AV19</t>
  </si>
  <si>
    <t>RZAS85CV1 / FDYA85AV1</t>
  </si>
  <si>
    <t>RZAS100CV1 / FDYA100AV19</t>
  </si>
  <si>
    <t>RZAS100CV1 / FDYA100AV1</t>
  </si>
  <si>
    <t>RZAS140CV1 / FDYA140AV1</t>
  </si>
  <si>
    <t>RZAS140CV1 / FDYA140AV19</t>
  </si>
  <si>
    <t>RZAS160CV1 / FDYA160AV1</t>
  </si>
  <si>
    <t>RZAS160CV1 / FDYA160AV19</t>
  </si>
  <si>
    <t>RZA71CY1 / FDYAN71AV1</t>
  </si>
  <si>
    <t>RZA85CY1 / FDYAN85AV1</t>
  </si>
  <si>
    <t>RZA100CY1 / FDYAN100AV1</t>
  </si>
  <si>
    <t>RZA125CY1 / FDYAN125AV1</t>
  </si>
  <si>
    <t>RZA140CY1 / FDYAN140AV1</t>
  </si>
  <si>
    <t>RZA160CY1 / FDYAN160AV1</t>
  </si>
  <si>
    <t>RXV20UVMA / FTXV20UVMA</t>
  </si>
  <si>
    <t>RXV25UVMA / FTXV25UVMA</t>
  </si>
  <si>
    <t>RXV35UVMA / FTXV35UVMA</t>
  </si>
  <si>
    <t>RXV50UVMA / FTXV50UVMA</t>
  </si>
  <si>
    <t>RXV60UVMA / FTXV60UVMA</t>
  </si>
  <si>
    <t>RXV71UVMA / FTXV71UVMA</t>
  </si>
  <si>
    <t>RXF25WVMA / FTXF25WVMA</t>
  </si>
  <si>
    <t>RXF35WVMA / FTXF35WVMA</t>
  </si>
  <si>
    <t>RXF46WVMA / FTXF46WVMA</t>
  </si>
  <si>
    <t>RXF50WVMA / FTXF50WVMA</t>
  </si>
  <si>
    <t>RXF60WVMA / FTXF60WVMA</t>
  </si>
  <si>
    <t>RXF71WVMA / FTXF71WVMA</t>
  </si>
  <si>
    <t>RXF20WVMA / FTXF20WVMA</t>
  </si>
  <si>
    <t>RXV25WVMA / FTXV25WVMA</t>
  </si>
  <si>
    <t>RZAS180DV1 / FDYA180AV1</t>
  </si>
  <si>
    <t>WAC-09H-WH</t>
  </si>
  <si>
    <t>Devanti</t>
  </si>
  <si>
    <t>GDPAC32RC</t>
  </si>
  <si>
    <t>Dimplex</t>
  </si>
  <si>
    <t>DPRC40-U</t>
  </si>
  <si>
    <t>DCES18B</t>
  </si>
  <si>
    <t>DIMPLEX</t>
  </si>
  <si>
    <t>DPRC35ECO</t>
  </si>
  <si>
    <t>DPRC20ECO-A</t>
  </si>
  <si>
    <t>DPRC26ECO-A</t>
  </si>
  <si>
    <t>DPRC29ECO-B</t>
  </si>
  <si>
    <t>DPRC41ECO-C</t>
  </si>
  <si>
    <t>DCB09</t>
  </si>
  <si>
    <t>DCB14</t>
  </si>
  <si>
    <t>ISR-35P-OUT/ISR-35P-IND</t>
  </si>
  <si>
    <t>Domain</t>
  </si>
  <si>
    <t>ISR-72P-OUT/ISR-72P-IND</t>
  </si>
  <si>
    <t>ISR-52P-OUT/ISR-52P-IND</t>
  </si>
  <si>
    <t>ISR-26P-OUT/ISR-26P-IND</t>
  </si>
  <si>
    <t>WAM-27B</t>
  </si>
  <si>
    <t>WAM-42B</t>
  </si>
  <si>
    <t>ISR-26Q-OUT/ISR-26Q-IND</t>
  </si>
  <si>
    <t>ISR-35Q-OUT/ISR-35Q-IND</t>
  </si>
  <si>
    <t>ISR-53Q-OUT/ISR-53Q-IND</t>
  </si>
  <si>
    <t>ISR-72Q-OUT/ISR-72Q-IND</t>
  </si>
  <si>
    <t>YWD-08HD/FC-3</t>
  </si>
  <si>
    <t>DualVent</t>
  </si>
  <si>
    <t>YWD-08HD/FC-3-W</t>
  </si>
  <si>
    <t>YWD1-08HD/FC-3-W</t>
  </si>
  <si>
    <t>EFKT210</t>
  </si>
  <si>
    <t>EcoFlow</t>
  </si>
  <si>
    <t>EG-SSS-28-ND</t>
  </si>
  <si>
    <t>EcoGenius</t>
  </si>
  <si>
    <t>ACSS76</t>
  </si>
  <si>
    <t>Emerald</t>
  </si>
  <si>
    <t>ACSS99</t>
  </si>
  <si>
    <t>ACSS50</t>
  </si>
  <si>
    <t>Emerald Energy</t>
  </si>
  <si>
    <t>ACSS25</t>
  </si>
  <si>
    <t>ACSS72</t>
  </si>
  <si>
    <t>ACSS35</t>
  </si>
  <si>
    <t>ACR160U/ACR160D</t>
  </si>
  <si>
    <t>ERS-AC28F01</t>
  </si>
  <si>
    <t>ERS tech</t>
  </si>
  <si>
    <t>ERS-AC52F01</t>
  </si>
  <si>
    <t>ERS-AC72F01</t>
  </si>
  <si>
    <t>ERS-AC82F01</t>
  </si>
  <si>
    <t>EUR-9000FX</t>
  </si>
  <si>
    <t>EUROMATIC</t>
  </si>
  <si>
    <t>EUR-9000WAC1</t>
  </si>
  <si>
    <t>EUR-26SPLIT</t>
  </si>
  <si>
    <t>EUR-9000WAC2</t>
  </si>
  <si>
    <t>EPA58041RWB</t>
  </si>
  <si>
    <t>Excelair</t>
  </si>
  <si>
    <t>AOTH18KBTA/AUTH18KVLA</t>
  </si>
  <si>
    <t>FUJITSU</t>
  </si>
  <si>
    <t>AOTH12KBTA/AUTH12KVLA</t>
  </si>
  <si>
    <t>AOTH09KBTA/AUTH09KVLA</t>
  </si>
  <si>
    <t>AOTH18KBTA/ARTH18KLLAP</t>
  </si>
  <si>
    <t>AOTH18KBTA/ARTH18KSLAP</t>
  </si>
  <si>
    <t>AOTH12KBTA/ARTH12KLLAP</t>
  </si>
  <si>
    <t>AOTH12KBTA/ARTH12KSLAP</t>
  </si>
  <si>
    <t>AOTH09KBTA/ARTH09KLLAP</t>
  </si>
  <si>
    <t>AOTH09KBTA/ARTH09KSLAP</t>
  </si>
  <si>
    <t>AOTG14KVCA/AGTG14KVCA</t>
  </si>
  <si>
    <t>AOTG12KVCA/AGTG12KVCA</t>
  </si>
  <si>
    <t>AOTG09KVCA/AGTG09KVCA</t>
  </si>
  <si>
    <t>AOTH24KBTA/ARTH24KMTAP</t>
  </si>
  <si>
    <t>AOTH18KBTA/ARTH18KMTAP</t>
  </si>
  <si>
    <t>AOTH24KCTA/ARTH24KMTAP</t>
  </si>
  <si>
    <t>AOTH30KBTA/ARTH30KMTAP</t>
  </si>
  <si>
    <t>AOTH36KBTA/ARTH36KMTAP</t>
  </si>
  <si>
    <t>AOTH45KBTA/ARTH45KMTAP</t>
  </si>
  <si>
    <t>AOTH54KBTA/ARTH54KMTAP</t>
  </si>
  <si>
    <t>AOTH30KCTA/ARTH30KMTAP</t>
  </si>
  <si>
    <t>AOTH07KNCA/ASTH07KNCA</t>
  </si>
  <si>
    <t>AOTH12KNCA/ASTH12KNCA</t>
  </si>
  <si>
    <t>AOTH09KNCA / ASTH09KNCA</t>
  </si>
  <si>
    <t>AOTH14KNCA/ASTH14KNCA</t>
  </si>
  <si>
    <t>AOTH18KNTA/ASTH18KNTA</t>
  </si>
  <si>
    <t>AOTH22KNTA/ASTH22KNTA</t>
  </si>
  <si>
    <t>AOTH24KNTA/ASTH24KNTA</t>
  </si>
  <si>
    <t>AOTH24KBTA/ARTH24KHTA</t>
  </si>
  <si>
    <t>AOTH30KBTA/ARTH30KHTA</t>
  </si>
  <si>
    <t>AOTH30KCTA/ARTH30KHTA</t>
  </si>
  <si>
    <t>AOTH36KBTA/ARTH36KHTA</t>
  </si>
  <si>
    <t>AOTH36KCTA/ARTH36KHTA</t>
  </si>
  <si>
    <t>AOTH36KRTA/ARTH36KHTA</t>
  </si>
  <si>
    <t>AOTH45KBTA/ARTH45KHTA</t>
  </si>
  <si>
    <t>AOTH45KCTA/ARTH45KHTA</t>
  </si>
  <si>
    <t>AOTH45KRTA/ARTH45KHTA</t>
  </si>
  <si>
    <t>AOTH54KBTA/ARTH54KHTA</t>
  </si>
  <si>
    <t>AOTH54KCTA/ARTH54KHTA</t>
  </si>
  <si>
    <t>AOTH54KRTA/ARTH54KHTA</t>
  </si>
  <si>
    <t>AOTH60KBTA/ARTH60KHTA</t>
  </si>
  <si>
    <t>AOTH60KCTA/ARTH60KHTB</t>
  </si>
  <si>
    <t>AOTH60KRTA/ARTH60KHTA</t>
  </si>
  <si>
    <t>AOTH24KMTD/ASTH24KMTD</t>
  </si>
  <si>
    <t>AOTH07KMCD/ASTH07KMCD</t>
  </si>
  <si>
    <t>AOTH09KMCD/ASTH09KMCD</t>
  </si>
  <si>
    <t>AOTH12KMCD/ASTH12KMCD</t>
  </si>
  <si>
    <t>AOTH14KMCD/ASTH14KMCD</t>
  </si>
  <si>
    <t>AOTH18KMTD/ASTH18KMTD</t>
  </si>
  <si>
    <t>AOTH22KMTD/ASTH22KMTD</t>
  </si>
  <si>
    <t>AOTH30KNTA/ASTH30KNTA</t>
  </si>
  <si>
    <t>AOTH34KNTA/ASTH34KNTA</t>
  </si>
  <si>
    <t>AOTH30KMTD/ASTH30KMTD</t>
  </si>
  <si>
    <t>AOTH34KMTD/ASTH34KMTD</t>
  </si>
  <si>
    <t>AOTH18KBTA/ABTH18KRTA</t>
  </si>
  <si>
    <t>AOTH24KBTA/ABTH24KRTA</t>
  </si>
  <si>
    <t>AOTH30KBTA/ABTH30KRTA</t>
  </si>
  <si>
    <t>AOTH36KBTA/ABTH36KRTA</t>
  </si>
  <si>
    <t>AOTH45KBTA/ABTH45KRTA</t>
  </si>
  <si>
    <t>AOTH54KBTA/ABTH54KRTA</t>
  </si>
  <si>
    <t>AOTH24KBTA/AUTH24KRTA</t>
  </si>
  <si>
    <t>AOTH30KBTA/AUTH30KRTA</t>
  </si>
  <si>
    <t>AOTH36KBTA/AUTH36KRTA</t>
  </si>
  <si>
    <t>AOTH45KBTA/AUTH45KRTA</t>
  </si>
  <si>
    <t>AOTH54KBTA/AUTH54KRTA</t>
  </si>
  <si>
    <t>AOTH36KRTA/AUTH36KRTA</t>
  </si>
  <si>
    <t>AOTH45KRTA/AUTH45KRTA</t>
  </si>
  <si>
    <t>AOTH54KRTA/AUTH54KRTA</t>
  </si>
  <si>
    <t>AOTH36KRTA/ABTH36KRTA</t>
  </si>
  <si>
    <t>AOTH45KRTA/ABTH45KRTA</t>
  </si>
  <si>
    <t>AOTH54KRTA/ABTH54KRTA</t>
  </si>
  <si>
    <t>AOTH24KBTB/AUTH24KVLA</t>
  </si>
  <si>
    <t>AOTH24KMTE/ASTH24KMTE</t>
  </si>
  <si>
    <t>AOTG09LBCB/AUTG09LVLB</t>
  </si>
  <si>
    <t>AOTH65KBTA/ARTH65KHTA</t>
  </si>
  <si>
    <t>AOTH65KRTA/ARTH65KHTA</t>
  </si>
  <si>
    <t>AOTH72KRTA/ARTH72KHTA</t>
  </si>
  <si>
    <t>AOTH90KRTA/ARTH90KHTA</t>
  </si>
  <si>
    <t>AOTG14LUCB/ASTG14LUCB</t>
  </si>
  <si>
    <t>FUJITSU GENERAL</t>
  </si>
  <si>
    <t>AOTG22LVCC/ASTG22LVCC</t>
  </si>
  <si>
    <t>AOTG09KMTC/ASTG09KMTC</t>
  </si>
  <si>
    <t>AOTG12KMTC/ASTG12KMTC</t>
  </si>
  <si>
    <t>AOTG18KMTC/ASTG18KMTC</t>
  </si>
  <si>
    <t>AOTG22KMTC/ASTG22KMTC</t>
  </si>
  <si>
    <t>AOTG24KMTC/ASTG24KMTC</t>
  </si>
  <si>
    <t>AOTG30KMTC/ASTG30KMTC</t>
  </si>
  <si>
    <t>AOTG34KMTC/ASTG34KMTC</t>
  </si>
  <si>
    <t>AOTG09LBCA/ARTG09LLLB</t>
  </si>
  <si>
    <t>AOTG09LBCB/ARTG09LLLB</t>
  </si>
  <si>
    <t>AOTG12LBCA/ARTG12LLLB</t>
  </si>
  <si>
    <t>AOTG18LACC/ARTG18LLTA</t>
  </si>
  <si>
    <t>AOTG24LATC/ARTG24LMLC</t>
  </si>
  <si>
    <t>AOTG36LBTA/ARTG36LHTDP</t>
  </si>
  <si>
    <t>AOTG45LBTB/ARTG45LHTDP</t>
  </si>
  <si>
    <t>AOTG54LBTB/ARTG54LHTDP</t>
  </si>
  <si>
    <t>AOTG30LATL/ARTG30LHTA</t>
  </si>
  <si>
    <t>AOTG30LBTC/ARTG30LHTA</t>
  </si>
  <si>
    <t>AOTG36LATL/ARTG36LHTA</t>
  </si>
  <si>
    <t>AOTG36LBTC/ARTG36LHTA</t>
  </si>
  <si>
    <t>AOTG45LATL/ARTG45LHTA</t>
  </si>
  <si>
    <t>AOTG45LBTC/ARTG45LHTA</t>
  </si>
  <si>
    <t>AOTG54LCTL/ARTG54LHTC</t>
  </si>
  <si>
    <t>AOTG45LBTA/ARTG45LDTA</t>
  </si>
  <si>
    <t>AOTG60LBTA/ARTG60LDTA</t>
  </si>
  <si>
    <t>AOTG36LATT/ARTG36LHTB</t>
  </si>
  <si>
    <t>AOTG45LATT/ARTG45LHTB</t>
  </si>
  <si>
    <t>AOTG60LATT/ARTG60LHTA</t>
  </si>
  <si>
    <t>AOTA72LALT/ARTC72LATU</t>
  </si>
  <si>
    <t>AOTA90LALT/ARTC90LATU</t>
  </si>
  <si>
    <t>AOTA36LCTL/AUTA36LCLU</t>
  </si>
  <si>
    <t>AOTA45LCTL/AUTA45LCLU</t>
  </si>
  <si>
    <t>AOTG30KBTA/AUTG30KRLA</t>
  </si>
  <si>
    <t>AOTG36KBTA/AUTG36KRLA</t>
  </si>
  <si>
    <t>AOTG45KBTA/AUTG45KRLA</t>
  </si>
  <si>
    <t>AOTG54KBTA/AUTG54KRLA</t>
  </si>
  <si>
    <t>AOTG54LATT/AUTG54LRLA</t>
  </si>
  <si>
    <t>AOTV09LAC/AGTV09LAC</t>
  </si>
  <si>
    <t>AOTG18LACC / ABTG18LVTA</t>
  </si>
  <si>
    <t>AOTG24LATC / ABTG24LVTC</t>
  </si>
  <si>
    <t>AOTA30LGTL/ABTA30LBT</t>
  </si>
  <si>
    <t>AOTA36LCTL/ABTA36LAT</t>
  </si>
  <si>
    <t>AOTG18LACC/AUTG18LVLA</t>
  </si>
  <si>
    <t>AOTG24LATC/AUTG24LVLC</t>
  </si>
  <si>
    <t>AOTG24LBCA/ARTG24LHTDP</t>
  </si>
  <si>
    <t>HAS2505</t>
  </si>
  <si>
    <t>GALAXY AIR</t>
  </si>
  <si>
    <t>HAS3505</t>
  </si>
  <si>
    <t>HAS5005</t>
  </si>
  <si>
    <t>HAS7005</t>
  </si>
  <si>
    <t>HAS8005</t>
  </si>
  <si>
    <t>GWH24</t>
  </si>
  <si>
    <t>General Climate</t>
  </si>
  <si>
    <t>GWH09</t>
  </si>
  <si>
    <t>GWH18</t>
  </si>
  <si>
    <t>GPPAC250</t>
  </si>
  <si>
    <t>Goldair</t>
  </si>
  <si>
    <t>GPPAC400</t>
  </si>
  <si>
    <t>PAC0925</t>
  </si>
  <si>
    <t>PAC0930</t>
  </si>
  <si>
    <t>PAC0931</t>
  </si>
  <si>
    <t>PAC0932</t>
  </si>
  <si>
    <t>Goldair 14K PAC</t>
  </si>
  <si>
    <t>PAC0942</t>
  </si>
  <si>
    <t>PAC0941</t>
  </si>
  <si>
    <t>GCPAC220</t>
  </si>
  <si>
    <t>PAC1014</t>
  </si>
  <si>
    <t>GCPAC220 Range</t>
  </si>
  <si>
    <t>GCPAC350</t>
  </si>
  <si>
    <t>GCPAC350W</t>
  </si>
  <si>
    <t>GPPAC300</t>
  </si>
  <si>
    <t>3.5kW H &amp; C PAC</t>
  </si>
  <si>
    <t>GPPAC410</t>
  </si>
  <si>
    <t>PAC1349</t>
  </si>
  <si>
    <t>4.1kW Hot &amp; Cold Portable Air Conditioner</t>
  </si>
  <si>
    <t>FGR20Pd/D1Na-X(Au)(O) / FGR20Pd/D1Na-X(Au)(I)</t>
  </si>
  <si>
    <t>GREE</t>
  </si>
  <si>
    <t>GUD140W/NhB-S / GUD140T/B-S</t>
  </si>
  <si>
    <t>GUD160W/NhB-X / GUD160PHS/B-S</t>
  </si>
  <si>
    <t>GUD160W/NhB-X / GUD160PH/B-S</t>
  </si>
  <si>
    <t>GWH18QE-K6DNC8A</t>
  </si>
  <si>
    <t>GUD100W/NhB-S / GUD100PHS/B1-S</t>
  </si>
  <si>
    <t>GUD100W/NhB-S / GUD100PH/B1-S</t>
  </si>
  <si>
    <t>GWH28QE-K6DNA1D/O / GWH28QE-K6DNA1D/I</t>
  </si>
  <si>
    <t>GWH28QE-K6DNA1D/O / GWH28QE-K6DNC8D/I</t>
  </si>
  <si>
    <t>GWH15QD-K6DNA1A/O / GWH15QD-K6DNC8A/I</t>
  </si>
  <si>
    <t>GWH15QD-K6DNA1A/O / GWH15QD-K6DNA1A/I</t>
  </si>
  <si>
    <t>GWH32QF-K6DNB2D/O / GWH32QF-K6DNB2D/I</t>
  </si>
  <si>
    <t>GWH32QF-K6DNB2D/O / GWH32QF-K6DNB4D/I</t>
  </si>
  <si>
    <t>GWH32QF-K6DN**D/I / GWH32QF-K6DNB2D/O</t>
  </si>
  <si>
    <t>GWH07AGAXB-K6DNA1A/O / GWH07AGAXB-K6DNA1A/I</t>
  </si>
  <si>
    <t>GWH09AGCXB-K6DNA1A/O / GWH09AGCXB-K6DNA1A/I</t>
  </si>
  <si>
    <t>GWH21AGEXF-K6DNA1A/O / GWH21AGEXF-K6DNA1A/I</t>
  </si>
  <si>
    <t>GWH09ABAXD-K6DNC8A/O / GWH09ABAXD-K6DNC8A/I</t>
  </si>
  <si>
    <t>GWH32QFXH-K6DNB2A/O / GWH32QFXH-K6DNB2A/I</t>
  </si>
  <si>
    <t>GWH12AGCXD-K6DNA1A/O / GWH12AGCXD-K6DNA1A/I</t>
  </si>
  <si>
    <t>GWH28AGEXH-K6DNA1A/O / GWH28AGEXH-K6DNA1A/I</t>
  </si>
  <si>
    <t>GWH24AGEXF-K6DNA1A/O / GWH24AGEXF-K6DNA1A/I</t>
  </si>
  <si>
    <t>GWH18AGDXE-K6DNA1A/O / GWH18AGDXE-K6DNA1A/I</t>
  </si>
  <si>
    <t>GWH15QDXE</t>
  </si>
  <si>
    <t>GWH15QDXE-K6DNA1A/O / GWH15QDXE-K6DNC8B/I</t>
  </si>
  <si>
    <t>GWH15QDXE-K6DNA1A/O / GWH15QDXE-K6DNA1A/I</t>
  </si>
  <si>
    <t>GWH21AGEXF-K6DNA1A/O / GWH21QEXF-K6DNC8A/I</t>
  </si>
  <si>
    <t>GWH21AGEXF-K6DNA1A/O / GWH21QEXF-K6DNA1A/I</t>
  </si>
  <si>
    <t>GWH21AGEXF-K6DNA1A/O / GWH21QEXF-K6DN**A/I</t>
  </si>
  <si>
    <t>GWH28AGEXH-K6DNA1A/O / GWH28QEXH-K6DNC8A/I</t>
  </si>
  <si>
    <t>GWH28AGEXH-K6DNA1A/O / GWH28QEXH-K6DNA1A/I</t>
  </si>
  <si>
    <t>GWH28AGEXH-K6DNA1A/O / GWH28QEXH-K6DN**A/I</t>
  </si>
  <si>
    <t>GWH24AGEXF-K6DNA1A/O / GWH24QEXF-K6DNC8A/I</t>
  </si>
  <si>
    <t>GWH32QFXH-K6DNB2A/O / GWH32QFXH-K6DNB4A/I</t>
  </si>
  <si>
    <t>GWH24AAEXF-K6DNA1B/O / GWH24AAEXF-K6DN**B/I</t>
  </si>
  <si>
    <t>GWH24AAEXF-K6DNA1B/O / GWH24AAEXF-K6DNA4B /I</t>
  </si>
  <si>
    <t>GWH24AAEXF-K6DNA1B/O / GWH24AAEXF-K6DNA1B /I</t>
  </si>
  <si>
    <t>GWH32QFXH-K6DNB2A/O / GWH32QFXH-K6DNB**/I</t>
  </si>
  <si>
    <t>GWH09ABAXD-K6DNC8A/O / GWH09ABAXD-K6DNA1A/I</t>
  </si>
  <si>
    <t>GWH09ABAXD-K6DNC8A/O / GWH09ABAXD-K6DN**A/I</t>
  </si>
  <si>
    <t>GWH28AGEXH-K6DNA1E/O / GWH28QEXH-K6DNA1E/I</t>
  </si>
  <si>
    <t>GWH28AGEXH-K6DNA1E/O / GWH28QEXH-K6DNC8E/I</t>
  </si>
  <si>
    <t>GWH28AGEXH-K6DNA1E/O / GWH28QEXH-K6DN**E/I</t>
  </si>
  <si>
    <t>GWH12AACXB-K6DNA1A/O / GWH12AACXB-K6DNA*A/I</t>
  </si>
  <si>
    <t>GWH12AACXB-K6DNA1A/O / GWH12AACXB-K6DNA4A/I</t>
  </si>
  <si>
    <t>GWH12AACXB-K6DNA1A/O / GWH12AACXB-K6DNA1A/I</t>
  </si>
  <si>
    <t>GWH12ABAXD-K6DN**A series</t>
  </si>
  <si>
    <t>GWH12ABAXD-K6DNC8A/O / GWH12ABAXD-K6DNA1A/I</t>
  </si>
  <si>
    <t>GWH12ABAXD-K6DNC8A/O / GWH12ABAXD-K6DNC8A/I</t>
  </si>
  <si>
    <t>GWH09AACXB-K6DN**B series</t>
  </si>
  <si>
    <t>GWH09AACXB-K6DNA1B/O / GWH09AACXB-K6DNA4B/I</t>
  </si>
  <si>
    <t>GWH09AACXB-K6DNA1B/O / GWH09AACXB-K6DNA1B/I</t>
  </si>
  <si>
    <t>GWH32QFXH-K6DNB2A/O / GVH32ALXH-K6DNC7A/I</t>
  </si>
  <si>
    <t>GWH12AGCXD-K6DNA1A/O / GWH12AGCXD-K6DNA2A/I</t>
  </si>
  <si>
    <t>GWH18AGDXE-K6DNA1A/O / GWH18AGDXE-K6DNA2A/I</t>
  </si>
  <si>
    <t>GWH18QEXF-K6DNC8A/O / GWH18QEXF-K6DN**A/I</t>
  </si>
  <si>
    <t>GWH18QEXF-K6DNC8A/O / GWH18QEXF-K6DNA1A/I</t>
  </si>
  <si>
    <t>GWH18QEXF-K6DNC8A/O / GWH18QEXF-K6DNC8A/I</t>
  </si>
  <si>
    <t>GWH28QEXH-K6DNA1E/O / GWH28QEXH-K6DNC8E/I</t>
  </si>
  <si>
    <t>GWH28QEXH-K6DNA1E/O / GWH28QEXH-K6DNA1E/I</t>
  </si>
  <si>
    <t>GWH28QEXH-K6DNA1E/O / GWH28QEXH-K6DN**E/I</t>
  </si>
  <si>
    <t>GWH24AGEXF-K6DNA1A/O / GWH24QEXF-K6DNA1A/I</t>
  </si>
  <si>
    <t>GWH18AADXE-K6DNA1A/O / GWH18AADXE-K6DN**A/I</t>
  </si>
  <si>
    <t>GWH18AADXE-K6DNA1A/O / GWH18AADXE-K6DNA4A/I</t>
  </si>
  <si>
    <t>GWH18AADXE-K6DNA1A/O / GWH18AADXE-K6DNA1A/I</t>
  </si>
  <si>
    <t>GJH21AE-K6NRNB3A</t>
  </si>
  <si>
    <t>GJH21AE-K6NRNG1A</t>
  </si>
  <si>
    <t>GJH21AE-K6NRNP1A</t>
  </si>
  <si>
    <t>GJH21AE-K6NRND6A</t>
  </si>
  <si>
    <t>GJH21AE-K6NRN**A</t>
  </si>
  <si>
    <t>GWH21AGEXF-K6DNA1A/O /  GWH21QEXF-K6DNC8A/I</t>
  </si>
  <si>
    <t>GWH21AGEXF-K6DNA1A/O /  GWH21QEXF-K6DNA1A/I</t>
  </si>
  <si>
    <t>GWH21AGEXF-K6DNA1A/O /  GWH21AGEXF-K6DNA2A/I</t>
  </si>
  <si>
    <t>GUD140W1/NhC-S / GUD140PHS1/C-S</t>
  </si>
  <si>
    <t>GUD125W1/NhC-S / GUD125T1/C-S</t>
  </si>
  <si>
    <t>GUD160W1/NhC-S / GUD160PHS1/C-S</t>
  </si>
  <si>
    <t>GUD160W1/NhC-S / GUD160T1/C-S</t>
  </si>
  <si>
    <t>GJH12AG-K6DRNG1A</t>
  </si>
  <si>
    <t>GJH12AG-K6DRNB3A</t>
  </si>
  <si>
    <t>GJH18AH-K6DRNG1A</t>
  </si>
  <si>
    <t>GJH18AH-K6DRNB3A</t>
  </si>
  <si>
    <t>GUD100W1/NhC-S / GUD100T1/C-S</t>
  </si>
  <si>
    <t>GJH09AF-K6DRNG1A</t>
  </si>
  <si>
    <t>GJH09AF-K6DRNB3A</t>
  </si>
  <si>
    <t>GUD71W1/NhC-S / GUD71T1/C-S</t>
  </si>
  <si>
    <t>GUD50W1/NhC-S / GUD50T1/C-S</t>
  </si>
  <si>
    <t>GWH18ATDXD-K6DNA1C/O / GWH18ATDXD-K6DNA1C/I</t>
  </si>
  <si>
    <t>GWH28ATEXF-K6DNA1A/O / GWH28ATEXF-K6DNA1A/I</t>
  </si>
  <si>
    <t>GWH24ATEXF-K6DNA1E/O / GWH24ATEXF-K6DNA1E/I</t>
  </si>
  <si>
    <t>GUD125W1/NhC-S / GUD125PHS1/C-S</t>
  </si>
  <si>
    <t>GUD100W1/NhC-S / GUD100PHS1/C-S</t>
  </si>
  <si>
    <t>GUD71W1/NhC-S / GUD71PHS1/C-S</t>
  </si>
  <si>
    <t>GUD50W1/NhC-S / GUD50PHS1/C-S</t>
  </si>
  <si>
    <t>GWH28AGEXH-K6DNA1A/O / GWH28AGEXH-K6DNA2A/I</t>
  </si>
  <si>
    <t>GWH28ATEXF-K6DNA1A/O / GWH28ATEXF-K6DNA4A/I</t>
  </si>
  <si>
    <t>GWH28ATEXF</t>
  </si>
  <si>
    <t>GWH12AVDXD-K6DNA1A/O / GWH12AVDXD-K6DNA1A/I</t>
  </si>
  <si>
    <t>GWH18AVEXF-K6DNA1A/O / GWH18AVEXF-K6DNA1A/I</t>
  </si>
  <si>
    <t>GWH09AVCXD-K6DNA1A/O / GWH09AVCXD-K6DNA1A/I</t>
  </si>
  <si>
    <t>GVH24EBXF-K6DNA1A/O / GVH24EBXF-K6DNA1A/I</t>
  </si>
  <si>
    <t>GJH21AE-K6NRNT1A</t>
  </si>
  <si>
    <t>GWH24AVEXH-K6DNA1C/O / GWH24AVEXH-K6DNA1C/I</t>
  </si>
  <si>
    <t>GJH18AE-K6NRND6A</t>
  </si>
  <si>
    <t>GJH18AE-K6NRNG1A</t>
  </si>
  <si>
    <t>GJH18AE-K6NRNR1A</t>
  </si>
  <si>
    <t>GJH18AE-K6NRNB9A</t>
  </si>
  <si>
    <t>GJH18AE-K6NRNB3A</t>
  </si>
  <si>
    <t>GJH18AE-K6NRNT1A</t>
  </si>
  <si>
    <t>GJH12AG-K6NRND6A</t>
  </si>
  <si>
    <t>GJH12AG-K6NRNG1A</t>
  </si>
  <si>
    <t>GJH12AG-K6NRNB9A</t>
  </si>
  <si>
    <t>GJH12AG-K6NRNR1A</t>
  </si>
  <si>
    <t>GJH12AG-K6NRNB3A</t>
  </si>
  <si>
    <t>GJH09AK-K6NRND6A</t>
  </si>
  <si>
    <t>GJH09AK-K6NRNR1A</t>
  </si>
  <si>
    <t>GJH09AK-K6NRNB9A</t>
  </si>
  <si>
    <t>GJH09AK-K6NRNB3C</t>
  </si>
  <si>
    <t>GJH09AK-K6NRNG2A</t>
  </si>
  <si>
    <t>GJH07AK-K6NRNG2A</t>
  </si>
  <si>
    <t>GJH07AK-K6NRNB3C</t>
  </si>
  <si>
    <t>GJH07AK-K6NRNR1A</t>
  </si>
  <si>
    <t>GWH07ATAXA-K6DNA1D/O / GWH07ATAXA-K6DNA1D/I</t>
  </si>
  <si>
    <t>GWH12AGCXD-K6DNA1G/O / GWH12AGCXD-K6DNA1G/I</t>
  </si>
  <si>
    <t>GWH28AGEXH-K6DNA1E/O / GWH28AGEXH-K6DNA1E/I</t>
  </si>
  <si>
    <t>GK-H15TC(1)/NhA-M(A)</t>
  </si>
  <si>
    <t>GFH42DDXK-S6DND6B/O / GFH42DDXK-S6DND6B/I</t>
  </si>
  <si>
    <t>GWH36AWFXH-K6DNA1A/O / GWH36AWFXH-K6DNA1A/I</t>
  </si>
  <si>
    <t>GWH09AGCXB-K6DNA1B</t>
  </si>
  <si>
    <t>GEH18AA-K6DNA1F/O / GEH18AA-K6DNA1F/I</t>
  </si>
  <si>
    <t>GWH09AGCXB-K6DNA1B/O / GWH09AGCXB-K6DNA1B/I</t>
  </si>
  <si>
    <t>GWH18AGDXE-K6DNA1B/O / GWH18AGDXE-K6DNA1B/I</t>
  </si>
  <si>
    <t>GWH24ATEXF-K6DNA2E</t>
  </si>
  <si>
    <t>GWH07ATAXA-K6DNA2D</t>
  </si>
  <si>
    <t>GWH24AGEXF-K6DNA1E/O / GWH24AGEXF-K6DNA1E/I</t>
  </si>
  <si>
    <t>GWH15AGDXD-K6DNA1A/O / GWH15AGDXD-K6DNA1A/I</t>
  </si>
  <si>
    <t>GWH18ATDXD-K6DNA1C/O / GWH18ATDXD-K6DNA4C/I</t>
  </si>
  <si>
    <t>GWH18ATDXD-K6DNA1C/O / GWH18ATDXD-K6DNA2C/I</t>
  </si>
  <si>
    <t>GWH12AVDXD-K6DNA1B/O / GWH12AVDXD-K6DNA1B/I</t>
  </si>
  <si>
    <t>GWH24AVEXH-K6DNA1D/O / GWH24AVEXH-K6DNA1D/I</t>
  </si>
  <si>
    <t>GWH12ATCXB-K6DNA1B/O / GWH12ATCXB-K6DNA4B/I</t>
  </si>
  <si>
    <t>GWH12ATCXB-K6DNA1B/O / GWH12ATCXB-K6DNA1B/I</t>
  </si>
  <si>
    <t>GWH12ATCXB-K6DNA1B/O / GWH12ATCXB-K6DNA2B/I</t>
  </si>
  <si>
    <t>GWH09ATBXB-K6DNA1C/O / GWH09ATBXB-K6DNA1C/I</t>
  </si>
  <si>
    <t>GWH09ATBXB-K6DNA1C/O / GWH09ATBXB-K6DNA2C/I</t>
  </si>
  <si>
    <t>GWH21AGEXF-K6DNA1B/O / GWH21AGEXF-K6DNA1B/I</t>
  </si>
  <si>
    <t>1U71WADFRA / AS71PDDHRA</t>
  </si>
  <si>
    <t>Haier</t>
  </si>
  <si>
    <t>1U35MADFRA / AS35PBDHRA</t>
  </si>
  <si>
    <t>1U26MADFRA / AS26PBDHRA</t>
  </si>
  <si>
    <t>1U53WADFRA / AS53PDDHRA</t>
  </si>
  <si>
    <t>1U71S2SS5FA / AD71S2SM7FA</t>
  </si>
  <si>
    <t>1U100S2SN5FA / AD100S2SH5FA</t>
  </si>
  <si>
    <t>1U100S2SN5FA  / AD100S2SM7FA</t>
  </si>
  <si>
    <t>1U125S2SP5FA / AD125S2SH5FA</t>
  </si>
  <si>
    <t>1U125S2SP5FA / AD125S2SM7FA</t>
  </si>
  <si>
    <t>1U140S2SP5FA / AD140S2SH5FA</t>
  </si>
  <si>
    <t>1U140S2SP5FA / AD140S2SM7FA</t>
  </si>
  <si>
    <t>1U160S2SP5FA / AD160S2SH5FA</t>
  </si>
  <si>
    <t>1U53RABFRA / AS53FEBHRA</t>
  </si>
  <si>
    <t>1U71SABFRA / AS71FEBHRA</t>
  </si>
  <si>
    <t>1U82SAAFRA  /  AS82FFAHRA</t>
  </si>
  <si>
    <t>1U35JACFRA / AS35FBBHRA</t>
  </si>
  <si>
    <t>1U26JACFRA / AS26FBBHRA</t>
  </si>
  <si>
    <t>1U50WAEFRA / AS50QDEHRA</t>
  </si>
  <si>
    <t>1U71WAEFRA / AS71QEEHRA</t>
  </si>
  <si>
    <t>1U90XADFRA / AS90PFDHRA</t>
  </si>
  <si>
    <t>1U90QADFRA / AS90QFDHRA</t>
  </si>
  <si>
    <t>1U25MAEFRA / AS25QCEHRA</t>
  </si>
  <si>
    <t>1U35MAEFRA / AS35QCEHRA</t>
  </si>
  <si>
    <t>1U180S2SP5FA / AD180S2SH5FA</t>
  </si>
  <si>
    <t>AS90*FDHRA</t>
  </si>
  <si>
    <t>1U125S2SN5FA / AD125S2SH5FA</t>
  </si>
  <si>
    <t>1UH200W1ERK / ADH200H1ERG</t>
  </si>
  <si>
    <t>1U60KAEFRA / AS60QEEHRA</t>
  </si>
  <si>
    <t>1U71S2SS5FA / ABH071H5ERG</t>
  </si>
  <si>
    <t>1U100S2SN5FA / ABH105K5ERG</t>
  </si>
  <si>
    <t>1U125S2SP5FA / ABH125K5ERG</t>
  </si>
  <si>
    <t>1U25YAMFRA / AS25TBMHRA</t>
  </si>
  <si>
    <t>1U35MAMFRA / AS35TBMHRA</t>
  </si>
  <si>
    <t>1U50KAMFRA / AS50TCMHRA</t>
  </si>
  <si>
    <t>1U71KAMFRA / AS71TEMHRA</t>
  </si>
  <si>
    <t>1U140S2SP5FA / AB140S5SR1FA</t>
  </si>
  <si>
    <t>1U80QAFFRA / AS80QFFHRA</t>
  </si>
  <si>
    <t>1U25MAFFRA / AS25QCFHRA</t>
  </si>
  <si>
    <t>1U35MAFFRA / AS35QCFHRA</t>
  </si>
  <si>
    <t>1U50WAFFRA / AS50QDFHRA</t>
  </si>
  <si>
    <t>1U71WAFFRA / AS71QEFHRA</t>
  </si>
  <si>
    <t>1U105S5SN5FA / AD105S2SM7FA</t>
  </si>
  <si>
    <t>1U105S5SN5FA / ABH105K5ERG</t>
  </si>
  <si>
    <t>1U105S5SN5FA / AD105S2SH5FA</t>
  </si>
  <si>
    <t>KFR-35GW/BPSH / KFR-35GW/BPSH</t>
  </si>
  <si>
    <t>HANECO</t>
  </si>
  <si>
    <t>KFR-50GW/BPSH / KFR-50GW/BPSH</t>
  </si>
  <si>
    <t>KFR-70GW/BPSH / KFR-70GW/BPSH</t>
  </si>
  <si>
    <t>HWA09R</t>
  </si>
  <si>
    <t>HELLER</t>
  </si>
  <si>
    <t>HWA13R</t>
  </si>
  <si>
    <t>HWA27</t>
  </si>
  <si>
    <t>HAWV9KR</t>
  </si>
  <si>
    <t>HISENSE</t>
  </si>
  <si>
    <t>HAWV12KR</t>
  </si>
  <si>
    <t>HAWV18KR</t>
  </si>
  <si>
    <t>HAWV28KR</t>
  </si>
  <si>
    <t>HAWV24KR</t>
  </si>
  <si>
    <t>HAWJ9KR</t>
  </si>
  <si>
    <t>HAWJ12KR</t>
  </si>
  <si>
    <t>HAWJ18KR</t>
  </si>
  <si>
    <t>HAWJ24KR-O/HAWJ24KR-I</t>
  </si>
  <si>
    <t>HAWJ28KR</t>
  </si>
  <si>
    <t>AUW-125U4RN1/ AUC-125UR4RKC1</t>
  </si>
  <si>
    <t>AUW-140U4RN1/ AUC-140U4RKC1</t>
  </si>
  <si>
    <t>AUW-71U4RB1/ AUC-71UR4RJC1</t>
  </si>
  <si>
    <t>AUW-100U4RK1/ AUC-100UR4RKC1</t>
  </si>
  <si>
    <t>HAWV9KRD</t>
  </si>
  <si>
    <t>HAWV12KRD</t>
  </si>
  <si>
    <t>HAWJ24KRP</t>
  </si>
  <si>
    <t>HAWG12KR</t>
  </si>
  <si>
    <t>HAWG18KR</t>
  </si>
  <si>
    <t>AUW-85U4RK1/AUD-85UX4RSH1</t>
  </si>
  <si>
    <t>AUW-100U4RK1/AUD-100UX4RSH1</t>
  </si>
  <si>
    <t>AUW-125U4RH1/AUD-125UX4RSH1</t>
  </si>
  <si>
    <t>AUW-140U4RH1/AUD-140UX4RSH1</t>
  </si>
  <si>
    <t>AUW-160U4RH1/AUD-160UX4RSH1</t>
  </si>
  <si>
    <t>HAWG9KR</t>
  </si>
  <si>
    <t>HAWG24KR</t>
  </si>
  <si>
    <t>HAWG28KR</t>
  </si>
  <si>
    <t>AUW-85U4RK1/AUD-85UX4RTH1</t>
  </si>
  <si>
    <t>AUW-100U4RK1/AUD-100UX4RTH1</t>
  </si>
  <si>
    <t>AUW-125U4RQ1/AUD-125UX4RTH1</t>
  </si>
  <si>
    <t>HAWU9KR</t>
  </si>
  <si>
    <t>HAWU12KR</t>
  </si>
  <si>
    <t>HAWH9KR</t>
  </si>
  <si>
    <t>HAWH12KR</t>
  </si>
  <si>
    <t>HAWU18KR</t>
  </si>
  <si>
    <t>HAWH18KR</t>
  </si>
  <si>
    <t>HAW*18KR</t>
  </si>
  <si>
    <t>HAWU24KR</t>
  </si>
  <si>
    <t>HAWH24KR</t>
  </si>
  <si>
    <t>HAW*24KR</t>
  </si>
  <si>
    <t>HAWU28KR</t>
  </si>
  <si>
    <t>HAWH28KR</t>
  </si>
  <si>
    <t>HAW*28KR</t>
  </si>
  <si>
    <t>AUW-180U4RZ1/AUD-180U4RSH1</t>
  </si>
  <si>
    <t>RAS-3HVNC/RCI-3.0FSRP</t>
  </si>
  <si>
    <t>HITACHI</t>
  </si>
  <si>
    <t>RAS-4HVNC1/RCI-4.0FSRP</t>
  </si>
  <si>
    <t>RAS-5HVNC1/RCI-5.0FSRP</t>
  </si>
  <si>
    <t>RAS-6HVNC1/RCI-6.0FSRP</t>
  </si>
  <si>
    <t>RAC-35NXA1Z/RAF-35NXA1Z</t>
  </si>
  <si>
    <t>RAC-50NXA1Z/RAF-50NXA1Z</t>
  </si>
  <si>
    <t>RAC-S25YHABZ/RAS-S25YHABZ</t>
  </si>
  <si>
    <t>RAC-S35YHABZ/RAS-S35YHABZ</t>
  </si>
  <si>
    <t>RAC-S50YHABZ/RAS-S50YHABZ</t>
  </si>
  <si>
    <t>RAC-S60YHABZ/RAS-S60YHABZ</t>
  </si>
  <si>
    <t>RAC-S70YHABZ/RAS-S70YHABZ</t>
  </si>
  <si>
    <t>RAC-S80YHABZ/RAS-S80YHABZ</t>
  </si>
  <si>
    <t>RAC-E50YHAC/RAS-E50YHAC</t>
  </si>
  <si>
    <t>RAC-P25YHAB/RAS-P25YHAB</t>
  </si>
  <si>
    <t>RAC-P35YHAB/RAS-P35YHAB</t>
  </si>
  <si>
    <t>RAC-P50YHAB/RAS-P50YHAB</t>
  </si>
  <si>
    <t>RAC-DJ25PHAT/RAK-DJ25PHAT</t>
  </si>
  <si>
    <t>RAC-DJ35PHAT/RAK-DJ35PHAT</t>
  </si>
  <si>
    <t>RAC-DJ50PHAT/RAK-DJ50PHAT</t>
  </si>
  <si>
    <t>RAC-VJ25PHAT/RAK-VJ25PHAT</t>
  </si>
  <si>
    <t>RAC-VJ35PHAT/RAK-VJ35PHAT</t>
  </si>
  <si>
    <t>RAC-DJ60PHAT/RAK-DJ60PHAT</t>
  </si>
  <si>
    <t>RAC-DJ70PHAT/RAK-DJ70PHAT</t>
  </si>
  <si>
    <t>RAC-S25YHAB/RAS-S25YHAB</t>
  </si>
  <si>
    <t>RAC-S35YHAB/RAS-S35YHAB</t>
  </si>
  <si>
    <t>RAC-S50YHAB/RAS-S50YHAB</t>
  </si>
  <si>
    <t>RAC-S60YHAB/RAS-S60YHAB</t>
  </si>
  <si>
    <t>RAC-S70YHAB/RAS-S70YHAB</t>
  </si>
  <si>
    <t>RAC-S80YHAB/RAS-S80YHAB</t>
  </si>
  <si>
    <t>PAS-2.0UFASNQ1 / PCI-2.0UFA1NQ</t>
  </si>
  <si>
    <t>PAS-2.5UFASNQ1 / PCI-2.5UFA1NQ</t>
  </si>
  <si>
    <t>PAS-3.0UFASNQ1 / PCI-3.0UFA1NQ</t>
  </si>
  <si>
    <t>PAS-4.0UFASNQ1 / PCI-4.0UFA1NQ</t>
  </si>
  <si>
    <t>PAS-5.0UFASNQ1 / PCI-5.0UFA1NQ</t>
  </si>
  <si>
    <t>PAS-6.0UFASNQ1 / PCI-6.0UFA1NQ</t>
  </si>
  <si>
    <t>PAS-6.5UFASNQ1 / PCI-6.5UFA1NQ</t>
  </si>
  <si>
    <t>PAS-3.0UFASNQ1 / PPIH-3.0UFA1NQ</t>
  </si>
  <si>
    <t>PAS-4.0UFASNQ1 / PPIH-4.0UFA1NQ</t>
  </si>
  <si>
    <t>PAS-5.0UFASNQ1 / PPIH-5.0UFA1NQ</t>
  </si>
  <si>
    <t>PAS-6.0UFASNQ1 / PPIH-6.0UFA1NQ</t>
  </si>
  <si>
    <t>PAS-2.0UFASNQ1 / PPIM-2.0UFA1NQ</t>
  </si>
  <si>
    <t>RAC-VJ50PHAT/RAK-VJ50PHAT</t>
  </si>
  <si>
    <t>RAC-VJ70PHAT/RAK-VJ70PHAT</t>
  </si>
  <si>
    <t>RAC-VJ60PHAT/RAK-VJ60PHAT</t>
  </si>
  <si>
    <t>PAS-2.5UFASNQ1 / PPFC-2.5UFA1NQ</t>
  </si>
  <si>
    <t>PAS-4.0UFASMQ1 / PCI-4.0UFA1NQ</t>
  </si>
  <si>
    <t>PAS-5.0UFASMQ1 / PCI-5.0UFA1NQ</t>
  </si>
  <si>
    <t>PAS-6.0UFASMQ1 / PCI-6.0UFA1NQ</t>
  </si>
  <si>
    <t>PAS-6.5UFASMQ1 / PCI-6.5UFA1NQ</t>
  </si>
  <si>
    <t>PAS-3.0UFASNQ1 / PPIM-3.0UFA1NQ</t>
  </si>
  <si>
    <t>PAS-6.5UFASNQ1 / PPIH-6.5UFA1NQ</t>
  </si>
  <si>
    <t>PAS-2.5UFASNQ1 / PPIM-2.5UFA1NQ</t>
  </si>
  <si>
    <t>PAS-4.0UFASNQ1 / PPIM-4.0UFA1NQ</t>
  </si>
  <si>
    <t>PAS-5.0UFASNQ1 / PPIM-5.0UFA1NQ</t>
  </si>
  <si>
    <t>PAS-6.0UFASNQ1 / PPIM-6.0UFA1NQ</t>
  </si>
  <si>
    <t>PAS-2.0UFASNQ1 / PPFC-2.0UFA1NQ</t>
  </si>
  <si>
    <t>PAS-3.0UFASNQ1 / PPFC-3.0UFA1NQ</t>
  </si>
  <si>
    <t>PAS-4.0UFASNQ1 / PPFC-4.0UFA1NQ</t>
  </si>
  <si>
    <t>PAS-5.0UFASNQ1 / PPFC-5.0UFA1NQ</t>
  </si>
  <si>
    <t>PAS-6.0UFASNQ1 / PPFC-6.0UFA1NQ</t>
  </si>
  <si>
    <t>RAC-S80YHAC/RAS-S80YHAC</t>
  </si>
  <si>
    <t>PAS-6.0UFASMQ1 / PPFC-6.0UFA1NQ</t>
  </si>
  <si>
    <t>PAS-5.0UFASMQ1 / PPFC-5.0UFA1NQ</t>
  </si>
  <si>
    <t>PAS-4.0UFASMQ1 / PPFC-4.0UFA1NQ</t>
  </si>
  <si>
    <t>PAS-6.0UFASMQ1 / PPIM-6.0UFA1NQ</t>
  </si>
  <si>
    <t>PAS-5.0UFASMQ1 / PPIM-5.0UFA1NQ</t>
  </si>
  <si>
    <t>PAS-4.0UFASMQ1 / PPIM-4.0UFA1NQ</t>
  </si>
  <si>
    <t>PAS-5.0UFASMQ1 / PPIH-5.0UFA1NQ</t>
  </si>
  <si>
    <t>PAS-4.0UFASMQ1 / PPIH-4.0UFA1NQ</t>
  </si>
  <si>
    <t>PAS-6.0UFASMQ1 / PPIH-6.0UFA1NQ</t>
  </si>
  <si>
    <t>PAS-6.5UFASMQ1 / PPIH-6.5UFA1NQ</t>
  </si>
  <si>
    <t>PAS-4.0UFASNQ1 / PPK-4.0UFA1NQ</t>
  </si>
  <si>
    <t>PAS-4.0UFASMQ1 / PPK-4.0UFA1NQ</t>
  </si>
  <si>
    <t>PAS-3.0UFASNQ1 / PPK-3.0UFA1NQ</t>
  </si>
  <si>
    <t>HYSSAC35PWA</t>
  </si>
  <si>
    <t>HYUNDAI</t>
  </si>
  <si>
    <t>HYSSAC35PWB</t>
  </si>
  <si>
    <t>HYSSAC35PWC</t>
  </si>
  <si>
    <t>HYSSAC35PWD</t>
  </si>
  <si>
    <t>HYSSAC35PW*</t>
  </si>
  <si>
    <t>HYSSAC52PWA</t>
  </si>
  <si>
    <t>HYSSAC52PWB</t>
  </si>
  <si>
    <t>HYSSAC52PWC</t>
  </si>
  <si>
    <t>HYSSAC52PWD</t>
  </si>
  <si>
    <t>HYSSAC52PW*</t>
  </si>
  <si>
    <t>HYSSAC72PWA</t>
  </si>
  <si>
    <t>HYSSAC72PWB</t>
  </si>
  <si>
    <t>HYSSAC72PWC</t>
  </si>
  <si>
    <t>HYSSAC72PWD</t>
  </si>
  <si>
    <t>HYSSAC72PW*</t>
  </si>
  <si>
    <t>HYSSAC88PWA</t>
  </si>
  <si>
    <t>HYSSAC88PWB</t>
  </si>
  <si>
    <t>HYSSAC88PWC</t>
  </si>
  <si>
    <t>HYSSAC88PWD</t>
  </si>
  <si>
    <t>HYSSAC88PW*</t>
  </si>
  <si>
    <t>HYSSAC26PWA</t>
  </si>
  <si>
    <t>HYSSAC26PWB</t>
  </si>
  <si>
    <t>HYSSAC26PWC</t>
  </si>
  <si>
    <t>HYSSAC26PWD</t>
  </si>
  <si>
    <t>HYSSAC26PW*</t>
  </si>
  <si>
    <t>HYSSSAC26TA</t>
  </si>
  <si>
    <t>HYSSSAC26TB</t>
  </si>
  <si>
    <t>HYSSSAC26TC</t>
  </si>
  <si>
    <t>HYSSSAC26TD</t>
  </si>
  <si>
    <t>HYSSSAC26T*</t>
  </si>
  <si>
    <t>HYSSSAC21TA</t>
  </si>
  <si>
    <t>HYSSSAC21TB</t>
  </si>
  <si>
    <t>HYSSSAC21TC</t>
  </si>
  <si>
    <t>HYSSSAC21TD</t>
  </si>
  <si>
    <t>HYSSSAC21T*</t>
  </si>
  <si>
    <t>HYD18KPACPA</t>
  </si>
  <si>
    <t>HYD18KPACPB</t>
  </si>
  <si>
    <t>HYD18KPACPC</t>
  </si>
  <si>
    <t>HYD18KPACPD</t>
  </si>
  <si>
    <t>HYD18KPACP*</t>
  </si>
  <si>
    <t>HY13KSPACPA</t>
  </si>
  <si>
    <t>HY13KSPACPB</t>
  </si>
  <si>
    <t>HY13KSPACPC</t>
  </si>
  <si>
    <t>HY13KSPACPD</t>
  </si>
  <si>
    <t>HY13KSPACP*</t>
  </si>
  <si>
    <t>HYSSSAC35TA</t>
  </si>
  <si>
    <t>HYSSSAC35TB</t>
  </si>
  <si>
    <t>HYSSSAC35TC</t>
  </si>
  <si>
    <t>HYSSSAC35TD</t>
  </si>
  <si>
    <t>HYSSSAC35T*</t>
  </si>
  <si>
    <t>HYSSSAC53TA</t>
  </si>
  <si>
    <t>HYSSSAC53TB</t>
  </si>
  <si>
    <t>HYSSSAC53TC</t>
  </si>
  <si>
    <t>HYSSSAC53TD</t>
  </si>
  <si>
    <t>HYSSSAC53T*</t>
  </si>
  <si>
    <t>HYSSSAC72TA</t>
  </si>
  <si>
    <t>HYSSSAC72TB</t>
  </si>
  <si>
    <t>HYSSSAC72TC</t>
  </si>
  <si>
    <t>HYSSSAC72TD</t>
  </si>
  <si>
    <t>HYSSSAC72T*</t>
  </si>
  <si>
    <t>HYDCTAC10TA</t>
  </si>
  <si>
    <t>HYDCTAC10TB</t>
  </si>
  <si>
    <t>HYDCTAC10TC</t>
  </si>
  <si>
    <t>HYDCTAC10TD</t>
  </si>
  <si>
    <t>HYDCTAC10T*</t>
  </si>
  <si>
    <t>HYDCTAC14TA</t>
  </si>
  <si>
    <t>HYDCTAC14TB</t>
  </si>
  <si>
    <t>HYDCTAC14TC</t>
  </si>
  <si>
    <t>HYDCTAC14TD</t>
  </si>
  <si>
    <t>HYDCTAC14T*</t>
  </si>
  <si>
    <t>HYDCTAC71TA</t>
  </si>
  <si>
    <t>HYDCTAC71TB</t>
  </si>
  <si>
    <t>HYDCTAC71TC</t>
  </si>
  <si>
    <t>HYDCTAC71TD</t>
  </si>
  <si>
    <t>HYDCTAC71T*</t>
  </si>
  <si>
    <t>FC-72MSZKE</t>
  </si>
  <si>
    <t>Infinite</t>
  </si>
  <si>
    <t>C3MO12IC3II</t>
  </si>
  <si>
    <t>Innova 2.0</t>
  </si>
  <si>
    <t>COMS12OC4II</t>
  </si>
  <si>
    <t>COMS12OCEII</t>
  </si>
  <si>
    <t>2.0CM12CII</t>
  </si>
  <si>
    <t>C3MS12IC3II</t>
  </si>
  <si>
    <t>CZMO12IC3II</t>
  </si>
  <si>
    <t>AW026-O/AW026-I</t>
  </si>
  <si>
    <t>iZone</t>
  </si>
  <si>
    <t>AW035-O/AW035-I</t>
  </si>
  <si>
    <t>AW050-O/AW050-I</t>
  </si>
  <si>
    <t>AW070-O/AW070-I</t>
  </si>
  <si>
    <t>AW090-O/AW090-I</t>
  </si>
  <si>
    <t>KSI12</t>
  </si>
  <si>
    <t>Kaden</t>
  </si>
  <si>
    <t>KSI06</t>
  </si>
  <si>
    <t>KSI09</t>
  </si>
  <si>
    <t>KSI18</t>
  </si>
  <si>
    <t>KSI24</t>
  </si>
  <si>
    <t>KSI28</t>
  </si>
  <si>
    <t>KW09</t>
  </si>
  <si>
    <t>KW12</t>
  </si>
  <si>
    <t>KW18</t>
  </si>
  <si>
    <t>KW21</t>
  </si>
  <si>
    <t>KS09</t>
  </si>
  <si>
    <t>KADEN</t>
  </si>
  <si>
    <t>KS18</t>
  </si>
  <si>
    <t>KS28</t>
  </si>
  <si>
    <t>KS24</t>
  </si>
  <si>
    <t>KS12</t>
  </si>
  <si>
    <t>KDI24 / KDI24</t>
  </si>
  <si>
    <t>KDI36 / KDI36</t>
  </si>
  <si>
    <t>KDI42 / KDI42</t>
  </si>
  <si>
    <t>KDI48 / KDI48</t>
  </si>
  <si>
    <t>KDI60 / KDI60</t>
  </si>
  <si>
    <t>KCI36 / KCI36</t>
  </si>
  <si>
    <t>KDI42 / KCI42</t>
  </si>
  <si>
    <t>KDI48 / KCI48</t>
  </si>
  <si>
    <t>KD36</t>
  </si>
  <si>
    <t>KD24</t>
  </si>
  <si>
    <t>KD42</t>
  </si>
  <si>
    <t>KD48</t>
  </si>
  <si>
    <t>KDI36</t>
  </si>
  <si>
    <t>KDI42</t>
  </si>
  <si>
    <t>KCI24</t>
  </si>
  <si>
    <t>KSI-2.0</t>
  </si>
  <si>
    <t>KSI-2.5</t>
  </si>
  <si>
    <t>KSI-3.5</t>
  </si>
  <si>
    <t>KSI-5.0</t>
  </si>
  <si>
    <t>KSI-7.0</t>
  </si>
  <si>
    <t>KSI-7.6</t>
  </si>
  <si>
    <t>KSI-9.0</t>
  </si>
  <si>
    <t>KDI-7.0</t>
  </si>
  <si>
    <t>KDI-10.5</t>
  </si>
  <si>
    <t>KDI-12.5</t>
  </si>
  <si>
    <t>KDI-14.0</t>
  </si>
  <si>
    <t>KDI-14.0S</t>
  </si>
  <si>
    <t>KDI-17.0</t>
  </si>
  <si>
    <t>WH52</t>
  </si>
  <si>
    <t>KELVINATOR</t>
  </si>
  <si>
    <t>KWH52HRF</t>
  </si>
  <si>
    <t>KWH22HRF</t>
  </si>
  <si>
    <t>WH22</t>
  </si>
  <si>
    <t>KWH39HRF</t>
  </si>
  <si>
    <t>WH39</t>
  </si>
  <si>
    <t>KWH27HRF</t>
  </si>
  <si>
    <t>WH27</t>
  </si>
  <si>
    <t>WH60</t>
  </si>
  <si>
    <t>KWH60HRF</t>
  </si>
  <si>
    <t>A007C-09CH</t>
  </si>
  <si>
    <t>Kensington</t>
  </si>
  <si>
    <t>KWH100ATBXB-K6DNA1/O / KWH100ATBXB-K6DNA1/I</t>
  </si>
  <si>
    <t>KINGHOME</t>
  </si>
  <si>
    <t>KWH52ATBXB-K6DNA2/O / KWH52ATBXB-K6DNA2/I</t>
  </si>
  <si>
    <t>KWH71ATBXB-K6DNA2</t>
  </si>
  <si>
    <t>KWH20ATBXB-K6DNA2</t>
  </si>
  <si>
    <t>KWH27ATBXB-K6DNA2/O / KWH27ATBXB-K6DNA2/I</t>
  </si>
  <si>
    <t>KWH35ATBXB-K6DNA2/O / KWH35ATBXB-K6DNA2/I</t>
  </si>
  <si>
    <t>KAWFPAC16PYA</t>
  </si>
  <si>
    <t>KOGAN</t>
  </si>
  <si>
    <t>KAWFPAC16PYB</t>
  </si>
  <si>
    <t>KAWFPAC16PYC</t>
  </si>
  <si>
    <t>KAWFPAC16PYD</t>
  </si>
  <si>
    <t>KAWFPAC16PYE</t>
  </si>
  <si>
    <t>KAWFPAC16PY*</t>
  </si>
  <si>
    <t>KAVWAC26YA</t>
  </si>
  <si>
    <t>KAVWAC26YB</t>
  </si>
  <si>
    <t>KAVWAC26YC</t>
  </si>
  <si>
    <t>KAVWAC26Y*</t>
  </si>
  <si>
    <t>KASHSAC72UA</t>
  </si>
  <si>
    <t>KASHSAC72UB</t>
  </si>
  <si>
    <t>KASHSAC72UC</t>
  </si>
  <si>
    <t>KASHSAC72U*</t>
  </si>
  <si>
    <t>KASHSAC26UC</t>
  </si>
  <si>
    <t>KASHSAC26UB</t>
  </si>
  <si>
    <t>KASHSAC26UA</t>
  </si>
  <si>
    <t>KASHSAC26U*</t>
  </si>
  <si>
    <t>KASHSAC80TA</t>
  </si>
  <si>
    <t>KASHSAC80TB</t>
  </si>
  <si>
    <t>KASHSAC80TC</t>
  </si>
  <si>
    <t>KASHSAC80TD</t>
  </si>
  <si>
    <t>KASHSAC80T*</t>
  </si>
  <si>
    <t>KASHSAC52UA</t>
  </si>
  <si>
    <t>KASHSAC52UB</t>
  </si>
  <si>
    <t>KASHSAC52UC</t>
  </si>
  <si>
    <t>KASHSAC52U*</t>
  </si>
  <si>
    <t>KASHSAC35UA</t>
  </si>
  <si>
    <t>KASHSAC35UB</t>
  </si>
  <si>
    <t>KASHSAC35UC</t>
  </si>
  <si>
    <t>KASHSAC35U*</t>
  </si>
  <si>
    <t>KASVWAC30YA</t>
  </si>
  <si>
    <t>KASVWAC30YB</t>
  </si>
  <si>
    <t>KASVWAC30YC</t>
  </si>
  <si>
    <t>KASVWAC30YD</t>
  </si>
  <si>
    <t>KASVWAC30Y*</t>
  </si>
  <si>
    <t>KAWDACR27TA</t>
  </si>
  <si>
    <t>KAWDACR27TB</t>
  </si>
  <si>
    <t>KAWDACR27TC</t>
  </si>
  <si>
    <t>KAWDACR27TD</t>
  </si>
  <si>
    <t>KAWDACR27T*</t>
  </si>
  <si>
    <t>KASHSAC26TA</t>
  </si>
  <si>
    <t>KASHSAC26TB</t>
  </si>
  <si>
    <t>KASHSAC26TC</t>
  </si>
  <si>
    <t>KASHSAC26TD</t>
  </si>
  <si>
    <t>KASHSAC26T*</t>
  </si>
  <si>
    <t>KASHSAC35TA</t>
  </si>
  <si>
    <t>KASHSAC35TB</t>
  </si>
  <si>
    <t>KASHSAC35TC</t>
  </si>
  <si>
    <t>KASHSAC35TD</t>
  </si>
  <si>
    <t>KASHSAC35T*</t>
  </si>
  <si>
    <t>KASHSAC70TA</t>
  </si>
  <si>
    <t>KASHSAC70TB</t>
  </si>
  <si>
    <t>KASHSAC70TC</t>
  </si>
  <si>
    <t>KASHSAC70TD</t>
  </si>
  <si>
    <t>KASHSAC70T*</t>
  </si>
  <si>
    <t>KAWDACR41TA</t>
  </si>
  <si>
    <t>KAWDACR41TB</t>
  </si>
  <si>
    <t>KAWDACR41TC</t>
  </si>
  <si>
    <t>KAWDACR41TD</t>
  </si>
  <si>
    <t>KAWDACR41T*</t>
  </si>
  <si>
    <t>KASSSAC26TA</t>
  </si>
  <si>
    <t>KASSSAC26TB</t>
  </si>
  <si>
    <t>KASSSAC26TC</t>
  </si>
  <si>
    <t>KASSSAC26TD</t>
  </si>
  <si>
    <t>KASSSAC26T*</t>
  </si>
  <si>
    <t>KASSSAC35TA</t>
  </si>
  <si>
    <t>KASSSAC35TB</t>
  </si>
  <si>
    <t>KASSSAC35TC</t>
  </si>
  <si>
    <t>KASSSAC35TD</t>
  </si>
  <si>
    <t>KASSSAC35T*</t>
  </si>
  <si>
    <t>KASHSAC52TA</t>
  </si>
  <si>
    <t>KASHSAC52TB</t>
  </si>
  <si>
    <t>KASHSAC52TC</t>
  </si>
  <si>
    <t>KASHSAC52TD</t>
  </si>
  <si>
    <t>KASHSAC52T*</t>
  </si>
  <si>
    <t>KASSSAC82TA</t>
  </si>
  <si>
    <t>KASSSAC82TB</t>
  </si>
  <si>
    <t>KASSSAC82TC</t>
  </si>
  <si>
    <t>KASSSAC82TD</t>
  </si>
  <si>
    <t>KASSSAC82T*</t>
  </si>
  <si>
    <t>AWH002SNM1T</t>
  </si>
  <si>
    <t>LENNOX</t>
  </si>
  <si>
    <t>AWH007SNM1T</t>
  </si>
  <si>
    <t>AWH008SNM1T</t>
  </si>
  <si>
    <t>AWH010SNM1T</t>
  </si>
  <si>
    <t>AWH003SNM1T</t>
  </si>
  <si>
    <t>UU100WR2 U30/UTN100MA NA0</t>
  </si>
  <si>
    <t>LG</t>
  </si>
  <si>
    <t>UU125WR2 U30/UTN125MA NA0</t>
  </si>
  <si>
    <t>UU140WR2 U30/UTN140MA NA0</t>
  </si>
  <si>
    <t>UU25WR2 UL0/UBN25L5 N50</t>
  </si>
  <si>
    <t>UU35WR2 UL0/UBN35L5 N50</t>
  </si>
  <si>
    <t>UU50WR2 U20/UBN50L6 N60</t>
  </si>
  <si>
    <t>UU85WR2 U40/UMN85M1 N10</t>
  </si>
  <si>
    <t>UU70WR2 U40/UMN70M1 N10</t>
  </si>
  <si>
    <t>UU140WR2 U30/UMN140M3 N30</t>
  </si>
  <si>
    <t>UU100WR2 U30/UMN100M2 N20</t>
  </si>
  <si>
    <t>WH30SRU-18 / WH30SRN-18</t>
  </si>
  <si>
    <t>WH24SLU-18 / WH24SLN-18</t>
  </si>
  <si>
    <t>WH09SKU-18 / WH09SKN-18</t>
  </si>
  <si>
    <t>WH12SKU-18 / WH12SKN-18</t>
  </si>
  <si>
    <t>WH34SRU-18 / WH34SRN-18</t>
  </si>
  <si>
    <t>UU85WR2 U40/UHN85B7 N70</t>
  </si>
  <si>
    <t>UU100WR2 U30/UHN100B7 N70</t>
  </si>
  <si>
    <t>UU125WR2 U30/UHN125B7 N70</t>
  </si>
  <si>
    <t>UU150WR2 U30/UHN150B7 N70</t>
  </si>
  <si>
    <t>UU125WR2 U30/UMN125M2 N20</t>
  </si>
  <si>
    <t>WH21SLU-23  / WH21SLN-23</t>
  </si>
  <si>
    <t>UU70WR2 U40/UTN70PB NB0</t>
  </si>
  <si>
    <t>UU85WR2 U40/UTN85PB NB0</t>
  </si>
  <si>
    <t>WH18SLU-23   / WH18SLN-23</t>
  </si>
  <si>
    <t>WS24SLU-23  / WS24SLN-23</t>
  </si>
  <si>
    <t>UU140WR3 U30/UHN140M3S N30</t>
  </si>
  <si>
    <t>UU85WR3 U40/UMN85M1 N10</t>
  </si>
  <si>
    <t>UU100WR3 U30/UMN100M2 N20</t>
  </si>
  <si>
    <t>UU125WR3 U30/UMN125M2 N20</t>
  </si>
  <si>
    <t>UU140WR3 U30/UMN140M3 N30</t>
  </si>
  <si>
    <t>UU85WR3 U40/UHN85B7 N70</t>
  </si>
  <si>
    <t>UU100WR3 U30/UHN100B7 N70</t>
  </si>
  <si>
    <t>UU125WR3 U30/UHN125B7 N70</t>
  </si>
  <si>
    <t>UU150WR3 U30/UHN150B7 N70</t>
  </si>
  <si>
    <t>UU125WR3 U30/UHN125M3S N30</t>
  </si>
  <si>
    <t>UU125WR3L U30/UHN125M3S N30</t>
  </si>
  <si>
    <t>UU85WR3 U40/UTN85PB NB0</t>
  </si>
  <si>
    <t>UU100WR3 U30/UTN100MA NA0</t>
  </si>
  <si>
    <t>UU125WR3 U30/UTN125MA NA0</t>
  </si>
  <si>
    <t>UU140WR3 U30/UTN140MA NA0</t>
  </si>
  <si>
    <t>UU85WR3 U40/UHN85M2S N20</t>
  </si>
  <si>
    <t>UU150WR3 U30 / UHN150M3S N30</t>
  </si>
  <si>
    <t>UU140WR3L U30/UHN140M3S N30</t>
  </si>
  <si>
    <t>UU150WR3L U30/UHN150M3S N30</t>
  </si>
  <si>
    <t>UU100WR3 U30/UHN100M2S N20</t>
  </si>
  <si>
    <t>UU100WR3L U30 / UHN100M2S N20</t>
  </si>
  <si>
    <t>UU100WR3H U30  / UHN100M3SH N30</t>
  </si>
  <si>
    <t>WH18SLU-19 / WH18SLN-19</t>
  </si>
  <si>
    <t>WS09TWU / WS09TWN</t>
  </si>
  <si>
    <t>WS12TWU / WS12TWN</t>
  </si>
  <si>
    <t>WS24TWU / WS24TWN</t>
  </si>
  <si>
    <t>WS18TWU / WS18TWN</t>
  </si>
  <si>
    <t>B70AWYU7L6 / B70AWYN9L6</t>
  </si>
  <si>
    <t>B62AWYU7L6 / B62AWYN9L6</t>
  </si>
  <si>
    <t>AH09S1U / AH09S1N</t>
  </si>
  <si>
    <t>AS09S0U / AS09S0N</t>
  </si>
  <si>
    <t>AS12S0U / AS12S0N</t>
  </si>
  <si>
    <t>AH18S2U / AH18S2N</t>
  </si>
  <si>
    <t>AS18S1U / AS18S1N</t>
  </si>
  <si>
    <t>AH24S2U / AH24S2N</t>
  </si>
  <si>
    <t>AS24S2U / AS24S2N</t>
  </si>
  <si>
    <t>AH12S1U / AH12S1N</t>
  </si>
  <si>
    <t>MSR-J086</t>
  </si>
  <si>
    <t>Mammoth</t>
  </si>
  <si>
    <t>MSR-J086VLE</t>
  </si>
  <si>
    <t>MSR-J086VHE</t>
  </si>
  <si>
    <t>MSR-J086HLE</t>
  </si>
  <si>
    <t>MSR-J086HHE</t>
  </si>
  <si>
    <t>MSR-J100</t>
  </si>
  <si>
    <t>MSR-J100VLE</t>
  </si>
  <si>
    <t>MSR-J100VHE</t>
  </si>
  <si>
    <t>MSR-J100HLE</t>
  </si>
  <si>
    <t>MSR-J100HHE</t>
  </si>
  <si>
    <t>LZL21 ODU / LZL21 IDU</t>
  </si>
  <si>
    <t>MAXA</t>
  </si>
  <si>
    <t>LZL26 ODU / LZL26 IDU</t>
  </si>
  <si>
    <t>LZL35 ODU / LZL35 IDU</t>
  </si>
  <si>
    <t>LZL52 ODU / LZL52 IDU</t>
  </si>
  <si>
    <t>LZL72 ODU / LZL72 IDU</t>
  </si>
  <si>
    <t>LZL82 ODU / LZL82 IDU</t>
  </si>
  <si>
    <t>LZL88 ODU / LZL88 IDU</t>
  </si>
  <si>
    <t>C-WMV-25HRFN8-QD7GW</t>
  </si>
  <si>
    <t>MDV</t>
  </si>
  <si>
    <t>C-WMV-35HRFN8-QD1GW</t>
  </si>
  <si>
    <t>C-WMV-50HRFN8-QD0GW</t>
  </si>
  <si>
    <t>C-WMV-71HRFN8-QD5GW</t>
  </si>
  <si>
    <t>C-WMV-90HRFN8-QC5GW</t>
  </si>
  <si>
    <t>C-UVC-105HFN8-QC3W/CSV-105N8-QC3W</t>
  </si>
  <si>
    <t>C-UV-125N8-QC3W / CSV-125N8-QC3W</t>
  </si>
  <si>
    <t>C-UV-140N8-QC3W / CSV-140N8-QC3W</t>
  </si>
  <si>
    <t>C-UV-74N8-QC3W / CDV-74A6N8-QC3W</t>
  </si>
  <si>
    <t>C-UV-105N8-QC3W / CDV-105A6N8-QC3W</t>
  </si>
  <si>
    <t>C-UV-105N8-QC3W / CDV-105HN8-QC3W</t>
  </si>
  <si>
    <t>C-UV-125N8-QC3W / CDV-125HN8-QC3W</t>
  </si>
  <si>
    <t>C-UV-125N8-QC3W / CDV-125A6N8-QC3W</t>
  </si>
  <si>
    <t>C-UV-140N8-QC3W / CDV-140HFN8-QC3W</t>
  </si>
  <si>
    <t>C-UV-140N8-QC3W / CDV-140A6N8-QC3W</t>
  </si>
  <si>
    <t>C-UV-170N8-QC3W / CDV-170HFN8-QC3W</t>
  </si>
  <si>
    <t>C-UV-105N8-QC3W / CSV-105N8-QC3W</t>
  </si>
  <si>
    <t>C-UV-74N8-QC3W / CSV-72N8-QC7W</t>
  </si>
  <si>
    <t>MFAB26N/MFAB26W</t>
  </si>
  <si>
    <t>Midea</t>
  </si>
  <si>
    <t>MFAB26NB/MFAB26WB</t>
  </si>
  <si>
    <t>MFAB26N*/MFAB26W*</t>
  </si>
  <si>
    <t>MFAU50N&amp;MFAU50W</t>
  </si>
  <si>
    <t>MFAU50NB&amp;MFAU50WB</t>
  </si>
  <si>
    <t>MFAU50N*&amp;MFAU50W*</t>
  </si>
  <si>
    <t>MFAB70N/MFAB70W</t>
  </si>
  <si>
    <t>MFAB70NB/MFAB70WB</t>
  </si>
  <si>
    <t>MFAB70N*/MFAB70W*</t>
  </si>
  <si>
    <t>MFAB35NB/MFAB35WB</t>
  </si>
  <si>
    <t>MFAB35N/MFAB35W</t>
  </si>
  <si>
    <t>MFAB35N*/MFAB35W*</t>
  </si>
  <si>
    <t>FA35</t>
  </si>
  <si>
    <t>MIDEA</t>
  </si>
  <si>
    <t>MPPD27C</t>
  </si>
  <si>
    <t>MPPD30C</t>
  </si>
  <si>
    <t>MFXS20</t>
  </si>
  <si>
    <t>MFXS26</t>
  </si>
  <si>
    <t>MFXS35</t>
  </si>
  <si>
    <t>MFXS50</t>
  </si>
  <si>
    <t>MFXS60</t>
  </si>
  <si>
    <t>MFXS70</t>
  </si>
  <si>
    <t>MFXS80</t>
  </si>
  <si>
    <t>MFAB90WB/MFAB90NB</t>
  </si>
  <si>
    <t>MFAG26</t>
  </si>
  <si>
    <t>MFAG35</t>
  </si>
  <si>
    <t>MFAG20</t>
  </si>
  <si>
    <t>MFAG50</t>
  </si>
  <si>
    <t>MFAG60</t>
  </si>
  <si>
    <t>MFAG70</t>
  </si>
  <si>
    <t>MFAG80</t>
  </si>
  <si>
    <t>MFAU26WA/ MFAU26NA</t>
  </si>
  <si>
    <t>MFAU35WA/ MFAU35NA</t>
  </si>
  <si>
    <t>MFAU50WA/ MFAU50NA</t>
  </si>
  <si>
    <t>MFAU70WA/MFAU70NA</t>
  </si>
  <si>
    <t>MFAB50NB/MFAB50WB</t>
  </si>
  <si>
    <t>MFAB-20WC/MFAB-20NC</t>
  </si>
  <si>
    <t>MFAB-26WC/MFAB-26NC</t>
  </si>
  <si>
    <t>MFAB-35WC/MFAB-35NC</t>
  </si>
  <si>
    <t>MFAB-50WC/MFAB-50NC</t>
  </si>
  <si>
    <t>MFAB-60WC/MFAB-60NC</t>
  </si>
  <si>
    <t>MFAB-70WC/MFAB-70NC</t>
  </si>
  <si>
    <t>MFAB-80WC/MFAB-80NC</t>
  </si>
  <si>
    <t>MWF09HB4</t>
  </si>
  <si>
    <t>DUCMI70IB/UCMI70OB</t>
  </si>
  <si>
    <t>DUCMI90IB/UCMI90OB</t>
  </si>
  <si>
    <t>DUCMI105IB/UCMI105OB</t>
  </si>
  <si>
    <t>DUCMI105IHB/UCMI105OB</t>
  </si>
  <si>
    <t>DUCMI125IHB/UCMI125OB</t>
  </si>
  <si>
    <t>DUCMI140IHB/UCMI140OB</t>
  </si>
  <si>
    <t>DUCMI170IHB/UCMI170OB</t>
  </si>
  <si>
    <t>UCMI70OB/DUCMI70IB</t>
  </si>
  <si>
    <t>UCMI90OB/DUCMI90IB</t>
  </si>
  <si>
    <t>UCMI105OB/DUCMI105IHB</t>
  </si>
  <si>
    <t>UCMI140OB/DUCMI140IHB</t>
  </si>
  <si>
    <t>MPPD33H</t>
  </si>
  <si>
    <t>CASMI105IB/UCMI105OBC</t>
  </si>
  <si>
    <t>CASMI125IB/UCMI125OB</t>
  </si>
  <si>
    <t>CASMI140IB/UCMI140OB</t>
  </si>
  <si>
    <t>MFAG20VA-N/MFAG20VA-W</t>
  </si>
  <si>
    <t>MFAG26VA-N/MFAG26VA-W</t>
  </si>
  <si>
    <t>MFAG50VA-N/MFAG50VA-W</t>
  </si>
  <si>
    <t>MFAG35VA-N/MFAG35VA-W</t>
  </si>
  <si>
    <t>MFAG70VA-N/MFAG70VA-W</t>
  </si>
  <si>
    <t>MFAB-71NC/MFAB-71WC</t>
  </si>
  <si>
    <t>MFXS71N/ MFXS71W</t>
  </si>
  <si>
    <t>MF70 series</t>
  </si>
  <si>
    <t>MFAG60VA-N/MFAG60VA-W</t>
  </si>
  <si>
    <t>MFAG80VA-N/MFAG80VA-W</t>
  </si>
  <si>
    <t>MFAB-81NC/MFAB-81WC</t>
  </si>
  <si>
    <t>MFXS81N/MFXS81W</t>
  </si>
  <si>
    <t>MF80 series</t>
  </si>
  <si>
    <t>MFCA26VA-W/MFCA26VA-N</t>
  </si>
  <si>
    <t>MFCA35VA-W/MFCA35VA-N</t>
  </si>
  <si>
    <t>MFCA50VA-W/MFCA50VA-N</t>
  </si>
  <si>
    <t>MFCA70VA-W/MFCA70VA-N</t>
  </si>
  <si>
    <t>MFEP26VA-W/MFEP26VA-N</t>
  </si>
  <si>
    <t>MFEP35VA-W/MFEP35VA-N</t>
  </si>
  <si>
    <t>MFEP50VA-W/MFEP50VA-N</t>
  </si>
  <si>
    <t>MFEP70VA-W/MFEP70VA-N</t>
  </si>
  <si>
    <t>MFEP80VA-W/MFEP80VA-N</t>
  </si>
  <si>
    <t>MFEP51VA-W/MFEP51VA-N</t>
  </si>
  <si>
    <t>MFAG36VA-W/MFAG36VA-N</t>
  </si>
  <si>
    <t>MFAG51VA-W/MFAG51VA-N</t>
  </si>
  <si>
    <t>UCMI170OB/DUCMI170IHB</t>
  </si>
  <si>
    <t>UCMI105OB/CASMI105IB</t>
  </si>
  <si>
    <t>UCMI70OB/CASMI70IB</t>
  </si>
  <si>
    <t>MFXP70W/MFXP70N</t>
  </si>
  <si>
    <t>MFXP60W/MFXP60N</t>
  </si>
  <si>
    <t>MFXP20W/MFXP20N</t>
  </si>
  <si>
    <t>MFXP26W/MFXP26N</t>
  </si>
  <si>
    <t>MFXP35W/MFXP35N</t>
  </si>
  <si>
    <t>MFXP50W/MFXP50N</t>
  </si>
  <si>
    <t>MFXP80W/MFXP80N</t>
  </si>
  <si>
    <t>MFAB-60WC/MULMIO18</t>
  </si>
  <si>
    <t>MFAB-60WC/MULMIO09</t>
  </si>
  <si>
    <t>MFAB-60WC/MULMIO12</t>
  </si>
  <si>
    <t>MFAG51VA-W/MFCS50VA-N</t>
  </si>
  <si>
    <t>MWFF53H</t>
  </si>
  <si>
    <t>MWFF39H</t>
  </si>
  <si>
    <t>MPPD33HB</t>
  </si>
  <si>
    <t>MWFF26H</t>
  </si>
  <si>
    <t>MWFF22H</t>
  </si>
  <si>
    <t>MWFF28H</t>
  </si>
  <si>
    <t>MFXS35WA/MFXS35NA</t>
  </si>
  <si>
    <t>MFXP35WA/MFXP35NA</t>
  </si>
  <si>
    <t>MFAB26WC/MFAB26NC</t>
  </si>
  <si>
    <t>MFAU26WC/MFAU26NC</t>
  </si>
  <si>
    <t>MFXS20WA/MFXS20NA</t>
  </si>
  <si>
    <t>MFXP20WA/MFXP20NA</t>
  </si>
  <si>
    <t>MFXS81WA/MFXS81NA</t>
  </si>
  <si>
    <t>MFXP80WA/MFXP80NA</t>
  </si>
  <si>
    <t>MWFI36H</t>
  </si>
  <si>
    <t>UCMI70OC/DUCMI70IC</t>
  </si>
  <si>
    <t>UCMI90OC/DUCMI90IC</t>
  </si>
  <si>
    <t>UCMI105OC/DUCMI105IHC</t>
  </si>
  <si>
    <t>UCMI125OC/DUCMI125IHC</t>
  </si>
  <si>
    <t>UCMI140OC/DUCMI140IHC</t>
  </si>
  <si>
    <t>UCMI170OC/DUCMI170IHC</t>
  </si>
  <si>
    <t>MFAG90VB-W/MFAG90VB-N</t>
  </si>
  <si>
    <t>MFAB-90WD/MFAB-90ND</t>
  </si>
  <si>
    <t>MFAG20VB-W/MFAG20VB-N</t>
  </si>
  <si>
    <t>MFAB-20WD/MFAB-20ND</t>
  </si>
  <si>
    <t>MFAG26VB-W/MFAG26VB-N</t>
  </si>
  <si>
    <t>MFAG35VB-W/MFAG35VB-N</t>
  </si>
  <si>
    <t>MFAG50VB-W/MFAG50VB-N</t>
  </si>
  <si>
    <t>MFAG60VB-W/MFAG60VB-N</t>
  </si>
  <si>
    <t>MFAG70VB-W/MFAG70VB-N</t>
  </si>
  <si>
    <t>MFAB-70WD/MFAB-70ND</t>
  </si>
  <si>
    <t>MFAG80VB-W/MFAG80VB-N</t>
  </si>
  <si>
    <t>MFAB-80WD/MFAB-80ND</t>
  </si>
  <si>
    <t>MFEP26VB-W/MFEP26VB-N</t>
  </si>
  <si>
    <t>MFEP35VB-W/MFEP35VB-N</t>
  </si>
  <si>
    <t>MFEP50VB-W/MFEP50VB-N</t>
  </si>
  <si>
    <t>MFEP60VB-W/MFEP60VB-N</t>
  </si>
  <si>
    <t>MFEP70VB-W/MFEP70VB-N</t>
  </si>
  <si>
    <t>MFEP80VB-W/MFEP80VB-N</t>
  </si>
  <si>
    <t>MFEP90VB-W/MFEP90VB-N</t>
  </si>
  <si>
    <t>MFAB-35WD/MFAB-35ND</t>
  </si>
  <si>
    <t>MFAB-26WD/MFAB-26ND</t>
  </si>
  <si>
    <t>MFAB-50WD/MFAB-50ND</t>
  </si>
  <si>
    <t>MFAB-60WD/MFAB-60ND</t>
  </si>
  <si>
    <t>MFEF26VA-W/MFEF26VA-N</t>
  </si>
  <si>
    <t>MFEF20VA-W/MFEF20VA-N</t>
  </si>
  <si>
    <t>MFEZ20VA-W/MFEZ20VA-N</t>
  </si>
  <si>
    <t>MFEF35VA-W/MFEF35VA-N</t>
  </si>
  <si>
    <t>MFEF50VA-W/MFEF50VA-N</t>
  </si>
  <si>
    <t>MFEF60VA-W/MFEF60VA-N</t>
  </si>
  <si>
    <t>MFEF80VA-W/MFEF80VA-N</t>
  </si>
  <si>
    <t>MFEZ80VA-W/MFEZ80VA-N</t>
  </si>
  <si>
    <t>MFEF70VA-W/MFEF70VA-N</t>
  </si>
  <si>
    <t>MFEZ70VA-W/MFEZ70VA-N</t>
  </si>
  <si>
    <t>MFEZ26VA-W/MFEZ26VA-N</t>
  </si>
  <si>
    <t>MFEZ35VA-W/MFEZ35VA-N</t>
  </si>
  <si>
    <t>MFEZ50VA-W/MFEZ50VA-N</t>
  </si>
  <si>
    <t>MFEZ60VA-W/MFEZ60VA-N</t>
  </si>
  <si>
    <t>UCMI105OC/CASMI105IC</t>
  </si>
  <si>
    <t>UCMI125OC/CASMI125IC</t>
  </si>
  <si>
    <t>UCMI140OC/CASMI140IC</t>
  </si>
  <si>
    <t>MOUU-200HD1N1-R/ MHU-200HAN1</t>
  </si>
  <si>
    <t>MOUU-220HD1N1-R/MHU-220HAN1</t>
  </si>
  <si>
    <t>UCMI200OC-3PH/DUCMI200IHC-3PH</t>
  </si>
  <si>
    <t>UCMI220OC-3PH/DUCMI220IHC-3PH</t>
  </si>
  <si>
    <t>MTP-12IN</t>
  </si>
  <si>
    <t>Mistral</t>
  </si>
  <si>
    <t>MTP-09IN</t>
  </si>
  <si>
    <t>MUFZ-KJ50VE-A1</t>
  </si>
  <si>
    <t>Mitsubishi Electric</t>
  </si>
  <si>
    <t>MFZ-KJ60VE / MUFZ-KJ60VE</t>
  </si>
  <si>
    <t>MITSUBISHI ELECTRIC</t>
  </si>
  <si>
    <t>MFZ-KJ60VE / MUFZ-KJ60VEHZ</t>
  </si>
  <si>
    <t>MSZ-FH25VE</t>
  </si>
  <si>
    <t>MSZ-FH25VEHZ</t>
  </si>
  <si>
    <t>MSZ-FH35VE-A</t>
  </si>
  <si>
    <t>MSZ-FH50VE-A</t>
  </si>
  <si>
    <t>MSZ-FH50VEHZ</t>
  </si>
  <si>
    <t>MSZ-GE35VAD2-A</t>
  </si>
  <si>
    <t>MSZ-GE42VAD2-A</t>
  </si>
  <si>
    <t>MSZ-GE50VAD2-A</t>
  </si>
  <si>
    <t>MSZ-EF35VE2W</t>
  </si>
  <si>
    <t>MSZ-EF35VE2S</t>
  </si>
  <si>
    <t>MSZ-EF50VE2W</t>
  </si>
  <si>
    <t>MSZ-EF50VE2S</t>
  </si>
  <si>
    <t>MSZ-EF25VE2W</t>
  </si>
  <si>
    <t>MSZ-EF25VE2B</t>
  </si>
  <si>
    <t>MSZ-EF42VE2W</t>
  </si>
  <si>
    <t>MSZ-EF42VE2S</t>
  </si>
  <si>
    <t>MFZ-KJ25VE</t>
  </si>
  <si>
    <t>MSZ-GL25VGD/MUZ-GL25VGD</t>
  </si>
  <si>
    <t>MSZ-GL35VGD/MUZ-GL35VGD</t>
  </si>
  <si>
    <t>MSZ-GL42VGD/MUZ-GL42VGD</t>
  </si>
  <si>
    <t>MSZ-GL50VGD/MUZ-GL50VGD</t>
  </si>
  <si>
    <t>MSZ-GL60VGD/MUZ-GL60VGD</t>
  </si>
  <si>
    <t>MSZ-GL71VGD/MUZ-GL71VGD</t>
  </si>
  <si>
    <t>MSZ-GL80VGD/MUZ-GL80VGD</t>
  </si>
  <si>
    <t>MUZ-AS90VGD/MSZ-AS90VGD</t>
  </si>
  <si>
    <t>MUZ-GS25VFD/MSZ-GS25VFD</t>
  </si>
  <si>
    <t>MUZ-GS35VFD/MSZ-GS35VFD</t>
  </si>
  <si>
    <t>MUZ-GS50VFD/MSZ-GS50VFD</t>
  </si>
  <si>
    <t>MUZ-GS60VFD/MSZ-GS60VFD</t>
  </si>
  <si>
    <t>MUZ-GS71VFD/MSZ-GS71VFD</t>
  </si>
  <si>
    <t>MUZ-GS80VFD/MSZ-GS80VFD</t>
  </si>
  <si>
    <t>PUZ-ZM140VKA-A/PEAD-M140JAA</t>
  </si>
  <si>
    <t>PUZ-M100VKA-A/PEAD-M100JAA</t>
  </si>
  <si>
    <t>PUZ-M125VKA-A/PEAD-M125JAA</t>
  </si>
  <si>
    <t>PUZ-M125VKA-A/PEAD-M125JAAD</t>
  </si>
  <si>
    <t>PUZ-M125VKA-A/PEAD-M125JAA Series</t>
  </si>
  <si>
    <t>PUZ-M140VKA-A/PEAD-M140JAA</t>
  </si>
  <si>
    <t>PUZ-M140VKA-A/PEAD-M140JAAD</t>
  </si>
  <si>
    <t>PUZ-M140VKA-A/PEAD-M140JAA Series</t>
  </si>
  <si>
    <t>PUZ-ZM140VKA-A/PEA-M140GAA</t>
  </si>
  <si>
    <t>PUZ-ZM140VKA-A/PEA-M140HAA</t>
  </si>
  <si>
    <t>PUZ-M100VKA-A/PEA-M100GAA</t>
  </si>
  <si>
    <t>PUZ-M125VKA-A/PEA-M125GAA</t>
  </si>
  <si>
    <t>PUZ-M140VKA-A/PEA-M140GAA</t>
  </si>
  <si>
    <t>SUZ-M25VAD-A/SLZ-M25FA-A</t>
  </si>
  <si>
    <t>SUZ-M60VAD-A/SLZ-M60FA-A</t>
  </si>
  <si>
    <t>SUZ-M25VAD-A/SEZ-M25DA</t>
  </si>
  <si>
    <t>SUZ-M25VAD-A/SEZ-M25DAL</t>
  </si>
  <si>
    <t>SUZ-M25VAD-A/SEZ-M25DA Series</t>
  </si>
  <si>
    <t>SUZ-M35VAD-A/SEZ-M35DAL</t>
  </si>
  <si>
    <t>SUZ-M35VAD-A/SEZ-M35DA</t>
  </si>
  <si>
    <t>SUZ-M35VAD-A/SEZ-M35DA Series</t>
  </si>
  <si>
    <t>SUZ-M50VAD-A/SEZ-M50DA</t>
  </si>
  <si>
    <t>SUZ-M50VAD-A/SEZ-M50DAL</t>
  </si>
  <si>
    <t>SUZ-M50VAD-A/SEZ-M50DA Series</t>
  </si>
  <si>
    <t>SUZ-M60VAD-A/SEZ-M60DAL</t>
  </si>
  <si>
    <t>SUZ-M60VAD-A/SEZ-M60DA</t>
  </si>
  <si>
    <t>SUZ-M71VAD-A/SEZ-M71DA</t>
  </si>
  <si>
    <t>SUZ-M71VAD-A/SEZ-M71DAL</t>
  </si>
  <si>
    <t>PUZ-M100VKA-A/PEAD-M100JAAD</t>
  </si>
  <si>
    <t>PUZ-M100VKA-A/PEAD-M100JAA Series</t>
  </si>
  <si>
    <t>SUZ-M60VAD-A/SEZ-M60DA Series</t>
  </si>
  <si>
    <t>MUZ-AP71VGD2/MSZ-AP71VGKD2</t>
  </si>
  <si>
    <t>MUZ-AP71VGD2/MSZ-AP71VGD2</t>
  </si>
  <si>
    <t>MUZ-AP71VG2/MSZ-AP71VGKD2</t>
  </si>
  <si>
    <t>MUZ-AP71VG2/MSZ-AP71VGD2</t>
  </si>
  <si>
    <t>MUZ-AP71VG2/MSZ-AP71VGD</t>
  </si>
  <si>
    <t>MUZ-AP71VG2/MSZ-AP71VGKD</t>
  </si>
  <si>
    <t>MUZ-AP71VGD2/MSZ-AP71VGD</t>
  </si>
  <si>
    <t>MUZ-AP71VGD2/MSZ-AP71VGKD</t>
  </si>
  <si>
    <t>MUZ-AP71VG2/MSZ-AP71VG2 Series</t>
  </si>
  <si>
    <t>MUZ-AP80VG2/MSZ-AP80VGD</t>
  </si>
  <si>
    <t>MUZ-AP80VG2/MSZ-AP80VGKD</t>
  </si>
  <si>
    <t>MUZ-AP80VGD2/MSZ-AP80VGD</t>
  </si>
  <si>
    <t>MUZ-AP80VGD2/MSZ-AP80VGKD</t>
  </si>
  <si>
    <t>MUZ-AP80VG2/MSZ-AP80VGD2</t>
  </si>
  <si>
    <t>MUZ-AP80VG2/MSZ-AP80VGKD2</t>
  </si>
  <si>
    <t>MUZ-AP80VGD2/MSZ-AP80VGD2</t>
  </si>
  <si>
    <t>MUZ-AP80VGD2/MSZ-AP80VGKD2</t>
  </si>
  <si>
    <t>MUZ-AP80VG2/MSZ-AP80VG2 Series</t>
  </si>
  <si>
    <t>PUZ-ZM250YKA-A / PEA-M250LAA</t>
  </si>
  <si>
    <t>PUZ-ZM200YKA-A / PEA-M200LAA</t>
  </si>
  <si>
    <t>MUZ-LN50VG3/MSZ-LN50VG3R</t>
  </si>
  <si>
    <t>MUZ-LN50VG3/MSZ-LN50VG3B</t>
  </si>
  <si>
    <t>MUZ-LN50VG3/MSZ-LN50VG3V</t>
  </si>
  <si>
    <t>MUZ-LN60VG2/MSZ-LN60VG3R</t>
  </si>
  <si>
    <t>MUZ-LN60VG2/MSZ-LN60VG3B</t>
  </si>
  <si>
    <t>MUZ-LN60VG2/MSZ-LN60VG3V</t>
  </si>
  <si>
    <t>MUZ-LN60VG2/MSZ-LN60VG3 Series</t>
  </si>
  <si>
    <t>MUZ-LN50VG3/MSZ-LN50VG3 Series</t>
  </si>
  <si>
    <t>PUZ-ZM160VKA-A / PEA-M160HAA</t>
  </si>
  <si>
    <t>PUZ-ZM160YKA-A / PEA-M160HAA</t>
  </si>
  <si>
    <t>PUZ-ZM180VKA-A / PEA-M180LAA</t>
  </si>
  <si>
    <t>PUZ-ZM180YKA-A / PEA-M180LAA</t>
  </si>
  <si>
    <t>PUZ-ZM71VHA-A/PEAD-M71JAA</t>
  </si>
  <si>
    <t>PUZ-ZM71VHA-A/PEAD-M71JAAD</t>
  </si>
  <si>
    <t>PUZ-ZM71VHA2-A/PEAD-M71JAA</t>
  </si>
  <si>
    <t>PUZ-ZM71VHA2-A/PEAD-M71JAAD</t>
  </si>
  <si>
    <t>PUZ-ZM71VHA*-A/PEAD-M71JAA*</t>
  </si>
  <si>
    <t>PUZ-ZM71VHA*-A/PLA-M71EA*-A Series</t>
  </si>
  <si>
    <t>PUZ-ZM71VHA-A/PLA-M71EA-A</t>
  </si>
  <si>
    <t>PUZ-ZM71VHA2-A/PLA-M71EA2-A</t>
  </si>
  <si>
    <t>PUZ-ZM71VHA-A/PLA-M71EA2-A</t>
  </si>
  <si>
    <t>PUZ-ZM71VHA2-A/PLA-M71EA-A</t>
  </si>
  <si>
    <t>PUZ-ZM100YKA3-A / PEAD-M100JAA</t>
  </si>
  <si>
    <t>PUZ-ZM100YKA3-A/PLA-M100EA2-A</t>
  </si>
  <si>
    <t>PUZ-ZM100YKA3-A/PLA-M100EA-A</t>
  </si>
  <si>
    <t>PUZ-ZM100YKA2-A/PLA-M100EA2-A</t>
  </si>
  <si>
    <t>PUZ-ZM100YKA2-A/PLA-M100EA-A</t>
  </si>
  <si>
    <t>PUZ-ZM100YKA3-A/PLA-M100EA2-A Series</t>
  </si>
  <si>
    <t>PUZ-ZM100YKA3-A / PEAD-M100JAAD</t>
  </si>
  <si>
    <t>PUZ-ZM100YKA2-A / PEAD-M100JAA</t>
  </si>
  <si>
    <t>PUZ-ZM100YKA2-A / PEAD-M100JAAD</t>
  </si>
  <si>
    <t>PUZ-ZM100YKA3-A / PEAD-M100JAA(D) Series</t>
  </si>
  <si>
    <t>PUZ-ZM125VKA-A/PLA-M125EA-A</t>
  </si>
  <si>
    <t>PUZ-ZM125VKA-A/PLA-M125EA-A Series</t>
  </si>
  <si>
    <t>PUZ-ZM125VKA-A/PLA-M125EA2-A</t>
  </si>
  <si>
    <t>PUZ-ZM125VKA2-A/PLA-M125EA-A</t>
  </si>
  <si>
    <t>PUZ-ZM125VKA2-A/PLA-M125EA2-A</t>
  </si>
  <si>
    <t>PUZ-ZM100VKA-A/PLA-M100EA-A</t>
  </si>
  <si>
    <t>PUZ-ZM100VKA-A/PLA-M100EA2-A</t>
  </si>
  <si>
    <t>PUZ-ZM100VKA2-A/PLA-M100EA-A</t>
  </si>
  <si>
    <t>PUZ-ZM100VKA2-A/PLA-M100EA2-A</t>
  </si>
  <si>
    <t>PUZ-ZM100VKA*-A/PLA-M100EA*-A</t>
  </si>
  <si>
    <t>PUZ-ZM125YKA-A/PEAD-M125JAAD</t>
  </si>
  <si>
    <t>PUZ-ZM125YKA-A/PEAD-M125JAA</t>
  </si>
  <si>
    <t>PUZ-ZM125YKA2-A/PEAD-M125JAAD</t>
  </si>
  <si>
    <t>PUZ-ZM125YKA2-A/PEAD-M125JAA</t>
  </si>
  <si>
    <t>PLA-M125EA-A/PUZ-ZM125YKA-A</t>
  </si>
  <si>
    <t>PLA-M125EA2-A/PUZ-ZM125YKA-A</t>
  </si>
  <si>
    <t>PLA-M125EA-A/PUZ-ZM125YKA2-A</t>
  </si>
  <si>
    <t>PLA-M125EA2-A/PUZ-ZM125YKA2-A</t>
  </si>
  <si>
    <t>PLA-M125EA*-A/PUZ-ZM125YKA*-A Series</t>
  </si>
  <si>
    <t>PEAD-M140JAAD/PUZ-ZM140YKA-A</t>
  </si>
  <si>
    <t>PEAD-M140JAAD/PUZ-ZM140YKA2-A</t>
  </si>
  <si>
    <t>PEAD-M140JAA/PUZ-ZM140YKA-A</t>
  </si>
  <si>
    <t>PEAD-M140JAA/PUZ-ZM140YKA2-A</t>
  </si>
  <si>
    <t>PEAD-M140JAA(D)/PUZ-ZM140YKA*-A</t>
  </si>
  <si>
    <t>PUZ-ZM140YKA-A/PLA-M140EA-A</t>
  </si>
  <si>
    <t>PUZ-ZM140YKA-A/PLA-M140EA2-A</t>
  </si>
  <si>
    <t>PUZ-ZM140YKA2-A/PLA-M140EA-A</t>
  </si>
  <si>
    <t>PUZ-ZM140YKA2-A/PLA-M140EA2-A</t>
  </si>
  <si>
    <t>PUZ-ZM140YKA*-A/PLA-M140EA*-A Series</t>
  </si>
  <si>
    <t>PUZ-ZM125YKA-A/PEAD-M125JAA Series</t>
  </si>
  <si>
    <t>PUZ-ZM140VKA-A/PLA-M140EA-A Series</t>
  </si>
  <si>
    <t>PUZ-ZM140VKA-A/PLA-M140EA-A</t>
  </si>
  <si>
    <t>PUZ-ZM140VKA-A/PLA-M140EA2-A</t>
  </si>
  <si>
    <t>PUZ-ZM140VKA2-A/PLA-M140EA-A</t>
  </si>
  <si>
    <t>PUZ-ZM140VKA2-A/PLA-M140EA2-A</t>
  </si>
  <si>
    <t>SUZ-M71VAD-A/PLA-M71EA2-A</t>
  </si>
  <si>
    <t>SUZ-M71VAD-A/PLA-M71EA-A Series</t>
  </si>
  <si>
    <t>SUZ-M71VAD-A/PLA-M71EA-A</t>
  </si>
  <si>
    <t>SUZ-M60VAD-A/PCA-M60KA</t>
  </si>
  <si>
    <t>SUZ-M60VAD-A/PCA-M60KA2</t>
  </si>
  <si>
    <t>SUZ-M60VAD-A/PCA-M60KA Series</t>
  </si>
  <si>
    <t>SUZ-M50VAD-A/PCA-M50KA</t>
  </si>
  <si>
    <t>SUZ-M50VAD-A/PCA-M50KA2</t>
  </si>
  <si>
    <t>SUZ-M50VAD-A/PCA-M50KA Series</t>
  </si>
  <si>
    <t>SUZ-M71VAD-A/PCA-M71KA</t>
  </si>
  <si>
    <t>SUZ-M71VAD-A/PCA-M71KA2</t>
  </si>
  <si>
    <t>SUZ-M71VAD-A/PCA-M71KA Series</t>
  </si>
  <si>
    <t>SUZ-M25VAD-A/MLZ-KP25VF</t>
  </si>
  <si>
    <t>SUZ-M25VAD-A/MLZ-KP25VG</t>
  </si>
  <si>
    <t>SUZ-M25VAD-A/MLZ-KP25V Series</t>
  </si>
  <si>
    <t>MUZ-AP25VG2/MSZ-AP25VGD2</t>
  </si>
  <si>
    <t>MUZ-AP25VGD2/MSZ-AP25VGKD2</t>
  </si>
  <si>
    <t>MUZ-AP25VGD2/MSZ-AP25VGD2</t>
  </si>
  <si>
    <t>MUZ-AP25VG2/MSZ-AP25VGKD2</t>
  </si>
  <si>
    <t>MUZ-AP25VG2/MSZ-AP25VG2 Series</t>
  </si>
  <si>
    <t>MUZ-AP25VG2/MSZ-AP25VGD</t>
  </si>
  <si>
    <t>MUZ-AP25VGD2/MSZ-AP25VGD</t>
  </si>
  <si>
    <t>MUZ-AP42VG/MSZ-AP42VG Series</t>
  </si>
  <si>
    <t>MUZ-AP42VG/MSZ-AP42VGD</t>
  </si>
  <si>
    <t>MUZ-AP42VG/MSZ-AP42VGKD</t>
  </si>
  <si>
    <t>MUZ-AP42VGD/MSZ-AP42VGD</t>
  </si>
  <si>
    <t>MUZ-AP42VGD/MSZ-AP42VGKD</t>
  </si>
  <si>
    <t>MUZ-AP42VG/MSZ-AP42VGD2</t>
  </si>
  <si>
    <t>MUZ-AP42VGD/MSZ-AP42VGD2</t>
  </si>
  <si>
    <t>MUZ-AP50VG/MSZ-AP50VG Series</t>
  </si>
  <si>
    <t>MUZ-AP50VGD/MSZ-AP50VGKD</t>
  </si>
  <si>
    <t>MUZ-AP50VGD/MSZ-AP50VGD</t>
  </si>
  <si>
    <t>MUZ-AP50VG/MSZ-AP50VGKD</t>
  </si>
  <si>
    <t>MUZ-AP50VG/MSZ-AP50VGD</t>
  </si>
  <si>
    <t>MUZ-AP50VGD/MSZ-AP50VGD2</t>
  </si>
  <si>
    <t>MUZ-AP50VG/MSZ-AP50VGD2</t>
  </si>
  <si>
    <t>MUZ-AP50VG2/MSZ-AP50VG2 Series</t>
  </si>
  <si>
    <t>MUZ-AP50VGD2/MSZ-AP50VGKD2</t>
  </si>
  <si>
    <t>MUZ-AP50VGD2/MSZ-AP50VGD2</t>
  </si>
  <si>
    <t>MUZ-AP50VG2/MSZ-AP50VGKD2</t>
  </si>
  <si>
    <t>MUZ-AP50VG2/MSZ-AP50VGD2</t>
  </si>
  <si>
    <t>MUZ-AP50VGD2/MSZ-AP50VGD</t>
  </si>
  <si>
    <t>MUZ-AP50VG2/MSZ-AP50VGD</t>
  </si>
  <si>
    <t>MUZ-AP60VG2/MSZ-AP60VGD2</t>
  </si>
  <si>
    <t>MUZ-AP60VG2/MSZ-AP60VGKD2</t>
  </si>
  <si>
    <t>MUZ-AP60VGD2/MSZ-AP60VGD2</t>
  </si>
  <si>
    <t>MUZ-AP60VGD2/MSZ-AP60VGKD2</t>
  </si>
  <si>
    <t>MUZ-AP60VG2/MSZ-AP60VG2 Series</t>
  </si>
  <si>
    <t>MUZ-AP60VG2/MSZ-AP60VGD</t>
  </si>
  <si>
    <t>MUZ-AP60VGD2/MSZ-AP60VGD</t>
  </si>
  <si>
    <t>MUZ-AP60VG/MSZ-AP60VGD</t>
  </si>
  <si>
    <t>MUZ-AP60VG/MSZ-AP60VG Series</t>
  </si>
  <si>
    <t>MUZ-AP60VG/MSZ-AP60VGKD</t>
  </si>
  <si>
    <t>MUZ-AP60VGD/MSZ-AP60VGD</t>
  </si>
  <si>
    <t>MUZ-AP60VGD/MSZ-AP60VGKD</t>
  </si>
  <si>
    <t>MUZ-AP60VG/MSZ-AP60VGD2</t>
  </si>
  <si>
    <t>MUZ-AP60VGD/MSZ-AP60VGD2</t>
  </si>
  <si>
    <t>MUZ-AP42VG2/MSZ-AP42VGD2</t>
  </si>
  <si>
    <t>MUZ-AP42VG2/MSZ-AP42VG2 Series</t>
  </si>
  <si>
    <t>MUZ-AP42VG2/MSZ-AP42VGKD2</t>
  </si>
  <si>
    <t>MUZ-AP42VGD2/MSZ-AP42VGD2</t>
  </si>
  <si>
    <t>MUZ-AP42VGD2/MSZ-AP42VGKD2</t>
  </si>
  <si>
    <t>MUZ-AP42VG2/MSZ-AP42VGD</t>
  </si>
  <si>
    <t>MUZ-AP42VGD2/MSZ-AP42VGD</t>
  </si>
  <si>
    <t>MUZ-AP35VG2/MSZ-AP35VG2 Series</t>
  </si>
  <si>
    <t>MUZ-AP35VGD2/MSZ-AP35VGKD2</t>
  </si>
  <si>
    <t>MUZ-AP35VGD2/MSZ-AP35VGD2</t>
  </si>
  <si>
    <t>MUZ-AP35VG2/MSZ-AP35VGKD2</t>
  </si>
  <si>
    <t>MUZ-AP35VG2/MSZ-AP35VGD2</t>
  </si>
  <si>
    <t>MUZ-AP35VGD2/MSZ-AP35VGD</t>
  </si>
  <si>
    <t>MUZ-AP35VG2/MSZ-AP35VGD</t>
  </si>
  <si>
    <t>MUZ-AP35VG/MSZ-AP35VG Series</t>
  </si>
  <si>
    <t>MUZ-AP35VGD/MSZ-AP35VGKD</t>
  </si>
  <si>
    <t>MUZ-AP35VGD/MSZ-AP35VGD</t>
  </si>
  <si>
    <t>MUZ-AP35VG/MSZ-AP35VGKD</t>
  </si>
  <si>
    <t>MUZ-AP35VG/MSZ-AP35VGD</t>
  </si>
  <si>
    <t>MUZ-AP35VGD/MSZ-AP35VGD2</t>
  </si>
  <si>
    <t>MUZ-AP35VG/MSZ-AP35VGD2</t>
  </si>
  <si>
    <t>MUZ-AP25VG/MSZ-AP25VGD</t>
  </si>
  <si>
    <t>MUZ-AP25VG/MSZ-AP25VG Series</t>
  </si>
  <si>
    <t>MUZ-AP25VGD/MSZ-AP25VGKD</t>
  </si>
  <si>
    <t>MUZ-AP25VGD/MSZ-AP25VGD</t>
  </si>
  <si>
    <t>MUZ-AP25VG/MSZ-AP25VGKD</t>
  </si>
  <si>
    <t>MUZ-AP25VGD/MSZ-AP25VGD2</t>
  </si>
  <si>
    <t>MUZ-AP25VG/MSZ-AP25VGD2</t>
  </si>
  <si>
    <t>MUZ-AP80VG/MSZ-AP80VG Series</t>
  </si>
  <si>
    <t>MUZ-AP80VGD/MSZ-AP80VGKD</t>
  </si>
  <si>
    <t>MUZ-AP80VGD/MSZ-AP80VGD</t>
  </si>
  <si>
    <t>MUZ-AP80VG/MSZ-AP80VGKD</t>
  </si>
  <si>
    <t>MUZ-AP80VG/MSZ-AP80VGD</t>
  </si>
  <si>
    <t>MUZ-AP80VGD/MSZ-AP80VGD2</t>
  </si>
  <si>
    <t>MUZ-AP80VG/MSZ-AP80VGD2</t>
  </si>
  <si>
    <t>MUZ-AP71VG/MSZ-AP71VG Series</t>
  </si>
  <si>
    <t>MUZ-AP71VG/MSZ-AP71VGD</t>
  </si>
  <si>
    <t>MUZ-AP71VG/MSZ-AP71VGKD</t>
  </si>
  <si>
    <t>MUZ-AP71VGD/MSZ-AP71VGD</t>
  </si>
  <si>
    <t>MUZ-AP71VGD/MSZ-AP71VGKD</t>
  </si>
  <si>
    <t>MUZ-AP71VG/MSZ-AP71VGD2</t>
  </si>
  <si>
    <t>MUZ-AP71VGD/MSZ-AP71VGD2</t>
  </si>
  <si>
    <t>MUZ-EF25VGD/MSZ-EF25VGKDW</t>
  </si>
  <si>
    <t>MUZ-EF25VGD/MSZ-EF25VGKDB</t>
  </si>
  <si>
    <t>MUZ-EF25VGD/MSZ-EF25VGKDS</t>
  </si>
  <si>
    <t>MUZ-EF25VGD/MSZ-EF25VGDW</t>
  </si>
  <si>
    <t>MUZ-EF25VGD/MSZ-EF25VGDB</t>
  </si>
  <si>
    <t>MUZ-EF25VGD/MSZ-EF25VGDS</t>
  </si>
  <si>
    <t>MUZ-EF25VGD/MSZ-EF25VGKD(W)(B)(S)</t>
  </si>
  <si>
    <t>MUZ-EF35VGD/MSZ-EF35VGKDW</t>
  </si>
  <si>
    <t>MUZ-EF35VGD/MSZ-EF35VGKDB</t>
  </si>
  <si>
    <t>MUZ-EF35VGD/MSZ-EF35VGKDS</t>
  </si>
  <si>
    <t>MUZ-EF35VGD/MSZ-EF35VGDW</t>
  </si>
  <si>
    <t>MUZ-EF35VGD/MSZ-EF35VGDB</t>
  </si>
  <si>
    <t>MUZ-EF35VGD/MSZ-EF35VGDS</t>
  </si>
  <si>
    <t>MUZ-EF35VGD/MSZ-EF35VGKD(W)(B)(S)</t>
  </si>
  <si>
    <t>MUZ-EF42VGD/MSZ-EF42VGKDW</t>
  </si>
  <si>
    <t>MUZ-EF42VGD/MSZ-EF42VGKDB</t>
  </si>
  <si>
    <t>MUZ-EF42VGD/MSZ-EF42VGKDS</t>
  </si>
  <si>
    <t>MUZ-EF42VGD/MSZ-EF42VGDW</t>
  </si>
  <si>
    <t>MUZ-EF42VGD/MSZ-EF42VGDB</t>
  </si>
  <si>
    <t>MUZ-EF42VGD/MSZ-EF42VGDS</t>
  </si>
  <si>
    <t>MUZ-EF42VGD/MSZ-EF42VGKD(W)(B)(S)</t>
  </si>
  <si>
    <t>MUZ-EF50VGD/MSZ-EF50VGKDW</t>
  </si>
  <si>
    <t>MUZ-EF50VGD/MSZ-EF50VGKDB</t>
  </si>
  <si>
    <t>MUZ-EF50VGD/MSZ-EF50VGKDS</t>
  </si>
  <si>
    <t>MUZ-EF50VGD/MSZ-EF50VGDW</t>
  </si>
  <si>
    <t>MUZ-EF50VGD/MSZ-EF50VGDB</t>
  </si>
  <si>
    <t>MUZ-EF50VGD/MSZ-EF50VGDS</t>
  </si>
  <si>
    <t>MUZ-EF50VGD/MSZ-EF50VGKD(W)(B)(S)</t>
  </si>
  <si>
    <t>PUZ-ZM125VKA-A/PEAD-M125JAA</t>
  </si>
  <si>
    <t>PUZ-ZM125VKA2-A/PEAD-M125JAA</t>
  </si>
  <si>
    <t>PUZ-ZM125VKA-A/PEAD-M125JAAD</t>
  </si>
  <si>
    <t>PUZ-ZM125VKA2-A/PEAD-M125JAAD</t>
  </si>
  <si>
    <t>PUZ-ZM125VKA(2)-A/PEAD-M125JAA(D) Series</t>
  </si>
  <si>
    <t>PUZ-ZM140VKA-A/PEAD-M140JAAD</t>
  </si>
  <si>
    <t>PUZ-ZM140VKA2-A/PEAD-M140JAAD</t>
  </si>
  <si>
    <t>PUZ-ZM140VKA(2)-A/PEAD-M140JAA(D) Series</t>
  </si>
  <si>
    <t>PUZ-ZM140VKA2-A/PEAD-M140JAA</t>
  </si>
  <si>
    <t>PUZ-ZM100VKA-A/PEAD-M100JAA</t>
  </si>
  <si>
    <t>PUZ-ZM100VKA2-A/PEAD-M100JAA</t>
  </si>
  <si>
    <t>PUZ-ZM100VKA2-A/PEAD-M100JAAD</t>
  </si>
  <si>
    <t>PUZ-ZM100VKA-A/PEAD-M100JAAD</t>
  </si>
  <si>
    <t>PUZ-ZM100VKA-A/PEAD-M100JAA Series</t>
  </si>
  <si>
    <t>SUZ-M71VAD-A/PEAD-M71JAA</t>
  </si>
  <si>
    <t>SUZ-M71VAD-A/PEAD-M71JAAD</t>
  </si>
  <si>
    <t>SUZ-M71VAD-A/PEAD-M71JAA Series</t>
  </si>
  <si>
    <t>MUFZ-KW25VG2/MFZ-KW25VGK</t>
  </si>
  <si>
    <t>MUFZ-KW35VG2/MFZ-KW35VGK</t>
  </si>
  <si>
    <t>MUFZ-KW42VG2/MFZ-KW42VGK</t>
  </si>
  <si>
    <t>MUFZ-KW50VGHZ2/MFZ-KW50VGK</t>
  </si>
  <si>
    <t>MUFZ-KW50VG2/MFZ-KW50VGK</t>
  </si>
  <si>
    <t>MUFZ-KW50VG2/MFZ-KW50VGK Series</t>
  </si>
  <si>
    <t>MUFZ-KW60VG2/MFZ-KW60VGK</t>
  </si>
  <si>
    <t>MUFZ-KW60VGHZ2/MFZ-KW60VGK</t>
  </si>
  <si>
    <t>MUFZ-KW60VG2/MFZ-KW60VGK Series</t>
  </si>
  <si>
    <t>SUZ-M60VAD-A/PEAD-M60JAA</t>
  </si>
  <si>
    <t>SUZ-M60VAD-A/PEAD-M60JAAD</t>
  </si>
  <si>
    <t>SUZ-M60VAD-A/PEAD-M60JAA Series</t>
  </si>
  <si>
    <t>SUZ-M71VAD-A/SEZ-M71DA Series</t>
  </si>
  <si>
    <t>MUZ-LN25VG2/MSZ-LN25VG2V</t>
  </si>
  <si>
    <t>MUZ-LN25VG2/MSZ-LN25VG2 Series</t>
  </si>
  <si>
    <t>MUZ-LN25VG2/MSZ-LN25VG2B</t>
  </si>
  <si>
    <t>MUZ-LN25VG2/MSZ-LN25VG2R</t>
  </si>
  <si>
    <t>MUZ-LN35VG2/MSZ-LN35VG2R</t>
  </si>
  <si>
    <t>MUZ-LN35VG2/MSZ-LN35VG2B</t>
  </si>
  <si>
    <t>MUZ-LN35VG2/MSZ-LN35VG2V</t>
  </si>
  <si>
    <t>MUZ-LN35VG2/MSZ-LN35VG2 Series</t>
  </si>
  <si>
    <t>MUZ-AP20VG/MSZ-AP20VGD</t>
  </si>
  <si>
    <t>MUZ-AP20VGD/MSZ-AP20VGD</t>
  </si>
  <si>
    <t>MUZ-AP20VG*/MSZ-AP20VGD Series</t>
  </si>
  <si>
    <t>PUZ-M125VKA-A/PLA-M125EA-A</t>
  </si>
  <si>
    <t>PUZ-M125VKA-A/PLA-M125EA2-A</t>
  </si>
  <si>
    <t>PUZ-M125VKA-A/PLA-M125EA-A Series</t>
  </si>
  <si>
    <t>PUZ-M100VKA-A/PLA-M100EA-A</t>
  </si>
  <si>
    <t>PUZ-M100VKA-A/PLA-M100EA2-A</t>
  </si>
  <si>
    <t>PUZ-M100VKA-A/PLA-M100EA-A Series</t>
  </si>
  <si>
    <t>PUZ-M125VKA-A/PCA-M125KA</t>
  </si>
  <si>
    <t>PUZ-M125VKA-A/PCA-M125KA2</t>
  </si>
  <si>
    <t>PUZ-M125VKA-A/PCA-M125KA Series</t>
  </si>
  <si>
    <t>PUZ-M100VKA-A/PCA-M100KA</t>
  </si>
  <si>
    <t>PUZ-M100VKA-A/PCA-M100KA2</t>
  </si>
  <si>
    <t>PUZ-M100VKA-A/PCA-M100KA Series</t>
  </si>
  <si>
    <t>PUZ-M140VKA-A/PEA-M140HAA</t>
  </si>
  <si>
    <t>PUZ-M125VKA-A/PEA-M125HAA</t>
  </si>
  <si>
    <t>PUZ-M100VKA-A/PEA-M100HAA</t>
  </si>
  <si>
    <t>PUZ-ZM100VKA-A/PEA-M100GAA</t>
  </si>
  <si>
    <t>PUZ-ZM100VKA2-A/PEA-M100GAA</t>
  </si>
  <si>
    <t>PUZ-ZM100VKA-A/PEA-M100GAA Series</t>
  </si>
  <si>
    <t>PUZ-ZM125VKA-A/PEA-M125GAA</t>
  </si>
  <si>
    <t>PUZ-ZM125VKA2-A/PEA-M125GAA</t>
  </si>
  <si>
    <t>PUZ-ZM125VKA2-A/PEA-M125GAA Series</t>
  </si>
  <si>
    <t>PUZ-ZM140VKA2-A/PEA-M140GAA</t>
  </si>
  <si>
    <t>PUZ-ZM100YKA3-A/PEA-M100GAA</t>
  </si>
  <si>
    <t>PUZ-ZM100YKA2-A/PEA-M100GAA</t>
  </si>
  <si>
    <t>PUZ-ZM100YKA3-A/PEA-M100GAA Series</t>
  </si>
  <si>
    <t>PUZ-ZM125YKA-A/PEA-M125GAA</t>
  </si>
  <si>
    <t>PUZ-ZM125YKA2-A/PEA-M125GAA</t>
  </si>
  <si>
    <t>PUZ-ZM125YKA2-A/PEA-M125GAA Series</t>
  </si>
  <si>
    <t>PUZ-ZM140YKA-A/PEA-M140GAA</t>
  </si>
  <si>
    <t>PUZ-ZM140YKA2-A/PEA-M140GAA</t>
  </si>
  <si>
    <t>PUZ-ZM140YKA2-A/PEA-M140GAA Series</t>
  </si>
  <si>
    <t>PUZ-ZM100YKA3-A / PEA-M100HAA</t>
  </si>
  <si>
    <t>PUZ-ZM100YKA2-A / PEA-M100HAA</t>
  </si>
  <si>
    <t>PUZ-ZM100YKA3-A / PEA-M100HAA Series</t>
  </si>
  <si>
    <t>PUZ-ZM125VKA-A/PEA-M125HAA</t>
  </si>
  <si>
    <t>PUZ-ZM125VKA2-A/PEA-M125HAA</t>
  </si>
  <si>
    <t>PUZ-ZM125VKA2-A/PEA-M125HAA Series</t>
  </si>
  <si>
    <t>PUZ-ZM140VKA2-A/PEA-M140HAA</t>
  </si>
  <si>
    <t>PUZ-ZM140VKA2-A/PEA-M140HAA Series</t>
  </si>
  <si>
    <t>PUZ-ZM100VKA-A/PEA-M100HAA</t>
  </si>
  <si>
    <t>PUZ-ZM100VKA2-A/PEA-M100HAA</t>
  </si>
  <si>
    <t>PUZ-ZM100VKA2-A/PEA-M100HAA Series</t>
  </si>
  <si>
    <t>PUZ-ZM125YKA-A/PEA-M125HAA</t>
  </si>
  <si>
    <t>PUZ-ZM125YKA2-A/PEA-M125HAA</t>
  </si>
  <si>
    <t>PUZ-ZM125YKA2-A/PEA-M125HAA Series</t>
  </si>
  <si>
    <t>PUZ-ZM140YKA-A/PEA-M140HAA</t>
  </si>
  <si>
    <t>PUZ-ZM140YKA2-A/PEA-M140HAA</t>
  </si>
  <si>
    <t>PUZ-ZM140YKA2-A/PEA-M140HAA Series</t>
  </si>
  <si>
    <t>MUZ-GS25VFD2 / MSZ-GS25VFD2</t>
  </si>
  <si>
    <t>MUZ-GS25VFD2 / MSZ-GS25VFD</t>
  </si>
  <si>
    <t>MUZ-GS25VFD / MSZ-GS25VFD2</t>
  </si>
  <si>
    <t>MUZ-GS50VFD2 / MSZ-GS50VFD2</t>
  </si>
  <si>
    <t>MUZ-GS50VFD2 / MSZ-GS50VFD</t>
  </si>
  <si>
    <t>MUZ-GS50VFD / MSZ-GS50VFD2</t>
  </si>
  <si>
    <t>MUZ-GS50VFD2 / MSZ-GS50VFD2 Series</t>
  </si>
  <si>
    <t>MUZ-GS60VFD2 / MSZ-GS60VFD2</t>
  </si>
  <si>
    <t>MUZ-GS60VFD2 / MSZ-GS60VFD</t>
  </si>
  <si>
    <t>MUZ-GS60VFD / MSZ-GS60VFD2</t>
  </si>
  <si>
    <t>MUZ-GS60VFD2 / MSZ-GS60VFD2 Series</t>
  </si>
  <si>
    <t>MUZ-GS80VFD2 / MSZ-GS80VFD2</t>
  </si>
  <si>
    <t>MUZ-GS80VFD2 / MSZ-GS80VFD</t>
  </si>
  <si>
    <t>MUZ-GS80VFD / MSZ-GS80VFD2</t>
  </si>
  <si>
    <t>MUZ-GS80VFD2 / MSZ-GS80VFD2 Series</t>
  </si>
  <si>
    <t>PUZ-ZM71VHA2-A/PCA-M71KA</t>
  </si>
  <si>
    <t>PUZ-ZM71VHA2-A/PCA-M71KA2</t>
  </si>
  <si>
    <t>PUZ-ZM71VHA-A/PCA-M71KA2</t>
  </si>
  <si>
    <t>PUZ-ZM71VHA*-A/PCA-M71KA* Series</t>
  </si>
  <si>
    <t>PUZ-ZM71VHA-A/PCA-M71KA</t>
  </si>
  <si>
    <t>PUZ-ZM71VHA2-A/PCA-M71KA3</t>
  </si>
  <si>
    <t>PUZ-ZM71VHA-A/PCA-M71KA3</t>
  </si>
  <si>
    <t>PUZ-ZM71VHA-A/PCA-M71HA</t>
  </si>
  <si>
    <t>PUZ-ZM71VHA2-A/PCA-M71HA2</t>
  </si>
  <si>
    <t>PUZ-ZM71VHA-A/PCA-M71HA2</t>
  </si>
  <si>
    <t>PUZ-ZM71VHA2-A/PCA-M71HA</t>
  </si>
  <si>
    <t>PUZ-ZM71VHA*-A/PCA-M71HA* Series</t>
  </si>
  <si>
    <t>PUZ-ZM71VHA2-A/PCA-M71HA3</t>
  </si>
  <si>
    <t>PUZ-ZM71VHA-A/PCA-M71HA3</t>
  </si>
  <si>
    <t>PUZ-ZM100YKA3-A/PKA-M100KA2</t>
  </si>
  <si>
    <t>PUZ-ZM100YKA3-A/PKA-M100KAL2</t>
  </si>
  <si>
    <t>PUZ-ZM100YKA3-A/PKA-M100KA</t>
  </si>
  <si>
    <t>PUZ-ZM100YKA3-A/PKA-M100KAL</t>
  </si>
  <si>
    <t>PUZ-ZM100YKA2-A/PKA-M100KA2</t>
  </si>
  <si>
    <t>PUZ-ZM100YKA2-A/PKA-M100KAL2</t>
  </si>
  <si>
    <t>PUZ-ZM100YKA2-A/PKA-M100KA</t>
  </si>
  <si>
    <t>PUZ-ZM100YKA2-A/PKA-M100KAL</t>
  </si>
  <si>
    <t>PUZ-ZM100YKA3-A/PKA-M100KA2 Series</t>
  </si>
  <si>
    <t>PUZ-ZM100YKA3-A/PKA-M100KAL3</t>
  </si>
  <si>
    <t>PUZ-ZM100YKA3-A/PKA-M100KA3</t>
  </si>
  <si>
    <t>PUZ-ZM125YKA-A/PCA-M125KA Series</t>
  </si>
  <si>
    <t>PUZ-ZM125YKA2-A/PCA-M125KA3</t>
  </si>
  <si>
    <t>PUZ-ZM125YKA-A/PCA-M125KA3</t>
  </si>
  <si>
    <t>PUZ-ZM125YKA-A/PCA-M125KA2</t>
  </si>
  <si>
    <t>PUZ-ZM125YKA2-A/PCA-M125KA</t>
  </si>
  <si>
    <t>PUZ-ZM125YKA2-A/PCA-M125KA2</t>
  </si>
  <si>
    <t>PUZ-ZM125YKA-A/PCA-M125KA</t>
  </si>
  <si>
    <t>PUZ-ZM140VKA2-A/PCA-M140KA3</t>
  </si>
  <si>
    <t>PUZ-ZM140VKA-A/PCA-M140KA3</t>
  </si>
  <si>
    <t>PUZ-ZM140VKA-A/PCA-M140KA</t>
  </si>
  <si>
    <t>PUZ-ZM140VKA-A/PCA-M140KA2</t>
  </si>
  <si>
    <t>PUZ-ZM140VKA2-A/PCA-M140KA</t>
  </si>
  <si>
    <t>PUZ-ZM140VKA2-A/PCA-M140KA2</t>
  </si>
  <si>
    <t>PUZ-ZM140VKA-A/PCA-M140KA Series</t>
  </si>
  <si>
    <t>PUZ-ZM71VHA2-A/PKA-M71KA3</t>
  </si>
  <si>
    <t>PUZ-ZM71VHA2-A/PKA-M71KAL3</t>
  </si>
  <si>
    <t>PUZ-ZM71VHA*-A/PKA-M71KA** Series</t>
  </si>
  <si>
    <t>PUZ-ZM71VHA-A/PKA-M71KA</t>
  </si>
  <si>
    <t>PUZ-ZM71VHA-A/PKA-M71KAL</t>
  </si>
  <si>
    <t>PUZ-ZM71VHA2-A/PKA-M71KA2</t>
  </si>
  <si>
    <t>PUZ-ZM71VHA2-A/PKA-M71KAL2</t>
  </si>
  <si>
    <t>PUZ-ZM71VHA-A/PKA-M71KA2</t>
  </si>
  <si>
    <t>PUZ-ZM71VHA-A/PKA-M71KAL2</t>
  </si>
  <si>
    <t>PUZ-ZM71VHA2-A/PKA-M71KA</t>
  </si>
  <si>
    <t>PUZ-ZM71VHA2-A/PKA-M71KAL</t>
  </si>
  <si>
    <t>PUZ-ZM100VKA2-A/PCA-M100KA3</t>
  </si>
  <si>
    <t>PUZ-ZM100VKA-A/PCA-M100KA</t>
  </si>
  <si>
    <t>PUZ-ZM100VKA-A/PCA-M100KA2</t>
  </si>
  <si>
    <t>PUZ-ZM100VKA2-A/PCA-M100KA</t>
  </si>
  <si>
    <t>PUZ-ZM100VKA2-A/PCA-M100KA2</t>
  </si>
  <si>
    <t>PUZ-ZM100VKA-A/PCA-M100KA Series</t>
  </si>
  <si>
    <t>PUZ-ZM100YKA3-A/PCA-M100KA</t>
  </si>
  <si>
    <t>PUZ-ZM100YKA2-A/PCA-M100KA2</t>
  </si>
  <si>
    <t>PUZ-ZM100YKA2-A/PCA-M100KA</t>
  </si>
  <si>
    <t>PUZ-ZM100YKA3-A/PCA-M100KA2</t>
  </si>
  <si>
    <t>PUZ-ZM100YKA3/PCA-M100KA Series</t>
  </si>
  <si>
    <t>PUZ-ZM100YKA3-A/PCA-M100KA3</t>
  </si>
  <si>
    <t>PUZ-ZM100YKA2-A/PCA-M100KA3</t>
  </si>
  <si>
    <t>PUZ-ZM125VKA-A/PCA-M125KA</t>
  </si>
  <si>
    <t>PUZ-ZM125VKA-A/PCA-M125KA2</t>
  </si>
  <si>
    <t>PUZ-ZM125VKA2-A/PCA-M125KA</t>
  </si>
  <si>
    <t>PUZ-ZM125VKA2-A/PCA-M125KA2</t>
  </si>
  <si>
    <t>PUZ-ZM125VKA-A/PCA-M125KA Series</t>
  </si>
  <si>
    <t>PUZ-ZM125VKA2-A/PCA-M125KA3</t>
  </si>
  <si>
    <t>PUZ-ZM125VKA-A/PCA-M125KA3</t>
  </si>
  <si>
    <t>PUZ-ZM140YKA2-A/PCA-M140KA3</t>
  </si>
  <si>
    <t>PUZ-ZM140YKA-A/PCA-M140KA</t>
  </si>
  <si>
    <t>PUZ-ZM140YKA-A/PCA-M140KA2</t>
  </si>
  <si>
    <t>PUZ-ZM140YKA2-A/PCA-M140KA</t>
  </si>
  <si>
    <t>PUZ-ZM140YKA2-A/PCA-M140KA2</t>
  </si>
  <si>
    <t>PUZ-ZM140YKA-A/PCA-M140KA Series</t>
  </si>
  <si>
    <t>PUZ-ZM140YKA-A/PCA-M140KA3</t>
  </si>
  <si>
    <t>PUZ-ZM100VKA2-A/PKA-M100KAL3</t>
  </si>
  <si>
    <t>PUZ-ZM100VKA2-A/PKA-M100KA3</t>
  </si>
  <si>
    <t>PUZ-ZM100VKA-A/PKA-M100KAL2</t>
  </si>
  <si>
    <t>PUZ-ZM100VKA-A/PKA-M100KA2</t>
  </si>
  <si>
    <t>PUZ-ZM100VKA-A/PKA-M100KAL</t>
  </si>
  <si>
    <t>PUZ-ZM100VKA-A/PKA-M100KA</t>
  </si>
  <si>
    <t>PUZ-ZM100VKA-A/PKA-M100KA Series</t>
  </si>
  <si>
    <t>PUZ-ZM100VKA2-A/PKA-M100KAL</t>
  </si>
  <si>
    <t>PUZ-ZM100VKA2-A/PKA-M100KA</t>
  </si>
  <si>
    <t>PUZ-ZM100VKA2-A/PKA-M100KAL2</t>
  </si>
  <si>
    <t>PUZ-ZM100VKA2-A/PKA-M100KA2</t>
  </si>
  <si>
    <t>MUZ-GS35VFD2/MSZ-GS35VFD</t>
  </si>
  <si>
    <t>MUZ-GS35VFD/MSZ-GS35VFD2</t>
  </si>
  <si>
    <t>MUZ-GS35VFD2/MSZ-GS35VFD2</t>
  </si>
  <si>
    <t>MUZ-GS35VFD2/MSZ-GS35VFD2 Series</t>
  </si>
  <si>
    <t>MUZ-GS71VFD2/MSZ-GS71VFD</t>
  </si>
  <si>
    <t>MUZ-GS71VFD/MSZ-GS71VFD2</t>
  </si>
  <si>
    <t>MUZ-GS71VFD2/MSZ-GS71VFD2</t>
  </si>
  <si>
    <t>SUZ-M35VAD-A/MLZ-KP35VF</t>
  </si>
  <si>
    <t>SUZ-M35VAD-A/MLZ-KP35VG</t>
  </si>
  <si>
    <t>SUZ-M35VAD2-A/MLZ-KP35VG</t>
  </si>
  <si>
    <t>SUZ-M35VAD2-A/MLZ-KP35V Series</t>
  </si>
  <si>
    <t>SUZ-M50VAD-A/MLZ-KP50VF</t>
  </si>
  <si>
    <t>SUZ-M50VAD-A/MLZ-KP50VG</t>
  </si>
  <si>
    <t>SUZ-M50VAD2-A/MLZ-KP50VG</t>
  </si>
  <si>
    <t>SUZ-M50VAD2-A/MLZ-KP50VF</t>
  </si>
  <si>
    <t>SUZ-M50VAD2-A/MLZ-KP50V Series</t>
  </si>
  <si>
    <t>SUZ-M50VAD2-A/PEAD-M50JAAD</t>
  </si>
  <si>
    <t>SUZ-M50VAD2-A/PEAD-M50JAA</t>
  </si>
  <si>
    <t>SUZ-M50VAD2-A/PEAD-M50JAA Series</t>
  </si>
  <si>
    <t>SUZ-M50VAD-A/PEAD-M50JAAD</t>
  </si>
  <si>
    <t>SUZ-M50VAD-A/PEAD-M50JAA</t>
  </si>
  <si>
    <t>SUZ-M60VAD2-A/SEZ-M60DAL3</t>
  </si>
  <si>
    <t>SUZ-M60VAD2-A/SEZ-M60DA3</t>
  </si>
  <si>
    <t>SUZ-M60VAD2-A/SEZ-M60DAL</t>
  </si>
  <si>
    <t>SUZ-M60VAD2-A/SEZ-M60DA</t>
  </si>
  <si>
    <t>SUZ-M60VAD-A/SEZ-M60DAL3</t>
  </si>
  <si>
    <t>SUZ-M60VAD-A/SEZ-M60DA3</t>
  </si>
  <si>
    <t>SUZ-M60VAD2-A/SEZ-M60DA Series</t>
  </si>
  <si>
    <t>MUZ-LN60VGHZ/MSZ-LN60VGDR</t>
  </si>
  <si>
    <t>MUZ-LN60VGHZ/MSZ-LN60VGDB</t>
  </si>
  <si>
    <t>MUZ-LN60VGHZ/MSZ-LN60VGDV</t>
  </si>
  <si>
    <t>MUZ-LN60VGHZ/MSZ-LN60VGD Series</t>
  </si>
  <si>
    <t>SUZ-M50VAD-A/SLZ-M50FA-A</t>
  </si>
  <si>
    <t>SUZ-M50VAD2-A/SLZ-M50FA-A</t>
  </si>
  <si>
    <t>SUZ-M50VAD2-A/SLZ-M50FA3</t>
  </si>
  <si>
    <t>SUZ-M50VAD-A/SLZ-M50FA3</t>
  </si>
  <si>
    <t>SUZ-M50VAD2-A/SLZ-M50FA3 Series</t>
  </si>
  <si>
    <t>SUZ-M35VAD2-A/SLZ-M35FA-A</t>
  </si>
  <si>
    <t>SUZ-M35VAD-A/SLZ-M35FA-A</t>
  </si>
  <si>
    <t>SUZ-M35VAD2-A/SLZ-M35FA3</t>
  </si>
  <si>
    <t>SUZ-M35VAD-A/SLZ-M35FA3</t>
  </si>
  <si>
    <t>SUZ-M35VAD2-A/SLZ-M35FA3 Series</t>
  </si>
  <si>
    <t>MUZ-LN35VGHZ2/MSZ-LN35VG2V</t>
  </si>
  <si>
    <t>MUZ-LN35VGHZ2/MSZ-LN35VG2B</t>
  </si>
  <si>
    <t>MUZ-LN35VGHZ2/MSZ-LN35VG2R</t>
  </si>
  <si>
    <t>MUZ-LN35VGHZ2/MSZ-LN35VGD Series</t>
  </si>
  <si>
    <t>MUZ-LN35VGHZ2/MSZ-LN35VGDV</t>
  </si>
  <si>
    <t>MUZ-LN35VGHZ2/MSZ-LN35VGDB</t>
  </si>
  <si>
    <t>MUZ-LN35VGHZ2/MSZ-LN35VGDR</t>
  </si>
  <si>
    <t>MUZ-LN25VGHZ2/MSZ-LN25VG2R</t>
  </si>
  <si>
    <t>MUZ-LN25VGHZ2/MSZ-LN25VG2B</t>
  </si>
  <si>
    <t>MUZ-LN25VGHZ2/MSZ-LN25VG2V</t>
  </si>
  <si>
    <t>MUZ-LN25VGHZ2/MSZ-LN25VGDR</t>
  </si>
  <si>
    <t>MUZ-LN25VGHZ2/MSZ-LN25VGDB</t>
  </si>
  <si>
    <t>MUZ-LN25VGHZ2/MSZ-LN25VGDV</t>
  </si>
  <si>
    <t>MUZ-LN25VGHZ2/MSZ-LN25VGD Series</t>
  </si>
  <si>
    <t>MUZ-LN50VGHZ2/MSZ-LN50VG3R</t>
  </si>
  <si>
    <t>MUZ-LN50VGHZ2/MSZ-LN50VGDR</t>
  </si>
  <si>
    <t>MUZ-LN50VGHZ2/MSZ-LN50VGDB</t>
  </si>
  <si>
    <t>MUZ-LN50VGHZ2/MSZ-LN50VGDV</t>
  </si>
  <si>
    <t>MUZ-LN50VGHZ2/MSZ-LN50VG3B</t>
  </si>
  <si>
    <t>MUZ-LN50VGHZ2/MSZ-LN50VG3V</t>
  </si>
  <si>
    <t>MUZ-LN50VGHZ2/MSZ-LN50VGD Series</t>
  </si>
  <si>
    <t>FDCA140VNX-W / FDU140VH</t>
  </si>
  <si>
    <t>MITSUBISHI HEAVY INDUSTRIES</t>
  </si>
  <si>
    <t>FDC140VNX-W / FDU140VH</t>
  </si>
  <si>
    <t>FDC(A)140VNX-W / FDU140VH</t>
  </si>
  <si>
    <t>FDCA140VSX-W / FDU140VH</t>
  </si>
  <si>
    <t>FDC140VSX-W / FDU140VH</t>
  </si>
  <si>
    <t>FDC(A)140VSX-W / FDU140VH</t>
  </si>
  <si>
    <t>FDCA140VNX-W / FDE140VH</t>
  </si>
  <si>
    <t>FDC140VNX-W / FDE140VH</t>
  </si>
  <si>
    <t>FDC(A)140VNX-W / FDE140VH</t>
  </si>
  <si>
    <t>FDCA140VSX-W / FDE140VH</t>
  </si>
  <si>
    <t>FDC140VSX-W / FDE140VH</t>
  </si>
  <si>
    <t>FDC(A)140VSX-W / FDE140VH</t>
  </si>
  <si>
    <t>FDCA140VNX-W / FDT140VH</t>
  </si>
  <si>
    <t>FDC140VNX-W / FDT140VH</t>
  </si>
  <si>
    <t>FDC(A)140VNX-W / FDT140VH</t>
  </si>
  <si>
    <t>FDC140VSX-W / FDT140VH</t>
  </si>
  <si>
    <t>FDCA140VSX-W / FDT140VH</t>
  </si>
  <si>
    <t>FDC(A)140VSX-W / FDT140VH</t>
  </si>
  <si>
    <t>FDCA125VNX-W / FDU125VH</t>
  </si>
  <si>
    <t>FDC125VNX-W / FDU125VH</t>
  </si>
  <si>
    <t>FDC(A)125VNX-W / FDU125VH</t>
  </si>
  <si>
    <t>FDCA125VSX-W / FDU125VH</t>
  </si>
  <si>
    <t>FDC125VSX-W / FDU125VH</t>
  </si>
  <si>
    <t>FDC(A)125VSX-W / FDU125VH</t>
  </si>
  <si>
    <t>FDCA125VNX-W / FDE125VH</t>
  </si>
  <si>
    <t>FDC125VNX-W / FDE125VH</t>
  </si>
  <si>
    <t>FDC(A)125VNX-W / FDE125VH</t>
  </si>
  <si>
    <t>FDCA125VSX-W / FDE125VH</t>
  </si>
  <si>
    <t>FDC125VSX-W / FDE125VH</t>
  </si>
  <si>
    <t>FDC(A)125VSX-W / FDE125VH</t>
  </si>
  <si>
    <t>FDCA125VNX-W / FDT125VH</t>
  </si>
  <si>
    <t>FDC125VNX-W / FDT125VH</t>
  </si>
  <si>
    <t>FDC(A)125VNX-W / FDT125VH</t>
  </si>
  <si>
    <t>FDCA125VSX-W / FDT125VH</t>
  </si>
  <si>
    <t>FDC125VSX-W / FDT125VH</t>
  </si>
  <si>
    <t>FDC(A)125VSX-W / FDT125VH</t>
  </si>
  <si>
    <t>FDCA125VNX-W / FDUA125VH</t>
  </si>
  <si>
    <t>FDC125VNX-W / FDUA125VF</t>
  </si>
  <si>
    <t>FDC(A)125VNX-W / FDUA125</t>
  </si>
  <si>
    <t>FDCA125VSX-W / FDUA125VH</t>
  </si>
  <si>
    <t>FDC125VSX-W / FDUA125VF</t>
  </si>
  <si>
    <t>FDC(A)125VSX-W / FDUA125</t>
  </si>
  <si>
    <t>FDCA140VSX-W / FDUA140VH</t>
  </si>
  <si>
    <t>FDC140VSX-W / FDUA140VG</t>
  </si>
  <si>
    <t>FDC(A)140VSX-W / FDUA140</t>
  </si>
  <si>
    <t>FDCA140VNX-W / FDUA140VH</t>
  </si>
  <si>
    <t>FDC140VNX-W / FDUA140VG</t>
  </si>
  <si>
    <t>FDC(A)140VNX-W / FDUA140</t>
  </si>
  <si>
    <t>FDCA125VNX / FDUA125VF  (OUTDOOR / INDOOR)</t>
  </si>
  <si>
    <t>FDCA125VNX / FDUA125VH (OUTDOOR / INDOOR)</t>
  </si>
  <si>
    <t>FDCA125VNX / FDUA125</t>
  </si>
  <si>
    <t>FDC125VSX / FDUA125VH</t>
  </si>
  <si>
    <t>FDC125VSX / FDUA125VF</t>
  </si>
  <si>
    <t>FDC125VSX / FDUA125</t>
  </si>
  <si>
    <t>FDCA160VSA-W / FDUA160VH</t>
  </si>
  <si>
    <t>FDCA200VSA-W / FDUA200VH</t>
  </si>
  <si>
    <t>FDC100VNA-W / SRK100ZR-W</t>
  </si>
  <si>
    <t>FDCA100VNA-W / SRK100ZR-W</t>
  </si>
  <si>
    <t>FDC(A)100VNA-W / SRK100ZR-W</t>
  </si>
  <si>
    <t>FDCA100VSA-W / SRK100ZR-W</t>
  </si>
  <si>
    <t>FDC100VSA-W / SRK100ZR-W</t>
  </si>
  <si>
    <t>FDC(A)100VSA-W / SRK100ZR-W</t>
  </si>
  <si>
    <t>FDCA200VSA / FDUA200VH</t>
  </si>
  <si>
    <t>FDCA160VNX-W / FDUA160VH</t>
  </si>
  <si>
    <t>FDC125VNP-W / FDT125VH</t>
  </si>
  <si>
    <t>FDCA125VNP-W / FDT125VH</t>
  </si>
  <si>
    <t>FDC(A)125VNP-W / FDT125VH</t>
  </si>
  <si>
    <t>FDC125VNP-W / FDE125VH</t>
  </si>
  <si>
    <t>FDCA125VNP-W / FDE125VH</t>
  </si>
  <si>
    <t>FDC(A)125VNP-W / FDE125VH</t>
  </si>
  <si>
    <t>FDC125VNP-W / FDU125VH</t>
  </si>
  <si>
    <t>FDCA125VNP-W / FDU125VH</t>
  </si>
  <si>
    <t>FDC(A)125VNP-W / FDU125VH</t>
  </si>
  <si>
    <t>FDCA125VNP-W / FDUA125VH</t>
  </si>
  <si>
    <t>FDC(A)125VNP-W / FDUA125VH</t>
  </si>
  <si>
    <t>FDC125VNP-W / FDUA125VH</t>
  </si>
  <si>
    <t>SRC50ZSXA-W/SRR50ZS-W</t>
  </si>
  <si>
    <t>SRC60ZSXA-W / SRR60ZS-W</t>
  </si>
  <si>
    <t>SRK15/DXK05ZTLA-WF</t>
  </si>
  <si>
    <t>SRC15ZTLA-W/SRK15ZTLA-WF</t>
  </si>
  <si>
    <t>DXC05ZTLA-W/DXK05ZTLA-WF</t>
  </si>
  <si>
    <t>DXC05ZTLA-W/DXK05ZTLA-W</t>
  </si>
  <si>
    <t>SRC15ZTLA-W/SRK15ZTLA-W</t>
  </si>
  <si>
    <t>DXC07ZTLA-W/DXK07ZTLA-W</t>
  </si>
  <si>
    <t>SRC20ZTLA-W/SRK20ZTLA-WF</t>
  </si>
  <si>
    <t>DXC07ZTLA-W/DXK07ZTLA-WF</t>
  </si>
  <si>
    <t>SRC20ZTLA-W/SRK20ZTLA-W</t>
  </si>
  <si>
    <t>SRK20/DXK07ZTLA-WF</t>
  </si>
  <si>
    <t>SRC25ZTLA-W/SRK25ZTLA-WF</t>
  </si>
  <si>
    <t>DXC09ZTLA-W/DXK09ZTLA-WF</t>
  </si>
  <si>
    <t>SRC25ZTLA-W/SRK25ZTLA-W</t>
  </si>
  <si>
    <t>DXC09ZTLA-W/DXK09ZTLA-W</t>
  </si>
  <si>
    <t>SRK25/DXK09ZTLA-WF</t>
  </si>
  <si>
    <t>SRC50ZTLA-W / SRK50ZTLA-WF</t>
  </si>
  <si>
    <t>DXC18ZTLA-W / DXK18ZTLA-WF</t>
  </si>
  <si>
    <t>SRC50ZTLA-W / SRK50ZTLA-W</t>
  </si>
  <si>
    <t>DXC18ZTLA-W / DXK18ZTLA-W</t>
  </si>
  <si>
    <t>SRK50/DXK18ZTLA-WF</t>
  </si>
  <si>
    <t>SRC71ZTLA-W / SRK71ZTLA-W</t>
  </si>
  <si>
    <t>DXC24ZTLA-W / DXK24ZTLA-W</t>
  </si>
  <si>
    <t>SRK71/DXK24ZTLA-WF</t>
  </si>
  <si>
    <t>SRC71ZTLA-W / SRK71ZTLA-WF</t>
  </si>
  <si>
    <t>DXC24ZTLA-W / DXK24ZTLA-WF</t>
  </si>
  <si>
    <t>DXC12ZTLA-W/DXK12ZTLA-WF</t>
  </si>
  <si>
    <t>DXC12ZTLA-W/DXK12ZTLA-W</t>
  </si>
  <si>
    <t>SRC35ZTLA-W/SRK35ZTLA-W</t>
  </si>
  <si>
    <t>SRC35ZTLA-W/SRK35ZTLA-WF</t>
  </si>
  <si>
    <t>SRK35/DXK12ZTLA-W</t>
  </si>
  <si>
    <t>SRC63ZTLA-W / SRK63ZTLA-WF</t>
  </si>
  <si>
    <t>DXC21ZTLA-W / DXK21ZTLA-WF</t>
  </si>
  <si>
    <t>SRC63ZTLA-W / SRK63ZTLA-W</t>
  </si>
  <si>
    <t>DXC21ZTLA-W / DXK21ZTLA-W</t>
  </si>
  <si>
    <t>SRK63/DXK21ZTLA-W</t>
  </si>
  <si>
    <t>SRC20ZSXA-W/SRK20ZSXA-WF</t>
  </si>
  <si>
    <t>SRC25ZSXA-W/SRK25ZSXA-WF</t>
  </si>
  <si>
    <t>SRC35ZSXA-W/SRK35ZSXA-WF</t>
  </si>
  <si>
    <t>SRC50ZSXA-W/SRK50ZSXA-WF</t>
  </si>
  <si>
    <t>SRC60ZSXA-W/SRK60ZSXA-WF</t>
  </si>
  <si>
    <t>SRC20ZSA-W/SRK20ZSA-WF</t>
  </si>
  <si>
    <t>DXC06ZSA-W/DXK06ZSA-WF</t>
  </si>
  <si>
    <t>SRK20/DXK06ZSA-WF</t>
  </si>
  <si>
    <t>SRC25ZSA-W/SRK25ZSA-WF</t>
  </si>
  <si>
    <t>DXC09ZSA-W/DXK09ZSA-WF</t>
  </si>
  <si>
    <t>SRK25/DXK09ZSA-WF</t>
  </si>
  <si>
    <t>SRC35ZSA-W/SRK35ZSA-WF</t>
  </si>
  <si>
    <t>DXC12ZSA-W/DXK12ZSA-WF</t>
  </si>
  <si>
    <t>SRK35/DXK12ZSA-WF</t>
  </si>
  <si>
    <t>SRC50ZSA-W/SRK50ZSA-WF</t>
  </si>
  <si>
    <t>DXC18ZSA-W/DXK18ZSA-WF</t>
  </si>
  <si>
    <t>SRK50/DXK18ZSA-WF</t>
  </si>
  <si>
    <t>SRC63ZRA-WF/SRK63ZRA-WF</t>
  </si>
  <si>
    <t>DXC21ZRA-WF/DXK63ZRA-WF</t>
  </si>
  <si>
    <t>SRK63/DXK21ZRA-WF</t>
  </si>
  <si>
    <t>SRC71ZRA-W/SRK71ZRA-WF</t>
  </si>
  <si>
    <t>DXC24ZRA-W/DXK24ZRA-WF</t>
  </si>
  <si>
    <t>SRK71/DXK24ZRA-WF</t>
  </si>
  <si>
    <t>SRC80ZRA-W/SRK80ZRA-WF</t>
  </si>
  <si>
    <t>DXC28ZRA-W/DXK28ZRA-WF</t>
  </si>
  <si>
    <t>SRK80/DXK28ZRA-WF</t>
  </si>
  <si>
    <t>SRC95ZRA-W/SRK95ZRA-WF</t>
  </si>
  <si>
    <t>DXC33ZRA-W/DXK33ZRA-WF</t>
  </si>
  <si>
    <t>SRK95/DXK33ZTLA-WF</t>
  </si>
  <si>
    <t>FDCA250VSA-W/FDUA250VH</t>
  </si>
  <si>
    <t>SRC71ZRA-W / SRK71ZRA-WF1</t>
  </si>
  <si>
    <t>SRK71/DXK24ZRA-WF1</t>
  </si>
  <si>
    <t>DXC24ZRA-W / DXK24ZRA-WF1</t>
  </si>
  <si>
    <t>SRC80ZRA-W / SRK80ZRA-WF1</t>
  </si>
  <si>
    <t>DXC28ZRA-W / DXK28ZRA-WF1</t>
  </si>
  <si>
    <t>SRK80/DXK28ZRA-WF1</t>
  </si>
  <si>
    <t>SRC20ZSA-W/SRK20ZSA-WF1</t>
  </si>
  <si>
    <t>DXC06ZSA-W/DXK06ZSA-WF1</t>
  </si>
  <si>
    <t>SRK20/DXK06ZSA-WF1</t>
  </si>
  <si>
    <t>SRC95ZRA-W / SRK95ZRA-WF1</t>
  </si>
  <si>
    <t>DXC33ZRA-W / DXK33ZRA-WF1</t>
  </si>
  <si>
    <t>SRK95/DXK33ZRA-WF1</t>
  </si>
  <si>
    <t>SRC25ZSA-W/SRK25ZSA-WF1</t>
  </si>
  <si>
    <t>DXC09ZSA-W/DXK09ZSA-WF1</t>
  </si>
  <si>
    <t>SRK25/DXK09ZSA-WF1</t>
  </si>
  <si>
    <t>SRC63ZRA-W / SRK63ZRA-WF1</t>
  </si>
  <si>
    <t>DXC21ZRA-W / DXK21ZRA-WF1</t>
  </si>
  <si>
    <t>SRK63/DXK21ZRA-WF1</t>
  </si>
  <si>
    <t>SRC35ZSA-W/SRK35ZSA-WF1</t>
  </si>
  <si>
    <t>DXC12ZSA-W/DXK12ZSA-WF1</t>
  </si>
  <si>
    <t>SRK35/DXK12ZSA-WF1</t>
  </si>
  <si>
    <t>SRC50ZSA-W/SRK50ZSA-WF1</t>
  </si>
  <si>
    <t>DXC18ZSA-W/DXK18ZSA-WF1</t>
  </si>
  <si>
    <t>SRK50/DXK18ZSA-WF1</t>
  </si>
  <si>
    <t>SRK/DXK_50/18ZSA-W</t>
  </si>
  <si>
    <t>SRC50ZSA-W / SRK50ZSA-W</t>
  </si>
  <si>
    <t>DXC18ZSA-W / DXK18ZSA-W</t>
  </si>
  <si>
    <t>SRK/DXK_20/06ZSA-W</t>
  </si>
  <si>
    <t>SRC20ZSA-W / SRK20ZSA-W</t>
  </si>
  <si>
    <t>DXC06ZSA-W / DXK06ZSA-W</t>
  </si>
  <si>
    <t>SRC35ZSA-W / SRK35ZSA-W</t>
  </si>
  <si>
    <t>SRK/DXK_35/12ZSA-W</t>
  </si>
  <si>
    <t>DXC12ZSA-W / DXK12ZSA-W</t>
  </si>
  <si>
    <t>SRK/DXK_25/09ZSA-W</t>
  </si>
  <si>
    <t>SRC25ZSA-W / SRK25ZSA-W</t>
  </si>
  <si>
    <t>DXC09ZSA-W / DXK09ZSA-W</t>
  </si>
  <si>
    <t>SRC35ZSA-W / SRR35ZS-W</t>
  </si>
  <si>
    <t>SRC25ZSA-W / SRR25ZS-W</t>
  </si>
  <si>
    <t>SRC20ZSXA-W / SRK20ZSXA-W</t>
  </si>
  <si>
    <t>SRC25ZSXA-W / SRK25ZSXA-W</t>
  </si>
  <si>
    <t>SRC60ZSXA-W / SRK60ZSXA-W</t>
  </si>
  <si>
    <t>SRC35ZSXA-W / SRK35ZSXA-W</t>
  </si>
  <si>
    <t>SRC50ZSXA-W / SRK50ZSXA-W</t>
  </si>
  <si>
    <t>SRK95/DXK33ZRA-W</t>
  </si>
  <si>
    <t>DXC33ZRA-W /DXK33ZRA-W</t>
  </si>
  <si>
    <t>SRC95ZRA-W / SRK95ZRA-W</t>
  </si>
  <si>
    <t>SRK/DXK_71/24ZRA-W</t>
  </si>
  <si>
    <t>SRC71ZRA-W / SRK71ZRA-W</t>
  </si>
  <si>
    <t>DXC24ZRA-W / DXK24ZRA-W</t>
  </si>
  <si>
    <t>SRK/DXK_63/21ZRA-W</t>
  </si>
  <si>
    <t>DXC21ZRA-W/ DXK21ZRA-W</t>
  </si>
  <si>
    <t>SRC63ZRA-W / SRK63ZRA-W</t>
  </si>
  <si>
    <t>SRC35ZSA-W / FDTC35VH1</t>
  </si>
  <si>
    <t>SRK/DXK_80/28_ZRA-W</t>
  </si>
  <si>
    <t>SRC80ZRA-W / SRK80ZRA-W</t>
  </si>
  <si>
    <t>DXC28ZRA-W / DXK28ZRA-W</t>
  </si>
  <si>
    <t>SRC25ZSA-W / FDTC25VH1</t>
  </si>
  <si>
    <t>SRC50ZSXA-W / SRF50ZSX-W</t>
  </si>
  <si>
    <t>SRC25ZSA-W / SRF25ZS-W</t>
  </si>
  <si>
    <t>SRC35ZSA-W / SRF35ZS-W</t>
  </si>
  <si>
    <t>DXC07ZTLA-WJ / DXK07ZTLA-WFJ</t>
  </si>
  <si>
    <t>DXC12ZTLA-WJ / DXK12ZTLA-WFJ</t>
  </si>
  <si>
    <t>DXC18ZTLA-WJ / DXK18ZTLA-WFJ</t>
  </si>
  <si>
    <t>FDCA100VNA-W / FDE100VH</t>
  </si>
  <si>
    <t>FDC100VNA-W / FDE100VH</t>
  </si>
  <si>
    <t>FDE100VH / FDC(A)100VNA-W</t>
  </si>
  <si>
    <t>FDCA100VSA-W / FDUA100VH</t>
  </si>
  <si>
    <t>FDC100VSA-W / FDUA100VF2</t>
  </si>
  <si>
    <t>FDUA100VH / FDCA100VSA-W</t>
  </si>
  <si>
    <t>FDCA100VNA-W / FDT100VH</t>
  </si>
  <si>
    <t>FDC100VNA-W / FDT100VH</t>
  </si>
  <si>
    <t>FDC(A)VNA-W / FDT100VH</t>
  </si>
  <si>
    <t>FDCA100VSA-W / FDE100VH</t>
  </si>
  <si>
    <t>FDC100VSA-W / FDE100VH</t>
  </si>
  <si>
    <t>FDC(A)100VSA-W / FDE100VH</t>
  </si>
  <si>
    <t>FDCA100VSA-W / FDU100VH</t>
  </si>
  <si>
    <t>FDC100VSA-W / FDU100VH</t>
  </si>
  <si>
    <t>FDC(A)100VSA-W / FDU100VH</t>
  </si>
  <si>
    <t>FDCA100VNA-W / FDUA100VH</t>
  </si>
  <si>
    <t>FDC100VNA-W / FDUA100VF2</t>
  </si>
  <si>
    <t>FDCA100VNA-W / FDU100VH</t>
  </si>
  <si>
    <t>FDC100VNA-W / FDU100VH</t>
  </si>
  <si>
    <t>FDC(A)VNA-W / FDU100VH</t>
  </si>
  <si>
    <t>FDCA71VNX-W / FDT71VH</t>
  </si>
  <si>
    <t>FDC71VNX-W / FDT71VH</t>
  </si>
  <si>
    <t>FDCA71VNX-W / FDU71VH</t>
  </si>
  <si>
    <t>FDC71VNX-W / FDU71VH</t>
  </si>
  <si>
    <t>SRC60ZSXA-W / FDT60VH</t>
  </si>
  <si>
    <t>SRC60ZSX-W1 / FDT60VH</t>
  </si>
  <si>
    <t>SRC60ZSXA-W / FDUM60VH</t>
  </si>
  <si>
    <t>SRC60ZSX-W1 / FDUM60VH</t>
  </si>
  <si>
    <t>FDCA71VNX-W / FDE71VH</t>
  </si>
  <si>
    <t>FDC71VNX-W / FDE71VH</t>
  </si>
  <si>
    <t>FDC100VNP-W / FDT100VH</t>
  </si>
  <si>
    <t>FDCA100VNP-W / FDT100VH</t>
  </si>
  <si>
    <t>FDC(A)100VNP-W / FDT100VH</t>
  </si>
  <si>
    <t>FDCA100VNP-W / FDE100VH</t>
  </si>
  <si>
    <t>FDC(A)100VNP-W / FDE100VH</t>
  </si>
  <si>
    <t>FDC100VNP-W / FDE100VH</t>
  </si>
  <si>
    <t>FDC100VNP-W / FDU100VH</t>
  </si>
  <si>
    <t>FDCA100VNP-W / FDU100VH</t>
  </si>
  <si>
    <t>FDC(A)100VNP-W / FDU100VH</t>
  </si>
  <si>
    <t>SRC50ZSXA-W / FDTC50VH</t>
  </si>
  <si>
    <t>SRC50ZSX-W1 / FDTC50VH</t>
  </si>
  <si>
    <t>SRC50ZSXA-W / FDUM50VH</t>
  </si>
  <si>
    <t>SRC50ZSX-W1 / FDUM50VH</t>
  </si>
  <si>
    <t>SRC60ZSXA-W / FDTC60VH</t>
  </si>
  <si>
    <t>SRC60ZSX-W1 / FDTC60VH</t>
  </si>
  <si>
    <t>FDC100VNP-W / FDUA100VH</t>
  </si>
  <si>
    <t>FDC100VNP-W / FDUA100VF2</t>
  </si>
  <si>
    <t>FDCA100VNP-W / FDUA100VH</t>
  </si>
  <si>
    <t>FDC(A)100VNP-W / FDUA100VH</t>
  </si>
  <si>
    <t>DXC05ZTLA-WJ / DXK05ZTLA-WFJ</t>
  </si>
  <si>
    <t>DXC09ZTLA-WJ/DXK09ZTLA-WFJ</t>
  </si>
  <si>
    <t>DXC21ZTLA-WJ / DXK21ZTLA-WFJ</t>
  </si>
  <si>
    <t>DXC24ZTLA-WJ / DXK24ZTLA-WFJ</t>
  </si>
  <si>
    <t>FDCA100VSA-W / SRK100ZRA-WF</t>
  </si>
  <si>
    <t>FDCA100VSA-W / SRK100ZRA-WF1</t>
  </si>
  <si>
    <t>FDCA100VSA-W / SRK100ZRA-WF*</t>
  </si>
  <si>
    <t>FDCA100VNA-W / SRK100ZRA-WF</t>
  </si>
  <si>
    <t>FDCA100VNA-W / SRK100ZRA-WF1</t>
  </si>
  <si>
    <t>FDCA100VNA-W / SRK100ZRA-W*</t>
  </si>
  <si>
    <t>OS-CEAUH09EI / OS-SEAUH09EI</t>
  </si>
  <si>
    <t>Olimpia Splendid</t>
  </si>
  <si>
    <t>OS-CEAUH12EI / OS-SEAUH12EI</t>
  </si>
  <si>
    <t>OS-CEAUH18EI / OS-SEAUH18EI</t>
  </si>
  <si>
    <t>OS-CEAUH24EI / OS-SEAUH24EI</t>
  </si>
  <si>
    <t>02011 Unico Pro Inverter 12 HP AUNZ</t>
  </si>
  <si>
    <t>UNICO PRO 12 HP EVDN</t>
  </si>
  <si>
    <t>OAPC36RW</t>
  </si>
  <si>
    <t>Omega Altise</t>
  </si>
  <si>
    <t>OAPC12RW</t>
  </si>
  <si>
    <t>U-60PZ3R5/S-60PE3R</t>
  </si>
  <si>
    <t>PANASONIC</t>
  </si>
  <si>
    <t>U-71PZ3R5/S-71PE3R</t>
  </si>
  <si>
    <t>U-100PZ3R5/S-100PE3R</t>
  </si>
  <si>
    <t>U-100PZ3R8/S-100PE3R</t>
  </si>
  <si>
    <t>U-125PZ3R5/S-125PE3R</t>
  </si>
  <si>
    <t>U-125PZ3R8/S-125PE3R</t>
  </si>
  <si>
    <t>U-140PZ3R5/S-140PE3R</t>
  </si>
  <si>
    <t>U-71PZH3R5/S-71PE3R</t>
  </si>
  <si>
    <t>U-100PZH3R5/S-100PE3R</t>
  </si>
  <si>
    <t>U-100PZH3R8/S-100PE3R</t>
  </si>
  <si>
    <t>U-125PZH3R5/S-125PE3R</t>
  </si>
  <si>
    <t>U-125PZH3R8/S-125PE3R</t>
  </si>
  <si>
    <t>U-140PZH3R5/S-140PE3R</t>
  </si>
  <si>
    <t>U-140PZH3R8/S-140PE3R</t>
  </si>
  <si>
    <t>U-180PZH2R8/S-180PE3R5B</t>
  </si>
  <si>
    <t>U-200PZH2R8/S-200PE3R5B</t>
  </si>
  <si>
    <t>U-224PZH2R8/S-224PE3R5B</t>
  </si>
  <si>
    <t>U-100PZH2R5/S-100PK3R</t>
  </si>
  <si>
    <t>U-100PZH2R8/S-100PK3R</t>
  </si>
  <si>
    <t>U-100PZ2R5/S-100PK3R</t>
  </si>
  <si>
    <t>U-100PZ2R8/S-100PK3R</t>
  </si>
  <si>
    <t>U-100PZH3R5/S-100PK3R</t>
  </si>
  <si>
    <t>U-100PZH3R8/S-100PK3R</t>
  </si>
  <si>
    <t>U-100PZ3R5/S-100PK3R</t>
  </si>
  <si>
    <t>U-100PZ3R8/S-100PK3R</t>
  </si>
  <si>
    <t>U-71PZH2R5/S-71PE3R</t>
  </si>
  <si>
    <t>U-100PZH2R5/S-100PE3R</t>
  </si>
  <si>
    <t>U-100PZH2R8/S-100PE3R</t>
  </si>
  <si>
    <t>U-125PZH2R5/S-125PE3R</t>
  </si>
  <si>
    <t>U-125PZH2R8/S-125PE3R</t>
  </si>
  <si>
    <t>U-140PZH2R5/S-140PE3R</t>
  </si>
  <si>
    <t>U-140PZH2R8/S-140PE3R</t>
  </si>
  <si>
    <t>U-60PZ2R5/S-60PE3R</t>
  </si>
  <si>
    <t>U-71PZ2R5/S-71PE3R</t>
  </si>
  <si>
    <t>U-100PZ2R5/S-100PE3R</t>
  </si>
  <si>
    <t>U-100PZ2R8/S-100PE3R</t>
  </si>
  <si>
    <t>U-125PZ2R5/S-125PE3R</t>
  </si>
  <si>
    <t>U-125PZ2R8/S-125PE3R</t>
  </si>
  <si>
    <t>U-140PZ2R5/S-140PE3R</t>
  </si>
  <si>
    <t>U-140PZ2R8/S-140PE3R</t>
  </si>
  <si>
    <t>U-140PZ3R8/S-140PE3R</t>
  </si>
  <si>
    <t>U-160PZH2R5/S-160PE3R</t>
  </si>
  <si>
    <t>U-160PZH2R8/S-160PE3R</t>
  </si>
  <si>
    <t>U-71PZH3R5/S-6071PU3E</t>
  </si>
  <si>
    <t>U-100PZH3R5/S-1014PU3E</t>
  </si>
  <si>
    <t>U-125PZH3R5/S-1014PU3E</t>
  </si>
  <si>
    <t>U-140PZH3R5/S-1014PU3E</t>
  </si>
  <si>
    <t>U-100PZH3R8/S-1014PU3E</t>
  </si>
  <si>
    <t>U-125PZH3R8/S-1014PU3E</t>
  </si>
  <si>
    <t>U-140PZH3R8/S-1014PU3E</t>
  </si>
  <si>
    <t>U-71PZH3R5/S-6071PF3E</t>
  </si>
  <si>
    <t>U-100PZH3R5/S-1014PF3E</t>
  </si>
  <si>
    <t>U-100PZH3R8/S-1014PF3E</t>
  </si>
  <si>
    <t>U-125PZH3R5/S-1014PF3E</t>
  </si>
  <si>
    <t>U-125PZH3R8/S-1014PF3E</t>
  </si>
  <si>
    <t>U-140PZH3R5/S-1014PF3E</t>
  </si>
  <si>
    <t>U-140PZH3R8/S-1014PF3E</t>
  </si>
  <si>
    <t>U-60PZ3R5/S-6071PT3E</t>
  </si>
  <si>
    <t>U-71PZ3R5/S-6071PT3E</t>
  </si>
  <si>
    <t>U-100PZ3R5/S-1014PT3E</t>
  </si>
  <si>
    <t>U-100PZ3R8/S-1014PT3E</t>
  </si>
  <si>
    <t>U-125PZ3R5/S-1014PT3E</t>
  </si>
  <si>
    <t>U-125PZ3R8/S-1014PT3E</t>
  </si>
  <si>
    <t>U-140PZ3R5/S-1014PT3E</t>
  </si>
  <si>
    <t>U-140PZ3R8/S-1014PT3E</t>
  </si>
  <si>
    <t>U-71PZH3R5/S-6071PT3E</t>
  </si>
  <si>
    <t>U-100PZH3R5/S-1014PT3E</t>
  </si>
  <si>
    <t>U-100PZH3R8/S-1014PT3E</t>
  </si>
  <si>
    <t>U-125PZH3R5/S-1014PT3E</t>
  </si>
  <si>
    <t>U-125PZH3R8/S-1014PT3E</t>
  </si>
  <si>
    <t>U-140PZH3R5/S-1014PT3E</t>
  </si>
  <si>
    <t>U-140PZH3R8/S-1014PT3E</t>
  </si>
  <si>
    <t>U-60PZ2R5/S-6071PT3E</t>
  </si>
  <si>
    <t>U-71PZ2R5/S-6071PT3E</t>
  </si>
  <si>
    <t>U-100PZ2R5/S-1014PT3E</t>
  </si>
  <si>
    <t>U-100PZ2R8/S-1014PT3E</t>
  </si>
  <si>
    <t>U-125PZ2R5/S-1014PT3E</t>
  </si>
  <si>
    <t>U-125PZ2R8/S-1014PT3E</t>
  </si>
  <si>
    <t>U-140PZ2R5/S-1014PT3E</t>
  </si>
  <si>
    <t>U-140PZ2R8/S-1014PT3E</t>
  </si>
  <si>
    <t>U-71PZH2R5/S-6071PT3E</t>
  </si>
  <si>
    <t>U-100PZH2R5/S-1014PT3E</t>
  </si>
  <si>
    <t>U-100PZH2R8/S-1014PT3E</t>
  </si>
  <si>
    <t>U-125PZH2R5/S-1014PT3E</t>
  </si>
  <si>
    <t>U-125PZH2R8/S-1014PT3E</t>
  </si>
  <si>
    <t>U-140PZH2R5/S-1014PT3E</t>
  </si>
  <si>
    <t>U-140PZH2R8/S-1014PT3E</t>
  </si>
  <si>
    <t>CU-Z20XKR / CS-Z20XKRW</t>
  </si>
  <si>
    <t>Panasonic</t>
  </si>
  <si>
    <t>CU-RZ42XKR / CS-RZ42XKRW</t>
  </si>
  <si>
    <t>CU-Z42XKR / CS-Z42XKRW</t>
  </si>
  <si>
    <t>CU-*Z42XKR / CS-*Z42XKRW</t>
  </si>
  <si>
    <t>CU-RZ25XKR / CS-RZ25XKRW</t>
  </si>
  <si>
    <t>CU-Z25XKR / CS-Z25XKRW</t>
  </si>
  <si>
    <t>CU-*Z25XKR / CS-*Z25XKRW</t>
  </si>
  <si>
    <t>CU-Z25XKR-1 / CS-Z25XKRW-1</t>
  </si>
  <si>
    <t>CU-RZ35XKR / CS-RZ35XKRW</t>
  </si>
  <si>
    <t>CU-Z35XKR / CS-Z35XKRW</t>
  </si>
  <si>
    <t>CU-*Z35XKR / CS-*Z35XKRW</t>
  </si>
  <si>
    <t>CU-Z80XKR / CS-Z80XKR</t>
  </si>
  <si>
    <t>CU-RZ80XKR / CS-RZ80XKR</t>
  </si>
  <si>
    <t>CU-*Z80XKR / CS-*Z80XKR</t>
  </si>
  <si>
    <t>U-25PZ3R5/S-25PY3E</t>
  </si>
  <si>
    <t>U-36PZ3R5/S-36PY3E</t>
  </si>
  <si>
    <t>U-50PZ3R5/S-50PY3E</t>
  </si>
  <si>
    <t>U-60PZ3R5/S-60PY3E</t>
  </si>
  <si>
    <t>CU-HZ25YKR / CS-HZ25YKR</t>
  </si>
  <si>
    <t>CU-HZ35YKR / CS-HZ35YKR</t>
  </si>
  <si>
    <t>CU-HZ50YKR / CS-HZ50YKR</t>
  </si>
  <si>
    <t>CU-HZ80YKR / CS-HZ80YKR</t>
  </si>
  <si>
    <t>CU-Z80YKR / CS-Z80YKR</t>
  </si>
  <si>
    <t>CU-RZ80YKR / CS-RZ80YKR</t>
  </si>
  <si>
    <t>CU-*Z80YKR / CS-*Z80YKR</t>
  </si>
  <si>
    <t>CU-HZ71YKR / CS-HZ71YKR</t>
  </si>
  <si>
    <t>CU-Z71XKR-1 / CS-Z71XKR-1</t>
  </si>
  <si>
    <t>CU-*Z71*KR* / CS-*Z71*KR*</t>
  </si>
  <si>
    <t>CU-Z60UBRA / CS-Z60UD3RAW</t>
  </si>
  <si>
    <t>CU-Z25UBRA / CS-Z25UD3RAW</t>
  </si>
  <si>
    <t>CU-Z35UBRA / CS-Z35UD3RAW</t>
  </si>
  <si>
    <t>CU-Z50UBRA / CS-Z50UD3RAW</t>
  </si>
  <si>
    <t>U-160PZH3R5 / S-160PE3R</t>
  </si>
  <si>
    <t>U-160PZH3R8 / S-160PE3R</t>
  </si>
  <si>
    <t>U-224PZH3R8 / S-224PE4R</t>
  </si>
  <si>
    <t>U-180PZH3R5 / S-180PE4R</t>
  </si>
  <si>
    <t>U-180PZH3R8 / S-180PE4R</t>
  </si>
  <si>
    <t>U-200PZH3R8 / S-200PE4R</t>
  </si>
  <si>
    <t>U-180PE2R8A/S-180PE3R5B</t>
  </si>
  <si>
    <t>U-200PE2R8A/S-200PE3R5B</t>
  </si>
  <si>
    <t>U-224PE2R8A/S-224PE3R5B</t>
  </si>
  <si>
    <t>CU-Z50XKR / CS-Z50XKRW</t>
  </si>
  <si>
    <t>CU-RZ50XKR / CS-RZ50XKRW</t>
  </si>
  <si>
    <t>CU-RZ50AKR / CS-RZ50AKRW</t>
  </si>
  <si>
    <t>CU-Z50AKR / CS-Z50AKRW</t>
  </si>
  <si>
    <t>CU-*Z50*KR / CS-*Z50*KRW</t>
  </si>
  <si>
    <t>CU-Z60XKR-1 / CS-Z60XKRW-1</t>
  </si>
  <si>
    <t>CU-Z60AKR-1 / CS-Z60AKRW-1</t>
  </si>
  <si>
    <t>CU-Z60*KR-1 / CS-Z60*KRW-1</t>
  </si>
  <si>
    <t>CU-Z50XKR-1 / CS-Z50XKRW-1</t>
  </si>
  <si>
    <t>CU-Z50AKR-1 / CS-Z50AKRW-1</t>
  </si>
  <si>
    <t>CU-Z50*KR-1 / CS-Z50*KRW-1</t>
  </si>
  <si>
    <t>CU-RZ60XKR / CS-RZ60XKRW</t>
  </si>
  <si>
    <t>CU-Z60XKR / CS-Z60XKRW</t>
  </si>
  <si>
    <t>CU-RZ60AKR / CS-RZ60AKRW</t>
  </si>
  <si>
    <t>CU-Z60AKR / CS-Z60AKRW</t>
  </si>
  <si>
    <t>CU-*Z60XKR / CS-*Z60XKRW</t>
  </si>
  <si>
    <t>CU-RZ71XKR / CS-RZ71XKRW</t>
  </si>
  <si>
    <t>CU-Z71XKR / CS-Z71XKRW</t>
  </si>
  <si>
    <t>CU-RZ71AKR / CS-RZ71AKRW</t>
  </si>
  <si>
    <t>CU-Z71AKR / CS-Z71AKRW</t>
  </si>
  <si>
    <t>CU-*Z71XKR / CS-*Z71XKRW</t>
  </si>
  <si>
    <t>CU-Z95AKR / CS-Z95AKR</t>
  </si>
  <si>
    <t>CU-RZ95AKR / CS-RZ95AKR</t>
  </si>
  <si>
    <t>CU-*Z95AKR / CS-*Z95AKR</t>
  </si>
  <si>
    <t>CU-Z20AKR / CS-Z20AKRW</t>
  </si>
  <si>
    <t>CU-Z35AKR / CS-Z35AKRW</t>
  </si>
  <si>
    <t>CU-RZ35AKR / CS-RZ35AKRW</t>
  </si>
  <si>
    <t>CU-*Z35AKR / CS-*Z35AKRW</t>
  </si>
  <si>
    <t>CU-Z42AKR / CS-Z42AKRW</t>
  </si>
  <si>
    <t>CU-RZ42AKR / CS-RZ42AKRW</t>
  </si>
  <si>
    <t>CU-*Z42AKR / CS-*Z42AKRW</t>
  </si>
  <si>
    <t>CU-Z25AKR / CS-Z25AKRW</t>
  </si>
  <si>
    <t>CU-RZ25AKR / CS-RZ25AKRW</t>
  </si>
  <si>
    <t>CU-*Z25AKR / CS-*Z25AKRW</t>
  </si>
  <si>
    <t>CU-Z25AKR-1 / CS-Z25AKRW-1</t>
  </si>
  <si>
    <t>CU-Z25UBRA / CS-Z25UFRAW</t>
  </si>
  <si>
    <t>CU-Z35UBRA / CS-Z35UFRAW</t>
  </si>
  <si>
    <t>CU-Z50UBRA / CS-Z50UFRAW</t>
  </si>
  <si>
    <t>CU-QZ71BKR/CS-QZ71BKR</t>
  </si>
  <si>
    <t>CU-QZ50BKR/CS-QZ50BKR</t>
  </si>
  <si>
    <t>CU-QZ35BKR/CS-QZ35BKR</t>
  </si>
  <si>
    <t>CU-QZ25BKR/CS-QZ25BKR</t>
  </si>
  <si>
    <t>CU-RZ71AKR / S-71PK4R</t>
  </si>
  <si>
    <t>CU-RZ25AKR / S-25PK4R</t>
  </si>
  <si>
    <t>CU-RZ50AKR / S-50PK4R</t>
  </si>
  <si>
    <t>CU-RZ95AKR / S-100PK4R</t>
  </si>
  <si>
    <t>U-100PZ4R8 / S-100PK4R</t>
  </si>
  <si>
    <t>U-71PZH3R5 / S-71PE4R</t>
  </si>
  <si>
    <t>U-100PZH3R5 / S-100PE4R</t>
  </si>
  <si>
    <t>U-125PZH3R5 / S-125PE4R</t>
  </si>
  <si>
    <t>U-140PZH3R5 / S-140PE4R</t>
  </si>
  <si>
    <t>U-100PZH3R8 / S-100PE4R</t>
  </si>
  <si>
    <t>U-125PZH3R8 / S-125PE4R</t>
  </si>
  <si>
    <t>U-140PZH3R8 / S-140PE4R</t>
  </si>
  <si>
    <t>U-60PZ4R5 / S-6071PU3E</t>
  </si>
  <si>
    <t>U-60PZ4R5 / S-6071PF3E</t>
  </si>
  <si>
    <t>U-60PZ4R5 / S-6071PT3E</t>
  </si>
  <si>
    <t>U-60PZ4R5 / S-60PY3E</t>
  </si>
  <si>
    <t>U-71PZ4R5 / S-6071PU3E</t>
  </si>
  <si>
    <t>U-71PZ4R5 / S-6071PF3E</t>
  </si>
  <si>
    <t>U-71PZ4R5 / S-6071PT3E</t>
  </si>
  <si>
    <t>U-100PZ4R5 / S-1014PU3E</t>
  </si>
  <si>
    <t>U-100PZ4R8 / S-1014PU3E</t>
  </si>
  <si>
    <t>U-100PZ4R5 / S-1014PF3E</t>
  </si>
  <si>
    <t>U-100PZ4R8 / S-1014PF3E</t>
  </si>
  <si>
    <t>U-100PZ4R5 / S-1014PT3E</t>
  </si>
  <si>
    <t>U-100PZ4R8 / S-1014PT3E</t>
  </si>
  <si>
    <t>U-125PZ4R5 / S-1014PU3E</t>
  </si>
  <si>
    <t>U-125PZ4R8 / S-1014PU3E</t>
  </si>
  <si>
    <t>U-125PZ4R5 / S-1014PF3E</t>
  </si>
  <si>
    <t>U-125PZ4R8 / S-1014PF3E</t>
  </si>
  <si>
    <t>U-125PZ4R5 / S-1014PT3E</t>
  </si>
  <si>
    <t>U-125PZ4R8 / S-1014PT3E</t>
  </si>
  <si>
    <t>U-140PZ4R5 / S-1014PU3E</t>
  </si>
  <si>
    <t>U-140PZ4R8 / S-1014PU3E</t>
  </si>
  <si>
    <t>U-140PZ4R5 / S-1014PF3E</t>
  </si>
  <si>
    <t>U-140PZ4R8 / S-1014PF3E</t>
  </si>
  <si>
    <t>U-140PZ4R5 / S-1014PT3E</t>
  </si>
  <si>
    <t>U-140PZ4R8 / S-1014PT3E</t>
  </si>
  <si>
    <t>U-160PZH3R8 / S-160PE4RA</t>
  </si>
  <si>
    <t>U-160PZH3R8 / S-160PE4R</t>
  </si>
  <si>
    <t>U-160PZH3R8 / S-160PE4RN</t>
  </si>
  <si>
    <t>U-160PZH3R8 / S-160PE4*</t>
  </si>
  <si>
    <t>U-160PZH3R5 / S-160PE4RA</t>
  </si>
  <si>
    <t>U-160PZH3R5 / S-160PE4R</t>
  </si>
  <si>
    <t>U-160PZH3R5 / S-160PE4RN</t>
  </si>
  <si>
    <t>U-160PZH3R5 / S-160PE4*</t>
  </si>
  <si>
    <t>U-140PZ4R5 / S-140PE4RN</t>
  </si>
  <si>
    <t>U-140PZ4R5 / S-140PE4*</t>
  </si>
  <si>
    <t>U-140PZ4R5 / S-140PE4R</t>
  </si>
  <si>
    <t>U-140PZ4R8 / S-140PE4*</t>
  </si>
  <si>
    <t>U-140PZ4R8 / S-140PE4R</t>
  </si>
  <si>
    <t>U-140PZ4R8 / S-140PE4RN</t>
  </si>
  <si>
    <t>U-125PZ4R8 / S-125PE4R</t>
  </si>
  <si>
    <t>U-125PZ4R8 / S-125PE4RN</t>
  </si>
  <si>
    <t>U-125PZ4R8 / S-125PE4*</t>
  </si>
  <si>
    <t>U-125PZ4R5 / S-125PE4R</t>
  </si>
  <si>
    <t>U-125PZ4R5 / S-125PE4RN</t>
  </si>
  <si>
    <t>U-125PZ4R5 / S-125PE4*</t>
  </si>
  <si>
    <t>U-100PZ4R8 / S-100PE4R</t>
  </si>
  <si>
    <t>U-100PZ4R8 / S-100PE4RN</t>
  </si>
  <si>
    <t>U-100PZ4R8 / S-100PE4*</t>
  </si>
  <si>
    <t>U-100PZ4R5 / S-100PE4*</t>
  </si>
  <si>
    <t>U-100PZ4R5 / S-100PE4R</t>
  </si>
  <si>
    <t>U-100PZ4R5 / S-100PE4RN</t>
  </si>
  <si>
    <t>U-71PZ4R5 / S-71PE4R</t>
  </si>
  <si>
    <t>U-60PZ4R5 / S-60PE4R</t>
  </si>
  <si>
    <t>U-71PZ3R5 / S-6071PU3E</t>
  </si>
  <si>
    <t>U-71PZ3R5 / S-6071PF3E</t>
  </si>
  <si>
    <t>U-60PZ3R5 / S-6071PU3E</t>
  </si>
  <si>
    <t>U-60PZ3R5 / S-6071PF3E</t>
  </si>
  <si>
    <t>U-50PZ3R5 / S-3650PF3E</t>
  </si>
  <si>
    <t>U-36PZ3R5 / S-3650PF3E</t>
  </si>
  <si>
    <t>U-140PZ3R8 / S-1014PF3E</t>
  </si>
  <si>
    <t>U-140PZ3R8 / S-1014PU3E</t>
  </si>
  <si>
    <t>U-125PZ3R8 / S-1014PF3E</t>
  </si>
  <si>
    <t>U-125PZ3R8 / S-1014PU3E</t>
  </si>
  <si>
    <t>U-100PZ3R8 / S-1014PF3E</t>
  </si>
  <si>
    <t>U-100PZ3R8 / S-1014PU3E</t>
  </si>
  <si>
    <t>U-140PZ3R5 / S-1014PF3E</t>
  </si>
  <si>
    <t>U-140PZ3R5 / S-1014PU3E</t>
  </si>
  <si>
    <t>U-125PZ3R5 / S-1014PU3E</t>
  </si>
  <si>
    <t>U-100PZ3R5 / S-1014PF3E</t>
  </si>
  <si>
    <t>U-100PZ3R5 / S-1014PU3E</t>
  </si>
  <si>
    <t>U-125PZ3R5 / S-1014PF3E</t>
  </si>
  <si>
    <t>HPR-09A2</t>
  </si>
  <si>
    <t>PIONEER INTERNATIONAL</t>
  </si>
  <si>
    <t>HPR-12A2</t>
  </si>
  <si>
    <t>HPR-18A2</t>
  </si>
  <si>
    <t>HPR-24A2</t>
  </si>
  <si>
    <t>VPC-36A1/CPE-36A1</t>
  </si>
  <si>
    <t>VPC-36A1</t>
  </si>
  <si>
    <t>VPC-36A1/VPE-36A1</t>
  </si>
  <si>
    <t>VPC-48A1/CPE-48A1</t>
  </si>
  <si>
    <t>VPC-48A1</t>
  </si>
  <si>
    <t>VPC-48A1/VPE-48A1</t>
  </si>
  <si>
    <t>VPE-60A1/VPC-60D1</t>
  </si>
  <si>
    <t>CPE-60A1/VPC-60D1</t>
  </si>
  <si>
    <t>VPC-60D1/VPE-60A1/CPE-60A1</t>
  </si>
  <si>
    <t>PC35RWF</t>
  </si>
  <si>
    <t>POLO</t>
  </si>
  <si>
    <t>PRO-52ITW</t>
  </si>
  <si>
    <t>PROMA</t>
  </si>
  <si>
    <t>PRO-35ITP</t>
  </si>
  <si>
    <t>PRO-72ITP</t>
  </si>
  <si>
    <t>PRO-26ITP</t>
  </si>
  <si>
    <t>PRO-52ITP</t>
  </si>
  <si>
    <t>WAC27</t>
  </si>
  <si>
    <t>RAPTA</t>
  </si>
  <si>
    <t>HMGLRIDGE</t>
  </si>
  <si>
    <t>RIDGE</t>
  </si>
  <si>
    <t>HSNRQ25B</t>
  </si>
  <si>
    <t>Rinnai</t>
  </si>
  <si>
    <t>HSNRQ35B</t>
  </si>
  <si>
    <t>HSNRQ50B</t>
  </si>
  <si>
    <t>HSNRQ70B</t>
  </si>
  <si>
    <t>HSNRQ80B</t>
  </si>
  <si>
    <t>DINLU10Z7/DONSC10Z7</t>
  </si>
  <si>
    <t>HSNRG51A11</t>
  </si>
  <si>
    <t>DSNR07A12</t>
  </si>
  <si>
    <t>DSNR10A12</t>
  </si>
  <si>
    <t>DSNR12A12</t>
  </si>
  <si>
    <t>HONRJ35B / HINRJ35B</t>
  </si>
  <si>
    <t>HONRJ50B / HINRJ50B</t>
  </si>
  <si>
    <t>HONRJ70B / HINRJ70B</t>
  </si>
  <si>
    <t>HONRJ25B / HINRJ25B</t>
  </si>
  <si>
    <t>HSNRP20</t>
  </si>
  <si>
    <t>RINNAI</t>
  </si>
  <si>
    <t>HSNRP80</t>
  </si>
  <si>
    <t>HSNRP35</t>
  </si>
  <si>
    <t>HSNRP50</t>
  </si>
  <si>
    <t>HSNRP60</t>
  </si>
  <si>
    <t>HSNRP70</t>
  </si>
  <si>
    <t>HSNRP26</t>
  </si>
  <si>
    <t>HONRT25B / HINRT25B</t>
  </si>
  <si>
    <t>HONRT35B / HINRT35B</t>
  </si>
  <si>
    <t>HONRT50B / HINRT50B</t>
  </si>
  <si>
    <t>HONRT70B / HINRT70B</t>
  </si>
  <si>
    <t>HONRT80B / HINRT80B</t>
  </si>
  <si>
    <t>DONSGHW18Z2/DINLR17Z72</t>
  </si>
  <si>
    <t>DONSR17Z72/DINLR17Z72</t>
  </si>
  <si>
    <t>DONSR17Z72</t>
  </si>
  <si>
    <t>DONSR07B1/DINLR07B1</t>
  </si>
  <si>
    <t>DONSR09B1/DINLR09B1</t>
  </si>
  <si>
    <t>DONSR11B1/DINLR11B1</t>
  </si>
  <si>
    <t>DONSR13B1/DINLR13B1</t>
  </si>
  <si>
    <t>DONSR15B1/DINLR15B1</t>
  </si>
  <si>
    <t>DONSR18B1/DINLR18B1</t>
  </si>
  <si>
    <t>HSNRP26B</t>
  </si>
  <si>
    <t>HSNRP35B</t>
  </si>
  <si>
    <t>HSNRP50B</t>
  </si>
  <si>
    <t>HSNRP60B</t>
  </si>
  <si>
    <t>HSNRP70B</t>
  </si>
  <si>
    <t>HSNRP80B</t>
  </si>
  <si>
    <t>DONSR07Z72/DINLR07Z72</t>
  </si>
  <si>
    <t>DONSR10Z72/ DINLR10Z72</t>
  </si>
  <si>
    <t>DONSR12Z72/DINLR12Z72</t>
  </si>
  <si>
    <t>DONSR14Z72/ DINLR14Z72</t>
  </si>
  <si>
    <t>RPC35PDRWF</t>
  </si>
  <si>
    <t>FSNRP50B</t>
  </si>
  <si>
    <t>HONRP50B / FINRP50MBNZ</t>
  </si>
  <si>
    <t>HONRJ80B / HINRJ80B</t>
  </si>
  <si>
    <t>HONRJX25/HINRJX25</t>
  </si>
  <si>
    <t>HONRJX35/HINRJX35</t>
  </si>
  <si>
    <t>HONRJX70/HINRJX70</t>
  </si>
  <si>
    <t>HONRJX80/HINRJX80</t>
  </si>
  <si>
    <t>HSNRTX20</t>
  </si>
  <si>
    <t>HSNRTX25</t>
  </si>
  <si>
    <t>HSNRTX35</t>
  </si>
  <si>
    <t>HSNRTX50</t>
  </si>
  <si>
    <t>HSNRTX60</t>
  </si>
  <si>
    <t>HSNRTX70</t>
  </si>
  <si>
    <t>HSNRTX80</t>
  </si>
  <si>
    <t>HSNRTX90</t>
  </si>
  <si>
    <t>DONSR07B1LA/DINLR07B1A</t>
  </si>
  <si>
    <t>DONSR09B1LA/DINLR09B1A</t>
  </si>
  <si>
    <t>DONSR11B1LA/DINLR11B1A</t>
  </si>
  <si>
    <t>HONRPX25/HINRPX25M</t>
  </si>
  <si>
    <t>HONRPX35/HINRPX35M</t>
  </si>
  <si>
    <t>HONRPX50/HINRPX50M</t>
  </si>
  <si>
    <t>HONRPX60/HINRPX60M</t>
  </si>
  <si>
    <t>HONRPX70/HINRPX70M</t>
  </si>
  <si>
    <t>HONRPX80/HINRPX80M</t>
  </si>
  <si>
    <t>DONSR13B1LA/DINLR13B1A</t>
  </si>
  <si>
    <t>DONSR15B1LA/DINLR15B1SA</t>
  </si>
  <si>
    <t>DONSR15B1TA/DINLR15B1SA</t>
  </si>
  <si>
    <t>DONSR18B1TA/DINLR18B1SA</t>
  </si>
  <si>
    <t>HONRTX25/HINRTX25</t>
  </si>
  <si>
    <t>HONRTX35/HINRTX35</t>
  </si>
  <si>
    <t>HONRTX50/HINRTX50</t>
  </si>
  <si>
    <t>HONRTX60/HINRTX60</t>
  </si>
  <si>
    <t>HONRTX70/HINRTX70</t>
  </si>
  <si>
    <t>HONRTX80/HINRTX80</t>
  </si>
  <si>
    <t>HONRTX90/HINRTX90</t>
  </si>
  <si>
    <t>HONRJX50/HINRJX50</t>
  </si>
  <si>
    <t>AC200JXAFNH/ AC200JNHFKH</t>
  </si>
  <si>
    <t>SAMSUNG</t>
  </si>
  <si>
    <t>AR50F12C1UHX / AR50F12C1UHN</t>
  </si>
  <si>
    <t>Samsung</t>
  </si>
  <si>
    <t>AR50F30C1UHX / AR50F30C1UHN</t>
  </si>
  <si>
    <t>AR50F09C1UHX / AR50F09C1UHN</t>
  </si>
  <si>
    <t>AR09AXAABWKX/SA AR09AXAABWKN/SA</t>
  </si>
  <si>
    <t>SAMSUNG ELECTRONICS</t>
  </si>
  <si>
    <t>AR12AXAABWKX/SA AR12AXAABWKN/SA</t>
  </si>
  <si>
    <t>AR18AXAABWKX/SA AR18AXAABWKN/SA</t>
  </si>
  <si>
    <t>AR09AXHQAWKXSA/AR09AXHQAWKNSA</t>
  </si>
  <si>
    <t>AR12AXHQAWKXSA/AR12AXHQAWKNSA</t>
  </si>
  <si>
    <t>AR18AXHQAWKXSA/AR18AXHQAWKNSA</t>
  </si>
  <si>
    <t>AR24AXHQAWKXSA/AR24AXHQAWKNSA</t>
  </si>
  <si>
    <t>AR09BXEABWKX/ AR09BXEABWKN</t>
  </si>
  <si>
    <t>AR12BXEABWKX/ AR12BXEABWKN</t>
  </si>
  <si>
    <t>AR12BXECNWKX/ AR12BXECNWKN</t>
  </si>
  <si>
    <t>AR18BXEABWKX/ AR18BXEABWKN</t>
  </si>
  <si>
    <t>AR24BXEABWKX/ AR24BXEABWKN</t>
  </si>
  <si>
    <t>AR30BXEABWKX/ AR30BXEABWKNSA</t>
  </si>
  <si>
    <t>AR09BXECNWKX/ AR09BXECNWKN</t>
  </si>
  <si>
    <t>AR18BXECNWKX/ AR18BXECNWKN</t>
  </si>
  <si>
    <t>AR24BXECNWKX/ AR24BXECNWKN</t>
  </si>
  <si>
    <t>AR30BXECNWKX/ AR30BXECNWKN</t>
  </si>
  <si>
    <t>AR09BXGYCWKX/ AR09BXGYCWKN</t>
  </si>
  <si>
    <t>AR12BXGYCWKX/ AR12BXGYCWKN</t>
  </si>
  <si>
    <t>AR18BXGYCWKX/ AR18BXGYCWKN</t>
  </si>
  <si>
    <t>AR24BXGYCWKX/ AR24BXGYCWKN</t>
  </si>
  <si>
    <t>AR30BXGYCWKX/ AR30BXGYCWKN</t>
  </si>
  <si>
    <t>AR09DXEANWKX / AR09DXEANWKN</t>
  </si>
  <si>
    <t>AR09DXFZCWKX / AR09DXFZCWKN</t>
  </si>
  <si>
    <t>AR12DXEANWKX / AR12DXEANWKN</t>
  </si>
  <si>
    <t>AR12DXFZCWKX / AR12DXFZCWKN</t>
  </si>
  <si>
    <t>AR18DXEANWKX / AR18DXEANWKN</t>
  </si>
  <si>
    <t>AR18DXFZCWKX / AR18DXFZCWKN</t>
  </si>
  <si>
    <t>AR24DXEANWKX / AR24DXEANWKN</t>
  </si>
  <si>
    <t>AR30DXEANWKX / AR30DXEANWKN</t>
  </si>
  <si>
    <t>AR30DXFZCWKX / AR30DXFZCWKN</t>
  </si>
  <si>
    <t>AR24DXFZCWKX / AR24DXFZCWKN</t>
  </si>
  <si>
    <t>AC160TXAPKG/SA / AC160TNHFKG/SA</t>
  </si>
  <si>
    <t>AC160TXAPNG/SA / AC160TNHFKG/SA</t>
  </si>
  <si>
    <t>AC120TXAPKG/SA / AC120TNHDKG/SA</t>
  </si>
  <si>
    <t>AC120TXAPNG/SA / AC120TNHDKG/SA</t>
  </si>
  <si>
    <t>AC052TXAPKG/SA / AC052TNHDKG/SA</t>
  </si>
  <si>
    <t>AC100TXAPKG/SA  / AC100TNHDKG/SA</t>
  </si>
  <si>
    <t>AC100TXAPNG/SA / AC100TNHDKG/SA</t>
  </si>
  <si>
    <t>AC071TXAPKG/SA / AC071TNHDKG/SA</t>
  </si>
  <si>
    <t>AC090TXAPKG/SA / AC090TNHDKG/SA</t>
  </si>
  <si>
    <t>AC140TXAPKG/SA / AC140TNHDKG/SA</t>
  </si>
  <si>
    <t>AC140TXAPNG/SA / AC140TNHDKG/SA</t>
  </si>
  <si>
    <t>AC071TXAPKG/SA / AC071TN4DKG/SA</t>
  </si>
  <si>
    <t>AC100TXAPKG/SA / AC100TN4DKG/SA</t>
  </si>
  <si>
    <t>AC120TXAPKG/SA  / AC120TN4DKG/SA</t>
  </si>
  <si>
    <t>AC140TXAPKG/SA / AC140TN4DKG/SA</t>
  </si>
  <si>
    <t>AC071TXAPKG/SA / AC071TN4PKG/SA</t>
  </si>
  <si>
    <t>AC100TXAPKG/SA / AC100TN4PKG/SA</t>
  </si>
  <si>
    <t>AC120TXAPKG/SA / AC120TN4PKG/SA</t>
  </si>
  <si>
    <t>AC140TXAPKG/SA / AC140TN4PKG/SA</t>
  </si>
  <si>
    <t>AC100TXAPKG/ AC100TNHPKG</t>
  </si>
  <si>
    <t>AC120TXAPKG\AC120TNHPKG</t>
  </si>
  <si>
    <t>AC140TXAPKG/ AC140TNHPKG</t>
  </si>
  <si>
    <t>AC160TXAPKG/ AC160TNHPKG</t>
  </si>
  <si>
    <t>AC100TXAPNG/ AC100TNHPKG</t>
  </si>
  <si>
    <t>AC120TXAPNG/ AC120TNHPKG</t>
  </si>
  <si>
    <t>AC140TXAPNG\AC140TNHPKG</t>
  </si>
  <si>
    <t>AC160TXAPNG/ AC160TNHPKG</t>
  </si>
  <si>
    <t>AC180JXAFNH/SA / AC180JNHFKH/SA</t>
  </si>
  <si>
    <t>PL616</t>
  </si>
  <si>
    <t>Sheffield</t>
  </si>
  <si>
    <t>PLA1738</t>
  </si>
  <si>
    <t>SSSD-18E0HD4A-C4</t>
  </si>
  <si>
    <t>Shinco</t>
  </si>
  <si>
    <t>SSSD-12C3HD4A-C8</t>
  </si>
  <si>
    <t>SLA-28-CHSD</t>
  </si>
  <si>
    <t>Smart Lifestyle Australia</t>
  </si>
  <si>
    <t>SLA-52-CHSD</t>
  </si>
  <si>
    <t>SLA-72-CHSD</t>
  </si>
  <si>
    <t>SLA-82-CHSD</t>
  </si>
  <si>
    <t>SLA-26-CHSD</t>
  </si>
  <si>
    <t>SLA-35-CHSD</t>
  </si>
  <si>
    <t>SUFA26R</t>
  </si>
  <si>
    <t>SmartUser</t>
  </si>
  <si>
    <t>DGWA2-ACDCBLW-12K</t>
  </si>
  <si>
    <t>Solar ACDC</t>
  </si>
  <si>
    <t>DGWA1-ACDCBLW-18K</t>
  </si>
  <si>
    <t>DGWA1-ACDCBLW-24K</t>
  </si>
  <si>
    <t>DLMDWA1-ACDC-18K</t>
  </si>
  <si>
    <t>DLMDWA1-ACDC-24K</t>
  </si>
  <si>
    <t>DGWA2-ACDC-12KR2</t>
  </si>
  <si>
    <t>DGWA1-ACDC-18KR2</t>
  </si>
  <si>
    <t>DGWA1-ACDC-24KR2</t>
  </si>
  <si>
    <t>AW028C-1 / AW028E</t>
  </si>
  <si>
    <t>SPT</t>
  </si>
  <si>
    <t>AW052C-1 / AW052E</t>
  </si>
  <si>
    <t>AW073C-1 / AW073E</t>
  </si>
  <si>
    <t>AW036C-1/AW036E</t>
  </si>
  <si>
    <t>TAC-09CHPB/RPV</t>
  </si>
  <si>
    <t>TCL</t>
  </si>
  <si>
    <t>TAC-09CHPB/RPS</t>
  </si>
  <si>
    <t>TAC-09CHPB/RPW</t>
  </si>
  <si>
    <t>TAC-09CHPB/RPM</t>
  </si>
  <si>
    <t>TAC-09CHPB/RPV1</t>
  </si>
  <si>
    <t>TAC-09CHPB/RPV2</t>
  </si>
  <si>
    <t>TAC-09CHPB/RPS1</t>
  </si>
  <si>
    <t>TAC-09CHPB/RPS2</t>
  </si>
  <si>
    <t>TAC-09CHPB/RP series</t>
  </si>
  <si>
    <t>TAC-09CHPB/NX</t>
  </si>
  <si>
    <t>TAC-09CHPB/NU</t>
  </si>
  <si>
    <t>TAC-09CHPB/NW</t>
  </si>
  <si>
    <t>TAC-09CHPB/NY</t>
  </si>
  <si>
    <t>TAC-09CHPB/NZ</t>
  </si>
  <si>
    <t>TAC-09CHPB/NV</t>
  </si>
  <si>
    <t>TAC-09CHSD/TPG11IT</t>
  </si>
  <si>
    <t>TAC-09CHSD/TP11IT</t>
  </si>
  <si>
    <t>TAC-09CHSD/TP21IT</t>
  </si>
  <si>
    <t>TAC-09CHSD/TP31IT</t>
  </si>
  <si>
    <t>TAC-09CHSD/*IT</t>
  </si>
  <si>
    <t>TAC-12CHSD/TP31IT</t>
  </si>
  <si>
    <t>TAC-12CHSD/TP21IT</t>
  </si>
  <si>
    <t>TAC-12CHSD/TP11IT</t>
  </si>
  <si>
    <t>TAC-12CHSD/TPG11IT</t>
  </si>
  <si>
    <t>TAC-12CHSD/*IT</t>
  </si>
  <si>
    <t>TAC-18CHSD/TPG11IT</t>
  </si>
  <si>
    <t>TAC-18CHSD/TP11IT</t>
  </si>
  <si>
    <t>TAC-18CHSD/TP21IT</t>
  </si>
  <si>
    <t>TAC-18CHSD/TP31IT</t>
  </si>
  <si>
    <t>TAC-18CHSD/*IT</t>
  </si>
  <si>
    <t>TAC-24CHSD/TP31IT</t>
  </si>
  <si>
    <t>TAC-24CHSD/TP21IT</t>
  </si>
  <si>
    <t>TAC-24CHSD/TP11IT</t>
  </si>
  <si>
    <t>TAC-24CHSD/TPG11IT</t>
  </si>
  <si>
    <t>TAC-24CHSD/*IT</t>
  </si>
  <si>
    <t>TAC-09CHPB/MZ</t>
  </si>
  <si>
    <t>TAC-09CHPB/MY</t>
  </si>
  <si>
    <t>TAC-09CHPB/MX</t>
  </si>
  <si>
    <t>TAC-09CHPB/MW</t>
  </si>
  <si>
    <t>TAC-09CHPB/MV</t>
  </si>
  <si>
    <t>TAC-09CHPB/MU</t>
  </si>
  <si>
    <t>TAC-09CHPB/M*</t>
  </si>
  <si>
    <t>TAC-12CHPB/MU</t>
  </si>
  <si>
    <t>TAC-12CHPB/MV</t>
  </si>
  <si>
    <t>TAC-12CHPB/MW</t>
  </si>
  <si>
    <t>TAC-12CHPB/MX</t>
  </si>
  <si>
    <t>TAC-12CHPB/MY</t>
  </si>
  <si>
    <t>TAC-12CHPB/MZ</t>
  </si>
  <si>
    <t>TAC-12CHPB/M*</t>
  </si>
  <si>
    <t>TAC-28CHSD/TPG11IT</t>
  </si>
  <si>
    <t>TAC-28CHSD/TPG21IT</t>
  </si>
  <si>
    <t>TAC-28CHSD/TPG31IT</t>
  </si>
  <si>
    <t>TAC-28CHSD/IT series</t>
  </si>
  <si>
    <t>TAC-09CHSD/TPH11IT</t>
  </si>
  <si>
    <t>TAC-12CHSD/TPH11IT</t>
  </si>
  <si>
    <t>TAC-18CHSD/TPH11IT</t>
  </si>
  <si>
    <t>TAC-24CHSD/TPH11IT</t>
  </si>
  <si>
    <t>TAC-28CHSD/TPH11IT</t>
  </si>
  <si>
    <t>TAC-09CHSD/VEIH</t>
  </si>
  <si>
    <t>TAC-09CHSD/VAIH</t>
  </si>
  <si>
    <t>TAC-09CHSD series</t>
  </si>
  <si>
    <t>TAC-09CHSD/VBIH</t>
  </si>
  <si>
    <t>TAC-12CHPB/NYBp</t>
  </si>
  <si>
    <t>TAC-12CHPB/NVBp</t>
  </si>
  <si>
    <t>TAC-12CHPB/NWBp</t>
  </si>
  <si>
    <t>TAC-12CHPB/NUBp</t>
  </si>
  <si>
    <t>TAC-12CHPB/NZBp</t>
  </si>
  <si>
    <t>TAC-12CHPB/NXBp</t>
  </si>
  <si>
    <t>TAC-12CHPB/N*Bp</t>
  </si>
  <si>
    <t>TAC-09CHSD/TPG11IH</t>
  </si>
  <si>
    <t>TAC-09CHSD/TPG21IH</t>
  </si>
  <si>
    <t>TAC-09CHSD/TPG31IH</t>
  </si>
  <si>
    <t>TAC-09CHSD/TPH11IH</t>
  </si>
  <si>
    <t>TAC-09CHSD/TPH21IH</t>
  </si>
  <si>
    <t>TAC-09CHSD/*IH</t>
  </si>
  <si>
    <t>TAC-13CHSD/VEIH</t>
  </si>
  <si>
    <t>TAC-10CHSD/VEIH</t>
  </si>
  <si>
    <t>TAC-18CHSD/VEIH</t>
  </si>
  <si>
    <t>TAC-06CHSD/TPH11IH</t>
  </si>
  <si>
    <t>TAC-06CHSD/TPH21IH</t>
  </si>
  <si>
    <t>TAC-06CHSD/TPG11IH</t>
  </si>
  <si>
    <t>TAC-06CHSD/TPG21IH</t>
  </si>
  <si>
    <t>TAC-06CHSD/TPG31IH</t>
  </si>
  <si>
    <t>TAC-06CHSD/VEIH</t>
  </si>
  <si>
    <t>TAC-06CHSD/VFIH</t>
  </si>
  <si>
    <t>TAC-06CHSD/VBIH</t>
  </si>
  <si>
    <t>TAC-06CHSD/VCIH</t>
  </si>
  <si>
    <t>TAC-06CHSD/VDIH</t>
  </si>
  <si>
    <t>TAC-06CHSD series</t>
  </si>
  <si>
    <t>TCD160D1HWH-DVO / TCD160D1HWH-DVI</t>
  </si>
  <si>
    <t>TCD140D1HWH-DVO / TCD140D1HWH-DVI</t>
  </si>
  <si>
    <t>TCD71D1HWH-DVO/TCD71D1HWH-DVI</t>
  </si>
  <si>
    <t>TCD85D1HWH-DVO/TCD85D1HWH-DVI</t>
  </si>
  <si>
    <t>TCD100D1HWH-DVO/TCD100D1HWH-DVI</t>
  </si>
  <si>
    <t>TCD125D1HWH-DVO/TCD125D1HWH-DVI</t>
  </si>
  <si>
    <t>TAC-28CHSD/VEIH</t>
  </si>
  <si>
    <t>TAC-28CHSD/VFIH</t>
  </si>
  <si>
    <t>TAC-28CHSD/TPH11IH</t>
  </si>
  <si>
    <t>TAC-28CHSD/TPH21IH</t>
  </si>
  <si>
    <t>TAC-28CHSD/*IH</t>
  </si>
  <si>
    <t>TAC-24CHSD/VEIH</t>
  </si>
  <si>
    <t>TAC-24CHSD/VFIH</t>
  </si>
  <si>
    <t>TAC-24CHSD/TPH11IH</t>
  </si>
  <si>
    <t>TAC-24CHSD/TPH21IH</t>
  </si>
  <si>
    <t>TAC-24CHSD series</t>
  </si>
  <si>
    <t>TAC-10CHSD/VFIH</t>
  </si>
  <si>
    <t>TAC-10CHSD/V*IH</t>
  </si>
  <si>
    <t>TAC-13CHSD/VFIH</t>
  </si>
  <si>
    <t>TAC-13CHSD series</t>
  </si>
  <si>
    <t>TAC-13CHSD/VFIG</t>
  </si>
  <si>
    <t>TAC-08CHSD/TPH11ITU</t>
  </si>
  <si>
    <t>TAC-08CHSD/*ITU</t>
  </si>
  <si>
    <t>TAC-08CHSD/TPH21ITU</t>
  </si>
  <si>
    <t>TAC-10CHSD/XA72IG</t>
  </si>
  <si>
    <t>TAC-13CHSD/XA72IG</t>
  </si>
  <si>
    <t>TAC-06CSHD/*IH</t>
  </si>
  <si>
    <t>TAC-09CHSD/P7</t>
  </si>
  <si>
    <t>TAC-12CHSD/P7</t>
  </si>
  <si>
    <t>TVS26HVUVAH</t>
  </si>
  <si>
    <t>TECO</t>
  </si>
  <si>
    <t>TVS26HVWAH</t>
  </si>
  <si>
    <t>TVS26HV**AH</t>
  </si>
  <si>
    <t>TVS26HVWUAH</t>
  </si>
  <si>
    <t>TWS-TSO26H3DVHA</t>
  </si>
  <si>
    <t>TWS-TSO35H3DVHA</t>
  </si>
  <si>
    <t>TWS-TSO53H3DVHA</t>
  </si>
  <si>
    <t>TWS-TSO80H3DVHA</t>
  </si>
  <si>
    <t>TPO42HVWAH</t>
  </si>
  <si>
    <t>TWS-TSO26H3DVJT</t>
  </si>
  <si>
    <t>TWS-TSO35H3DVJT</t>
  </si>
  <si>
    <t>TDS-TSO125HVFM</t>
  </si>
  <si>
    <t>TWW22HFAT</t>
  </si>
  <si>
    <t>TWW26HFAT</t>
  </si>
  <si>
    <t>TWS-TSO52H3DVJT</t>
  </si>
  <si>
    <t>TWS-TSO72H3DVJT</t>
  </si>
  <si>
    <t>TWS-TSO88H3DVJT</t>
  </si>
  <si>
    <t>TWW61HFWDG</t>
  </si>
  <si>
    <t>TDS-TSO125HVSWDG</t>
  </si>
  <si>
    <t>TWW28HVAG</t>
  </si>
  <si>
    <t>TWW36HVAG</t>
  </si>
  <si>
    <t>TWW53HVAG</t>
  </si>
  <si>
    <t>TWW61HFWEG</t>
  </si>
  <si>
    <t>TPO35HFWET</t>
  </si>
  <si>
    <t>TDS-TSO100HVWDG</t>
  </si>
  <si>
    <t>TDS-TSO140HVSWDG</t>
  </si>
  <si>
    <t>TVS32HVUVWBH</t>
  </si>
  <si>
    <t>TVS32HVUVBH</t>
  </si>
  <si>
    <t>TVS32HVWBH</t>
  </si>
  <si>
    <t>TVS32HVBH</t>
  </si>
  <si>
    <t>TVS32HV***WBH</t>
  </si>
  <si>
    <t>TDS-TSO160HVSWDG</t>
  </si>
  <si>
    <t>TWS-TSO26H3DVKT</t>
  </si>
  <si>
    <t>TWS-TSO35H3DVKT</t>
  </si>
  <si>
    <t>TWS-TSO52H3DVKT</t>
  </si>
  <si>
    <t>TWS-TSO70H3DVKT</t>
  </si>
  <si>
    <t>TWS-TSO88H3DVKT</t>
  </si>
  <si>
    <t>TWW22HFWDG</t>
  </si>
  <si>
    <t>TWW27HFWDG</t>
  </si>
  <si>
    <t>TWW40HFWDG</t>
  </si>
  <si>
    <t>TWW53HFWDG</t>
  </si>
  <si>
    <t>TWS-TSO26HVEIT</t>
  </si>
  <si>
    <t>TECOAIR</t>
  </si>
  <si>
    <t>OPA450RLTFPQ</t>
  </si>
  <si>
    <t>TEMPERZONE</t>
  </si>
  <si>
    <t>OPA350RLTFPQ</t>
  </si>
  <si>
    <t>OPA560RLTFPQ</t>
  </si>
  <si>
    <t>OPA250RLTFPQ</t>
  </si>
  <si>
    <t>HWP172RKT</t>
  </si>
  <si>
    <t>HWP142RKT</t>
  </si>
  <si>
    <t>OPA116RKTY</t>
  </si>
  <si>
    <t>HWP192RKT</t>
  </si>
  <si>
    <t>OPA242RKTB</t>
  </si>
  <si>
    <t>HWP445RKT</t>
  </si>
  <si>
    <t>OPA294RKTB</t>
  </si>
  <si>
    <t>OPA161RKTY</t>
  </si>
  <si>
    <t>HWP275RKT</t>
  </si>
  <si>
    <t>HWP255RKT</t>
  </si>
  <si>
    <t>OPA186RKTY</t>
  </si>
  <si>
    <t>OPA201RKT</t>
  </si>
  <si>
    <t>CWP0063RKSY</t>
  </si>
  <si>
    <t>CWP0096RKSY</t>
  </si>
  <si>
    <t>CWP0109RKSY</t>
  </si>
  <si>
    <t>CWP0109RKTY</t>
  </si>
  <si>
    <t>CWP0178RKTY</t>
  </si>
  <si>
    <t>CWP0083RKSY</t>
  </si>
  <si>
    <t>VPA160RKTG-P</t>
  </si>
  <si>
    <t>CWP0132RKSY</t>
  </si>
  <si>
    <t>CWP0132RKTY</t>
  </si>
  <si>
    <t>CWP0447RKTY</t>
  </si>
  <si>
    <t>CWP0374RKTY</t>
  </si>
  <si>
    <t>CWP0217RKTY</t>
  </si>
  <si>
    <t>OPA201RKTYG</t>
  </si>
  <si>
    <t>CWP0266RKTY</t>
  </si>
  <si>
    <t>CWP0568RKTY</t>
  </si>
  <si>
    <t>OPA 186RKTYG</t>
  </si>
  <si>
    <t>ISD 351LYX / OSA 352RLTFV</t>
  </si>
  <si>
    <t>CWP 90RELSFY</t>
  </si>
  <si>
    <t>OPA 211RLTFY</t>
  </si>
  <si>
    <t>OSA 171RLSFH / ISD 171LYX</t>
  </si>
  <si>
    <t>ISD 251LYX / OSA 251RLTFH</t>
  </si>
  <si>
    <t>ISD 171LYX / OSA 171RLTFH</t>
  </si>
  <si>
    <t>OSA 211RLTFH / ISD 211LYX</t>
  </si>
  <si>
    <t>OPA 171RLTFY</t>
  </si>
  <si>
    <t>HWP98RKS</t>
  </si>
  <si>
    <t>HWP79RKS</t>
  </si>
  <si>
    <t>HWP118RKT</t>
  </si>
  <si>
    <t>HWP370RKT</t>
  </si>
  <si>
    <t>HWP59RKS</t>
  </si>
  <si>
    <t>HWP36RKS</t>
  </si>
  <si>
    <t>HWP48RKS</t>
  </si>
  <si>
    <t>RAS-B18UFV-A/RAS-18SAV2-A</t>
  </si>
  <si>
    <t>TOSHIBA</t>
  </si>
  <si>
    <t>RAS-B10UFV-A &amp; RAS-10SAVR-A</t>
  </si>
  <si>
    <t>RAV-SM567MUT-E &amp; RAV-SP564ATP-A1</t>
  </si>
  <si>
    <t>RAS-07PKVSG-NZ &amp; RAS-07PAVSG-NZ</t>
  </si>
  <si>
    <t>RAS-10PKVSG-NZ 7 RAS-10PAVSG-NZ</t>
  </si>
  <si>
    <t>RAS-13PKVSG-NZ 7 RAS-13PAVSG-NZ</t>
  </si>
  <si>
    <t>RAS-16PKVSG-NZ 7 RAS-16PAVSG-NZ</t>
  </si>
  <si>
    <t>RAS-18PKVSG-NZ 7 RAS-18PAVSG-NZ</t>
  </si>
  <si>
    <t>RAS-22PKVSG-NZ &amp; RAS-22PAVSG-NZ</t>
  </si>
  <si>
    <t>RAS-24PKVSG-NZ &amp; RAS-24PAVSG-NZ</t>
  </si>
  <si>
    <t>RAV-RM561BTP-E &amp; RAV-GM561ATP-NZ</t>
  </si>
  <si>
    <t>RAV-RM801BTP-E &amp; RAV-GM801ATP-NZ</t>
  </si>
  <si>
    <t>RAV-RM1101BTP-E &amp; RAV-GM1101ATP-NZ</t>
  </si>
  <si>
    <t>RAV-RM1401BTP-E &amp; RAV-GM1401ATP-NZ</t>
  </si>
  <si>
    <t>RAV-RM561UTP-E &amp; RAV-GM561ATP-NZ</t>
  </si>
  <si>
    <t>RAV-RM801UTP-E &amp; RAV-GM801ATP-NZ</t>
  </si>
  <si>
    <t>RAV-RM1101UTP-E &amp; RAV-GM1101ATP-NZ</t>
  </si>
  <si>
    <t>RAV-RM1401UTP-E &amp; RAV-GM1401ATP-NZ</t>
  </si>
  <si>
    <t>RAV-RM301KRTP-NZ &amp; RAV-GM301ATP-NZ</t>
  </si>
  <si>
    <t>RAV-RM401KRTP-NZ &amp; RAV-GM401ATP-NZ</t>
  </si>
  <si>
    <t>RAV-RM561KRTP-NZ &amp; RAV-GM561ATP-NZ</t>
  </si>
  <si>
    <t>RAV-RM801KRTP-NZ &amp; RAV-GM801ATP-NZ</t>
  </si>
  <si>
    <t>RAV-RM401CTP-E &amp; RAV-GM401ATP-NZ</t>
  </si>
  <si>
    <t>RAV-RM561CTP-E &amp; RAV-GM561ATP-NZ</t>
  </si>
  <si>
    <t>RAV-RM801CTP-E &amp; RAV-RM801ATP-NZ</t>
  </si>
  <si>
    <t>RAV-SM1101CTP-E &amp; RAV-GM1101ATP-NZ</t>
  </si>
  <si>
    <t>RAV-RM1401CTP-E &amp; RAV-GM1401ATP-NZ</t>
  </si>
  <si>
    <t>RAV-RM301MUT-E &amp; RAV-GM301ATP-NZ</t>
  </si>
  <si>
    <t>RAV-RM401MUT-E &amp; RAV-GM401ATP-NZ</t>
  </si>
  <si>
    <t>RAV-RM561MUT-E &amp; RAV-GM561ATP-NZ</t>
  </si>
  <si>
    <t>RAV-RM301SDT-E &amp; RAV-GM301ATP-NZ</t>
  </si>
  <si>
    <t>RAV-RM401SDT-E &amp; RAV-GM401ATP-NZ</t>
  </si>
  <si>
    <t>RAV-RM561SDT-E &amp; RAV-GM561ATP-NZ</t>
  </si>
  <si>
    <t>RAV-RM561UTP-E &amp; RAV-GP561ATP-E</t>
  </si>
  <si>
    <t>RAV-RM801UTP-E &amp; RAV-GP801AT-E</t>
  </si>
  <si>
    <t>RAV-RM1101UTP-E &amp; RAV-GP1101AT-E</t>
  </si>
  <si>
    <t>RAV-RM1401UTP-E &amp; RAV-GP1401AT-E</t>
  </si>
  <si>
    <t>RAV-RM561UTP-E x 2 &amp; RAV-GP1101AT-E</t>
  </si>
  <si>
    <t>Double/Triple Split</t>
  </si>
  <si>
    <t>RAV-RM801UTP-E x 2 &amp; RAV-GP1401AT-E</t>
  </si>
  <si>
    <t>RAV-RM561MUT-E &amp; RAV-GP561ATP-E</t>
  </si>
  <si>
    <t>RAV-RM401MUT-E x 2 &amp; RAV-GP801AT-E</t>
  </si>
  <si>
    <t>RAV-RM561MUT-E x 2 &amp; RAV-GP1101AT-E</t>
  </si>
  <si>
    <t>RAV-RM561CTP-E &amp; RAV-GP561ATP-E</t>
  </si>
  <si>
    <t>RAV-RM801CTP-E &amp; RAV-GP801AT-E</t>
  </si>
  <si>
    <t>RAV-RM1101CTP-E &amp; RAV-GP1101AT-E</t>
  </si>
  <si>
    <t>RAV-RM1401CTP-E &amp; RAV-GP1401AT-E</t>
  </si>
  <si>
    <t>RAV-RM401CTP-E x 2 &amp; RAV-GP801AT-E</t>
  </si>
  <si>
    <t>RAV-RM561CTP-E x 2 &amp; RAV-GP1101AT-E</t>
  </si>
  <si>
    <t>RAV-RM801CTP-E x 2 &amp; RAV-GP1401AT-E</t>
  </si>
  <si>
    <t>RAV-RM561BTP-E &amp; RAV-GP561ATP-E</t>
  </si>
  <si>
    <t>RAV-RM801BTP-E &amp; RAV-GP801AT-E</t>
  </si>
  <si>
    <t>RAV-RM1101BTP-E &amp; RAV-GP1101AT-E</t>
  </si>
  <si>
    <t>RAV-RM1401BTP-E &amp; RAV-GP1401AT-E</t>
  </si>
  <si>
    <t>RAV-RM561KRTP-NZ &amp; RAV-GP561ATP-E</t>
  </si>
  <si>
    <t>RAV-RM801KRTP-NZ &amp; RAV-GP801AT-E</t>
  </si>
  <si>
    <t>RAV-RM561KRTP-NZ x2 &amp; RAV-GP1101AT-E</t>
  </si>
  <si>
    <t>RAV-RM801KRTP-NZ x2 &amp; RAV-GP1401AT-E</t>
  </si>
  <si>
    <t>RAV-SM407MUT-E &amp; RAV-SM404ATP-A</t>
  </si>
  <si>
    <t>RAV-RM801KRTP-NZ x2 &amp; RAV-GP1401AT8-E</t>
  </si>
  <si>
    <t>RAV-RM1401UTP-E &amp; RAV-GP1401AT8-E</t>
  </si>
  <si>
    <t>RAV-RM801KRTP-NZ x2 &amp; RAV-GP1601AT8-E</t>
  </si>
  <si>
    <t>RAV-RM1601UTP-E</t>
  </si>
  <si>
    <t>RAV-RM801UTP-E x2 &amp; RAV-GP1401AT8-E</t>
  </si>
  <si>
    <t>RAV-RM801UTP-E x2 &amp; RAV-GP1601AT8-E</t>
  </si>
  <si>
    <t>RAV-RM1401BTP-E &amp; RAV-GP1401AT8-E</t>
  </si>
  <si>
    <t>RAV-RM1601BTP-E &amp; RAV-GP1601AT8-E</t>
  </si>
  <si>
    <t>RAV-RM1401CTP-E &amp; RAV-GP1401AT8-E</t>
  </si>
  <si>
    <t>RAV-RM1601CTP-E &amp; RAV-GP1601AT8-E</t>
  </si>
  <si>
    <t>RAV-RM801CTP-E x2 &amp; RAV-GP1401AT8-E</t>
  </si>
  <si>
    <t>RAV-RM801CTP-E x2 &amp; RAV-GP1601AT8-E</t>
  </si>
  <si>
    <t>RAV-GM1101KRTP-NZ &amp; RAV-GM1101ATP-NZ</t>
  </si>
  <si>
    <t>RAS-10U2AVSG-NZ/RAS-10U2FVG-NZ</t>
  </si>
  <si>
    <t>RAS-13U2AVSG-NZ/RAS-13U2FVG-NZ</t>
  </si>
  <si>
    <t>RAS-18U2AVSG-NZ/RAS-18U2FVG-NZ</t>
  </si>
  <si>
    <t>RAV-GM901ATP-NZ/RAV-GM901CTP-E</t>
  </si>
  <si>
    <t>RAV-GM901ATP-NZ/RAV-GM901UTP-E</t>
  </si>
  <si>
    <t>RAV-GM561ATP-NZ/RAV-RM561KRTP-NZ1</t>
  </si>
  <si>
    <t>RAV-GM901ATP-NZ/RAV-GM901KRTP-NZ</t>
  </si>
  <si>
    <t>RAV-GM901ATP-NZ/RAV-GM901BTP-E</t>
  </si>
  <si>
    <t>RAS-07E2AVG-A/RAS-07E2KVG-A</t>
  </si>
  <si>
    <t>Toshiba</t>
  </si>
  <si>
    <t>RAS-10E2AVG-A/RAS-10E2KVG-A</t>
  </si>
  <si>
    <t>RAS-13E2AVG-A/RAS-13E2KVG-A</t>
  </si>
  <si>
    <t>RAS-16E2AVG-A/RAS-16E2KVG-A</t>
  </si>
  <si>
    <t>RAS-18E2AVG-A/RAS-18E2KVG-A</t>
  </si>
  <si>
    <t>RAS-22E2AVG-A/RAS-22E2KVG-A</t>
  </si>
  <si>
    <t>RAS-24E2AVG-A/RAS-24E2KVG-A</t>
  </si>
  <si>
    <t>RAS-07E2AVG-A/RAS-07E2KV2G-A</t>
  </si>
  <si>
    <t>RAS-10E2AVG-A/RAS-10E2KV2G-A</t>
  </si>
  <si>
    <t>RAS-13E2AVG-A/RAS-13E2KV2G-A</t>
  </si>
  <si>
    <t>RAS-16E2AVG-A/RAS-16E2KV2G-A</t>
  </si>
  <si>
    <t>RAS-18E2AVG-A/RAS-18E2KV2G-A</t>
  </si>
  <si>
    <t>RAS-22E2AVG-A/RAS-22E2KV2G-A</t>
  </si>
  <si>
    <t>RAS-24E2AVG-A/RAS-24E2KV2G-A</t>
  </si>
  <si>
    <t>RAS-30E2AVG-A/RAS-30E2KVG-A</t>
  </si>
  <si>
    <t>RAS-34E2AVG-A/RAS-34E2KVG-A</t>
  </si>
  <si>
    <t>RAS-36E2AVG-A/RAS-36E2KVG-A</t>
  </si>
  <si>
    <t>RAS-07E2AVSG-A/RAS-07E2KVSG-A</t>
  </si>
  <si>
    <t>RAS-10E2AVSG-A/RAS-10E2KVSG-A</t>
  </si>
  <si>
    <t>RAS-13E2AVSG-A/RAS-13E2KVSG-A</t>
  </si>
  <si>
    <t>RAS-16E2AVSG-A/RAS-16E2KVSG-A</t>
  </si>
  <si>
    <t>RAS-18E2AVSG-A/RAS-18E2KVSG-A</t>
  </si>
  <si>
    <t>RAS-22E2AVSG-A/RAS-22E2KVSG-A</t>
  </si>
  <si>
    <t>RAS-24E2AVSG-A/RAS-24E2KVSG-A</t>
  </si>
  <si>
    <t>RAV-GM2241AT8-A / RAV-RM2241DTP-E1</t>
  </si>
  <si>
    <t>RAV-GM2801AT8-A/RAV-RM2801DTP-E1</t>
  </si>
  <si>
    <t>RAV-GP561ATJP-E/RAV-RM561BTP-E</t>
  </si>
  <si>
    <t>RAS-30E2AVG-A / RAS-30E2KVG-A</t>
  </si>
  <si>
    <t>RAS-13E2AVSG-A / RAS-13E2KVSG-A</t>
  </si>
  <si>
    <t>RAV-GP561ATP-A/RAV-GM561KRTP-A</t>
  </si>
  <si>
    <t>RAV-GP801ATP-A/RAV-GM801KRTP-A</t>
  </si>
  <si>
    <t>RAV-GP561ATP-A/RAV-GM561DTP-A</t>
  </si>
  <si>
    <t>RAV-GP801ATP-A/RAV-GM801DTP-A</t>
  </si>
  <si>
    <t>RAV-GP1101ATP-A/RAV-GM1101DTP-A</t>
  </si>
  <si>
    <t>RAV-GP1101AT8P-A/RAV-GM1101DTP-A</t>
  </si>
  <si>
    <t>RAV-GP1401AT8P-A/RAV-GM1401DTP-A</t>
  </si>
  <si>
    <t>RAV-GP1401ATP-A/RAV-GM1401DTP-A</t>
  </si>
  <si>
    <t>RAV-GP1601AT8P-A/RAV-GM1601DTP-A</t>
  </si>
  <si>
    <t>RAV-GP1601ATP-A/RAV-GM1601DTP-A</t>
  </si>
  <si>
    <t>RAV-GP561ATP-A/RAV-GM561BTP-A</t>
  </si>
  <si>
    <t>RAV-GP801ATP-A/RAV-GM801BTP-A</t>
  </si>
  <si>
    <t>RAV-GP1101AT8P-A/RAV-GM1101BTP-A</t>
  </si>
  <si>
    <t>RAV-GP1101ATP-A/RAV-GM1101BTP-A</t>
  </si>
  <si>
    <t>RAV-GP1401AT8P-A/RAV-GM1401BTP-A</t>
  </si>
  <si>
    <t>RAV-GP1401ATP-A/RAV-GM1401BTP-A</t>
  </si>
  <si>
    <t>RAV-GP1601AT8P-A/RAV-GM1601BTP-A</t>
  </si>
  <si>
    <t>RAV-GP1601ATP-A/RAV-GM1601BTP-A</t>
  </si>
  <si>
    <t>RAV-GP561ATP-A/RAV-GM561UTP-A</t>
  </si>
  <si>
    <t>RAV-GP801ATP-A/RAV-GM801UTP-A</t>
  </si>
  <si>
    <t>RAV-GP1101AT8P-A/RAV-GM1101UTP-A</t>
  </si>
  <si>
    <t>RAV-GP1101ATP-A/RAV-GM1101UTP-A</t>
  </si>
  <si>
    <t>RAV-GP1401AT8P-A/RAV-GM1401UTP-A</t>
  </si>
  <si>
    <t>RAV-GP1401ATP-A/RAV-GM1401UTP-A</t>
  </si>
  <si>
    <t>RAV-GP1601AT8P-A/RAV-GM1601UTP-A</t>
  </si>
  <si>
    <t>RAV-GP1601ATP-A/RAV-GM1601UTP-A</t>
  </si>
  <si>
    <t>RAV-GP561ATP-A/RAV-GM561CTP-A</t>
  </si>
  <si>
    <t>RAV-GP801ATP-A/RAV-GM801CTP-A</t>
  </si>
  <si>
    <t>RAV-GP1101AT8P-A/RAV-GM1101CTP-A</t>
  </si>
  <si>
    <t>RAV-GP1101ATP-A/RAV-GM1101CTP-A</t>
  </si>
  <si>
    <t>RAV-GP1401AT8P-A/RAV-GM1401CTP-A</t>
  </si>
  <si>
    <t>RAV-GP1401ATP-A/RAV-GM1401CTP-A</t>
  </si>
  <si>
    <t>RAV-GP1601AT8P-A/RAV-GM1601CTP-A</t>
  </si>
  <si>
    <t>RAV-GP1601ATP-A/RAV-GM1601CTP-A</t>
  </si>
  <si>
    <t>RAV-GM301ATP-A/RAV-GM301KRTP-A</t>
  </si>
  <si>
    <t>RAV-GM401ATP-A/RAV-GM401KRTP-A</t>
  </si>
  <si>
    <t>RAV-GM561ATP-A/RAV-GM561KRTP-A</t>
  </si>
  <si>
    <t>RAV-GM801ATP-A/RAV-GM801KRTP-A</t>
  </si>
  <si>
    <t>RAV-GM301ATP-A/RAV-RM301MUT-E</t>
  </si>
  <si>
    <t>RAV-GM401ATP-A/RAV-RM401MUT-E</t>
  </si>
  <si>
    <t>RAV-GM561ATP-A/RAV-RM561MUT-E</t>
  </si>
  <si>
    <t>RAV-GM561ATP-A/RAV-GM561UTP-A</t>
  </si>
  <si>
    <t>RAV-GM801ATP-A/RAV-GM801UTP-A</t>
  </si>
  <si>
    <t>RAV-GM1101ATP-A/RAV-GM1101UTP-A</t>
  </si>
  <si>
    <t>RAV-GM1401ATP-A/RAV-GM1401UTP-A</t>
  </si>
  <si>
    <t>RAV-GM1601AT8P-A/RAV-GM1601UTP-A</t>
  </si>
  <si>
    <t>RAV-GM1601ATP-A/RAV-GM1601UTP-A</t>
  </si>
  <si>
    <t>RAV-GM561ATP-A/RAV-GM561CTP-A</t>
  </si>
  <si>
    <t>RAV-GM801ATP-A/RAV-GM801CTP-A</t>
  </si>
  <si>
    <t>RAV-GM1101ATP-A/RAV-GM1101CTP-A</t>
  </si>
  <si>
    <t>RAV-GM1401ATP-A/RAV-GM1401CTP-A</t>
  </si>
  <si>
    <t>RAV-GM1601AT8P-A/RAV-GM1601CTP-A</t>
  </si>
  <si>
    <t>RAV-GM1601ATP-A/RAV-GM1601CTP-A</t>
  </si>
  <si>
    <t>RAV-GM561ATP-A/RAV-GM561DTP-A</t>
  </si>
  <si>
    <t>RAV-GM801ATP-A/RAV-GM801DTP-A</t>
  </si>
  <si>
    <t>RAV-GM1101ATP-A/RAV-GM1101DTP-A</t>
  </si>
  <si>
    <t>RAV-GM1401ATP-A/RAV-GM1401DTP-A</t>
  </si>
  <si>
    <t>RAV-GM1601AT8P-A/RAV-GM1601DTP-A</t>
  </si>
  <si>
    <t>RAV-GM1601ATP-A/RAV-GM1601DTP-A</t>
  </si>
  <si>
    <t>RAV-GM561ATP-A/RAV-GM561BTP-A</t>
  </si>
  <si>
    <t>RAV-GM801ATP-A/RAV-GM801BTP-A</t>
  </si>
  <si>
    <t>RAV-GM1101ATP-A/RAV-GM1101BTP-A</t>
  </si>
  <si>
    <t>RAV-GM1401ATP-A/RAV-GM1401BTP-A</t>
  </si>
  <si>
    <t>RAV-GM1601ATP-A/RAV-GM1601BTP-A</t>
  </si>
  <si>
    <t>RAV-GM1601AT8P-A/RAV-GM1601BTP-A</t>
  </si>
  <si>
    <t>RAV-GM2241AT8-A/RAV-RM2241DTP-E2</t>
  </si>
  <si>
    <t>RAV-GM2801AT8-A/RAV-RM2801DTP-E2</t>
  </si>
  <si>
    <t>RAV-SM2804AT8-A1/RAV-RM2801DTP-E2</t>
  </si>
  <si>
    <t>RAS-10E2AVRG-A / RAS-B10E2KVRG-A</t>
  </si>
  <si>
    <t>RAS-13E2AVRG-A / RAS-B13E2KVRG-A</t>
  </si>
  <si>
    <t>RAS-16E2AVRG-A / RAS-B16E2KVRG-A</t>
  </si>
  <si>
    <t>RAS-13U2AVSG-NZ / RAS-13U2FVG-NZ</t>
  </si>
  <si>
    <t>RAV-GM301ATP-A/RAV-HM301MUTP-E</t>
  </si>
  <si>
    <t>RAV-GM401ATP-A/RAV-HM401MUTP-E</t>
  </si>
  <si>
    <t>RAV-GM561ATP-A/RAV-HM561MUTP-E</t>
  </si>
  <si>
    <t>RAS-07ZAVSG-A / RAS-07ZKVSG-A</t>
  </si>
  <si>
    <t>RAS-10ZAVSG-A / RAS-10ZKVSG-A</t>
  </si>
  <si>
    <t>RAS-13ZAVSG-A / RAS-13ZKVSG-A</t>
  </si>
  <si>
    <t>RAS-16ZAVSG-A / RAS-16ZKVSG-A</t>
  </si>
  <si>
    <t>RAS-18ZAVSG-A / RAS-18ZKVSG-A</t>
  </si>
  <si>
    <t>RAS-22ZAVSG-A / RAS-22ZKVSG-A</t>
  </si>
  <si>
    <t>RAS-24ZAVSG-A / RAS-24ZKVSG-A</t>
  </si>
  <si>
    <t>RAS-18U2AVSG-NZ1/RAS-18U2FVG-NZ1</t>
  </si>
  <si>
    <t>RAV-GM801ATP-A/RAV-GM801DTP-A1</t>
  </si>
  <si>
    <t>RAV-GM1101ATP-A/RAV-GM1101DTP-A1</t>
  </si>
  <si>
    <t>RAV-GM1401ATP-A/RAV-GM1401DTP-A1</t>
  </si>
  <si>
    <t>RAV-GM1601ATP-A/RAV-GM1601DTP-A1</t>
  </si>
  <si>
    <t>RAV-GM1601AT8P-A/RAV-GM1601DTP-A1</t>
  </si>
  <si>
    <t>RAV-GP801ATP-A/RAV-GM801DTP-A1</t>
  </si>
  <si>
    <t>RAV-GP1101AT8P-A/RAV-GM1101DTP-A1</t>
  </si>
  <si>
    <t>RAV-GP1101ATP-A/RAV-GM1101DTP-A1</t>
  </si>
  <si>
    <t>RAV-GP1401AT8P-A/RAV-GM1401DTP-A1</t>
  </si>
  <si>
    <t>RAV-GP1401ATP-A/RAV-GM1401DTP-A1</t>
  </si>
  <si>
    <t>RAV-GP1601AT8P-A/RAV-GM1601DTP-A1</t>
  </si>
  <si>
    <t>RAV-GP1601ATP-A/RAV-GM1601DTP-A1</t>
  </si>
  <si>
    <t>RAS-07B2AVG-A / RAS-07B2KVG-A</t>
  </si>
  <si>
    <t>RAS-10B2AVG-A / RAS-10B2KVG-A</t>
  </si>
  <si>
    <t>RAS-13B2AVG-A / RAS-13B2KVG -A</t>
  </si>
  <si>
    <t>RAS-16B2AVG-A / RAS-16B2KVG -A</t>
  </si>
  <si>
    <t>RAS-18B2AVG-A / RAS-18B2KVG-A</t>
  </si>
  <si>
    <t>RAS-22B2AVG-A / RAS-22B2KVG-A</t>
  </si>
  <si>
    <t>RAS-24B2AVG-A / RAS-24B2KVG -A</t>
  </si>
  <si>
    <t>RAS-30B2AVG-A / RAS-30B2KVG-A</t>
  </si>
  <si>
    <t>RAS-34B2AVG-A / RAS-34B2KVG-A</t>
  </si>
  <si>
    <t>RAS-36B2AVG-A / RAS-36B2KVG-A</t>
  </si>
  <si>
    <t>RAS-24B2AVG-A/RAS-24B2KVG -A</t>
  </si>
  <si>
    <t>RAV-GM561ATP-A1/RAV-GM561BTP-A</t>
  </si>
  <si>
    <t>RAV-GP561ATP-A1/RAV-GM561BTP-A</t>
  </si>
  <si>
    <t>RAV-GM561ATP-A1/RAV-GM561CTP-A</t>
  </si>
  <si>
    <t>RAV-GP561ATP-A1/RAV-GM561CTP-A</t>
  </si>
  <si>
    <t>RAV-GM561ATP-A1/RAV-GM561DTP-A1</t>
  </si>
  <si>
    <t>RAV-GP561ATP-A1/RAV-GM561DTP-A1</t>
  </si>
  <si>
    <t>RAV-GM561ATP-A1/RAV-GM561KRTP-A</t>
  </si>
  <si>
    <t>RAV-GP561ATP-A1/RAV-GM561KRTP-A</t>
  </si>
  <si>
    <t>RAV-GM561ATP-A1/RAV-GM561UTP-A</t>
  </si>
  <si>
    <t>RAV-GP561ATP-A1/RAV-GM561UTP-A</t>
  </si>
  <si>
    <t>RAV-GM561ATP-A1/RAV-HM561MUTP-E</t>
  </si>
  <si>
    <t>WWH52HWA</t>
  </si>
  <si>
    <t>WESTINGHOUSE</t>
  </si>
  <si>
    <t>WWH22HWA</t>
  </si>
  <si>
    <t>WWH22CWA</t>
  </si>
  <si>
    <t>WWH39HWA</t>
  </si>
  <si>
    <t>WWH27HWA</t>
  </si>
  <si>
    <t>WWH27CWA</t>
  </si>
  <si>
    <t>WWH60HWA</t>
  </si>
  <si>
    <t>WSD73HWB-I/WSD73HWA-E</t>
  </si>
  <si>
    <t>WSD73HWA-E/WSD73HWA-I</t>
  </si>
  <si>
    <t>HSV247HWAE/HSV247HWAI</t>
  </si>
  <si>
    <t>WSD91HWB-I/WSD91HWA-E</t>
  </si>
  <si>
    <t>HSV307HWAE/HSV307HWAI</t>
  </si>
  <si>
    <t>WSD91HWA-E/WSD91HWA-I</t>
  </si>
  <si>
    <t>WSD51HWA-E/WSD51HWA-I</t>
  </si>
  <si>
    <t>WSD51HWB-I/WSD51HWA-E</t>
  </si>
  <si>
    <t>HSV187HWAE/HSV187HWAI</t>
  </si>
  <si>
    <t>WSD27HWB-I/WSD27HWA-E</t>
  </si>
  <si>
    <t>HSV097HWAE/HSV097HWAI</t>
  </si>
  <si>
    <t>WSD27HWA-E/WSD27HWA-I</t>
  </si>
  <si>
    <t>WSD36HWB-I/WSD36HWA-E</t>
  </si>
  <si>
    <t>HSV127HWAE/HSV127HWAI</t>
  </si>
  <si>
    <t>WSD36HWA-E/WSD36HWA-I</t>
  </si>
  <si>
    <t>Yook 25A1</t>
  </si>
  <si>
    <t>Yook</t>
  </si>
  <si>
    <t>Yook 50A1</t>
  </si>
  <si>
    <t>Yook 70A1</t>
  </si>
  <si>
    <t>Yook 35A1</t>
  </si>
  <si>
    <t>YHKF09ZEAHHTORX</t>
  </si>
  <si>
    <t>YORK</t>
  </si>
  <si>
    <t>ELIGIBLE_MIXED</t>
  </si>
  <si>
    <r>
      <rPr>
        <rFont val="Calibri"/>
        <b/>
        <color/>
        <sz val="11.0"/>
      </rPr>
      <t xml:space="preserve">Total incentive - </t>
    </r>
    <r>
      <rPr>
        <rFont val="Calibri"/>
        <b/>
        <color rgb="FFFF0000"/>
        <sz val="11.0"/>
      </rPr>
      <t>NEW</t>
    </r>
  </si>
  <si>
    <r>
      <rPr>
        <rFont val="Calibri"/>
        <b/>
        <color/>
        <sz val="11.0"/>
      </rPr>
      <t xml:space="preserve">Total incentive - </t>
    </r>
    <r>
      <rPr>
        <rFont val="Calibri"/>
        <b/>
        <color rgb="FFFF0000"/>
        <sz val="11.0"/>
      </rPr>
      <t>REPLACEMENT</t>
    </r>
  </si>
  <si>
    <t>Postcode</t>
  </si>
  <si>
    <t>NSW ESS Climate Zone</t>
  </si>
  <si>
    <t>NSW Postcodes</t>
  </si>
  <si>
    <t>Table A26: BCA Climate Zones by postcode</t>
  </si>
  <si>
    <t>Table A24: Regional Network Factors</t>
  </si>
  <si>
    <t>Table A27: AS/NZS 3823.4 Climate Zone Definition by Post Code</t>
  </si>
  <si>
    <t>Table A3: Network Loss Factors</t>
  </si>
  <si>
    <t>1</t>
  </si>
  <si>
    <t>1.03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</si>
</sst>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.00"/>
  </numFmts>
  <fonts count="11">
    <font>
      <sz val="11.0"/>
      <color/>
      <name val="Arial"/>
      <scheme val="minor"/>
    </font>
    <font>
      <b/>
      <sz val="24.0"/>
      <color/>
      <name val="Times New Roman"/>
    </font>
    <font>
      <sz val="11.0"/>
      <color/>
      <name val="Calibri"/>
    </font>
    <font>
      <b/>
      <sz val="10.0"/>
      <color/>
      <name val="Times New Roman"/>
    </font>
    <font/>
    <font>
      <sz val="10.0"/>
      <color/>
      <name val="Times New Roman"/>
    </font>
    <font>
      <b/>
      <sz val="11.0"/>
      <color/>
      <name val="Calibri"/>
    </font>
    <font>
      <sz val="10.0"/>
      <name val="Times New Roman"/>
    </font>
    <font>
      <i/>
      <sz val="10.0"/>
      <color/>
      <name val="Times New Roman"/>
    </font>
    <font>
      <color rgb="FFFFFFFF"/>
    </font>
    <font>
      <sz val="9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  <fill>
      <patternFill patternType="solid">
        <fgColor rgb="FF00B376"/>
        <bgColor rgb="FF00B376"/>
      </patternFill>
    </fill>
  </fills>
  <borders count="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0" fontId="4" numFmtId="0" xfId="0" applyBorder="1" applyFont="1"/>
    <xf borderId="5" fillId="0" fontId="5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0" fillId="0" fontId="6" numFmtId="0" xfId="0" applyFont="1"/>
    <xf borderId="2" fillId="0" fontId="5" numFmtId="2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0" fontId="5" numFmtId="1" xfId="0" applyAlignment="1" applyBorder="1" applyFont="1" applyNumberFormat="1">
      <alignment horizontal="center" vertical="center"/>
    </xf>
    <xf borderId="1" fillId="0" fontId="5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" fillId="0" fontId="7" numFmtId="0" xfId="0" applyBorder="1" applyFont="1"/>
    <xf borderId="5" fillId="0" fontId="7" numFmtId="164" xfId="0" applyAlignment="1" applyBorder="1" applyFont="1" applyNumberFormat="1">
      <alignment horizontal="center" vertical="center"/>
    </xf>
    <xf borderId="2" fillId="0" fontId="7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4" fontId="6" numFmtId="0" xfId="0" applyBorder="1" applyFill="1" applyFont="1"/>
    <xf borderId="1" fillId="5" fontId="6" numFmtId="0" xfId="0" applyBorder="1" applyFill="1" applyFont="1"/>
    <xf borderId="0" fillId="0" fontId="2" numFmtId="165" xfId="0" applyFont="1" applyNumberFormat="1"/>
    <xf borderId="0" fillId="0" fontId="9" numFmtId="0" xfId="0" applyFont="1"/>
    <xf borderId="1" fillId="6" fontId="10" numFmtId="0" xfId="0" applyAlignment="1" applyBorder="1" applyFill="1" applyFont="1">
      <alignment shrinkToFit="0" vertical="center" wrapText="1"/>
    </xf>
    <xf borderId="0" fillId="0" fontId="4" numFmtId="0" xfId="0" applyFont="1"/>
    <xf borderId="0" fillId="0" fontId="10" numFmtId="0" xfId="0" applyAlignment="1" applyFont="1">
      <alignment vertical="center"/>
    </xf>
  </cellXfs>
  <cellStyles count="1">
    <cellStyle xfId="0" name="Normal" builtinId="0"/>
  </cellStyles>
  <dxfs count="6">
    <dxf>
      <font>
        <color/>
      </font>
      <fill>
        <patternFill patternType="none"/>
      </fill>
      <border/>
    </dxf>
    <dxf>
      <font/>
      <fill>
        <patternFill patternType="solid">
          <fgColor rgb="FFFFF2CB"/>
          <bgColor rgb="FFFFF2CB"/>
        </patternFill>
      </fill>
      <border/>
    </dxf>
    <dxf>
      <font>
        <b/>
      </font>
      <fill>
        <patternFill patternType="solid">
          <fgColor rgb="FFE2EFD9"/>
          <bgColor rgb="FFE2EFD9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</dxfs>
  <tableStyles count="2">
    <tableStyle count="3" pivot="0" name="POSTCODES-style">
      <tableStyleElement dxfId="4" type="headerRow"/>
      <tableStyleElement dxfId="5" type="firstRowStripe"/>
      <tableStyleElement dxfId="5" type="secondRowStripe"/>
    </tableStyle>
    <tableStyle count="3" pivot="0" name="POSTCODES-style 2">
      <tableStyleElement dxfId="4" type="headerRow"/>
      <tableStyleElement dxfId="5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19050</xdr:rowOff>
    </xdr:from>
    <xdr:ext cx="0" cy="1314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611" displayName="Table_1" name="Table_1" id="1">
  <tableColumns count="2">
    <tableColumn name="Postcode" id="1"/>
    <tableColumn name="NSW ESS Climate Zone" id="2"/>
  </tableColumns>
  <tableStyleInfo name="POSTCODES-style" showColumnStripes="0" showFirstColumn="1" showLastColumn="1" showRowStripes="1"/>
</table>
</file>

<file path=xl/tables/table2.xml><?xml version="1.0" encoding="utf-8"?>
<table xmlns="http://schemas.openxmlformats.org/spreadsheetml/2006/main" ref="D1:H635" displayName="Table_2" name="Table_2" id="2">
  <tableColumns count="5">
    <tableColumn name="NSW Postcodes" id="1"/>
    <tableColumn name="Table A26: BCA Climate Zones by postcode" id="2"/>
    <tableColumn name="Table A24: Regional Network Factors" id="3"/>
    <tableColumn name="Table A27: AS/NZS 3823.4 Climate Zone Definition by Post Code" id="4"/>
    <tableColumn name="Table A3: Network Loss Factors" id="5"/>
  </tableColumns>
  <tableStyleInfo name="POSTCOD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7.43"/>
    <col customWidth="1" min="3" max="3" width="17.29"/>
    <col customWidth="1" min="4" max="4" width="14.43"/>
    <col customWidth="1" min="5" max="5" width="13.29"/>
    <col customWidth="1" min="6" max="6" width="17.71"/>
    <col customWidth="1" min="7" max="7" width="2.43"/>
    <col customWidth="1" min="8" max="8" width="27.71"/>
    <col customWidth="1" min="9" max="9" width="14.29"/>
    <col customWidth="1" min="10" max="10" width="3.43"/>
    <col customWidth="1" min="11" max="11" width="13.57"/>
    <col customWidth="1" min="12" max="12" width="8.71"/>
    <col customWidth="1" min="13" max="13" width="9.71"/>
    <col customWidth="1" min="14" max="14" width="10.71"/>
    <col customWidth="1" min="15" max="15" width="6.71"/>
    <col customWidth="1" min="16" max="16" width="8.57"/>
    <col customWidth="1" min="17" max="18" width="6.71"/>
    <col customWidth="1" min="19" max="20" width="10.43"/>
    <col customWidth="1" min="21" max="21" width="9.43"/>
    <col customWidth="1" min="22" max="22" width="2.0"/>
    <col customWidth="1" min="23" max="23" width="6.43"/>
    <col customWidth="1" min="24" max="24" width="7.57"/>
    <col customWidth="1" min="25" max="26" width="6.43"/>
    <col customWidth="1" min="27" max="27" width="9.29"/>
    <col customWidth="1" min="28" max="28" width="10.43"/>
    <col customWidth="1" min="29" max="29" width="8.57"/>
    <col customWidth="1" min="30" max="30" width="3.29"/>
    <col customWidth="1" min="31" max="32" width="9.29"/>
  </cols>
  <sheetData>
    <row r="1" ht="42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4.75" customHeight="1">
      <c r="A2" s="3"/>
      <c r="B2" s="4" t="s">
        <v>1</v>
      </c>
      <c r="C2" s="5"/>
      <c r="D2" s="5"/>
      <c r="E2" s="5"/>
      <c r="F2" s="5"/>
      <c r="G2" s="5"/>
      <c r="H2" s="5"/>
      <c r="I2" s="5"/>
      <c r="J2" s="5"/>
      <c r="K2" s="6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24.75" customHeight="1">
      <c r="A3" s="3"/>
      <c r="B3" s="7" t="s">
        <v>2</v>
      </c>
      <c r="C3" s="6"/>
      <c r="D3" s="8" t="str">
        <f t="shared" ref="D3:D6" si="1">#REF!</f>
        <v>#REF!</v>
      </c>
      <c r="E3" s="6"/>
      <c r="F3" s="9" t="s">
        <v>3</v>
      </c>
      <c r="G3" s="8" t="str">
        <f>#REF!</f>
        <v>#REF!</v>
      </c>
      <c r="H3" s="5"/>
      <c r="I3" s="5"/>
      <c r="J3" s="5"/>
      <c r="K3" s="6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24.75" customHeight="1">
      <c r="A4" s="3"/>
      <c r="B4" s="7" t="s">
        <v>4</v>
      </c>
      <c r="C4" s="6"/>
      <c r="D4" s="8" t="str">
        <f t="shared" si="1"/>
        <v>#REF!</v>
      </c>
      <c r="E4" s="5"/>
      <c r="F4" s="5"/>
      <c r="G4" s="5"/>
      <c r="H4" s="6"/>
      <c r="I4" s="7" t="s">
        <v>5</v>
      </c>
      <c r="J4" s="10"/>
      <c r="K4" s="11" t="s">
        <v>6</v>
      </c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75" customHeight="1">
      <c r="A5" s="3"/>
      <c r="B5" s="7" t="s">
        <v>7</v>
      </c>
      <c r="C5" s="6"/>
      <c r="D5" s="8" t="str">
        <f t="shared" si="1"/>
        <v>#REF!</v>
      </c>
      <c r="E5" s="6"/>
      <c r="F5" s="12" t="s">
        <v>8</v>
      </c>
      <c r="G5" s="8" t="str">
        <f>IF(O5=2,REFERENCES!$P$1,IF(O5=4,REFERENCES!$P$2,IF(O5=5,REFERENCES!$P$3,IF(O5=6,REFERENCES!$P$4,IF(O5=7,REFERENCES!$P$5,IF(O5=8,REFERENCES!$P$6))))))</f>
        <v>#NAME?</v>
      </c>
      <c r="H5" s="6"/>
      <c r="I5" s="13" t="s">
        <v>9</v>
      </c>
      <c r="J5" s="8" t="str">
        <f>#REF!</f>
        <v>#REF!</v>
      </c>
      <c r="K5" s="6"/>
      <c r="L5" s="3"/>
      <c r="M5" s="2"/>
      <c r="N5" s="2" t="str">
        <f>VLOOKUP(J5,Postcodes_PRCs,4,FALSE)</f>
        <v>#NAME?</v>
      </c>
      <c r="O5" s="2" t="str">
        <f>VLOOKUP(J5,Postcodes_PRCs,2,FALSE)</f>
        <v>#NAME?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24.75" customHeight="1">
      <c r="A6" s="3"/>
      <c r="B6" s="7" t="s">
        <v>10</v>
      </c>
      <c r="C6" s="6"/>
      <c r="D6" s="8" t="str">
        <f t="shared" si="1"/>
        <v>#REF!</v>
      </c>
      <c r="E6" s="6"/>
      <c r="F6" s="12" t="s">
        <v>11</v>
      </c>
      <c r="G6" s="14" t="str">
        <f>#REF!</f>
        <v>#REF!</v>
      </c>
      <c r="H6" s="6"/>
      <c r="I6" s="15" t="s">
        <v>12</v>
      </c>
      <c r="J6" s="8" t="str">
        <f>VLOOKUP(J5,Postcodes_PRCs,5,FALSE)</f>
        <v>#NAME?</v>
      </c>
      <c r="K6" s="6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3"/>
      <c r="B7" s="16"/>
      <c r="C7" s="16"/>
      <c r="D7" s="16"/>
      <c r="E7" s="16"/>
      <c r="F7" s="16"/>
      <c r="G7" s="16"/>
      <c r="H7" s="16"/>
      <c r="I7" s="16"/>
      <c r="J7" s="16"/>
      <c r="K7" s="16"/>
      <c r="L7" s="3"/>
      <c r="M7" s="2"/>
      <c r="N7" s="2"/>
      <c r="O7" s="2"/>
      <c r="P7" s="17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24.75" customHeight="1">
      <c r="A8" s="3"/>
      <c r="B8" s="16"/>
      <c r="C8" s="16"/>
      <c r="D8" s="16"/>
      <c r="E8" s="7" t="s">
        <v>13</v>
      </c>
      <c r="F8" s="10"/>
      <c r="G8" s="18" t="str">
        <f>SUM(P13:P16)</f>
        <v>#REF!</v>
      </c>
      <c r="H8" s="6"/>
      <c r="I8" s="19"/>
      <c r="J8" s="16"/>
      <c r="K8" s="16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24.75" customHeight="1">
      <c r="A9" s="3"/>
      <c r="B9" s="16"/>
      <c r="C9" s="16"/>
      <c r="D9" s="16"/>
      <c r="E9" s="7" t="s">
        <v>14</v>
      </c>
      <c r="F9" s="10"/>
      <c r="G9" s="20" t="str">
        <f>ROUNDDOWN(G8*10*J6,0)</f>
        <v>#REF!</v>
      </c>
      <c r="H9" s="6"/>
      <c r="I9" s="21"/>
      <c r="J9" s="16"/>
      <c r="K9" s="16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3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75" customHeight="1">
      <c r="A11" s="3"/>
      <c r="B11" s="4" t="s">
        <v>15</v>
      </c>
      <c r="C11" s="5"/>
      <c r="D11" s="5"/>
      <c r="E11" s="5"/>
      <c r="F11" s="6"/>
      <c r="G11" s="16"/>
      <c r="H11" s="4" t="s">
        <v>16</v>
      </c>
      <c r="I11" s="5"/>
      <c r="J11" s="5"/>
      <c r="K11" s="6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75" customHeight="1">
      <c r="A12" s="3"/>
      <c r="B12" s="9" t="s">
        <v>17</v>
      </c>
      <c r="C12" s="7" t="s">
        <v>18</v>
      </c>
      <c r="D12" s="6"/>
      <c r="E12" s="7" t="s">
        <v>19</v>
      </c>
      <c r="F12" s="6"/>
      <c r="G12" s="22"/>
      <c r="H12" s="12" t="s">
        <v>20</v>
      </c>
      <c r="I12" s="23" t="s">
        <v>21</v>
      </c>
      <c r="J12" s="5"/>
      <c r="K12" s="6"/>
      <c r="L12" s="3"/>
      <c r="M12" s="2"/>
      <c r="N12" s="24" t="s">
        <v>22</v>
      </c>
      <c r="O12" s="24"/>
      <c r="P12" s="24" t="s">
        <v>23</v>
      </c>
      <c r="Q12" s="24"/>
      <c r="R12" s="24"/>
      <c r="S12" s="24"/>
      <c r="T12" s="24"/>
      <c r="U12" s="24"/>
      <c r="V12" s="2"/>
      <c r="W12" s="24"/>
      <c r="X12" s="24"/>
      <c r="Y12" s="24"/>
      <c r="Z12" s="24"/>
      <c r="AA12" s="24"/>
      <c r="AB12" s="24"/>
      <c r="AC12" s="24"/>
      <c r="AD12" s="2"/>
      <c r="AE12" s="24"/>
      <c r="AF12" s="24"/>
    </row>
    <row r="13" ht="24.75" customHeight="1">
      <c r="A13" s="25">
        <v>1.0</v>
      </c>
      <c r="B13" s="26" t="str">
        <f t="shared" ref="B13:B16" si="2">IF(#REF!&gt;0,#REF!,"N/A")</f>
        <v>#REF!</v>
      </c>
      <c r="C13" s="27" t="str">
        <f>VLOOKUP(B13,GEMS_MEPS,4,FALSE)</f>
        <v>#REF!</v>
      </c>
      <c r="D13" s="6"/>
      <c r="E13" s="28" t="str">
        <f>VLOOKUP(B13,GEMS_MEPS,6,FALSE)</f>
        <v>#REF!</v>
      </c>
      <c r="F13" s="28" t="str">
        <f>VLOOKUP(B13,GEMS_MEPS,7,FALSE)</f>
        <v>#REF!</v>
      </c>
      <c r="G13" s="29"/>
      <c r="H13" s="30" t="str">
        <f>VLOOKUP(B13,GEMS_MEPS,14,FALSE)</f>
        <v>#REF!</v>
      </c>
      <c r="I13" s="31" t="str">
        <f>VLOOKUP(B13,GEMS_MEPS,21,FALSE)</f>
        <v>#REF!</v>
      </c>
      <c r="J13" s="5"/>
      <c r="K13" s="6"/>
      <c r="L13" s="3"/>
      <c r="M13" s="2"/>
      <c r="N13" s="2" t="str">
        <f t="shared" ref="N13:N16" si="3">IFERROR(IF(AND($N$5="Hot",VLOOKUP(B13,GEMS_MEPS_PRCs,2,FALSE)="ELIGIBLE"),1,IF(AND($N$5="Average",VLOOKUP(B13,GEMS_MEPS_PRCs,2,FALSE)="ELIGIBLE"),1,IF(AND($N$5="Cold",VLOOKUP(B13,GEMS_MEPS_PRCs,3,FALSE)="ELIGIBLE"),1,0))),0)</f>
        <v>0</v>
      </c>
      <c r="O13" s="2"/>
      <c r="P13" s="2" t="str">
        <f>VLOOKUP(B13,GEMS_MEPS,202,FALSE)</f>
        <v>#REF!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75" customHeight="1">
      <c r="A14" s="25">
        <v>2.0</v>
      </c>
      <c r="B14" s="26" t="str">
        <f t="shared" si="2"/>
        <v>#REF!</v>
      </c>
      <c r="C14" s="27" t="str">
        <f t="shared" ref="C14:C16" si="4">VLOOKUP(B14,GEMS_MEPS_PRCs,6,FALSE)</f>
        <v>#REF!</v>
      </c>
      <c r="D14" s="6"/>
      <c r="E14" s="28" t="str">
        <f t="shared" ref="E14:E16" si="5">VLOOKUP(B14,GEMS_MEPS_PRCs,8,FALSE)</f>
        <v>#REF!</v>
      </c>
      <c r="F14" s="28" t="str">
        <f t="shared" ref="F14:F16" si="6">VLOOKUP(B14,GEMS_MEPS_PRCs,9,FALSE)</f>
        <v>#REF!</v>
      </c>
      <c r="G14" s="29"/>
      <c r="H14" s="30" t="str">
        <f t="shared" ref="H14:H16" si="7">VLOOKUP(B14,GEMS_MEPS_PRCs,16,FALSE)</f>
        <v>#REF!</v>
      </c>
      <c r="I14" s="31" t="str">
        <f t="shared" ref="I14:I16" si="8">VLOOKUP(B14,GEMS_MEPS_PRCs,23,FALSE)</f>
        <v>#REF!</v>
      </c>
      <c r="J14" s="5"/>
      <c r="K14" s="6"/>
      <c r="L14" s="3"/>
      <c r="M14" s="2"/>
      <c r="N14" s="2" t="str">
        <f t="shared" si="3"/>
        <v>0</v>
      </c>
      <c r="O14" s="2"/>
      <c r="P14" s="2" t="str">
        <f t="shared" ref="P14:P16" si="9">IFERROR(IF($G$6="New",VLOOKUP(#REF!,GEMS_MEPS_PRCs,175,FALSE)*N14,IF($G$6="Replacement",VLOOKUP(#REF!,GEMS_MEPS_PRCs,188,FALSE)*N14)),0)</f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75" customHeight="1">
      <c r="A15" s="25">
        <v>3.0</v>
      </c>
      <c r="B15" s="26" t="str">
        <f t="shared" si="2"/>
        <v>#REF!</v>
      </c>
      <c r="C15" s="27" t="str">
        <f t="shared" si="4"/>
        <v>#REF!</v>
      </c>
      <c r="D15" s="6"/>
      <c r="E15" s="28" t="str">
        <f t="shared" si="5"/>
        <v>#REF!</v>
      </c>
      <c r="F15" s="28" t="str">
        <f t="shared" si="6"/>
        <v>#REF!</v>
      </c>
      <c r="G15" s="29"/>
      <c r="H15" s="30" t="str">
        <f t="shared" si="7"/>
        <v>#REF!</v>
      </c>
      <c r="I15" s="31" t="str">
        <f t="shared" si="8"/>
        <v>#REF!</v>
      </c>
      <c r="J15" s="5"/>
      <c r="K15" s="6"/>
      <c r="L15" s="3"/>
      <c r="M15" s="2"/>
      <c r="N15" s="2" t="str">
        <f t="shared" si="3"/>
        <v>0</v>
      </c>
      <c r="O15" s="2"/>
      <c r="P15" s="2" t="str">
        <f t="shared" si="9"/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75" customHeight="1">
      <c r="A16" s="25">
        <v>4.0</v>
      </c>
      <c r="B16" s="26" t="str">
        <f t="shared" si="2"/>
        <v>#REF!</v>
      </c>
      <c r="C16" s="27" t="str">
        <f t="shared" si="4"/>
        <v>#REF!</v>
      </c>
      <c r="D16" s="6"/>
      <c r="E16" s="28" t="str">
        <f t="shared" si="5"/>
        <v>#REF!</v>
      </c>
      <c r="F16" s="28" t="str">
        <f t="shared" si="6"/>
        <v>#REF!</v>
      </c>
      <c r="G16" s="29"/>
      <c r="H16" s="30" t="str">
        <f t="shared" si="7"/>
        <v>#REF!</v>
      </c>
      <c r="I16" s="31" t="str">
        <f t="shared" si="8"/>
        <v>#REF!</v>
      </c>
      <c r="J16" s="5"/>
      <c r="K16" s="6"/>
      <c r="L16" s="3"/>
      <c r="M16" s="2"/>
      <c r="N16" s="2" t="str">
        <f t="shared" si="3"/>
        <v>0</v>
      </c>
      <c r="O16" s="2"/>
      <c r="P16" s="2" t="str">
        <f t="shared" si="9"/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5"/>
      <c r="B17" s="32" t="s">
        <v>24</v>
      </c>
      <c r="C17" s="19"/>
      <c r="D17" s="19"/>
      <c r="E17" s="19"/>
      <c r="F17" s="19"/>
      <c r="G17" s="16"/>
      <c r="H17" s="33"/>
      <c r="I17" s="33"/>
      <c r="J17" s="33"/>
      <c r="K17" s="33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5"/>
      <c r="B18" s="32" t="s">
        <v>24</v>
      </c>
      <c r="C18" s="34" t="s">
        <v>25</v>
      </c>
      <c r="D18" s="34"/>
      <c r="E18" s="19"/>
      <c r="F18" s="19"/>
      <c r="G18" s="16"/>
      <c r="H18" s="33"/>
      <c r="I18" s="33"/>
      <c r="J18" s="33"/>
      <c r="K18" s="33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</sheetData>
  <mergeCells count="33">
    <mergeCell ref="I12:K12"/>
    <mergeCell ref="I13:K13"/>
    <mergeCell ref="I15:K15"/>
    <mergeCell ref="I14:K14"/>
    <mergeCell ref="B11:F11"/>
    <mergeCell ref="H11:K11"/>
    <mergeCell ref="C15:D15"/>
    <mergeCell ref="C16:D16"/>
    <mergeCell ref="I16:K16"/>
    <mergeCell ref="C12:D12"/>
    <mergeCell ref="E12:F12"/>
    <mergeCell ref="C13:D13"/>
    <mergeCell ref="C14:D14"/>
    <mergeCell ref="B5:C5"/>
    <mergeCell ref="B6:C6"/>
    <mergeCell ref="B4:C4"/>
    <mergeCell ref="G5:H5"/>
    <mergeCell ref="G6:H6"/>
    <mergeCell ref="D5:E5"/>
    <mergeCell ref="D4:H4"/>
    <mergeCell ref="I4:J4"/>
    <mergeCell ref="A1:L1"/>
    <mergeCell ref="B2:K2"/>
    <mergeCell ref="B3:C3"/>
    <mergeCell ref="D3:E3"/>
    <mergeCell ref="G3:K3"/>
    <mergeCell ref="E8:F8"/>
    <mergeCell ref="G8:H8"/>
    <mergeCell ref="E9:F9"/>
    <mergeCell ref="G9:H9"/>
    <mergeCell ref="J5:K5"/>
    <mergeCell ref="D6:E6"/>
    <mergeCell ref="J6:K6"/>
  </mergeCells>
  <conditionalFormatting sqref="B13:F16">
    <cfRule type="expression" dxfId="0" priority="1">
      <formula>ISERROR(B13)</formula>
    </cfRule>
  </conditionalFormatting>
  <conditionalFormatting sqref="D3:E3 D4:H4 D5:E6 G3:K3 J5:K5">
    <cfRule type="cellIs" dxfId="0" priority="2" operator="equal">
      <formula>0</formula>
    </cfRule>
  </conditionalFormatting>
  <conditionalFormatting sqref="G5:H5 G9:H9 H13:K16 J6:K6">
    <cfRule type="expression" dxfId="0" priority="3">
      <formula>ISERROR(G5)</formula>
    </cfRule>
  </conditionalFormatting>
  <conditionalFormatting sqref="J5:K5">
    <cfRule type="containsBlanks" dxfId="1" priority="4">
      <formula>LEN(TRIM(J5))=0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2.71"/>
    <col customWidth="1" min="7" max="7" width="8.71"/>
    <col customWidth="1" min="8" max="8" width="30.43"/>
    <col customWidth="1" min="9" max="9" width="12.71"/>
    <col customWidth="1" min="10" max="10" width="13.43"/>
    <col customWidth="1" min="11" max="11" width="8.71"/>
    <col customWidth="1" min="12" max="12" width="30.43"/>
    <col customWidth="1" min="13" max="13" width="12.71"/>
    <col customWidth="1" min="14" max="14" width="13.43"/>
    <col customWidth="1" min="15" max="15" width="8.71"/>
    <col customWidth="1" min="16" max="16" width="34.43"/>
    <col customWidth="1" min="17" max="17" width="5.0"/>
  </cols>
  <sheetData>
    <row r="1" ht="14.25" customHeight="1">
      <c r="A1" t="s">
        <v>26</v>
      </c>
      <c r="C1" t="s">
        <v>27</v>
      </c>
      <c r="E1" t="s">
        <v>28</v>
      </c>
      <c r="F1" t="s">
        <v>29</v>
      </c>
      <c r="H1" s="17" t="s">
        <v>30</v>
      </c>
      <c r="I1" t="s">
        <v>31</v>
      </c>
      <c r="J1" t="s">
        <v>32</v>
      </c>
      <c r="L1" s="17" t="s">
        <v>26</v>
      </c>
      <c r="M1" t="s">
        <v>31</v>
      </c>
      <c r="N1" t="s">
        <v>32</v>
      </c>
      <c r="P1" t="s">
        <v>33</v>
      </c>
      <c r="Q1">
        <v>0.48</v>
      </c>
    </row>
    <row r="2" ht="14.25" customHeight="1">
      <c r="A2" t="s">
        <v>30</v>
      </c>
      <c r="C2" t="s">
        <v>34</v>
      </c>
      <c r="D2" t="s">
        <v>35</v>
      </c>
      <c r="E2">
        <v>1274.0</v>
      </c>
      <c r="F2">
        <v>109.0</v>
      </c>
      <c r="H2" t="s">
        <v>36</v>
      </c>
      <c r="I2">
        <v>3.66</v>
      </c>
      <c r="J2">
        <v>2.33</v>
      </c>
      <c r="L2" t="s">
        <v>36</v>
      </c>
      <c r="M2">
        <v>3.33</v>
      </c>
      <c r="N2">
        <v>2.17</v>
      </c>
      <c r="P2" t="s">
        <v>37</v>
      </c>
      <c r="Q2">
        <v>1.03</v>
      </c>
    </row>
    <row r="3" ht="14.25" customHeight="1">
      <c r="D3" t="s">
        <v>38</v>
      </c>
      <c r="E3">
        <v>429.0</v>
      </c>
      <c r="F3">
        <v>648.0</v>
      </c>
      <c r="H3" t="s">
        <v>39</v>
      </c>
      <c r="I3">
        <v>3.22</v>
      </c>
      <c r="J3">
        <v>2.11</v>
      </c>
      <c r="L3" t="s">
        <v>39</v>
      </c>
      <c r="M3">
        <v>2.93</v>
      </c>
      <c r="N3">
        <v>1.97</v>
      </c>
      <c r="P3" t="s">
        <v>40</v>
      </c>
      <c r="Q3">
        <v>0.55</v>
      </c>
    </row>
    <row r="4" ht="14.25" customHeight="1">
      <c r="D4" t="s">
        <v>41</v>
      </c>
      <c r="E4">
        <v>285.0</v>
      </c>
      <c r="F4">
        <v>1534.0</v>
      </c>
      <c r="H4" t="s">
        <v>42</v>
      </c>
      <c r="I4">
        <v>3.1</v>
      </c>
      <c r="J4">
        <v>2.05</v>
      </c>
      <c r="L4" t="s">
        <v>42</v>
      </c>
      <c r="M4">
        <v>2.8</v>
      </c>
      <c r="N4">
        <v>1.9</v>
      </c>
      <c r="P4" t="s">
        <v>43</v>
      </c>
      <c r="Q4">
        <v>1.04</v>
      </c>
    </row>
    <row r="5" ht="14.25" customHeight="1">
      <c r="H5" t="s">
        <v>44</v>
      </c>
      <c r="I5">
        <v>3.1</v>
      </c>
      <c r="J5">
        <v>2.05</v>
      </c>
      <c r="L5" t="s">
        <v>44</v>
      </c>
      <c r="M5">
        <v>2.8</v>
      </c>
      <c r="N5">
        <v>1.9</v>
      </c>
      <c r="P5" t="s">
        <v>45</v>
      </c>
      <c r="Q5">
        <v>0.92</v>
      </c>
    </row>
    <row r="6" ht="14.25" customHeight="1">
      <c r="H6" t="s">
        <v>46</v>
      </c>
      <c r="I6">
        <v>2.9</v>
      </c>
      <c r="J6">
        <v>1.95</v>
      </c>
      <c r="L6" t="s">
        <v>46</v>
      </c>
      <c r="M6">
        <v>2.75</v>
      </c>
      <c r="N6">
        <v>1.88</v>
      </c>
      <c r="P6" t="s">
        <v>47</v>
      </c>
      <c r="Q6">
        <v>0.55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71"/>
    <col customWidth="1" min="2" max="2" width="27.43"/>
    <col customWidth="1" min="3" max="3" width="13.57"/>
    <col customWidth="1" min="4" max="4" width="30.43"/>
    <col customWidth="1" min="5" max="5" width="16.71"/>
    <col customWidth="1" min="6" max="6" width="17.0"/>
    <col customWidth="1" min="7" max="7" width="13.57"/>
    <col customWidth="1" min="8" max="8" width="8.86"/>
    <col customWidth="1" min="9" max="9" width="9.14"/>
    <col customWidth="1" min="10" max="10" width="19.43"/>
    <col customWidth="1" min="11" max="11" width="16.14"/>
    <col customWidth="1" min="12" max="12" width="16.43"/>
    <col customWidth="1" min="13" max="13" width="27.86"/>
  </cols>
  <sheetData>
    <row r="1" ht="14.25" customHeight="1">
      <c r="A1" s="17" t="s">
        <v>48</v>
      </c>
      <c r="B1" s="17" t="s">
        <v>18</v>
      </c>
      <c r="C1" s="17" t="s">
        <v>49</v>
      </c>
      <c r="D1" s="17" t="s">
        <v>50</v>
      </c>
      <c r="E1" s="17" t="s">
        <v>51</v>
      </c>
      <c r="F1" s="17" t="s">
        <v>52</v>
      </c>
      <c r="G1" s="17" t="s">
        <v>53</v>
      </c>
      <c r="H1" s="35" t="s">
        <v>54</v>
      </c>
      <c r="I1" s="35" t="s">
        <v>55</v>
      </c>
      <c r="J1" s="35" t="s">
        <v>56</v>
      </c>
      <c r="K1" s="36" t="s">
        <v>57</v>
      </c>
      <c r="L1" s="36" t="s">
        <v>58</v>
      </c>
      <c r="M1" s="36" t="s">
        <v>59</v>
      </c>
    </row>
    <row r="2" ht="14.25" customHeight="1">
      <c r="A2" t="s">
        <v>60</v>
      </c>
      <c r="B2" t="s">
        <v>61</v>
      </c>
      <c r="C2" t="s">
        <v>62</v>
      </c>
      <c r="D2" t="s">
        <v>63</v>
      </c>
      <c r="E2">
        <v>7.1</v>
      </c>
      <c r="F2">
        <v>7.85</v>
      </c>
      <c r="G2" s="2" t="s">
        <v>64</v>
      </c>
      <c r="H2" s="2">
        <v>0.0</v>
      </c>
      <c r="I2" s="2">
        <v>0.0</v>
      </c>
      <c r="J2" s="37">
        <v>0.0</v>
      </c>
      <c r="K2" s="2">
        <v>0.0</v>
      </c>
      <c r="L2" s="2">
        <v>0.0</v>
      </c>
      <c r="M2" s="37">
        <v>0.0</v>
      </c>
    </row>
    <row r="3" ht="14.25" customHeight="1">
      <c r="A3" t="s">
        <v>65</v>
      </c>
      <c r="B3" t="s">
        <v>61</v>
      </c>
      <c r="C3" t="s">
        <v>62</v>
      </c>
      <c r="D3" t="s">
        <v>63</v>
      </c>
      <c r="E3">
        <v>10.5</v>
      </c>
      <c r="F3">
        <v>10.7</v>
      </c>
      <c r="G3" s="2" t="s">
        <v>64</v>
      </c>
      <c r="H3" s="2">
        <v>0.0</v>
      </c>
      <c r="I3" s="2">
        <v>0.0</v>
      </c>
      <c r="J3" s="37">
        <v>0.0</v>
      </c>
      <c r="K3" s="2">
        <v>0.0</v>
      </c>
      <c r="L3" s="2">
        <v>0.0</v>
      </c>
      <c r="M3" s="37">
        <v>0.0</v>
      </c>
    </row>
    <row r="4" ht="14.25" customHeight="1">
      <c r="A4" t="s">
        <v>66</v>
      </c>
      <c r="B4" t="s">
        <v>61</v>
      </c>
      <c r="C4" t="s">
        <v>62</v>
      </c>
      <c r="D4" t="s">
        <v>63</v>
      </c>
      <c r="E4">
        <v>2.65</v>
      </c>
      <c r="F4">
        <v>2.85</v>
      </c>
      <c r="G4" s="2" t="s">
        <v>67</v>
      </c>
      <c r="H4" s="2">
        <v>14.0</v>
      </c>
      <c r="I4" s="2">
        <v>75.0</v>
      </c>
      <c r="J4" s="37">
        <v>411.94</v>
      </c>
      <c r="K4" s="2">
        <v>16.0</v>
      </c>
      <c r="L4" s="2">
        <v>115.0</v>
      </c>
      <c r="M4" s="37">
        <v>508.86</v>
      </c>
    </row>
    <row r="5" ht="14.25" customHeight="1">
      <c r="A5" t="s">
        <v>68</v>
      </c>
      <c r="B5" t="s">
        <v>61</v>
      </c>
      <c r="C5" t="s">
        <v>62</v>
      </c>
      <c r="D5" t="s">
        <v>63</v>
      </c>
      <c r="E5">
        <v>3.55</v>
      </c>
      <c r="F5">
        <v>3.75</v>
      </c>
      <c r="G5" s="2" t="s">
        <v>67</v>
      </c>
      <c r="H5" s="2">
        <v>18.0</v>
      </c>
      <c r="I5" s="2">
        <v>61.0</v>
      </c>
      <c r="J5" s="37">
        <v>483.58000000000004</v>
      </c>
      <c r="K5" s="2">
        <v>20.0</v>
      </c>
      <c r="L5" s="2">
        <v>115.0</v>
      </c>
      <c r="M5" s="37">
        <v>598.7</v>
      </c>
    </row>
    <row r="6" ht="14.25" customHeight="1">
      <c r="A6" t="s">
        <v>69</v>
      </c>
      <c r="B6" t="s">
        <v>61</v>
      </c>
      <c r="C6" t="s">
        <v>62</v>
      </c>
      <c r="D6" t="s">
        <v>63</v>
      </c>
      <c r="E6">
        <v>5.0</v>
      </c>
      <c r="F6">
        <v>5.15</v>
      </c>
      <c r="G6" s="2" t="s">
        <v>67</v>
      </c>
      <c r="H6" s="2">
        <v>28.0</v>
      </c>
      <c r="I6" s="2">
        <v>130.0</v>
      </c>
      <c r="J6" s="37">
        <v>797.88</v>
      </c>
      <c r="K6" s="2">
        <v>32.0</v>
      </c>
      <c r="L6" s="2">
        <v>216.0</v>
      </c>
      <c r="M6" s="37">
        <v>999.52</v>
      </c>
    </row>
    <row r="7" ht="14.25" customHeight="1">
      <c r="A7" t="s">
        <v>70</v>
      </c>
      <c r="B7" t="s">
        <v>61</v>
      </c>
      <c r="C7" t="s">
        <v>62</v>
      </c>
      <c r="D7" t="s">
        <v>63</v>
      </c>
      <c r="E7">
        <v>7.1</v>
      </c>
      <c r="F7">
        <v>7.65</v>
      </c>
      <c r="G7" s="2" t="s">
        <v>64</v>
      </c>
      <c r="H7" s="2">
        <v>0.0</v>
      </c>
      <c r="I7" s="2">
        <v>0.0</v>
      </c>
      <c r="J7" s="37">
        <v>0.0</v>
      </c>
      <c r="K7" s="2">
        <v>0.0</v>
      </c>
      <c r="L7" s="2">
        <v>0.0</v>
      </c>
      <c r="M7" s="37">
        <v>0.0</v>
      </c>
    </row>
    <row r="8" ht="14.25" customHeight="1">
      <c r="A8" t="s">
        <v>71</v>
      </c>
      <c r="B8" t="s">
        <v>61</v>
      </c>
      <c r="C8" t="s">
        <v>62</v>
      </c>
      <c r="D8" t="s">
        <v>63</v>
      </c>
      <c r="E8">
        <v>8.0</v>
      </c>
      <c r="F8">
        <v>8.15</v>
      </c>
      <c r="G8" s="2" t="s">
        <v>64</v>
      </c>
      <c r="H8" s="2">
        <v>0.0</v>
      </c>
      <c r="I8" s="2">
        <v>0.0</v>
      </c>
      <c r="J8" s="37">
        <v>0.0</v>
      </c>
      <c r="K8" s="2">
        <v>0.0</v>
      </c>
      <c r="L8" s="2">
        <v>0.0</v>
      </c>
      <c r="M8" s="37">
        <v>0.0</v>
      </c>
    </row>
    <row r="9" ht="14.25" customHeight="1">
      <c r="A9" t="s">
        <v>72</v>
      </c>
      <c r="B9" t="s">
        <v>61</v>
      </c>
      <c r="C9" t="s">
        <v>62</v>
      </c>
      <c r="D9" t="s">
        <v>63</v>
      </c>
      <c r="E9">
        <v>12.5</v>
      </c>
      <c r="F9">
        <v>14.5</v>
      </c>
      <c r="G9" s="2" t="s">
        <v>67</v>
      </c>
      <c r="H9" s="2">
        <v>80.0</v>
      </c>
      <c r="I9" s="2">
        <v>186.0</v>
      </c>
      <c r="J9" s="37">
        <v>2038.6000000000001</v>
      </c>
      <c r="K9" s="2">
        <v>92.0</v>
      </c>
      <c r="L9" s="2">
        <v>428.0</v>
      </c>
      <c r="M9" s="37">
        <v>2622.7200000000003</v>
      </c>
    </row>
    <row r="10" ht="14.25" customHeight="1">
      <c r="A10" t="s">
        <v>73</v>
      </c>
      <c r="B10" t="s">
        <v>61</v>
      </c>
      <c r="C10" t="s">
        <v>62</v>
      </c>
      <c r="D10" t="s">
        <v>63</v>
      </c>
      <c r="E10">
        <v>13.75</v>
      </c>
      <c r="F10">
        <v>15.3</v>
      </c>
      <c r="G10" s="2" t="s">
        <v>67</v>
      </c>
      <c r="H10" s="2">
        <v>75.0</v>
      </c>
      <c r="I10" s="2">
        <v>199.0</v>
      </c>
      <c r="J10" s="37">
        <v>1943.2</v>
      </c>
      <c r="K10" s="2">
        <v>89.0</v>
      </c>
      <c r="L10" s="2">
        <v>465.0</v>
      </c>
      <c r="M10" s="37">
        <v>2603.44</v>
      </c>
    </row>
    <row r="11" ht="14.25" customHeight="1">
      <c r="A11" t="s">
        <v>74</v>
      </c>
      <c r="B11" t="s">
        <v>61</v>
      </c>
      <c r="C11" t="s">
        <v>75</v>
      </c>
      <c r="D11" t="s">
        <v>63</v>
      </c>
      <c r="E11">
        <v>13.2</v>
      </c>
      <c r="F11">
        <v>13.4</v>
      </c>
      <c r="G11" s="2" t="s">
        <v>64</v>
      </c>
      <c r="H11" s="2">
        <v>0.0</v>
      </c>
      <c r="I11" s="2">
        <v>0.0</v>
      </c>
      <c r="J11" s="37">
        <v>0.0</v>
      </c>
      <c r="K11" s="2">
        <v>0.0</v>
      </c>
      <c r="L11" s="2">
        <v>0.0</v>
      </c>
      <c r="M11" s="37">
        <v>0.0</v>
      </c>
    </row>
    <row r="12" ht="14.25" customHeight="1">
      <c r="A12" t="s">
        <v>76</v>
      </c>
      <c r="B12" t="s">
        <v>61</v>
      </c>
      <c r="C12" t="s">
        <v>75</v>
      </c>
      <c r="D12" t="s">
        <v>63</v>
      </c>
      <c r="E12">
        <v>13.2</v>
      </c>
      <c r="F12">
        <v>13.4</v>
      </c>
      <c r="G12" s="2" t="s">
        <v>64</v>
      </c>
      <c r="H12" s="2">
        <v>0.0</v>
      </c>
      <c r="I12" s="2">
        <v>0.0</v>
      </c>
      <c r="J12" s="37">
        <v>0.0</v>
      </c>
      <c r="K12" s="2">
        <v>0.0</v>
      </c>
      <c r="L12" s="2">
        <v>0.0</v>
      </c>
      <c r="M12" s="37">
        <v>0.0</v>
      </c>
    </row>
    <row r="13" ht="14.25" customHeight="1">
      <c r="A13" t="s">
        <v>77</v>
      </c>
      <c r="B13" t="s">
        <v>61</v>
      </c>
      <c r="C13" t="s">
        <v>75</v>
      </c>
      <c r="D13" t="s">
        <v>63</v>
      </c>
      <c r="E13">
        <v>7.1</v>
      </c>
      <c r="F13">
        <v>8.4</v>
      </c>
      <c r="G13" s="2" t="s">
        <v>64</v>
      </c>
      <c r="H13" s="2">
        <v>0.0</v>
      </c>
      <c r="I13" s="2">
        <v>0.0</v>
      </c>
      <c r="J13" s="37">
        <v>0.0</v>
      </c>
      <c r="K13" s="2">
        <v>0.0</v>
      </c>
      <c r="L13" s="2">
        <v>0.0</v>
      </c>
      <c r="M13" s="37">
        <v>0.0</v>
      </c>
    </row>
    <row r="14" ht="14.25" customHeight="1">
      <c r="A14" t="s">
        <v>78</v>
      </c>
      <c r="B14" t="s">
        <v>61</v>
      </c>
      <c r="C14" t="s">
        <v>75</v>
      </c>
      <c r="D14" t="s">
        <v>63</v>
      </c>
      <c r="E14">
        <v>10.0</v>
      </c>
      <c r="F14">
        <v>10.9</v>
      </c>
      <c r="G14" s="2" t="s">
        <v>64</v>
      </c>
      <c r="H14" s="2">
        <v>0.0</v>
      </c>
      <c r="I14" s="2">
        <v>0.0</v>
      </c>
      <c r="J14" s="37">
        <v>0.0</v>
      </c>
      <c r="K14" s="2">
        <v>0.0</v>
      </c>
      <c r="L14" s="2">
        <v>0.0</v>
      </c>
      <c r="M14" s="37">
        <v>0.0</v>
      </c>
    </row>
    <row r="15" ht="14.25" customHeight="1">
      <c r="A15" t="s">
        <v>79</v>
      </c>
      <c r="B15" t="s">
        <v>61</v>
      </c>
      <c r="C15" t="s">
        <v>75</v>
      </c>
      <c r="D15" t="s">
        <v>63</v>
      </c>
      <c r="E15">
        <v>17.0</v>
      </c>
      <c r="F15">
        <v>17.5</v>
      </c>
      <c r="G15" s="2" t="s">
        <v>67</v>
      </c>
      <c r="H15" s="2">
        <v>83.0</v>
      </c>
      <c r="I15" s="2">
        <v>293.0</v>
      </c>
      <c r="J15" s="37">
        <v>2245.08</v>
      </c>
      <c r="K15" s="2">
        <v>98.0</v>
      </c>
      <c r="L15" s="2">
        <v>623.0</v>
      </c>
      <c r="M15" s="37">
        <v>3010.98</v>
      </c>
    </row>
    <row r="16" ht="14.25" customHeight="1">
      <c r="A16" t="s">
        <v>80</v>
      </c>
      <c r="B16" t="s">
        <v>61</v>
      </c>
      <c r="C16" t="s">
        <v>75</v>
      </c>
      <c r="D16" t="s">
        <v>63</v>
      </c>
      <c r="E16">
        <v>28.3</v>
      </c>
      <c r="F16">
        <v>28.6</v>
      </c>
      <c r="G16" s="2" t="s">
        <v>64</v>
      </c>
      <c r="H16" s="2">
        <v>0.0</v>
      </c>
      <c r="I16" s="2">
        <v>0.0</v>
      </c>
      <c r="J16" s="37">
        <v>0.0</v>
      </c>
      <c r="K16" s="2">
        <v>0.0</v>
      </c>
      <c r="L16" s="2">
        <v>0.0</v>
      </c>
      <c r="M16" s="37">
        <v>0.0</v>
      </c>
    </row>
    <row r="17" ht="14.25" customHeight="1">
      <c r="A17" t="s">
        <v>81</v>
      </c>
      <c r="B17" t="s">
        <v>61</v>
      </c>
      <c r="C17" t="s">
        <v>75</v>
      </c>
      <c r="D17" t="s">
        <v>82</v>
      </c>
      <c r="E17">
        <v>28.3</v>
      </c>
      <c r="F17">
        <v>28.6</v>
      </c>
      <c r="G17" s="2" t="s">
        <v>64</v>
      </c>
      <c r="H17" s="2">
        <v>0.0</v>
      </c>
      <c r="I17" s="2">
        <v>0.0</v>
      </c>
      <c r="J17" s="37">
        <v>0.0</v>
      </c>
      <c r="K17" s="2">
        <v>0.0</v>
      </c>
      <c r="L17" s="2">
        <v>0.0</v>
      </c>
      <c r="M17" s="37">
        <v>0.0</v>
      </c>
    </row>
    <row r="18" ht="14.25" customHeight="1">
      <c r="A18" t="s">
        <v>83</v>
      </c>
      <c r="B18" t="s">
        <v>61</v>
      </c>
      <c r="C18" t="s">
        <v>75</v>
      </c>
      <c r="D18" t="s">
        <v>82</v>
      </c>
      <c r="E18">
        <v>28.3</v>
      </c>
      <c r="F18">
        <v>28.6</v>
      </c>
      <c r="G18" s="2" t="s">
        <v>64</v>
      </c>
      <c r="H18" s="2">
        <v>0.0</v>
      </c>
      <c r="I18" s="2">
        <v>0.0</v>
      </c>
      <c r="J18" s="37">
        <v>0.0</v>
      </c>
      <c r="K18" s="2">
        <v>0.0</v>
      </c>
      <c r="L18" s="2">
        <v>0.0</v>
      </c>
      <c r="M18" s="37">
        <v>0.0</v>
      </c>
    </row>
    <row r="19" ht="14.25" customHeight="1">
      <c r="A19" t="s">
        <v>84</v>
      </c>
      <c r="B19" t="s">
        <v>61</v>
      </c>
      <c r="C19" t="s">
        <v>75</v>
      </c>
      <c r="D19" t="s">
        <v>82</v>
      </c>
      <c r="E19">
        <v>28.3</v>
      </c>
      <c r="F19">
        <v>28.6</v>
      </c>
      <c r="G19" s="2" t="s">
        <v>64</v>
      </c>
      <c r="H19" s="2">
        <v>0.0</v>
      </c>
      <c r="I19" s="2">
        <v>0.0</v>
      </c>
      <c r="J19" s="37">
        <v>0.0</v>
      </c>
      <c r="K19" s="2">
        <v>0.0</v>
      </c>
      <c r="L19" s="2">
        <v>0.0</v>
      </c>
      <c r="M19" s="37">
        <v>0.0</v>
      </c>
    </row>
    <row r="20" ht="14.25" customHeight="1">
      <c r="A20" t="s">
        <v>85</v>
      </c>
      <c r="B20" t="s">
        <v>61</v>
      </c>
      <c r="C20" t="s">
        <v>75</v>
      </c>
      <c r="D20" t="s">
        <v>82</v>
      </c>
      <c r="E20">
        <v>28.3</v>
      </c>
      <c r="F20">
        <v>28.6</v>
      </c>
      <c r="G20" s="2" t="s">
        <v>64</v>
      </c>
      <c r="H20" s="2">
        <v>0.0</v>
      </c>
      <c r="I20" s="2">
        <v>0.0</v>
      </c>
      <c r="J20" s="37">
        <v>0.0</v>
      </c>
      <c r="K20" s="2">
        <v>0.0</v>
      </c>
      <c r="L20" s="2">
        <v>0.0</v>
      </c>
      <c r="M20" s="37">
        <v>0.0</v>
      </c>
    </row>
    <row r="21" ht="14.25" customHeight="1">
      <c r="A21" t="s">
        <v>86</v>
      </c>
      <c r="B21" t="s">
        <v>61</v>
      </c>
      <c r="C21" t="s">
        <v>75</v>
      </c>
      <c r="D21" t="s">
        <v>63</v>
      </c>
      <c r="E21">
        <v>11.8</v>
      </c>
      <c r="F21">
        <v>14.0</v>
      </c>
      <c r="G21" s="2" t="s">
        <v>64</v>
      </c>
      <c r="H21" s="2">
        <v>0.0</v>
      </c>
      <c r="I21" s="2">
        <v>0.0</v>
      </c>
      <c r="J21" s="37">
        <v>0.0</v>
      </c>
      <c r="K21" s="2">
        <v>0.0</v>
      </c>
      <c r="L21" s="2">
        <v>0.0</v>
      </c>
      <c r="M21" s="37">
        <v>0.0</v>
      </c>
    </row>
    <row r="22" ht="14.25" customHeight="1">
      <c r="A22" t="s">
        <v>87</v>
      </c>
      <c r="B22" t="s">
        <v>61</v>
      </c>
      <c r="C22" t="s">
        <v>75</v>
      </c>
      <c r="D22" t="s">
        <v>63</v>
      </c>
      <c r="E22">
        <v>16.8</v>
      </c>
      <c r="F22">
        <v>18.2</v>
      </c>
      <c r="G22" s="2" t="s">
        <v>64</v>
      </c>
      <c r="H22" s="2">
        <v>0.0</v>
      </c>
      <c r="I22" s="2">
        <v>0.0</v>
      </c>
      <c r="J22" s="37">
        <v>0.0</v>
      </c>
      <c r="K22" s="2">
        <v>0.0</v>
      </c>
      <c r="L22" s="2">
        <v>0.0</v>
      </c>
      <c r="M22" s="37">
        <v>0.0</v>
      </c>
    </row>
    <row r="23" ht="14.25" customHeight="1">
      <c r="A23" t="s">
        <v>88</v>
      </c>
      <c r="B23" t="s">
        <v>61</v>
      </c>
      <c r="C23" t="s">
        <v>75</v>
      </c>
      <c r="D23" t="s">
        <v>63</v>
      </c>
      <c r="E23">
        <v>13.7</v>
      </c>
      <c r="F23">
        <v>17.2</v>
      </c>
      <c r="G23" s="2" t="s">
        <v>64</v>
      </c>
      <c r="H23" s="2">
        <v>0.0</v>
      </c>
      <c r="I23" s="2">
        <v>0.0</v>
      </c>
      <c r="J23" s="37">
        <v>0.0</v>
      </c>
      <c r="K23" s="2">
        <v>0.0</v>
      </c>
      <c r="L23" s="2">
        <v>0.0</v>
      </c>
      <c r="M23" s="37">
        <v>0.0</v>
      </c>
    </row>
    <row r="24" ht="14.25" customHeight="1">
      <c r="A24" t="s">
        <v>89</v>
      </c>
      <c r="B24" t="s">
        <v>61</v>
      </c>
      <c r="C24" t="s">
        <v>75</v>
      </c>
      <c r="D24" t="s">
        <v>63</v>
      </c>
      <c r="E24">
        <v>12.8</v>
      </c>
      <c r="F24">
        <v>13.65</v>
      </c>
      <c r="G24" s="2" t="s">
        <v>64</v>
      </c>
      <c r="H24" s="2">
        <v>0.0</v>
      </c>
      <c r="I24" s="2">
        <v>0.0</v>
      </c>
      <c r="J24" s="37">
        <v>0.0</v>
      </c>
      <c r="K24" s="2">
        <v>0.0</v>
      </c>
      <c r="L24" s="2">
        <v>0.0</v>
      </c>
      <c r="M24" s="37">
        <v>0.0</v>
      </c>
    </row>
    <row r="25" ht="14.25" customHeight="1">
      <c r="A25" t="s">
        <v>90</v>
      </c>
      <c r="B25" t="s">
        <v>61</v>
      </c>
      <c r="C25" t="s">
        <v>75</v>
      </c>
      <c r="D25" t="s">
        <v>63</v>
      </c>
      <c r="E25">
        <v>12.8</v>
      </c>
      <c r="F25">
        <v>13.65</v>
      </c>
      <c r="G25" s="2" t="s">
        <v>64</v>
      </c>
      <c r="H25" s="2">
        <v>0.0</v>
      </c>
      <c r="I25" s="2">
        <v>0.0</v>
      </c>
      <c r="J25" s="37">
        <v>0.0</v>
      </c>
      <c r="K25" s="2">
        <v>0.0</v>
      </c>
      <c r="L25" s="2">
        <v>0.0</v>
      </c>
      <c r="M25" s="37">
        <v>0.0</v>
      </c>
    </row>
    <row r="26" ht="14.25" customHeight="1">
      <c r="A26" t="s">
        <v>91</v>
      </c>
      <c r="B26" t="s">
        <v>61</v>
      </c>
      <c r="C26" t="s">
        <v>75</v>
      </c>
      <c r="D26" t="s">
        <v>63</v>
      </c>
      <c r="E26">
        <v>16.8</v>
      </c>
      <c r="F26">
        <v>18.2</v>
      </c>
      <c r="G26" s="2" t="s">
        <v>64</v>
      </c>
      <c r="H26" s="2">
        <v>0.0</v>
      </c>
      <c r="I26" s="2">
        <v>0.0</v>
      </c>
      <c r="J26" s="37">
        <v>0.0</v>
      </c>
      <c r="K26" s="2">
        <v>0.0</v>
      </c>
      <c r="L26" s="2">
        <v>0.0</v>
      </c>
      <c r="M26" s="37">
        <v>0.0</v>
      </c>
    </row>
    <row r="27" ht="14.25" customHeight="1">
      <c r="A27" t="s">
        <v>92</v>
      </c>
      <c r="B27" t="s">
        <v>61</v>
      </c>
      <c r="C27" t="s">
        <v>75</v>
      </c>
      <c r="D27" t="s">
        <v>82</v>
      </c>
      <c r="E27">
        <v>19.06</v>
      </c>
      <c r="F27">
        <v>19.9</v>
      </c>
      <c r="G27" s="2" t="s">
        <v>64</v>
      </c>
      <c r="H27" s="2">
        <v>0.0</v>
      </c>
      <c r="I27" s="2">
        <v>0.0</v>
      </c>
      <c r="J27" s="37">
        <v>0.0</v>
      </c>
      <c r="K27" s="2">
        <v>0.0</v>
      </c>
      <c r="L27" s="2">
        <v>0.0</v>
      </c>
      <c r="M27" s="37">
        <v>0.0</v>
      </c>
    </row>
    <row r="28" ht="14.25" customHeight="1">
      <c r="A28" t="s">
        <v>93</v>
      </c>
      <c r="B28" t="s">
        <v>61</v>
      </c>
      <c r="C28" t="s">
        <v>75</v>
      </c>
      <c r="D28" t="s">
        <v>82</v>
      </c>
      <c r="E28">
        <v>19.06</v>
      </c>
      <c r="F28">
        <v>19.9</v>
      </c>
      <c r="G28" s="2" t="s">
        <v>64</v>
      </c>
      <c r="H28" s="2">
        <v>0.0</v>
      </c>
      <c r="I28" s="2">
        <v>0.0</v>
      </c>
      <c r="J28" s="37">
        <v>0.0</v>
      </c>
      <c r="K28" s="2">
        <v>0.0</v>
      </c>
      <c r="L28" s="2">
        <v>0.0</v>
      </c>
      <c r="M28" s="37">
        <v>0.0</v>
      </c>
    </row>
    <row r="29" ht="14.25" customHeight="1">
      <c r="A29" t="s">
        <v>94</v>
      </c>
      <c r="B29" t="s">
        <v>61</v>
      </c>
      <c r="C29" t="s">
        <v>75</v>
      </c>
      <c r="D29" t="s">
        <v>63</v>
      </c>
      <c r="E29">
        <v>7.3</v>
      </c>
      <c r="F29">
        <v>7.7</v>
      </c>
      <c r="G29" s="2" t="s">
        <v>67</v>
      </c>
      <c r="H29" s="2">
        <v>47.0</v>
      </c>
      <c r="I29" s="2">
        <v>165.0</v>
      </c>
      <c r="J29" s="37">
        <v>1270.1200000000001</v>
      </c>
      <c r="K29" s="2">
        <v>54.0</v>
      </c>
      <c r="L29" s="2">
        <v>306.0</v>
      </c>
      <c r="M29" s="37">
        <v>1610.64</v>
      </c>
    </row>
    <row r="30" ht="14.25" customHeight="1">
      <c r="A30" t="s">
        <v>95</v>
      </c>
      <c r="B30" t="s">
        <v>61</v>
      </c>
      <c r="C30" t="s">
        <v>75</v>
      </c>
      <c r="D30" t="s">
        <v>63</v>
      </c>
      <c r="E30">
        <v>10.5</v>
      </c>
      <c r="F30">
        <v>11.5</v>
      </c>
      <c r="G30" s="2" t="s">
        <v>67</v>
      </c>
      <c r="H30" s="2">
        <v>68.0</v>
      </c>
      <c r="I30" s="2">
        <v>166.0</v>
      </c>
      <c r="J30" s="37">
        <v>1743.08</v>
      </c>
      <c r="K30" s="2">
        <v>79.0</v>
      </c>
      <c r="L30" s="2">
        <v>370.0</v>
      </c>
      <c r="M30" s="37">
        <v>2255.34</v>
      </c>
    </row>
    <row r="31" ht="14.25" customHeight="1">
      <c r="A31" t="s">
        <v>96</v>
      </c>
      <c r="B31" t="s">
        <v>61</v>
      </c>
      <c r="C31" t="s">
        <v>75</v>
      </c>
      <c r="D31" t="s">
        <v>63</v>
      </c>
      <c r="E31">
        <v>12.9</v>
      </c>
      <c r="F31">
        <v>13.4</v>
      </c>
      <c r="G31" s="2" t="s">
        <v>67</v>
      </c>
      <c r="H31" s="2">
        <v>82.0</v>
      </c>
      <c r="I31" s="2">
        <v>297.0</v>
      </c>
      <c r="J31" s="37">
        <v>2227.82</v>
      </c>
      <c r="K31" s="2">
        <v>94.0</v>
      </c>
      <c r="L31" s="2">
        <v>547.0</v>
      </c>
      <c r="M31" s="37">
        <v>2822.34</v>
      </c>
    </row>
    <row r="32" ht="14.25" customHeight="1">
      <c r="A32" t="s">
        <v>97</v>
      </c>
      <c r="B32" t="s">
        <v>61</v>
      </c>
      <c r="C32" t="s">
        <v>75</v>
      </c>
      <c r="D32" t="s">
        <v>63</v>
      </c>
      <c r="E32">
        <v>14.0</v>
      </c>
      <c r="F32">
        <v>14.35</v>
      </c>
      <c r="G32" s="2" t="s">
        <v>67</v>
      </c>
      <c r="H32" s="2">
        <v>85.0</v>
      </c>
      <c r="I32" s="2">
        <v>227.0</v>
      </c>
      <c r="J32" s="37">
        <v>2204.2000000000003</v>
      </c>
      <c r="K32" s="2">
        <v>98.0</v>
      </c>
      <c r="L32" s="2">
        <v>498.0</v>
      </c>
      <c r="M32" s="37">
        <v>2848.48</v>
      </c>
    </row>
    <row r="33" ht="14.25" customHeight="1">
      <c r="A33" t="s">
        <v>98</v>
      </c>
      <c r="B33" t="s">
        <v>61</v>
      </c>
      <c r="C33" t="s">
        <v>75</v>
      </c>
      <c r="D33" t="s">
        <v>63</v>
      </c>
      <c r="E33">
        <v>16.6</v>
      </c>
      <c r="F33">
        <v>17.6</v>
      </c>
      <c r="G33" s="2" t="s">
        <v>67</v>
      </c>
      <c r="H33" s="2">
        <v>98.0</v>
      </c>
      <c r="I33" s="2">
        <v>238.0</v>
      </c>
      <c r="J33" s="37">
        <v>2510.48</v>
      </c>
      <c r="K33" s="2">
        <v>114.0</v>
      </c>
      <c r="L33" s="2">
        <v>559.0</v>
      </c>
      <c r="M33" s="37">
        <v>3287.1400000000003</v>
      </c>
    </row>
    <row r="34" ht="14.25" customHeight="1">
      <c r="A34" t="s">
        <v>99</v>
      </c>
      <c r="B34" t="s">
        <v>61</v>
      </c>
      <c r="C34" t="s">
        <v>62</v>
      </c>
      <c r="D34" t="s">
        <v>63</v>
      </c>
      <c r="E34">
        <v>10.95</v>
      </c>
      <c r="F34">
        <v>11.95</v>
      </c>
      <c r="G34" s="2" t="s">
        <v>67</v>
      </c>
      <c r="H34" s="2">
        <v>74.0</v>
      </c>
      <c r="I34" s="2">
        <v>533.0</v>
      </c>
      <c r="J34" s="37">
        <v>2354.94</v>
      </c>
      <c r="K34" s="2">
        <v>85.0</v>
      </c>
      <c r="L34" s="2">
        <v>746.0</v>
      </c>
      <c r="M34" s="37">
        <v>2878.9</v>
      </c>
    </row>
    <row r="35" ht="14.25" customHeight="1">
      <c r="A35" t="s">
        <v>100</v>
      </c>
      <c r="B35" t="s">
        <v>61</v>
      </c>
      <c r="C35" t="s">
        <v>62</v>
      </c>
      <c r="D35" t="s">
        <v>63</v>
      </c>
      <c r="E35">
        <v>12.3</v>
      </c>
      <c r="F35">
        <v>13.5</v>
      </c>
      <c r="G35" s="2" t="s">
        <v>67</v>
      </c>
      <c r="H35" s="2">
        <v>79.0</v>
      </c>
      <c r="I35" s="2">
        <v>402.0</v>
      </c>
      <c r="J35" s="37">
        <v>2296.94</v>
      </c>
      <c r="K35" s="2">
        <v>91.0</v>
      </c>
      <c r="L35" s="2">
        <v>640.0</v>
      </c>
      <c r="M35" s="37">
        <v>2875.86</v>
      </c>
    </row>
    <row r="36" ht="14.25" customHeight="1">
      <c r="A36" t="s">
        <v>101</v>
      </c>
      <c r="B36" t="s">
        <v>61</v>
      </c>
      <c r="C36" t="s">
        <v>62</v>
      </c>
      <c r="D36" t="s">
        <v>63</v>
      </c>
      <c r="E36">
        <v>13.95</v>
      </c>
      <c r="F36">
        <v>14.5</v>
      </c>
      <c r="G36" s="2" t="s">
        <v>67</v>
      </c>
      <c r="H36" s="2">
        <v>84.0</v>
      </c>
      <c r="I36" s="2">
        <v>235.0</v>
      </c>
      <c r="J36" s="37">
        <v>2192.1400000000003</v>
      </c>
      <c r="K36" s="2">
        <v>97.0</v>
      </c>
      <c r="L36" s="2">
        <v>505.0</v>
      </c>
      <c r="M36" s="37">
        <v>2835.12</v>
      </c>
    </row>
    <row r="37" ht="14.25" customHeight="1">
      <c r="A37" t="s">
        <v>102</v>
      </c>
      <c r="B37" t="s">
        <v>61</v>
      </c>
      <c r="C37" t="s">
        <v>75</v>
      </c>
      <c r="D37" t="s">
        <v>63</v>
      </c>
      <c r="E37">
        <v>17.0</v>
      </c>
      <c r="F37">
        <v>18.2</v>
      </c>
      <c r="G37" s="2" t="s">
        <v>64</v>
      </c>
      <c r="H37" s="2">
        <v>0.0</v>
      </c>
      <c r="I37" s="2">
        <v>0.0</v>
      </c>
      <c r="J37" s="37">
        <v>0.0</v>
      </c>
      <c r="K37" s="2">
        <v>0.0</v>
      </c>
      <c r="L37" s="2">
        <v>0.0</v>
      </c>
      <c r="M37" s="37">
        <v>0.0</v>
      </c>
    </row>
    <row r="38" ht="14.25" customHeight="1">
      <c r="A38" t="s">
        <v>103</v>
      </c>
      <c r="B38" t="s">
        <v>61</v>
      </c>
      <c r="C38" t="s">
        <v>75</v>
      </c>
      <c r="D38" t="s">
        <v>63</v>
      </c>
      <c r="E38">
        <v>17.0</v>
      </c>
      <c r="F38">
        <v>18.2</v>
      </c>
      <c r="G38" s="2" t="s">
        <v>64</v>
      </c>
      <c r="H38" s="2">
        <v>0.0</v>
      </c>
      <c r="I38" s="2">
        <v>0.0</v>
      </c>
      <c r="J38" s="37">
        <v>0.0</v>
      </c>
      <c r="K38" s="2">
        <v>0.0</v>
      </c>
      <c r="L38" s="2">
        <v>0.0</v>
      </c>
      <c r="M38" s="37">
        <v>0.0</v>
      </c>
    </row>
    <row r="39" ht="14.25" customHeight="1">
      <c r="A39" t="s">
        <v>104</v>
      </c>
      <c r="B39" t="s">
        <v>61</v>
      </c>
      <c r="C39" t="s">
        <v>75</v>
      </c>
      <c r="D39" t="s">
        <v>63</v>
      </c>
      <c r="E39">
        <v>14.75</v>
      </c>
      <c r="F39">
        <v>16.0</v>
      </c>
      <c r="G39" s="2" t="s">
        <v>64</v>
      </c>
      <c r="H39" s="2">
        <v>0.0</v>
      </c>
      <c r="I39" s="2">
        <v>0.0</v>
      </c>
      <c r="J39" s="37">
        <v>0.0</v>
      </c>
      <c r="K39" s="2">
        <v>0.0</v>
      </c>
      <c r="L39" s="2">
        <v>0.0</v>
      </c>
      <c r="M39" s="37">
        <v>0.0</v>
      </c>
    </row>
    <row r="40" ht="14.25" customHeight="1">
      <c r="A40" t="s">
        <v>105</v>
      </c>
      <c r="B40" t="s">
        <v>61</v>
      </c>
      <c r="C40" t="s">
        <v>75</v>
      </c>
      <c r="D40" t="s">
        <v>63</v>
      </c>
      <c r="E40">
        <v>14.75</v>
      </c>
      <c r="F40">
        <v>16.0</v>
      </c>
      <c r="G40" s="2" t="s">
        <v>64</v>
      </c>
      <c r="H40" s="2">
        <v>0.0</v>
      </c>
      <c r="I40" s="2">
        <v>0.0</v>
      </c>
      <c r="J40" s="37">
        <v>0.0</v>
      </c>
      <c r="K40" s="2">
        <v>0.0</v>
      </c>
      <c r="L40" s="2">
        <v>0.0</v>
      </c>
      <c r="M40" s="37">
        <v>0.0</v>
      </c>
    </row>
    <row r="41" ht="14.25" customHeight="1">
      <c r="A41" t="s">
        <v>106</v>
      </c>
      <c r="B41" t="s">
        <v>61</v>
      </c>
      <c r="C41" t="s">
        <v>75</v>
      </c>
      <c r="D41" t="s">
        <v>82</v>
      </c>
      <c r="E41">
        <v>14.65</v>
      </c>
      <c r="F41">
        <v>16.0</v>
      </c>
      <c r="G41" s="2" t="s">
        <v>64</v>
      </c>
      <c r="H41" s="2">
        <v>0.0</v>
      </c>
      <c r="I41" s="2">
        <v>0.0</v>
      </c>
      <c r="J41" s="37">
        <v>0.0</v>
      </c>
      <c r="K41" s="2">
        <v>0.0</v>
      </c>
      <c r="L41" s="2">
        <v>0.0</v>
      </c>
      <c r="M41" s="37">
        <v>0.0</v>
      </c>
    </row>
    <row r="42" ht="14.25" customHeight="1">
      <c r="A42" t="s">
        <v>107</v>
      </c>
      <c r="B42" t="s">
        <v>61</v>
      </c>
      <c r="C42" t="s">
        <v>75</v>
      </c>
      <c r="D42" t="s">
        <v>82</v>
      </c>
      <c r="E42">
        <v>17.0</v>
      </c>
      <c r="F42">
        <v>18.4</v>
      </c>
      <c r="G42" s="2" t="s">
        <v>64</v>
      </c>
      <c r="H42" s="2">
        <v>0.0</v>
      </c>
      <c r="I42" s="2">
        <v>0.0</v>
      </c>
      <c r="J42" s="37">
        <v>0.0</v>
      </c>
      <c r="K42" s="2">
        <v>0.0</v>
      </c>
      <c r="L42" s="2">
        <v>0.0</v>
      </c>
      <c r="M42" s="37">
        <v>0.0</v>
      </c>
    </row>
    <row r="43" ht="14.25" customHeight="1">
      <c r="A43" t="s">
        <v>108</v>
      </c>
      <c r="B43" t="s">
        <v>61</v>
      </c>
      <c r="C43" t="s">
        <v>75</v>
      </c>
      <c r="D43" t="s">
        <v>63</v>
      </c>
      <c r="E43">
        <v>16.8</v>
      </c>
      <c r="F43">
        <v>18.0</v>
      </c>
      <c r="G43" s="2" t="s">
        <v>64</v>
      </c>
      <c r="H43" s="2">
        <v>0.0</v>
      </c>
      <c r="I43" s="2">
        <v>0.0</v>
      </c>
      <c r="J43" s="37">
        <v>0.0</v>
      </c>
      <c r="K43" s="2">
        <v>0.0</v>
      </c>
      <c r="L43" s="2">
        <v>0.0</v>
      </c>
      <c r="M43" s="37">
        <v>0.0</v>
      </c>
    </row>
    <row r="44" ht="14.25" customHeight="1">
      <c r="A44" t="s">
        <v>109</v>
      </c>
      <c r="B44" t="s">
        <v>61</v>
      </c>
      <c r="C44" t="s">
        <v>75</v>
      </c>
      <c r="D44" t="s">
        <v>63</v>
      </c>
      <c r="E44">
        <v>16.8</v>
      </c>
      <c r="F44">
        <v>18.0</v>
      </c>
      <c r="G44" s="2" t="s">
        <v>64</v>
      </c>
      <c r="H44" s="2">
        <v>0.0</v>
      </c>
      <c r="I44" s="2">
        <v>0.0</v>
      </c>
      <c r="J44" s="37">
        <v>0.0</v>
      </c>
      <c r="K44" s="2">
        <v>0.0</v>
      </c>
      <c r="L44" s="2">
        <v>0.0</v>
      </c>
      <c r="M44" s="37">
        <v>0.0</v>
      </c>
    </row>
    <row r="45" ht="14.25" customHeight="1">
      <c r="A45" t="s">
        <v>110</v>
      </c>
      <c r="B45" t="s">
        <v>61</v>
      </c>
      <c r="C45" t="s">
        <v>75</v>
      </c>
      <c r="D45" t="s">
        <v>63</v>
      </c>
      <c r="E45">
        <v>16.8</v>
      </c>
      <c r="F45">
        <v>18.0</v>
      </c>
      <c r="G45" s="2" t="s">
        <v>64</v>
      </c>
      <c r="H45" s="2">
        <v>0.0</v>
      </c>
      <c r="I45" s="2">
        <v>0.0</v>
      </c>
      <c r="J45" s="37">
        <v>0.0</v>
      </c>
      <c r="K45" s="2">
        <v>0.0</v>
      </c>
      <c r="L45" s="2">
        <v>0.0</v>
      </c>
      <c r="M45" s="37">
        <v>0.0</v>
      </c>
    </row>
    <row r="46" ht="14.25" customHeight="1">
      <c r="A46" t="s">
        <v>111</v>
      </c>
      <c r="B46" t="s">
        <v>61</v>
      </c>
      <c r="C46" t="s">
        <v>75</v>
      </c>
      <c r="D46" t="s">
        <v>63</v>
      </c>
      <c r="E46">
        <v>17.0</v>
      </c>
      <c r="F46">
        <v>18.2</v>
      </c>
      <c r="G46" s="2" t="s">
        <v>64</v>
      </c>
      <c r="H46" s="2">
        <v>0.0</v>
      </c>
      <c r="I46" s="2">
        <v>0.0</v>
      </c>
      <c r="J46" s="37">
        <v>0.0</v>
      </c>
      <c r="K46" s="2">
        <v>0.0</v>
      </c>
      <c r="L46" s="2">
        <v>0.0</v>
      </c>
      <c r="M46" s="37">
        <v>0.0</v>
      </c>
    </row>
    <row r="47" ht="14.25" customHeight="1">
      <c r="A47" t="s">
        <v>112</v>
      </c>
      <c r="B47" t="s">
        <v>61</v>
      </c>
      <c r="C47" t="s">
        <v>75</v>
      </c>
      <c r="D47" t="s">
        <v>63</v>
      </c>
      <c r="E47">
        <v>14.75</v>
      </c>
      <c r="F47">
        <v>16.0</v>
      </c>
      <c r="G47" s="2" t="s">
        <v>64</v>
      </c>
      <c r="H47" s="2">
        <v>0.0</v>
      </c>
      <c r="I47" s="2">
        <v>0.0</v>
      </c>
      <c r="J47" s="37">
        <v>0.0</v>
      </c>
      <c r="K47" s="2">
        <v>0.0</v>
      </c>
      <c r="L47" s="2">
        <v>0.0</v>
      </c>
      <c r="M47" s="37">
        <v>0.0</v>
      </c>
    </row>
    <row r="48" ht="14.25" customHeight="1">
      <c r="A48" t="s">
        <v>113</v>
      </c>
      <c r="B48" t="s">
        <v>61</v>
      </c>
      <c r="C48" t="s">
        <v>75</v>
      </c>
      <c r="D48" t="s">
        <v>63</v>
      </c>
      <c r="E48">
        <v>14.4</v>
      </c>
      <c r="F48">
        <v>15.53</v>
      </c>
      <c r="G48" s="2" t="s">
        <v>64</v>
      </c>
      <c r="H48" s="2">
        <v>0.0</v>
      </c>
      <c r="I48" s="2">
        <v>0.0</v>
      </c>
      <c r="J48" s="37">
        <v>0.0</v>
      </c>
      <c r="K48" s="2">
        <v>0.0</v>
      </c>
      <c r="L48" s="2">
        <v>0.0</v>
      </c>
      <c r="M48" s="37">
        <v>0.0</v>
      </c>
    </row>
    <row r="49" ht="14.25" customHeight="1">
      <c r="A49" t="s">
        <v>114</v>
      </c>
      <c r="B49" t="s">
        <v>61</v>
      </c>
      <c r="C49" t="s">
        <v>75</v>
      </c>
      <c r="D49" t="s">
        <v>63</v>
      </c>
      <c r="E49">
        <v>14.4</v>
      </c>
      <c r="F49">
        <v>15.53</v>
      </c>
      <c r="G49" s="2" t="s">
        <v>64</v>
      </c>
      <c r="H49" s="2">
        <v>0.0</v>
      </c>
      <c r="I49" s="2">
        <v>0.0</v>
      </c>
      <c r="J49" s="37">
        <v>0.0</v>
      </c>
      <c r="K49" s="2">
        <v>0.0</v>
      </c>
      <c r="L49" s="2">
        <v>0.0</v>
      </c>
      <c r="M49" s="37">
        <v>0.0</v>
      </c>
    </row>
    <row r="50" ht="14.25" customHeight="1">
      <c r="A50" t="s">
        <v>115</v>
      </c>
      <c r="B50" t="s">
        <v>61</v>
      </c>
      <c r="C50" t="s">
        <v>75</v>
      </c>
      <c r="D50" t="s">
        <v>63</v>
      </c>
      <c r="E50">
        <v>14.4</v>
      </c>
      <c r="F50">
        <v>15.53</v>
      </c>
      <c r="G50" s="2" t="s">
        <v>64</v>
      </c>
      <c r="H50" s="2">
        <v>0.0</v>
      </c>
      <c r="I50" s="2">
        <v>0.0</v>
      </c>
      <c r="J50" s="37">
        <v>0.0</v>
      </c>
      <c r="K50" s="2">
        <v>0.0</v>
      </c>
      <c r="L50" s="2">
        <v>0.0</v>
      </c>
      <c r="M50" s="37">
        <v>0.0</v>
      </c>
    </row>
    <row r="51" ht="14.25" customHeight="1">
      <c r="A51" t="s">
        <v>116</v>
      </c>
      <c r="B51" t="s">
        <v>61</v>
      </c>
      <c r="C51" t="s">
        <v>75</v>
      </c>
      <c r="D51" t="s">
        <v>63</v>
      </c>
      <c r="E51">
        <v>13.02</v>
      </c>
      <c r="F51">
        <v>15.0</v>
      </c>
      <c r="G51" s="2" t="s">
        <v>67</v>
      </c>
      <c r="H51" s="2">
        <v>76.0</v>
      </c>
      <c r="I51" s="2">
        <v>173.0</v>
      </c>
      <c r="J51" s="37">
        <v>1931.8600000000001</v>
      </c>
      <c r="K51" s="2">
        <v>90.0</v>
      </c>
      <c r="L51" s="2">
        <v>426.0</v>
      </c>
      <c r="M51" s="37">
        <v>2575.2000000000003</v>
      </c>
    </row>
    <row r="52" ht="14.25" customHeight="1">
      <c r="A52" t="s">
        <v>117</v>
      </c>
      <c r="B52" t="s">
        <v>61</v>
      </c>
      <c r="C52" t="s">
        <v>75</v>
      </c>
      <c r="D52" t="s">
        <v>63</v>
      </c>
      <c r="E52">
        <v>13.02</v>
      </c>
      <c r="F52">
        <v>15.0</v>
      </c>
      <c r="G52" s="2" t="s">
        <v>67</v>
      </c>
      <c r="H52" s="2">
        <v>76.0</v>
      </c>
      <c r="I52" s="2">
        <v>173.0</v>
      </c>
      <c r="J52" s="37">
        <v>1931.8600000000001</v>
      </c>
      <c r="K52" s="2">
        <v>90.0</v>
      </c>
      <c r="L52" s="2">
        <v>426.0</v>
      </c>
      <c r="M52" s="37">
        <v>2575.2000000000003</v>
      </c>
    </row>
    <row r="53" ht="14.25" customHeight="1">
      <c r="A53" t="s">
        <v>118</v>
      </c>
      <c r="B53" t="s">
        <v>61</v>
      </c>
      <c r="C53" t="s">
        <v>75</v>
      </c>
      <c r="D53" t="s">
        <v>63</v>
      </c>
      <c r="E53">
        <v>10.0</v>
      </c>
      <c r="F53">
        <v>10.52</v>
      </c>
      <c r="G53" s="2" t="s">
        <v>64</v>
      </c>
      <c r="H53" s="2">
        <v>0.0</v>
      </c>
      <c r="I53" s="2">
        <v>0.0</v>
      </c>
      <c r="J53" s="37">
        <v>0.0</v>
      </c>
      <c r="K53" s="2">
        <v>0.0</v>
      </c>
      <c r="L53" s="2">
        <v>0.0</v>
      </c>
      <c r="M53" s="37">
        <v>0.0</v>
      </c>
    </row>
    <row r="54" ht="14.25" customHeight="1">
      <c r="A54" t="s">
        <v>119</v>
      </c>
      <c r="B54" t="s">
        <v>61</v>
      </c>
      <c r="C54" t="s">
        <v>75</v>
      </c>
      <c r="D54" t="s">
        <v>63</v>
      </c>
      <c r="E54">
        <v>13.0</v>
      </c>
      <c r="F54">
        <v>15.0</v>
      </c>
      <c r="G54" s="2" t="s">
        <v>67</v>
      </c>
      <c r="H54" s="2">
        <v>77.0</v>
      </c>
      <c r="I54" s="2">
        <v>158.0</v>
      </c>
      <c r="J54" s="37">
        <v>1934.8200000000002</v>
      </c>
      <c r="K54" s="2">
        <v>90.0</v>
      </c>
      <c r="L54" s="2">
        <v>410.0</v>
      </c>
      <c r="M54" s="37">
        <v>2554.4</v>
      </c>
    </row>
    <row r="55" ht="14.25" customHeight="1">
      <c r="A55" t="s">
        <v>120</v>
      </c>
      <c r="B55" t="s">
        <v>61</v>
      </c>
      <c r="C55" t="s">
        <v>75</v>
      </c>
      <c r="D55" t="s">
        <v>63</v>
      </c>
      <c r="E55">
        <v>13.0</v>
      </c>
      <c r="F55">
        <v>15.0</v>
      </c>
      <c r="G55" s="2" t="s">
        <v>67</v>
      </c>
      <c r="H55" s="2">
        <v>77.0</v>
      </c>
      <c r="I55" s="2">
        <v>158.0</v>
      </c>
      <c r="J55" s="37">
        <v>1934.8200000000002</v>
      </c>
      <c r="K55" s="2">
        <v>90.0</v>
      </c>
      <c r="L55" s="2">
        <v>410.0</v>
      </c>
      <c r="M55" s="37">
        <v>2554.4</v>
      </c>
    </row>
    <row r="56" ht="14.25" customHeight="1">
      <c r="A56" t="s">
        <v>121</v>
      </c>
      <c r="B56" t="s">
        <v>61</v>
      </c>
      <c r="C56" t="s">
        <v>75</v>
      </c>
      <c r="D56" t="s">
        <v>82</v>
      </c>
      <c r="E56">
        <v>29.6</v>
      </c>
      <c r="F56">
        <v>29.80402</v>
      </c>
      <c r="G56" s="2" t="s">
        <v>64</v>
      </c>
      <c r="H56" s="2">
        <v>0.0</v>
      </c>
      <c r="I56" s="2">
        <v>0.0</v>
      </c>
      <c r="J56" s="37">
        <v>0.0</v>
      </c>
      <c r="K56" s="2">
        <v>0.0</v>
      </c>
      <c r="L56" s="2">
        <v>0.0</v>
      </c>
      <c r="M56" s="37">
        <v>0.0</v>
      </c>
    </row>
    <row r="57" ht="14.25" customHeight="1">
      <c r="A57" t="s">
        <v>122</v>
      </c>
      <c r="B57" t="s">
        <v>61</v>
      </c>
      <c r="C57" t="s">
        <v>75</v>
      </c>
      <c r="D57" t="s">
        <v>63</v>
      </c>
      <c r="E57">
        <v>29.6</v>
      </c>
      <c r="F57">
        <v>29.80402</v>
      </c>
      <c r="G57" s="2" t="s">
        <v>64</v>
      </c>
      <c r="H57" s="2">
        <v>0.0</v>
      </c>
      <c r="I57" s="2">
        <v>0.0</v>
      </c>
      <c r="J57" s="37">
        <v>0.0</v>
      </c>
      <c r="K57" s="2">
        <v>0.0</v>
      </c>
      <c r="L57" s="2">
        <v>0.0</v>
      </c>
      <c r="M57" s="37">
        <v>0.0</v>
      </c>
    </row>
    <row r="58" ht="14.25" customHeight="1">
      <c r="A58" t="s">
        <v>123</v>
      </c>
      <c r="B58" t="s">
        <v>61</v>
      </c>
      <c r="C58" t="s">
        <v>75</v>
      </c>
      <c r="D58" t="s">
        <v>82</v>
      </c>
      <c r="E58">
        <v>29.511</v>
      </c>
      <c r="F58">
        <v>30.1971199999999</v>
      </c>
      <c r="G58" s="2" t="s">
        <v>64</v>
      </c>
      <c r="H58" s="2">
        <v>0.0</v>
      </c>
      <c r="I58" s="2">
        <v>0.0</v>
      </c>
      <c r="J58" s="37">
        <v>0.0</v>
      </c>
      <c r="K58" s="2">
        <v>0.0</v>
      </c>
      <c r="L58" s="2">
        <v>0.0</v>
      </c>
      <c r="M58" s="37">
        <v>0.0</v>
      </c>
    </row>
    <row r="59" ht="14.25" customHeight="1">
      <c r="A59" t="s">
        <v>124</v>
      </c>
      <c r="B59" t="s">
        <v>61</v>
      </c>
      <c r="C59" t="s">
        <v>75</v>
      </c>
      <c r="D59" t="s">
        <v>82</v>
      </c>
      <c r="E59">
        <v>29.511</v>
      </c>
      <c r="F59">
        <v>30.1971199999999</v>
      </c>
      <c r="G59" s="2" t="s">
        <v>64</v>
      </c>
      <c r="H59" s="2">
        <v>0.0</v>
      </c>
      <c r="I59" s="2">
        <v>0.0</v>
      </c>
      <c r="J59" s="37">
        <v>0.0</v>
      </c>
      <c r="K59" s="2">
        <v>0.0</v>
      </c>
      <c r="L59" s="2">
        <v>0.0</v>
      </c>
      <c r="M59" s="37">
        <v>0.0</v>
      </c>
    </row>
    <row r="60" ht="14.25" customHeight="1">
      <c r="A60" t="s">
        <v>125</v>
      </c>
      <c r="B60" t="s">
        <v>61</v>
      </c>
      <c r="C60" t="s">
        <v>75</v>
      </c>
      <c r="D60" t="s">
        <v>82</v>
      </c>
      <c r="E60">
        <v>29.511</v>
      </c>
      <c r="F60">
        <v>30.1971199999999</v>
      </c>
      <c r="G60" s="2" t="s">
        <v>64</v>
      </c>
      <c r="H60" s="2">
        <v>0.0</v>
      </c>
      <c r="I60" s="2">
        <v>0.0</v>
      </c>
      <c r="J60" s="37">
        <v>0.0</v>
      </c>
      <c r="K60" s="2">
        <v>0.0</v>
      </c>
      <c r="L60" s="2">
        <v>0.0</v>
      </c>
      <c r="M60" s="37">
        <v>0.0</v>
      </c>
    </row>
    <row r="61" ht="14.25" customHeight="1">
      <c r="A61" t="s">
        <v>126</v>
      </c>
      <c r="B61" t="s">
        <v>61</v>
      </c>
      <c r="C61" t="s">
        <v>75</v>
      </c>
      <c r="D61" t="s">
        <v>63</v>
      </c>
      <c r="E61">
        <v>22.609</v>
      </c>
      <c r="F61">
        <v>23.483</v>
      </c>
      <c r="G61" s="2" t="s">
        <v>64</v>
      </c>
      <c r="H61" s="2">
        <v>0.0</v>
      </c>
      <c r="I61" s="2">
        <v>0.0</v>
      </c>
      <c r="J61" s="37">
        <v>0.0</v>
      </c>
      <c r="K61" s="2">
        <v>0.0</v>
      </c>
      <c r="L61" s="2">
        <v>0.0</v>
      </c>
      <c r="M61" s="37">
        <v>0.0</v>
      </c>
    </row>
    <row r="62" ht="14.25" customHeight="1">
      <c r="A62" t="s">
        <v>127</v>
      </c>
      <c r="B62" t="s">
        <v>61</v>
      </c>
      <c r="C62" t="s">
        <v>75</v>
      </c>
      <c r="D62" t="s">
        <v>63</v>
      </c>
      <c r="E62">
        <v>22.609</v>
      </c>
      <c r="F62">
        <v>23.483</v>
      </c>
      <c r="G62" s="2" t="s">
        <v>64</v>
      </c>
      <c r="H62" s="2">
        <v>0.0</v>
      </c>
      <c r="I62" s="2">
        <v>0.0</v>
      </c>
      <c r="J62" s="37">
        <v>0.0</v>
      </c>
      <c r="K62" s="2">
        <v>0.0</v>
      </c>
      <c r="L62" s="2">
        <v>0.0</v>
      </c>
      <c r="M62" s="37">
        <v>0.0</v>
      </c>
    </row>
    <row r="63" ht="14.25" customHeight="1">
      <c r="A63" t="s">
        <v>128</v>
      </c>
      <c r="B63" t="s">
        <v>61</v>
      </c>
      <c r="C63" t="s">
        <v>75</v>
      </c>
      <c r="D63" t="s">
        <v>82</v>
      </c>
      <c r="E63">
        <v>22.9</v>
      </c>
      <c r="F63">
        <v>23.56</v>
      </c>
      <c r="G63" s="2" t="s">
        <v>64</v>
      </c>
      <c r="H63" s="2">
        <v>0.0</v>
      </c>
      <c r="I63" s="2">
        <v>0.0</v>
      </c>
      <c r="J63" s="37">
        <v>0.0</v>
      </c>
      <c r="K63" s="2">
        <v>0.0</v>
      </c>
      <c r="L63" s="2">
        <v>0.0</v>
      </c>
      <c r="M63" s="37">
        <v>0.0</v>
      </c>
    </row>
    <row r="64" ht="14.25" customHeight="1">
      <c r="A64" t="s">
        <v>129</v>
      </c>
      <c r="B64" t="s">
        <v>61</v>
      </c>
      <c r="C64" t="s">
        <v>75</v>
      </c>
      <c r="D64" t="s">
        <v>82</v>
      </c>
      <c r="E64">
        <v>22.9</v>
      </c>
      <c r="F64">
        <v>23.56</v>
      </c>
      <c r="G64" s="2" t="s">
        <v>64</v>
      </c>
      <c r="H64" s="2">
        <v>0.0</v>
      </c>
      <c r="I64" s="2">
        <v>0.0</v>
      </c>
      <c r="J64" s="37">
        <v>0.0</v>
      </c>
      <c r="K64" s="2">
        <v>0.0</v>
      </c>
      <c r="L64" s="2">
        <v>0.0</v>
      </c>
      <c r="M64" s="37">
        <v>0.0</v>
      </c>
    </row>
    <row r="65" ht="14.25" customHeight="1">
      <c r="A65" t="s">
        <v>130</v>
      </c>
      <c r="B65" t="s">
        <v>61</v>
      </c>
      <c r="C65" t="s">
        <v>75</v>
      </c>
      <c r="D65" t="s">
        <v>82</v>
      </c>
      <c r="E65">
        <v>22.9</v>
      </c>
      <c r="F65">
        <v>23.56</v>
      </c>
      <c r="G65" s="2" t="s">
        <v>64</v>
      </c>
      <c r="H65" s="2">
        <v>0.0</v>
      </c>
      <c r="I65" s="2">
        <v>0.0</v>
      </c>
      <c r="J65" s="37">
        <v>0.0</v>
      </c>
      <c r="K65" s="2">
        <v>0.0</v>
      </c>
      <c r="L65" s="2">
        <v>0.0</v>
      </c>
      <c r="M65" s="37">
        <v>0.0</v>
      </c>
    </row>
    <row r="66" ht="14.25" customHeight="1">
      <c r="A66" t="s">
        <v>131</v>
      </c>
      <c r="B66" t="s">
        <v>61</v>
      </c>
      <c r="C66" t="s">
        <v>75</v>
      </c>
      <c r="D66" t="s">
        <v>63</v>
      </c>
      <c r="E66">
        <v>15.4</v>
      </c>
      <c r="F66">
        <v>16.74</v>
      </c>
      <c r="G66" s="2" t="s">
        <v>67</v>
      </c>
      <c r="H66" s="2">
        <v>86.0</v>
      </c>
      <c r="I66" s="2">
        <v>312.0</v>
      </c>
      <c r="J66" s="37">
        <v>2337.1600000000003</v>
      </c>
      <c r="K66" s="2">
        <v>101.0</v>
      </c>
      <c r="L66" s="2">
        <v>611.0</v>
      </c>
      <c r="M66" s="37">
        <v>3062.76</v>
      </c>
    </row>
    <row r="67" ht="14.25" customHeight="1">
      <c r="A67" t="s">
        <v>132</v>
      </c>
      <c r="B67" t="s">
        <v>61</v>
      </c>
      <c r="C67" t="s">
        <v>75</v>
      </c>
      <c r="D67" t="s">
        <v>63</v>
      </c>
      <c r="E67">
        <v>15.4</v>
      </c>
      <c r="F67">
        <v>16.74</v>
      </c>
      <c r="G67" s="2" t="s">
        <v>67</v>
      </c>
      <c r="H67" s="2">
        <v>86.0</v>
      </c>
      <c r="I67" s="2">
        <v>312.0</v>
      </c>
      <c r="J67" s="37">
        <v>2337.1600000000003</v>
      </c>
      <c r="K67" s="2">
        <v>101.0</v>
      </c>
      <c r="L67" s="2">
        <v>611.0</v>
      </c>
      <c r="M67" s="37">
        <v>3062.76</v>
      </c>
    </row>
    <row r="68" ht="14.25" customHeight="1">
      <c r="A68" t="s">
        <v>133</v>
      </c>
      <c r="B68" t="s">
        <v>61</v>
      </c>
      <c r="C68" t="s">
        <v>75</v>
      </c>
      <c r="D68" t="s">
        <v>63</v>
      </c>
      <c r="E68">
        <v>17.0</v>
      </c>
      <c r="F68">
        <v>19.08</v>
      </c>
      <c r="G68" s="2" t="s">
        <v>67</v>
      </c>
      <c r="H68" s="2">
        <v>97.0</v>
      </c>
      <c r="I68" s="2">
        <v>260.0</v>
      </c>
      <c r="J68" s="37">
        <v>2516.62</v>
      </c>
      <c r="K68" s="2">
        <v>114.0</v>
      </c>
      <c r="L68" s="2">
        <v>589.0</v>
      </c>
      <c r="M68" s="37">
        <v>3326.1400000000003</v>
      </c>
    </row>
    <row r="69" ht="14.25" customHeight="1">
      <c r="A69" t="s">
        <v>134</v>
      </c>
      <c r="B69" t="s">
        <v>61</v>
      </c>
      <c r="C69" t="s">
        <v>75</v>
      </c>
      <c r="D69" t="s">
        <v>63</v>
      </c>
      <c r="E69">
        <v>17.0</v>
      </c>
      <c r="F69">
        <v>19.08</v>
      </c>
      <c r="G69" s="2" t="s">
        <v>67</v>
      </c>
      <c r="H69" s="2">
        <v>97.0</v>
      </c>
      <c r="I69" s="2">
        <v>260.0</v>
      </c>
      <c r="J69" s="37">
        <v>2516.62</v>
      </c>
      <c r="K69" s="2">
        <v>114.0</v>
      </c>
      <c r="L69" s="2">
        <v>589.0</v>
      </c>
      <c r="M69" s="37">
        <v>3326.1400000000003</v>
      </c>
    </row>
    <row r="70" ht="14.25" customHeight="1">
      <c r="A70" t="s">
        <v>135</v>
      </c>
      <c r="B70" t="s">
        <v>61</v>
      </c>
      <c r="C70" t="s">
        <v>75</v>
      </c>
      <c r="D70" t="s">
        <v>63</v>
      </c>
      <c r="E70">
        <v>15.2</v>
      </c>
      <c r="F70">
        <v>16.7</v>
      </c>
      <c r="G70" s="2" t="s">
        <v>67</v>
      </c>
      <c r="H70" s="2">
        <v>86.0</v>
      </c>
      <c r="I70" s="2">
        <v>265.0</v>
      </c>
      <c r="J70" s="37">
        <v>2276.0600000000004</v>
      </c>
      <c r="K70" s="2">
        <v>101.0</v>
      </c>
      <c r="L70" s="2">
        <v>559.0</v>
      </c>
      <c r="M70" s="37">
        <v>2995.16</v>
      </c>
    </row>
    <row r="71" ht="14.25" customHeight="1">
      <c r="A71" t="s">
        <v>136</v>
      </c>
      <c r="B71" t="s">
        <v>61</v>
      </c>
      <c r="C71" t="s">
        <v>75</v>
      </c>
      <c r="D71" t="s">
        <v>63</v>
      </c>
      <c r="E71">
        <v>15.2</v>
      </c>
      <c r="F71">
        <v>16.7</v>
      </c>
      <c r="G71" s="2" t="s">
        <v>67</v>
      </c>
      <c r="H71" s="2">
        <v>86.0</v>
      </c>
      <c r="I71" s="2">
        <v>265.0</v>
      </c>
      <c r="J71" s="37">
        <v>2276.0600000000004</v>
      </c>
      <c r="K71" s="2">
        <v>101.0</v>
      </c>
      <c r="L71" s="2">
        <v>559.0</v>
      </c>
      <c r="M71" s="37">
        <v>2995.16</v>
      </c>
    </row>
    <row r="72" ht="14.25" customHeight="1">
      <c r="A72" t="s">
        <v>137</v>
      </c>
      <c r="B72" t="s">
        <v>61</v>
      </c>
      <c r="C72" t="s">
        <v>75</v>
      </c>
      <c r="D72" t="s">
        <v>63</v>
      </c>
      <c r="E72">
        <v>19.06</v>
      </c>
      <c r="F72">
        <v>19.9</v>
      </c>
      <c r="G72" s="2" t="s">
        <v>64</v>
      </c>
      <c r="H72" s="2">
        <v>0.0</v>
      </c>
      <c r="I72" s="2">
        <v>0.0</v>
      </c>
      <c r="J72" s="37">
        <v>0.0</v>
      </c>
      <c r="K72" s="2">
        <v>0.0</v>
      </c>
      <c r="L72" s="2">
        <v>0.0</v>
      </c>
      <c r="M72" s="37">
        <v>0.0</v>
      </c>
    </row>
    <row r="73" ht="14.25" customHeight="1">
      <c r="A73" t="s">
        <v>138</v>
      </c>
      <c r="B73" t="s">
        <v>61</v>
      </c>
      <c r="C73" t="s">
        <v>75</v>
      </c>
      <c r="D73" t="s">
        <v>63</v>
      </c>
      <c r="E73">
        <v>19.06</v>
      </c>
      <c r="F73">
        <v>19.9</v>
      </c>
      <c r="G73" s="2" t="s">
        <v>64</v>
      </c>
      <c r="H73" s="2">
        <v>0.0</v>
      </c>
      <c r="I73" s="2">
        <v>0.0</v>
      </c>
      <c r="J73" s="37">
        <v>0.0</v>
      </c>
      <c r="K73" s="2">
        <v>0.0</v>
      </c>
      <c r="L73" s="2">
        <v>0.0</v>
      </c>
      <c r="M73" s="37">
        <v>0.0</v>
      </c>
    </row>
    <row r="74" ht="14.25" customHeight="1">
      <c r="A74" t="s">
        <v>139</v>
      </c>
      <c r="B74" t="s">
        <v>61</v>
      </c>
      <c r="C74" t="s">
        <v>75</v>
      </c>
      <c r="D74" t="s">
        <v>63</v>
      </c>
      <c r="E74">
        <v>22.6</v>
      </c>
      <c r="F74">
        <v>24.5</v>
      </c>
      <c r="G74" s="2" t="s">
        <v>67</v>
      </c>
      <c r="H74" s="2">
        <v>128.0</v>
      </c>
      <c r="I74" s="2">
        <v>474.0</v>
      </c>
      <c r="J74" s="37">
        <v>3491.08</v>
      </c>
      <c r="K74" s="2">
        <v>150.0</v>
      </c>
      <c r="L74" s="2">
        <v>912.0</v>
      </c>
      <c r="M74" s="37">
        <v>4554.6</v>
      </c>
    </row>
    <row r="75" ht="14.25" customHeight="1">
      <c r="A75" t="s">
        <v>140</v>
      </c>
      <c r="B75" t="s">
        <v>61</v>
      </c>
      <c r="C75" t="s">
        <v>75</v>
      </c>
      <c r="D75" t="s">
        <v>63</v>
      </c>
      <c r="E75">
        <v>22.6</v>
      </c>
      <c r="F75">
        <v>24.5</v>
      </c>
      <c r="G75" s="2" t="s">
        <v>67</v>
      </c>
      <c r="H75" s="2">
        <v>128.0</v>
      </c>
      <c r="I75" s="2">
        <v>474.0</v>
      </c>
      <c r="J75" s="37">
        <v>3491.08</v>
      </c>
      <c r="K75" s="2">
        <v>150.0</v>
      </c>
      <c r="L75" s="2">
        <v>912.0</v>
      </c>
      <c r="M75" s="37">
        <v>4554.6</v>
      </c>
    </row>
    <row r="76" ht="14.25" customHeight="1">
      <c r="A76" t="s">
        <v>141</v>
      </c>
      <c r="B76" t="s">
        <v>61</v>
      </c>
      <c r="C76" t="s">
        <v>75</v>
      </c>
      <c r="D76" t="s">
        <v>63</v>
      </c>
      <c r="E76">
        <v>19.8</v>
      </c>
      <c r="F76">
        <v>22.0</v>
      </c>
      <c r="G76" s="2" t="s">
        <v>67</v>
      </c>
      <c r="H76" s="2">
        <v>112.0</v>
      </c>
      <c r="I76" s="2">
        <v>385.0</v>
      </c>
      <c r="J76" s="37">
        <v>3016.02</v>
      </c>
      <c r="K76" s="2">
        <v>132.0</v>
      </c>
      <c r="L76" s="2">
        <v>768.0</v>
      </c>
      <c r="M76" s="37">
        <v>3963.1200000000003</v>
      </c>
    </row>
    <row r="77" ht="14.25" customHeight="1">
      <c r="A77" t="s">
        <v>142</v>
      </c>
      <c r="B77" t="s">
        <v>61</v>
      </c>
      <c r="C77" t="s">
        <v>75</v>
      </c>
      <c r="D77" t="s">
        <v>63</v>
      </c>
      <c r="E77">
        <v>19.8</v>
      </c>
      <c r="F77">
        <v>22.0</v>
      </c>
      <c r="G77" s="2" t="s">
        <v>67</v>
      </c>
      <c r="H77" s="2">
        <v>112.0</v>
      </c>
      <c r="I77" s="2">
        <v>385.0</v>
      </c>
      <c r="J77" s="37">
        <v>3016.02</v>
      </c>
      <c r="K77" s="2">
        <v>132.0</v>
      </c>
      <c r="L77" s="2">
        <v>768.0</v>
      </c>
      <c r="M77" s="37">
        <v>3963.1200000000003</v>
      </c>
    </row>
    <row r="78" ht="14.25" customHeight="1">
      <c r="A78" t="s">
        <v>143</v>
      </c>
      <c r="B78" t="s">
        <v>61</v>
      </c>
      <c r="C78" t="s">
        <v>75</v>
      </c>
      <c r="D78" t="s">
        <v>63</v>
      </c>
      <c r="E78">
        <v>17.0</v>
      </c>
      <c r="F78">
        <v>19.29</v>
      </c>
      <c r="G78" s="2" t="s">
        <v>67</v>
      </c>
      <c r="H78" s="2">
        <v>99.0</v>
      </c>
      <c r="I78" s="2">
        <v>260.0</v>
      </c>
      <c r="J78" s="37">
        <v>2561.54</v>
      </c>
      <c r="K78" s="2">
        <v>116.0</v>
      </c>
      <c r="L78" s="2">
        <v>589.0</v>
      </c>
      <c r="M78" s="37">
        <v>3371.0600000000004</v>
      </c>
    </row>
    <row r="79" ht="14.25" customHeight="1">
      <c r="A79" t="s">
        <v>144</v>
      </c>
      <c r="B79" t="s">
        <v>61</v>
      </c>
      <c r="C79" t="s">
        <v>75</v>
      </c>
      <c r="D79" t="s">
        <v>63</v>
      </c>
      <c r="E79">
        <v>17.0</v>
      </c>
      <c r="F79">
        <v>19.29</v>
      </c>
      <c r="G79" s="2" t="s">
        <v>67</v>
      </c>
      <c r="H79" s="2">
        <v>99.0</v>
      </c>
      <c r="I79" s="2">
        <v>260.0</v>
      </c>
      <c r="J79" s="37">
        <v>2561.54</v>
      </c>
      <c r="K79" s="2">
        <v>116.0</v>
      </c>
      <c r="L79" s="2">
        <v>589.0</v>
      </c>
      <c r="M79" s="37">
        <v>3371.0600000000004</v>
      </c>
    </row>
    <row r="80" ht="14.25" customHeight="1">
      <c r="A80" t="s">
        <v>145</v>
      </c>
      <c r="B80" t="s">
        <v>61</v>
      </c>
      <c r="C80" t="s">
        <v>75</v>
      </c>
      <c r="D80" t="s">
        <v>63</v>
      </c>
      <c r="E80">
        <v>19.0</v>
      </c>
      <c r="F80">
        <v>19.0</v>
      </c>
      <c r="G80" s="2" t="s">
        <v>67</v>
      </c>
      <c r="H80" s="2">
        <v>99.0</v>
      </c>
      <c r="I80" s="2">
        <v>330.0</v>
      </c>
      <c r="J80" s="37">
        <v>2652.54</v>
      </c>
      <c r="K80" s="2">
        <v>116.0</v>
      </c>
      <c r="L80" s="2">
        <v>698.0</v>
      </c>
      <c r="M80" s="37">
        <v>3512.76</v>
      </c>
    </row>
    <row r="81" ht="14.25" customHeight="1">
      <c r="A81" t="s">
        <v>146</v>
      </c>
      <c r="B81" t="s">
        <v>61</v>
      </c>
      <c r="C81" t="s">
        <v>75</v>
      </c>
      <c r="D81" t="s">
        <v>63</v>
      </c>
      <c r="E81">
        <v>19.0</v>
      </c>
      <c r="F81">
        <v>19.0</v>
      </c>
      <c r="G81" s="2" t="s">
        <v>67</v>
      </c>
      <c r="H81" s="2">
        <v>99.0</v>
      </c>
      <c r="I81" s="2">
        <v>330.0</v>
      </c>
      <c r="J81" s="37">
        <v>2652.54</v>
      </c>
      <c r="K81" s="2">
        <v>116.0</v>
      </c>
      <c r="L81" s="2">
        <v>698.0</v>
      </c>
      <c r="M81" s="37">
        <v>3512.76</v>
      </c>
    </row>
    <row r="82" ht="14.25" customHeight="1">
      <c r="A82" t="s">
        <v>147</v>
      </c>
      <c r="B82" t="s">
        <v>61</v>
      </c>
      <c r="C82" t="s">
        <v>75</v>
      </c>
      <c r="D82" t="s">
        <v>63</v>
      </c>
      <c r="E82">
        <v>13.0</v>
      </c>
      <c r="F82">
        <v>12.85</v>
      </c>
      <c r="G82" s="2" t="s">
        <v>67</v>
      </c>
      <c r="H82" s="2">
        <v>66.0</v>
      </c>
      <c r="I82" s="2">
        <v>235.0</v>
      </c>
      <c r="J82" s="37">
        <v>1787.8600000000001</v>
      </c>
      <c r="K82" s="2">
        <v>77.0</v>
      </c>
      <c r="L82" s="2">
        <v>487.0</v>
      </c>
      <c r="M82" s="37">
        <v>2362.52</v>
      </c>
    </row>
    <row r="83" ht="14.25" customHeight="1">
      <c r="A83" t="s">
        <v>148</v>
      </c>
      <c r="B83" t="s">
        <v>61</v>
      </c>
      <c r="C83" t="s">
        <v>75</v>
      </c>
      <c r="D83" t="s">
        <v>63</v>
      </c>
      <c r="E83">
        <v>13.0</v>
      </c>
      <c r="F83">
        <v>12.85</v>
      </c>
      <c r="G83" s="2" t="s">
        <v>67</v>
      </c>
      <c r="H83" s="2">
        <v>66.0</v>
      </c>
      <c r="I83" s="2">
        <v>235.0</v>
      </c>
      <c r="J83" s="37">
        <v>1787.8600000000001</v>
      </c>
      <c r="K83" s="2">
        <v>77.0</v>
      </c>
      <c r="L83" s="2">
        <v>487.0</v>
      </c>
      <c r="M83" s="37">
        <v>2362.52</v>
      </c>
    </row>
    <row r="84" ht="14.25" customHeight="1">
      <c r="A84" t="s">
        <v>149</v>
      </c>
      <c r="B84" t="s">
        <v>61</v>
      </c>
      <c r="C84" t="s">
        <v>75</v>
      </c>
      <c r="D84" t="s">
        <v>63</v>
      </c>
      <c r="E84">
        <v>13.0</v>
      </c>
      <c r="F84">
        <v>12.85</v>
      </c>
      <c r="G84" s="2" t="s">
        <v>67</v>
      </c>
      <c r="H84" s="2">
        <v>66.0</v>
      </c>
      <c r="I84" s="2">
        <v>196.0</v>
      </c>
      <c r="J84" s="37">
        <v>1737.16</v>
      </c>
      <c r="K84" s="2">
        <v>77.0</v>
      </c>
      <c r="L84" s="2">
        <v>448.0</v>
      </c>
      <c r="M84" s="37">
        <v>2311.82</v>
      </c>
    </row>
    <row r="85" ht="14.25" customHeight="1">
      <c r="A85" t="s">
        <v>150</v>
      </c>
      <c r="B85" t="s">
        <v>61</v>
      </c>
      <c r="C85" t="s">
        <v>75</v>
      </c>
      <c r="D85" t="s">
        <v>63</v>
      </c>
      <c r="E85">
        <v>13.0</v>
      </c>
      <c r="F85">
        <v>12.85</v>
      </c>
      <c r="G85" s="2" t="s">
        <v>67</v>
      </c>
      <c r="H85" s="2">
        <v>66.0</v>
      </c>
      <c r="I85" s="2">
        <v>196.0</v>
      </c>
      <c r="J85" s="37">
        <v>1737.16</v>
      </c>
      <c r="K85" s="2">
        <v>77.0</v>
      </c>
      <c r="L85" s="2">
        <v>448.0</v>
      </c>
      <c r="M85" s="37">
        <v>2311.82</v>
      </c>
    </row>
    <row r="86" ht="14.25" customHeight="1">
      <c r="A86" t="s">
        <v>151</v>
      </c>
      <c r="B86" t="s">
        <v>61</v>
      </c>
      <c r="C86" t="s">
        <v>75</v>
      </c>
      <c r="D86" t="s">
        <v>63</v>
      </c>
      <c r="E86">
        <v>14.8</v>
      </c>
      <c r="F86">
        <v>15.0</v>
      </c>
      <c r="G86" s="2" t="s">
        <v>67</v>
      </c>
      <c r="H86" s="2">
        <v>77.0</v>
      </c>
      <c r="I86" s="2">
        <v>174.0</v>
      </c>
      <c r="J86" s="37">
        <v>1955.6200000000001</v>
      </c>
      <c r="K86" s="2">
        <v>91.0</v>
      </c>
      <c r="L86" s="2">
        <v>461.0</v>
      </c>
      <c r="M86" s="37">
        <v>2643.1600000000003</v>
      </c>
    </row>
    <row r="87" ht="14.25" customHeight="1">
      <c r="A87" t="s">
        <v>152</v>
      </c>
      <c r="B87" t="s">
        <v>61</v>
      </c>
      <c r="C87" t="s">
        <v>75</v>
      </c>
      <c r="D87" t="s">
        <v>63</v>
      </c>
      <c r="E87">
        <v>14.8</v>
      </c>
      <c r="F87">
        <v>15.0</v>
      </c>
      <c r="G87" s="2" t="s">
        <v>67</v>
      </c>
      <c r="H87" s="2">
        <v>77.0</v>
      </c>
      <c r="I87" s="2">
        <v>174.0</v>
      </c>
      <c r="J87" s="37">
        <v>1955.6200000000001</v>
      </c>
      <c r="K87" s="2">
        <v>91.0</v>
      </c>
      <c r="L87" s="2">
        <v>461.0</v>
      </c>
      <c r="M87" s="37">
        <v>2643.1600000000003</v>
      </c>
    </row>
    <row r="88" ht="14.25" customHeight="1">
      <c r="A88" t="s">
        <v>153</v>
      </c>
      <c r="B88" t="s">
        <v>61</v>
      </c>
      <c r="C88" t="s">
        <v>75</v>
      </c>
      <c r="D88" t="s">
        <v>63</v>
      </c>
      <c r="E88">
        <v>14.8</v>
      </c>
      <c r="F88">
        <v>15.0</v>
      </c>
      <c r="G88" s="2" t="s">
        <v>67</v>
      </c>
      <c r="H88" s="2">
        <v>78.0</v>
      </c>
      <c r="I88" s="2">
        <v>251.0</v>
      </c>
      <c r="J88" s="37">
        <v>2078.1800000000003</v>
      </c>
      <c r="K88" s="2">
        <v>92.0</v>
      </c>
      <c r="L88" s="2">
        <v>538.0</v>
      </c>
      <c r="M88" s="37">
        <v>2765.7200000000003</v>
      </c>
    </row>
    <row r="89" ht="14.25" customHeight="1">
      <c r="A89" t="s">
        <v>154</v>
      </c>
      <c r="B89" t="s">
        <v>61</v>
      </c>
      <c r="C89" t="s">
        <v>75</v>
      </c>
      <c r="D89" t="s">
        <v>63</v>
      </c>
      <c r="E89">
        <v>14.8</v>
      </c>
      <c r="F89">
        <v>15.0</v>
      </c>
      <c r="G89" s="2" t="s">
        <v>67</v>
      </c>
      <c r="H89" s="2">
        <v>78.0</v>
      </c>
      <c r="I89" s="2">
        <v>251.0</v>
      </c>
      <c r="J89" s="37">
        <v>2078.1800000000003</v>
      </c>
      <c r="K89" s="2">
        <v>92.0</v>
      </c>
      <c r="L89" s="2">
        <v>538.0</v>
      </c>
      <c r="M89" s="37">
        <v>2765.7200000000003</v>
      </c>
    </row>
    <row r="90" ht="14.25" customHeight="1">
      <c r="A90" t="s">
        <v>155</v>
      </c>
      <c r="B90" t="s">
        <v>61</v>
      </c>
      <c r="C90" t="s">
        <v>75</v>
      </c>
      <c r="D90" t="s">
        <v>63</v>
      </c>
      <c r="E90">
        <v>17.0</v>
      </c>
      <c r="F90">
        <v>17.2</v>
      </c>
      <c r="G90" s="2" t="s">
        <v>67</v>
      </c>
      <c r="H90" s="2">
        <v>89.0</v>
      </c>
      <c r="I90" s="2">
        <v>215.0</v>
      </c>
      <c r="J90" s="37">
        <v>2278.44</v>
      </c>
      <c r="K90" s="2">
        <v>104.0</v>
      </c>
      <c r="L90" s="2">
        <v>544.0</v>
      </c>
      <c r="M90" s="37">
        <v>3043.04</v>
      </c>
    </row>
    <row r="91" ht="14.25" customHeight="1">
      <c r="A91" t="s">
        <v>156</v>
      </c>
      <c r="B91" t="s">
        <v>61</v>
      </c>
      <c r="C91" t="s">
        <v>75</v>
      </c>
      <c r="D91" t="s">
        <v>63</v>
      </c>
      <c r="E91">
        <v>17.0</v>
      </c>
      <c r="F91">
        <v>17.2</v>
      </c>
      <c r="G91" s="2" t="s">
        <v>67</v>
      </c>
      <c r="H91" s="2">
        <v>89.0</v>
      </c>
      <c r="I91" s="2">
        <v>215.0</v>
      </c>
      <c r="J91" s="37">
        <v>2278.44</v>
      </c>
      <c r="K91" s="2">
        <v>104.0</v>
      </c>
      <c r="L91" s="2">
        <v>544.0</v>
      </c>
      <c r="M91" s="37">
        <v>3043.04</v>
      </c>
    </row>
    <row r="92" ht="14.25" customHeight="1">
      <c r="A92" t="s">
        <v>157</v>
      </c>
      <c r="B92" t="s">
        <v>61</v>
      </c>
      <c r="C92" t="s">
        <v>75</v>
      </c>
      <c r="D92" t="s">
        <v>63</v>
      </c>
      <c r="E92">
        <v>17.0</v>
      </c>
      <c r="F92">
        <v>17.2</v>
      </c>
      <c r="G92" s="2" t="s">
        <v>67</v>
      </c>
      <c r="H92" s="2">
        <v>92.0</v>
      </c>
      <c r="I92" s="2">
        <v>240.0</v>
      </c>
      <c r="J92" s="37">
        <v>2378.32</v>
      </c>
      <c r="K92" s="2">
        <v>107.0</v>
      </c>
      <c r="L92" s="2">
        <v>569.0</v>
      </c>
      <c r="M92" s="37">
        <v>3142.92</v>
      </c>
    </row>
    <row r="93" ht="14.25" customHeight="1">
      <c r="A93" t="s">
        <v>158</v>
      </c>
      <c r="B93" t="s">
        <v>61</v>
      </c>
      <c r="C93" t="s">
        <v>75</v>
      </c>
      <c r="D93" t="s">
        <v>63</v>
      </c>
      <c r="E93">
        <v>17.0</v>
      </c>
      <c r="F93">
        <v>17.2</v>
      </c>
      <c r="G93" s="2" t="s">
        <v>67</v>
      </c>
      <c r="H93" s="2">
        <v>92.0</v>
      </c>
      <c r="I93" s="2">
        <v>240.0</v>
      </c>
      <c r="J93" s="37">
        <v>2378.32</v>
      </c>
      <c r="K93" s="2">
        <v>107.0</v>
      </c>
      <c r="L93" s="2">
        <v>569.0</v>
      </c>
      <c r="M93" s="37">
        <v>3142.92</v>
      </c>
    </row>
    <row r="94" ht="14.25" customHeight="1">
      <c r="A94" t="s">
        <v>159</v>
      </c>
      <c r="B94" t="s">
        <v>61</v>
      </c>
      <c r="C94" t="s">
        <v>75</v>
      </c>
      <c r="D94" t="s">
        <v>82</v>
      </c>
      <c r="E94">
        <v>20.8218</v>
      </c>
      <c r="F94">
        <v>23.36854</v>
      </c>
      <c r="G94" s="2" t="s">
        <v>64</v>
      </c>
      <c r="H94" s="2">
        <v>0.0</v>
      </c>
      <c r="I94" s="2">
        <v>0.0</v>
      </c>
      <c r="J94" s="37">
        <v>0.0</v>
      </c>
      <c r="K94" s="2">
        <v>0.0</v>
      </c>
      <c r="L94" s="2">
        <v>0.0</v>
      </c>
      <c r="M94" s="37">
        <v>0.0</v>
      </c>
    </row>
    <row r="95" ht="14.25" customHeight="1">
      <c r="A95" t="s">
        <v>160</v>
      </c>
      <c r="B95" t="s">
        <v>61</v>
      </c>
      <c r="C95" t="s">
        <v>75</v>
      </c>
      <c r="D95" t="s">
        <v>82</v>
      </c>
      <c r="E95">
        <v>19.11729</v>
      </c>
      <c r="F95">
        <v>20.12489</v>
      </c>
      <c r="G95" s="2" t="s">
        <v>64</v>
      </c>
      <c r="H95" s="2">
        <v>0.0</v>
      </c>
      <c r="I95" s="2">
        <v>0.0</v>
      </c>
      <c r="J95" s="37">
        <v>0.0</v>
      </c>
      <c r="K95" s="2">
        <v>0.0</v>
      </c>
      <c r="L95" s="2">
        <v>0.0</v>
      </c>
      <c r="M95" s="37">
        <v>0.0</v>
      </c>
    </row>
    <row r="96" ht="14.25" customHeight="1">
      <c r="A96" t="s">
        <v>161</v>
      </c>
      <c r="B96" t="s">
        <v>61</v>
      </c>
      <c r="C96" t="s">
        <v>75</v>
      </c>
      <c r="D96" t="s">
        <v>63</v>
      </c>
      <c r="E96">
        <v>21.5</v>
      </c>
      <c r="F96">
        <v>23.0</v>
      </c>
      <c r="G96" s="2" t="s">
        <v>67</v>
      </c>
      <c r="H96" s="2">
        <v>116.0</v>
      </c>
      <c r="I96" s="2">
        <v>468.0</v>
      </c>
      <c r="J96" s="37">
        <v>3213.76</v>
      </c>
      <c r="K96" s="2">
        <v>136.0</v>
      </c>
      <c r="L96" s="2">
        <v>885.0</v>
      </c>
      <c r="M96" s="37">
        <v>4205.0599999999995</v>
      </c>
    </row>
    <row r="97" ht="14.25" customHeight="1">
      <c r="A97" t="s">
        <v>162</v>
      </c>
      <c r="B97" t="s">
        <v>61</v>
      </c>
      <c r="C97" t="s">
        <v>75</v>
      </c>
      <c r="D97" t="s">
        <v>63</v>
      </c>
      <c r="E97">
        <v>21.5</v>
      </c>
      <c r="F97">
        <v>23.0</v>
      </c>
      <c r="G97" s="2" t="s">
        <v>67</v>
      </c>
      <c r="H97" s="2">
        <v>116.0</v>
      </c>
      <c r="I97" s="2">
        <v>468.0</v>
      </c>
      <c r="J97" s="37">
        <v>3213.76</v>
      </c>
      <c r="K97" s="2">
        <v>136.0</v>
      </c>
      <c r="L97" s="2">
        <v>885.0</v>
      </c>
      <c r="M97" s="37">
        <v>4205.0599999999995</v>
      </c>
    </row>
    <row r="98" ht="14.25" customHeight="1">
      <c r="A98" t="s">
        <v>163</v>
      </c>
      <c r="B98" t="s">
        <v>61</v>
      </c>
      <c r="C98" t="s">
        <v>75</v>
      </c>
      <c r="D98" t="s">
        <v>63</v>
      </c>
      <c r="E98">
        <v>19.0</v>
      </c>
      <c r="F98">
        <v>20.0</v>
      </c>
      <c r="G98" s="2" t="s">
        <v>67</v>
      </c>
      <c r="H98" s="2">
        <v>101.0</v>
      </c>
      <c r="I98" s="2">
        <v>240.0</v>
      </c>
      <c r="J98" s="37">
        <v>2580.46</v>
      </c>
      <c r="K98" s="2">
        <v>119.0</v>
      </c>
      <c r="L98" s="2">
        <v>608.0</v>
      </c>
      <c r="M98" s="37">
        <v>3463.1400000000003</v>
      </c>
    </row>
    <row r="99" ht="14.25" customHeight="1">
      <c r="A99" t="s">
        <v>164</v>
      </c>
      <c r="B99" t="s">
        <v>61</v>
      </c>
      <c r="C99" t="s">
        <v>75</v>
      </c>
      <c r="D99" t="s">
        <v>63</v>
      </c>
      <c r="E99">
        <v>19.0</v>
      </c>
      <c r="F99">
        <v>20.0</v>
      </c>
      <c r="G99" s="2" t="s">
        <v>67</v>
      </c>
      <c r="H99" s="2">
        <v>101.0</v>
      </c>
      <c r="I99" s="2">
        <v>240.0</v>
      </c>
      <c r="J99" s="37">
        <v>2580.46</v>
      </c>
      <c r="K99" s="2">
        <v>119.0</v>
      </c>
      <c r="L99" s="2">
        <v>608.0</v>
      </c>
      <c r="M99" s="37">
        <v>3463.1400000000003</v>
      </c>
    </row>
    <row r="100" ht="14.25" customHeight="1">
      <c r="A100" t="s">
        <v>165</v>
      </c>
      <c r="B100" t="s">
        <v>61</v>
      </c>
      <c r="C100" t="s">
        <v>75</v>
      </c>
      <c r="D100" t="s">
        <v>63</v>
      </c>
      <c r="E100">
        <v>25.0</v>
      </c>
      <c r="F100">
        <v>26.0</v>
      </c>
      <c r="G100" s="2" t="s">
        <v>67</v>
      </c>
      <c r="H100" s="2">
        <v>137.0</v>
      </c>
      <c r="I100" s="2">
        <v>447.0</v>
      </c>
      <c r="J100" s="37">
        <v>3658.12</v>
      </c>
      <c r="K100" s="2">
        <v>160.0</v>
      </c>
      <c r="L100" s="2">
        <v>931.0</v>
      </c>
      <c r="M100" s="37">
        <v>4803.900000000001</v>
      </c>
    </row>
    <row r="101" ht="14.25" customHeight="1">
      <c r="A101" t="s">
        <v>166</v>
      </c>
      <c r="B101" t="s">
        <v>61</v>
      </c>
      <c r="C101" t="s">
        <v>75</v>
      </c>
      <c r="D101" t="s">
        <v>63</v>
      </c>
      <c r="E101">
        <v>25.0</v>
      </c>
      <c r="F101">
        <v>26.0</v>
      </c>
      <c r="G101" s="2" t="s">
        <v>67</v>
      </c>
      <c r="H101" s="2">
        <v>137.0</v>
      </c>
      <c r="I101" s="2">
        <v>447.0</v>
      </c>
      <c r="J101" s="37">
        <v>3658.12</v>
      </c>
      <c r="K101" s="2">
        <v>160.0</v>
      </c>
      <c r="L101" s="2">
        <v>931.0</v>
      </c>
      <c r="M101" s="37">
        <v>4803.900000000001</v>
      </c>
    </row>
    <row r="102" ht="14.25" customHeight="1">
      <c r="A102" t="s">
        <v>167</v>
      </c>
      <c r="B102" t="s">
        <v>61</v>
      </c>
      <c r="C102" t="s">
        <v>75</v>
      </c>
      <c r="D102" t="s">
        <v>82</v>
      </c>
      <c r="E102">
        <v>17.0</v>
      </c>
      <c r="F102">
        <v>17.6</v>
      </c>
      <c r="G102" s="2" t="s">
        <v>67</v>
      </c>
      <c r="H102" s="2">
        <v>87.0</v>
      </c>
      <c r="I102" s="2">
        <v>275.0</v>
      </c>
      <c r="J102" s="37">
        <v>2311.52</v>
      </c>
      <c r="K102" s="2">
        <v>103.0</v>
      </c>
      <c r="L102" s="2">
        <v>605.0</v>
      </c>
      <c r="M102" s="37">
        <v>3099.88</v>
      </c>
    </row>
    <row r="103" ht="14.25" customHeight="1">
      <c r="A103" t="s">
        <v>168</v>
      </c>
      <c r="B103" t="s">
        <v>61</v>
      </c>
      <c r="C103" t="s">
        <v>75</v>
      </c>
      <c r="D103" t="s">
        <v>63</v>
      </c>
      <c r="E103">
        <v>22.0</v>
      </c>
      <c r="F103">
        <v>23.0</v>
      </c>
      <c r="G103" s="2" t="s">
        <v>67</v>
      </c>
      <c r="H103" s="2">
        <v>122.0</v>
      </c>
      <c r="I103" s="2">
        <v>272.0</v>
      </c>
      <c r="J103" s="37">
        <v>3093.72</v>
      </c>
      <c r="K103" s="2">
        <v>143.0</v>
      </c>
      <c r="L103" s="2">
        <v>699.0</v>
      </c>
      <c r="M103" s="37">
        <v>4120.4800000000005</v>
      </c>
    </row>
    <row r="104" ht="14.25" customHeight="1">
      <c r="A104" t="s">
        <v>169</v>
      </c>
      <c r="B104" t="s">
        <v>61</v>
      </c>
      <c r="C104" t="s">
        <v>75</v>
      </c>
      <c r="D104" t="s">
        <v>63</v>
      </c>
      <c r="E104">
        <v>22.0</v>
      </c>
      <c r="F104">
        <v>23.0</v>
      </c>
      <c r="G104" s="2" t="s">
        <v>67</v>
      </c>
      <c r="H104" s="2">
        <v>122.0</v>
      </c>
      <c r="I104" s="2">
        <v>272.0</v>
      </c>
      <c r="J104" s="37">
        <v>3093.72</v>
      </c>
      <c r="K104" s="2">
        <v>143.0</v>
      </c>
      <c r="L104" s="2">
        <v>699.0</v>
      </c>
      <c r="M104" s="37">
        <v>4120.4800000000005</v>
      </c>
    </row>
    <row r="105" ht="14.25" customHeight="1">
      <c r="A105" t="s">
        <v>170</v>
      </c>
      <c r="B105" t="s">
        <v>61</v>
      </c>
      <c r="C105" t="s">
        <v>75</v>
      </c>
      <c r="D105" t="s">
        <v>63</v>
      </c>
      <c r="E105">
        <v>7.3</v>
      </c>
      <c r="F105">
        <v>7.5</v>
      </c>
      <c r="G105" s="2" t="s">
        <v>67</v>
      </c>
      <c r="H105" s="2">
        <v>46.0</v>
      </c>
      <c r="I105" s="2">
        <v>121.0</v>
      </c>
      <c r="J105" s="37">
        <v>1190.46</v>
      </c>
      <c r="K105" s="2">
        <v>52.0</v>
      </c>
      <c r="L105" s="2">
        <v>262.0</v>
      </c>
      <c r="M105" s="37">
        <v>1508.52</v>
      </c>
    </row>
    <row r="106" ht="14.25" customHeight="1">
      <c r="A106" t="s">
        <v>171</v>
      </c>
      <c r="B106" t="s">
        <v>61</v>
      </c>
      <c r="C106" t="s">
        <v>75</v>
      </c>
      <c r="D106" t="s">
        <v>63</v>
      </c>
      <c r="E106">
        <v>10.2</v>
      </c>
      <c r="F106">
        <v>12.0</v>
      </c>
      <c r="G106" s="2" t="s">
        <v>67</v>
      </c>
      <c r="H106" s="2">
        <v>67.0</v>
      </c>
      <c r="I106" s="2">
        <v>134.0</v>
      </c>
      <c r="J106" s="37">
        <v>1679.0200000000002</v>
      </c>
      <c r="K106" s="2">
        <v>78.0</v>
      </c>
      <c r="L106" s="2">
        <v>332.0</v>
      </c>
      <c r="M106" s="37">
        <v>2183.48</v>
      </c>
    </row>
    <row r="107" ht="14.25" customHeight="1">
      <c r="A107" t="s">
        <v>172</v>
      </c>
      <c r="B107" t="s">
        <v>61</v>
      </c>
      <c r="C107" t="s">
        <v>75</v>
      </c>
      <c r="D107" t="s">
        <v>63</v>
      </c>
      <c r="E107">
        <v>17.0</v>
      </c>
      <c r="F107">
        <v>18.0</v>
      </c>
      <c r="G107" s="2" t="s">
        <v>67</v>
      </c>
      <c r="H107" s="2">
        <v>102.0</v>
      </c>
      <c r="I107" s="2">
        <v>215.0</v>
      </c>
      <c r="J107" s="37">
        <v>2570.42</v>
      </c>
      <c r="K107" s="2">
        <v>118.0</v>
      </c>
      <c r="L107" s="2">
        <v>544.0</v>
      </c>
      <c r="M107" s="37">
        <v>3357.4800000000005</v>
      </c>
    </row>
    <row r="108" ht="14.25" customHeight="1">
      <c r="A108" t="s">
        <v>173</v>
      </c>
      <c r="B108" t="s">
        <v>61</v>
      </c>
      <c r="C108" t="s">
        <v>75</v>
      </c>
      <c r="D108" t="s">
        <v>63</v>
      </c>
      <c r="E108">
        <v>12.6</v>
      </c>
      <c r="F108">
        <v>14.5</v>
      </c>
      <c r="G108" s="2" t="s">
        <v>67</v>
      </c>
      <c r="H108" s="2">
        <v>87.0</v>
      </c>
      <c r="I108" s="2">
        <v>167.0</v>
      </c>
      <c r="J108" s="37">
        <v>2171.12</v>
      </c>
      <c r="K108" s="2">
        <v>100.0</v>
      </c>
      <c r="L108" s="2">
        <v>412.0</v>
      </c>
      <c r="M108" s="37">
        <v>2781.6</v>
      </c>
    </row>
    <row r="109" ht="14.25" customHeight="1">
      <c r="A109" t="s">
        <v>174</v>
      </c>
      <c r="B109" t="s">
        <v>61</v>
      </c>
      <c r="C109" t="s">
        <v>75</v>
      </c>
      <c r="D109" t="s">
        <v>63</v>
      </c>
      <c r="E109">
        <v>14.0</v>
      </c>
      <c r="F109">
        <v>15.5</v>
      </c>
      <c r="G109" s="2" t="s">
        <v>67</v>
      </c>
      <c r="H109" s="2">
        <v>93.0</v>
      </c>
      <c r="I109" s="2">
        <v>216.0</v>
      </c>
      <c r="J109" s="37">
        <v>2369.5800000000004</v>
      </c>
      <c r="K109" s="2">
        <v>107.0</v>
      </c>
      <c r="L109" s="2">
        <v>487.0</v>
      </c>
      <c r="M109" s="37">
        <v>3036.32</v>
      </c>
    </row>
    <row r="110" ht="14.25" customHeight="1">
      <c r="A110" t="s">
        <v>175</v>
      </c>
      <c r="B110" t="s">
        <v>61</v>
      </c>
      <c r="C110" t="s">
        <v>62</v>
      </c>
      <c r="D110" t="s">
        <v>63</v>
      </c>
      <c r="E110">
        <v>2.63</v>
      </c>
      <c r="F110">
        <v>2.7</v>
      </c>
      <c r="G110" s="2" t="s">
        <v>67</v>
      </c>
      <c r="H110" s="2">
        <v>15.0</v>
      </c>
      <c r="I110" s="2">
        <v>129.0</v>
      </c>
      <c r="J110" s="37">
        <v>504.6</v>
      </c>
      <c r="K110" s="2">
        <v>17.0</v>
      </c>
      <c r="L110" s="2">
        <v>169.0</v>
      </c>
      <c r="M110" s="37">
        <v>601.52</v>
      </c>
    </row>
    <row r="111" ht="14.25" customHeight="1">
      <c r="A111" t="s">
        <v>176</v>
      </c>
      <c r="B111" t="s">
        <v>61</v>
      </c>
      <c r="C111" t="s">
        <v>62</v>
      </c>
      <c r="D111" t="s">
        <v>63</v>
      </c>
      <c r="E111">
        <v>3.5</v>
      </c>
      <c r="F111">
        <v>3.9</v>
      </c>
      <c r="G111" s="2" t="s">
        <v>67</v>
      </c>
      <c r="H111" s="2">
        <v>20.0</v>
      </c>
      <c r="I111" s="2">
        <v>115.0</v>
      </c>
      <c r="J111" s="37">
        <v>598.7</v>
      </c>
      <c r="K111" s="2">
        <v>23.0</v>
      </c>
      <c r="L111" s="2">
        <v>168.0</v>
      </c>
      <c r="M111" s="37">
        <v>734.98</v>
      </c>
    </row>
    <row r="112" ht="14.25" customHeight="1">
      <c r="A112" t="s">
        <v>177</v>
      </c>
      <c r="B112" t="s">
        <v>61</v>
      </c>
      <c r="C112" t="s">
        <v>62</v>
      </c>
      <c r="D112" t="s">
        <v>63</v>
      </c>
      <c r="E112">
        <v>5.05</v>
      </c>
      <c r="F112">
        <v>6.0</v>
      </c>
      <c r="G112" s="2" t="s">
        <v>67</v>
      </c>
      <c r="H112" s="2">
        <v>34.0</v>
      </c>
      <c r="I112" s="2">
        <v>223.0</v>
      </c>
      <c r="J112" s="37">
        <v>1053.54</v>
      </c>
      <c r="K112" s="2">
        <v>39.0</v>
      </c>
      <c r="L112" s="2">
        <v>310.0</v>
      </c>
      <c r="M112" s="37">
        <v>1278.94</v>
      </c>
    </row>
    <row r="113" ht="14.25" customHeight="1">
      <c r="A113" t="s">
        <v>178</v>
      </c>
      <c r="B113" t="s">
        <v>61</v>
      </c>
      <c r="C113" t="s">
        <v>62</v>
      </c>
      <c r="D113" t="s">
        <v>63</v>
      </c>
      <c r="E113">
        <v>6.0</v>
      </c>
      <c r="F113">
        <v>6.6</v>
      </c>
      <c r="G113" s="2" t="s">
        <v>67</v>
      </c>
      <c r="H113" s="2">
        <v>36.0</v>
      </c>
      <c r="I113" s="2">
        <v>161.0</v>
      </c>
      <c r="J113" s="37">
        <v>1017.8600000000001</v>
      </c>
      <c r="K113" s="2">
        <v>42.0</v>
      </c>
      <c r="L113" s="2">
        <v>265.0</v>
      </c>
      <c r="M113" s="37">
        <v>1287.8200000000002</v>
      </c>
    </row>
    <row r="114" ht="14.25" customHeight="1">
      <c r="A114" t="s">
        <v>179</v>
      </c>
      <c r="B114" t="s">
        <v>61</v>
      </c>
      <c r="C114" t="s">
        <v>62</v>
      </c>
      <c r="D114" t="s">
        <v>63</v>
      </c>
      <c r="E114">
        <v>7.2</v>
      </c>
      <c r="F114">
        <v>8.2</v>
      </c>
      <c r="G114" s="2" t="s">
        <v>67</v>
      </c>
      <c r="H114" s="2">
        <v>46.0</v>
      </c>
      <c r="I114" s="2">
        <v>135.0</v>
      </c>
      <c r="J114" s="37">
        <v>1208.66</v>
      </c>
      <c r="K114" s="2">
        <v>52.0</v>
      </c>
      <c r="L114" s="2">
        <v>259.0</v>
      </c>
      <c r="M114" s="37">
        <v>1504.6200000000001</v>
      </c>
    </row>
    <row r="115" ht="14.25" customHeight="1">
      <c r="A115" t="s">
        <v>180</v>
      </c>
      <c r="B115" t="s">
        <v>61</v>
      </c>
      <c r="C115" t="s">
        <v>62</v>
      </c>
      <c r="D115" t="s">
        <v>63</v>
      </c>
      <c r="E115">
        <v>8.0</v>
      </c>
      <c r="F115">
        <v>9.0</v>
      </c>
      <c r="G115" s="2" t="s">
        <v>67</v>
      </c>
      <c r="H115" s="2">
        <v>48.0</v>
      </c>
      <c r="I115" s="2">
        <v>61.0</v>
      </c>
      <c r="J115" s="37">
        <v>1157.3799999999999</v>
      </c>
      <c r="K115" s="2">
        <v>55.0</v>
      </c>
      <c r="L115" s="2">
        <v>199.0</v>
      </c>
      <c r="M115" s="37">
        <v>1494.0</v>
      </c>
    </row>
    <row r="116" ht="14.25" customHeight="1">
      <c r="A116" t="s">
        <v>181</v>
      </c>
      <c r="B116" t="s">
        <v>61</v>
      </c>
      <c r="C116" t="s">
        <v>62</v>
      </c>
      <c r="D116" t="s">
        <v>63</v>
      </c>
      <c r="E116">
        <v>9.0</v>
      </c>
      <c r="F116">
        <v>9.8</v>
      </c>
      <c r="G116" s="2" t="s">
        <v>67</v>
      </c>
      <c r="H116" s="2">
        <v>51.0</v>
      </c>
      <c r="I116" s="2">
        <v>137.0</v>
      </c>
      <c r="J116" s="37">
        <v>1323.56</v>
      </c>
      <c r="K116" s="2">
        <v>59.0</v>
      </c>
      <c r="L116" s="2">
        <v>292.0</v>
      </c>
      <c r="M116" s="37">
        <v>1704.7400000000002</v>
      </c>
    </row>
    <row r="117" ht="14.25" customHeight="1">
      <c r="A117" t="s">
        <v>182</v>
      </c>
      <c r="B117" t="s">
        <v>61</v>
      </c>
      <c r="C117" t="s">
        <v>62</v>
      </c>
      <c r="D117" t="s">
        <v>63</v>
      </c>
      <c r="E117">
        <v>10.0</v>
      </c>
      <c r="F117">
        <v>10.5</v>
      </c>
      <c r="G117" s="2" t="s">
        <v>67</v>
      </c>
      <c r="H117" s="2">
        <v>62.0</v>
      </c>
      <c r="I117" s="2">
        <v>104.0</v>
      </c>
      <c r="J117" s="37">
        <v>1527.72</v>
      </c>
      <c r="K117" s="2">
        <v>71.0</v>
      </c>
      <c r="L117" s="2">
        <v>297.0</v>
      </c>
      <c r="M117" s="37">
        <v>1980.7600000000002</v>
      </c>
    </row>
    <row r="118" ht="14.25" customHeight="1">
      <c r="A118" t="s">
        <v>183</v>
      </c>
      <c r="B118" t="s">
        <v>61</v>
      </c>
      <c r="C118" t="s">
        <v>62</v>
      </c>
      <c r="D118" t="s">
        <v>63</v>
      </c>
      <c r="E118">
        <v>12.9</v>
      </c>
      <c r="F118">
        <v>13.3</v>
      </c>
      <c r="G118" s="2" t="s">
        <v>67</v>
      </c>
      <c r="H118" s="2">
        <v>79.0</v>
      </c>
      <c r="I118" s="2">
        <v>253.0</v>
      </c>
      <c r="J118" s="37">
        <v>2103.2400000000002</v>
      </c>
      <c r="K118" s="2">
        <v>91.0</v>
      </c>
      <c r="L118" s="2">
        <v>502.0</v>
      </c>
      <c r="M118" s="37">
        <v>2696.46</v>
      </c>
    </row>
    <row r="119" ht="14.25" customHeight="1">
      <c r="A119" t="s">
        <v>184</v>
      </c>
      <c r="B119" t="s">
        <v>61</v>
      </c>
      <c r="C119" t="s">
        <v>62</v>
      </c>
      <c r="D119" t="s">
        <v>63</v>
      </c>
      <c r="E119">
        <v>14.1</v>
      </c>
      <c r="F119">
        <v>14.5</v>
      </c>
      <c r="G119" s="2" t="s">
        <v>67</v>
      </c>
      <c r="H119" s="2">
        <v>84.0</v>
      </c>
      <c r="I119" s="2">
        <v>170.0</v>
      </c>
      <c r="J119" s="37">
        <v>2107.6400000000003</v>
      </c>
      <c r="K119" s="2">
        <v>98.0</v>
      </c>
      <c r="L119" s="2">
        <v>443.0</v>
      </c>
      <c r="M119" s="37">
        <v>2776.98</v>
      </c>
    </row>
    <row r="120" ht="14.25" customHeight="1">
      <c r="A120" t="s">
        <v>185</v>
      </c>
      <c r="B120" t="s">
        <v>61</v>
      </c>
      <c r="C120" t="s">
        <v>75</v>
      </c>
      <c r="D120" t="s">
        <v>82</v>
      </c>
      <c r="E120">
        <v>14.8</v>
      </c>
      <c r="F120">
        <v>15.0</v>
      </c>
      <c r="G120" s="2" t="s">
        <v>67</v>
      </c>
      <c r="H120" s="2">
        <v>76.0</v>
      </c>
      <c r="I120" s="2">
        <v>195.0</v>
      </c>
      <c r="J120" s="37">
        <v>1960.46</v>
      </c>
      <c r="K120" s="2">
        <v>90.0</v>
      </c>
      <c r="L120" s="2">
        <v>482.0</v>
      </c>
      <c r="M120" s="37">
        <v>2648.0</v>
      </c>
    </row>
    <row r="121" ht="14.25" customHeight="1">
      <c r="A121" t="s">
        <v>186</v>
      </c>
      <c r="B121" t="s">
        <v>61</v>
      </c>
      <c r="C121" t="s">
        <v>62</v>
      </c>
      <c r="D121" t="s">
        <v>63</v>
      </c>
      <c r="E121">
        <v>2.65</v>
      </c>
      <c r="F121">
        <v>2.75</v>
      </c>
      <c r="G121" s="2" t="s">
        <v>67</v>
      </c>
      <c r="H121" s="2">
        <v>15.0</v>
      </c>
      <c r="I121" s="2">
        <v>153.0</v>
      </c>
      <c r="J121" s="37">
        <v>535.8000000000001</v>
      </c>
      <c r="K121" s="2">
        <v>17.0</v>
      </c>
      <c r="L121" s="2">
        <v>193.0</v>
      </c>
      <c r="M121" s="37">
        <v>632.72</v>
      </c>
    </row>
    <row r="122" ht="14.25" customHeight="1">
      <c r="A122" t="s">
        <v>187</v>
      </c>
      <c r="B122" t="s">
        <v>61</v>
      </c>
      <c r="C122" t="s">
        <v>62</v>
      </c>
      <c r="D122" t="s">
        <v>63</v>
      </c>
      <c r="E122">
        <v>3.5</v>
      </c>
      <c r="F122">
        <v>3.7</v>
      </c>
      <c r="G122" s="2" t="s">
        <v>67</v>
      </c>
      <c r="H122" s="2">
        <v>19.0</v>
      </c>
      <c r="I122" s="2">
        <v>126.0</v>
      </c>
      <c r="J122" s="37">
        <v>590.54</v>
      </c>
      <c r="K122" s="2">
        <v>21.0</v>
      </c>
      <c r="L122" s="2">
        <v>179.0</v>
      </c>
      <c r="M122" s="37">
        <v>704.36</v>
      </c>
    </row>
    <row r="123" ht="14.25" customHeight="1">
      <c r="A123" t="s">
        <v>188</v>
      </c>
      <c r="B123" t="s">
        <v>61</v>
      </c>
      <c r="C123" t="s">
        <v>62</v>
      </c>
      <c r="D123" t="s">
        <v>63</v>
      </c>
      <c r="E123">
        <v>8.5</v>
      </c>
      <c r="F123">
        <v>9.45</v>
      </c>
      <c r="G123" s="2" t="s">
        <v>64</v>
      </c>
      <c r="H123" s="2">
        <v>0.0</v>
      </c>
      <c r="I123" s="2">
        <v>0.0</v>
      </c>
      <c r="J123" s="37">
        <v>0.0</v>
      </c>
      <c r="K123" s="2">
        <v>0.0</v>
      </c>
      <c r="L123" s="2">
        <v>0.0</v>
      </c>
      <c r="M123" s="37">
        <v>0.0</v>
      </c>
    </row>
    <row r="124" ht="14.25" customHeight="1">
      <c r="A124" t="s">
        <v>189</v>
      </c>
      <c r="B124" t="s">
        <v>61</v>
      </c>
      <c r="C124" t="s">
        <v>62</v>
      </c>
      <c r="D124" t="s">
        <v>63</v>
      </c>
      <c r="E124">
        <v>7.2</v>
      </c>
      <c r="F124">
        <v>8.0</v>
      </c>
      <c r="G124" s="2" t="s">
        <v>64</v>
      </c>
      <c r="H124" s="2">
        <v>0.0</v>
      </c>
      <c r="I124" s="2">
        <v>0.0</v>
      </c>
      <c r="J124" s="37">
        <v>0.0</v>
      </c>
      <c r="K124" s="2">
        <v>0.0</v>
      </c>
      <c r="L124" s="2">
        <v>0.0</v>
      </c>
      <c r="M124" s="37">
        <v>0.0</v>
      </c>
    </row>
    <row r="125" ht="14.25" customHeight="1">
      <c r="A125" t="s">
        <v>190</v>
      </c>
      <c r="B125" t="s">
        <v>61</v>
      </c>
      <c r="C125" t="s">
        <v>62</v>
      </c>
      <c r="D125" t="s">
        <v>63</v>
      </c>
      <c r="E125">
        <v>5.0</v>
      </c>
      <c r="F125">
        <v>5.0</v>
      </c>
      <c r="G125" s="2" t="s">
        <v>67</v>
      </c>
      <c r="H125" s="2">
        <v>28.0</v>
      </c>
      <c r="I125" s="2">
        <v>214.0</v>
      </c>
      <c r="J125" s="37">
        <v>907.0799999999999</v>
      </c>
      <c r="K125" s="2">
        <v>32.0</v>
      </c>
      <c r="L125" s="2">
        <v>300.0</v>
      </c>
      <c r="M125" s="37">
        <v>1108.72</v>
      </c>
    </row>
    <row r="126" ht="14.25" customHeight="1">
      <c r="A126" t="s">
        <v>191</v>
      </c>
      <c r="B126" t="s">
        <v>61</v>
      </c>
      <c r="C126" t="s">
        <v>75</v>
      </c>
      <c r="D126" t="s">
        <v>63</v>
      </c>
      <c r="E126">
        <v>24.71</v>
      </c>
      <c r="F126">
        <v>25.25</v>
      </c>
      <c r="G126" s="2" t="s">
        <v>64</v>
      </c>
      <c r="H126" s="2">
        <v>0.0</v>
      </c>
      <c r="I126" s="2">
        <v>0.0</v>
      </c>
      <c r="J126" s="37">
        <v>0.0</v>
      </c>
      <c r="K126" s="2">
        <v>0.0</v>
      </c>
      <c r="L126" s="2">
        <v>0.0</v>
      </c>
      <c r="M126" s="37">
        <v>0.0</v>
      </c>
    </row>
    <row r="127" ht="14.25" customHeight="1">
      <c r="A127" t="s">
        <v>192</v>
      </c>
      <c r="B127" t="s">
        <v>61</v>
      </c>
      <c r="C127" t="s">
        <v>75</v>
      </c>
      <c r="D127" t="s">
        <v>82</v>
      </c>
      <c r="E127">
        <v>24.71</v>
      </c>
      <c r="F127">
        <v>25.25</v>
      </c>
      <c r="G127" s="2" t="s">
        <v>64</v>
      </c>
      <c r="H127" s="2">
        <v>0.0</v>
      </c>
      <c r="I127" s="2">
        <v>0.0</v>
      </c>
      <c r="J127" s="37">
        <v>0.0</v>
      </c>
      <c r="K127" s="2">
        <v>0.0</v>
      </c>
      <c r="L127" s="2">
        <v>0.0</v>
      </c>
      <c r="M127" s="37">
        <v>0.0</v>
      </c>
    </row>
    <row r="128" ht="14.25" customHeight="1">
      <c r="A128" t="s">
        <v>193</v>
      </c>
      <c r="B128" t="s">
        <v>194</v>
      </c>
      <c r="C128" t="s">
        <v>62</v>
      </c>
      <c r="D128" t="s">
        <v>63</v>
      </c>
      <c r="E128">
        <v>2.64</v>
      </c>
      <c r="F128">
        <v>3.3</v>
      </c>
      <c r="G128" s="2" t="s">
        <v>67</v>
      </c>
      <c r="H128" s="2">
        <v>16.0</v>
      </c>
      <c r="I128" s="2">
        <v>96.0</v>
      </c>
      <c r="J128" s="37">
        <v>484.16</v>
      </c>
      <c r="K128" s="2">
        <v>18.0</v>
      </c>
      <c r="L128" s="2">
        <v>136.0</v>
      </c>
      <c r="M128" s="37">
        <v>581.08</v>
      </c>
    </row>
    <row r="129" ht="14.25" customHeight="1">
      <c r="A129" t="s">
        <v>195</v>
      </c>
      <c r="B129" t="s">
        <v>196</v>
      </c>
      <c r="C129" t="s">
        <v>75</v>
      </c>
      <c r="D129" t="s">
        <v>82</v>
      </c>
      <c r="E129">
        <v>20.96</v>
      </c>
      <c r="F129">
        <v>23.39</v>
      </c>
      <c r="G129" s="2" t="s">
        <v>64</v>
      </c>
      <c r="H129" s="2">
        <v>0.0</v>
      </c>
      <c r="I129" s="2">
        <v>0.0</v>
      </c>
      <c r="J129" s="37">
        <v>0.0</v>
      </c>
      <c r="K129" s="2">
        <v>0.0</v>
      </c>
      <c r="L129" s="2">
        <v>0.0</v>
      </c>
      <c r="M129" s="37">
        <v>0.0</v>
      </c>
    </row>
    <row r="130" ht="14.25" customHeight="1">
      <c r="A130" t="s">
        <v>197</v>
      </c>
      <c r="B130" t="s">
        <v>198</v>
      </c>
      <c r="C130" t="s">
        <v>75</v>
      </c>
      <c r="D130" t="s">
        <v>63</v>
      </c>
      <c r="E130">
        <v>10.0</v>
      </c>
      <c r="F130">
        <v>10.5</v>
      </c>
      <c r="G130" s="2" t="s">
        <v>64</v>
      </c>
      <c r="H130" s="2">
        <v>0.0</v>
      </c>
      <c r="I130" s="2">
        <v>0.0</v>
      </c>
      <c r="J130" s="37">
        <v>0.0</v>
      </c>
      <c r="K130" s="2">
        <v>0.0</v>
      </c>
      <c r="L130" s="2">
        <v>0.0</v>
      </c>
      <c r="M130" s="37">
        <v>0.0</v>
      </c>
    </row>
    <row r="131" ht="14.25" customHeight="1">
      <c r="A131" t="s">
        <v>199</v>
      </c>
      <c r="B131" t="s">
        <v>198</v>
      </c>
      <c r="C131" t="s">
        <v>75</v>
      </c>
      <c r="D131" t="s">
        <v>63</v>
      </c>
      <c r="E131">
        <v>10.0</v>
      </c>
      <c r="F131">
        <v>10.5</v>
      </c>
      <c r="G131" s="2" t="s">
        <v>64</v>
      </c>
      <c r="H131" s="2">
        <v>0.0</v>
      </c>
      <c r="I131" s="2">
        <v>0.0</v>
      </c>
      <c r="J131" s="37">
        <v>0.0</v>
      </c>
      <c r="K131" s="2">
        <v>0.0</v>
      </c>
      <c r="L131" s="2">
        <v>0.0</v>
      </c>
      <c r="M131" s="37">
        <v>0.0</v>
      </c>
    </row>
    <row r="132" ht="14.25" customHeight="1">
      <c r="A132" t="s">
        <v>200</v>
      </c>
      <c r="B132" t="s">
        <v>198</v>
      </c>
      <c r="C132" t="s">
        <v>75</v>
      </c>
      <c r="D132" t="s">
        <v>63</v>
      </c>
      <c r="E132">
        <v>10.0</v>
      </c>
      <c r="F132">
        <v>10.5</v>
      </c>
      <c r="G132" s="2" t="s">
        <v>64</v>
      </c>
      <c r="H132" s="2">
        <v>0.0</v>
      </c>
      <c r="I132" s="2">
        <v>0.0</v>
      </c>
      <c r="J132" s="37">
        <v>0.0</v>
      </c>
      <c r="K132" s="2">
        <v>0.0</v>
      </c>
      <c r="L132" s="2">
        <v>0.0</v>
      </c>
      <c r="M132" s="37">
        <v>0.0</v>
      </c>
    </row>
    <row r="133" ht="14.25" customHeight="1">
      <c r="A133" t="s">
        <v>201</v>
      </c>
      <c r="B133" t="s">
        <v>198</v>
      </c>
      <c r="C133" t="s">
        <v>75</v>
      </c>
      <c r="D133" t="s">
        <v>63</v>
      </c>
      <c r="E133">
        <v>17.0</v>
      </c>
      <c r="F133">
        <v>15.8</v>
      </c>
      <c r="G133" s="2" t="s">
        <v>67</v>
      </c>
      <c r="H133" s="2">
        <v>91.0</v>
      </c>
      <c r="I133" s="2">
        <v>299.0</v>
      </c>
      <c r="J133" s="37">
        <v>2432.56</v>
      </c>
      <c r="K133" s="2">
        <v>105.0</v>
      </c>
      <c r="L133" s="2">
        <v>628.0</v>
      </c>
      <c r="M133" s="37">
        <v>3174.7000000000003</v>
      </c>
    </row>
    <row r="134" ht="14.25" customHeight="1">
      <c r="A134" t="s">
        <v>202</v>
      </c>
      <c r="B134" t="s">
        <v>198</v>
      </c>
      <c r="C134" t="s">
        <v>75</v>
      </c>
      <c r="D134" t="s">
        <v>63</v>
      </c>
      <c r="E134">
        <v>17.0</v>
      </c>
      <c r="F134">
        <v>15.8</v>
      </c>
      <c r="G134" s="2" t="s">
        <v>67</v>
      </c>
      <c r="H134" s="2">
        <v>91.0</v>
      </c>
      <c r="I134" s="2">
        <v>299.0</v>
      </c>
      <c r="J134" s="37">
        <v>2432.56</v>
      </c>
      <c r="K134" s="2">
        <v>105.0</v>
      </c>
      <c r="L134" s="2">
        <v>628.0</v>
      </c>
      <c r="M134" s="37">
        <v>3174.7000000000003</v>
      </c>
    </row>
    <row r="135" ht="14.25" customHeight="1">
      <c r="A135" t="s">
        <v>200</v>
      </c>
      <c r="B135" t="s">
        <v>198</v>
      </c>
      <c r="C135" t="s">
        <v>75</v>
      </c>
      <c r="D135" t="s">
        <v>63</v>
      </c>
      <c r="E135">
        <v>17.0</v>
      </c>
      <c r="F135">
        <v>15.8</v>
      </c>
      <c r="G135" s="2" t="s">
        <v>67</v>
      </c>
      <c r="H135" s="2">
        <v>0.0</v>
      </c>
      <c r="I135" s="2">
        <v>0.0</v>
      </c>
      <c r="J135" s="37">
        <v>0.0</v>
      </c>
      <c r="K135" s="2">
        <v>0.0</v>
      </c>
      <c r="L135" s="2">
        <v>0.0</v>
      </c>
      <c r="M135" s="37">
        <v>0.0</v>
      </c>
    </row>
    <row r="136" ht="14.25" customHeight="1">
      <c r="A136" t="s">
        <v>203</v>
      </c>
      <c r="B136" t="s">
        <v>204</v>
      </c>
      <c r="C136" t="s">
        <v>75</v>
      </c>
      <c r="D136" t="s">
        <v>82</v>
      </c>
      <c r="E136">
        <v>36.1</v>
      </c>
      <c r="F136">
        <v>36.2</v>
      </c>
      <c r="G136" s="2" t="s">
        <v>64</v>
      </c>
      <c r="H136" s="2">
        <v>0.0</v>
      </c>
      <c r="I136" s="2">
        <v>0.0</v>
      </c>
      <c r="J136" s="37">
        <v>0.0</v>
      </c>
      <c r="K136" s="2">
        <v>0.0</v>
      </c>
      <c r="L136" s="2">
        <v>0.0</v>
      </c>
      <c r="M136" s="37">
        <v>0.0</v>
      </c>
    </row>
    <row r="137" ht="14.25" customHeight="1">
      <c r="A137" t="s">
        <v>205</v>
      </c>
      <c r="B137" t="s">
        <v>204</v>
      </c>
      <c r="C137" t="s">
        <v>75</v>
      </c>
      <c r="D137" t="s">
        <v>82</v>
      </c>
      <c r="E137">
        <v>36.1</v>
      </c>
      <c r="F137">
        <v>36.2</v>
      </c>
      <c r="G137" s="2" t="s">
        <v>64</v>
      </c>
      <c r="H137" s="2">
        <v>0.0</v>
      </c>
      <c r="I137" s="2">
        <v>0.0</v>
      </c>
      <c r="J137" s="37">
        <v>0.0</v>
      </c>
      <c r="K137" s="2">
        <v>0.0</v>
      </c>
      <c r="L137" s="2">
        <v>0.0</v>
      </c>
      <c r="M137" s="37">
        <v>0.0</v>
      </c>
    </row>
    <row r="138" ht="14.25" customHeight="1">
      <c r="A138" t="s">
        <v>206</v>
      </c>
      <c r="B138" t="s">
        <v>204</v>
      </c>
      <c r="C138" t="s">
        <v>75</v>
      </c>
      <c r="D138" t="s">
        <v>82</v>
      </c>
      <c r="E138">
        <v>36.1</v>
      </c>
      <c r="F138">
        <v>36.2</v>
      </c>
      <c r="G138" s="2" t="s">
        <v>64</v>
      </c>
      <c r="H138" s="2">
        <v>0.0</v>
      </c>
      <c r="I138" s="2">
        <v>0.0</v>
      </c>
      <c r="J138" s="37">
        <v>0.0</v>
      </c>
      <c r="K138" s="2">
        <v>0.0</v>
      </c>
      <c r="L138" s="2">
        <v>0.0</v>
      </c>
      <c r="M138" s="37">
        <v>0.0</v>
      </c>
    </row>
    <row r="139" ht="14.25" customHeight="1">
      <c r="A139" t="s">
        <v>207</v>
      </c>
      <c r="B139" t="s">
        <v>204</v>
      </c>
      <c r="C139" t="s">
        <v>75</v>
      </c>
      <c r="D139" t="s">
        <v>82</v>
      </c>
      <c r="E139">
        <v>13.3</v>
      </c>
      <c r="F139">
        <v>13.5</v>
      </c>
      <c r="G139" s="2" t="s">
        <v>64</v>
      </c>
      <c r="H139" s="2">
        <v>0.0</v>
      </c>
      <c r="I139" s="2">
        <v>0.0</v>
      </c>
      <c r="J139" s="37">
        <v>0.0</v>
      </c>
      <c r="K139" s="2">
        <v>0.0</v>
      </c>
      <c r="L139" s="2">
        <v>0.0</v>
      </c>
      <c r="M139" s="37">
        <v>0.0</v>
      </c>
    </row>
    <row r="140" ht="14.25" customHeight="1">
      <c r="A140" t="s">
        <v>208</v>
      </c>
      <c r="B140" t="s">
        <v>204</v>
      </c>
      <c r="C140" t="s">
        <v>75</v>
      </c>
      <c r="D140" t="s">
        <v>82</v>
      </c>
      <c r="E140">
        <v>13.3</v>
      </c>
      <c r="F140">
        <v>13.5</v>
      </c>
      <c r="G140" s="2" t="s">
        <v>64</v>
      </c>
      <c r="H140" s="2">
        <v>0.0</v>
      </c>
      <c r="I140" s="2">
        <v>0.0</v>
      </c>
      <c r="J140" s="37">
        <v>0.0</v>
      </c>
      <c r="K140" s="2">
        <v>0.0</v>
      </c>
      <c r="L140" s="2">
        <v>0.0</v>
      </c>
      <c r="M140" s="37">
        <v>0.0</v>
      </c>
    </row>
    <row r="141" ht="14.25" customHeight="1">
      <c r="A141" t="s">
        <v>209</v>
      </c>
      <c r="B141" t="s">
        <v>204</v>
      </c>
      <c r="C141" t="s">
        <v>75</v>
      </c>
      <c r="D141" t="s">
        <v>82</v>
      </c>
      <c r="E141">
        <v>17.9</v>
      </c>
      <c r="F141">
        <v>18.5</v>
      </c>
      <c r="G141" s="2" t="s">
        <v>64</v>
      </c>
      <c r="H141" s="2">
        <v>0.0</v>
      </c>
      <c r="I141" s="2">
        <v>0.0</v>
      </c>
      <c r="J141" s="37">
        <v>0.0</v>
      </c>
      <c r="K141" s="2">
        <v>0.0</v>
      </c>
      <c r="L141" s="2">
        <v>0.0</v>
      </c>
      <c r="M141" s="37">
        <v>0.0</v>
      </c>
    </row>
    <row r="142" ht="14.25" customHeight="1">
      <c r="A142" t="s">
        <v>210</v>
      </c>
      <c r="B142" t="s">
        <v>204</v>
      </c>
      <c r="C142" t="s">
        <v>75</v>
      </c>
      <c r="D142" t="s">
        <v>82</v>
      </c>
      <c r="E142">
        <v>17.9</v>
      </c>
      <c r="F142">
        <v>18.5</v>
      </c>
      <c r="G142" s="2" t="s">
        <v>64</v>
      </c>
      <c r="H142" s="2">
        <v>0.0</v>
      </c>
      <c r="I142" s="2">
        <v>0.0</v>
      </c>
      <c r="J142" s="37">
        <v>0.0</v>
      </c>
      <c r="K142" s="2">
        <v>0.0</v>
      </c>
      <c r="L142" s="2">
        <v>0.0</v>
      </c>
      <c r="M142" s="37">
        <v>0.0</v>
      </c>
    </row>
    <row r="143" ht="14.25" customHeight="1">
      <c r="A143" t="s">
        <v>211</v>
      </c>
      <c r="B143" t="s">
        <v>204</v>
      </c>
      <c r="C143" t="s">
        <v>75</v>
      </c>
      <c r="D143" t="s">
        <v>82</v>
      </c>
      <c r="E143">
        <v>24.4</v>
      </c>
      <c r="F143">
        <v>24.8</v>
      </c>
      <c r="G143" s="2" t="s">
        <v>64</v>
      </c>
      <c r="H143" s="2">
        <v>0.0</v>
      </c>
      <c r="I143" s="2">
        <v>0.0</v>
      </c>
      <c r="J143" s="37">
        <v>0.0</v>
      </c>
      <c r="K143" s="2">
        <v>0.0</v>
      </c>
      <c r="L143" s="2">
        <v>0.0</v>
      </c>
      <c r="M143" s="37">
        <v>0.0</v>
      </c>
    </row>
    <row r="144" ht="14.25" customHeight="1">
      <c r="A144" t="s">
        <v>212</v>
      </c>
      <c r="B144" t="s">
        <v>204</v>
      </c>
      <c r="C144" t="s">
        <v>75</v>
      </c>
      <c r="D144" t="s">
        <v>82</v>
      </c>
      <c r="E144">
        <v>24.4</v>
      </c>
      <c r="F144">
        <v>24.8</v>
      </c>
      <c r="G144" s="2" t="s">
        <v>64</v>
      </c>
      <c r="H144" s="2">
        <v>0.0</v>
      </c>
      <c r="I144" s="2">
        <v>0.0</v>
      </c>
      <c r="J144" s="37">
        <v>0.0</v>
      </c>
      <c r="K144" s="2">
        <v>0.0</v>
      </c>
      <c r="L144" s="2">
        <v>0.0</v>
      </c>
      <c r="M144" s="37">
        <v>0.0</v>
      </c>
    </row>
    <row r="145" ht="14.25" customHeight="1">
      <c r="A145" t="s">
        <v>213</v>
      </c>
      <c r="B145" t="s">
        <v>204</v>
      </c>
      <c r="C145" t="s">
        <v>75</v>
      </c>
      <c r="D145" t="s">
        <v>82</v>
      </c>
      <c r="E145">
        <v>31.7</v>
      </c>
      <c r="F145">
        <v>32.1</v>
      </c>
      <c r="G145" s="2" t="s">
        <v>64</v>
      </c>
      <c r="H145" s="2">
        <v>0.0</v>
      </c>
      <c r="I145" s="2">
        <v>0.0</v>
      </c>
      <c r="J145" s="37">
        <v>0.0</v>
      </c>
      <c r="K145" s="2">
        <v>0.0</v>
      </c>
      <c r="L145" s="2">
        <v>0.0</v>
      </c>
      <c r="M145" s="37">
        <v>0.0</v>
      </c>
    </row>
    <row r="146" ht="14.25" customHeight="1">
      <c r="A146" t="s">
        <v>214</v>
      </c>
      <c r="B146" t="s">
        <v>204</v>
      </c>
      <c r="C146" t="s">
        <v>75</v>
      </c>
      <c r="D146" t="s">
        <v>82</v>
      </c>
      <c r="E146">
        <v>31.7</v>
      </c>
      <c r="F146">
        <v>32.1</v>
      </c>
      <c r="G146" s="2" t="s">
        <v>64</v>
      </c>
      <c r="H146" s="2">
        <v>0.0</v>
      </c>
      <c r="I146" s="2">
        <v>0.0</v>
      </c>
      <c r="J146" s="37">
        <v>0.0</v>
      </c>
      <c r="K146" s="2">
        <v>0.0</v>
      </c>
      <c r="L146" s="2">
        <v>0.0</v>
      </c>
      <c r="M146" s="37">
        <v>0.0</v>
      </c>
    </row>
    <row r="147" ht="14.25" customHeight="1">
      <c r="A147" t="s">
        <v>215</v>
      </c>
      <c r="B147" t="s">
        <v>204</v>
      </c>
      <c r="C147" t="s">
        <v>75</v>
      </c>
      <c r="D147" t="s">
        <v>82</v>
      </c>
      <c r="E147">
        <v>43.3</v>
      </c>
      <c r="F147">
        <v>43.6</v>
      </c>
      <c r="G147" s="2" t="s">
        <v>64</v>
      </c>
      <c r="H147" s="2">
        <v>0.0</v>
      </c>
      <c r="I147" s="2">
        <v>0.0</v>
      </c>
      <c r="J147" s="37">
        <v>0.0</v>
      </c>
      <c r="K147" s="2">
        <v>0.0</v>
      </c>
      <c r="L147" s="2">
        <v>0.0</v>
      </c>
      <c r="M147" s="37">
        <v>0.0</v>
      </c>
    </row>
    <row r="148" ht="14.25" customHeight="1">
      <c r="A148" t="s">
        <v>216</v>
      </c>
      <c r="B148" t="s">
        <v>204</v>
      </c>
      <c r="C148" t="s">
        <v>75</v>
      </c>
      <c r="D148" t="s">
        <v>82</v>
      </c>
      <c r="E148">
        <v>43.3</v>
      </c>
      <c r="F148">
        <v>43.6</v>
      </c>
      <c r="G148" s="2" t="s">
        <v>64</v>
      </c>
      <c r="H148" s="2">
        <v>0.0</v>
      </c>
      <c r="I148" s="2">
        <v>0.0</v>
      </c>
      <c r="J148" s="37">
        <v>0.0</v>
      </c>
      <c r="K148" s="2">
        <v>0.0</v>
      </c>
      <c r="L148" s="2">
        <v>0.0</v>
      </c>
      <c r="M148" s="37">
        <v>0.0</v>
      </c>
    </row>
    <row r="149" ht="14.25" customHeight="1">
      <c r="A149" t="s">
        <v>217</v>
      </c>
      <c r="B149" t="s">
        <v>204</v>
      </c>
      <c r="C149" t="s">
        <v>75</v>
      </c>
      <c r="D149" t="s">
        <v>82</v>
      </c>
      <c r="E149">
        <v>60.5</v>
      </c>
      <c r="F149">
        <v>63.0</v>
      </c>
      <c r="G149" s="2" t="s">
        <v>64</v>
      </c>
      <c r="H149" s="2">
        <v>0.0</v>
      </c>
      <c r="I149" s="2">
        <v>0.0</v>
      </c>
      <c r="J149" s="37">
        <v>0.0</v>
      </c>
      <c r="K149" s="2">
        <v>0.0</v>
      </c>
      <c r="L149" s="2">
        <v>0.0</v>
      </c>
      <c r="M149" s="37">
        <v>0.0</v>
      </c>
    </row>
    <row r="150" ht="14.25" customHeight="1">
      <c r="A150" t="s">
        <v>218</v>
      </c>
      <c r="B150" t="s">
        <v>204</v>
      </c>
      <c r="C150" t="s">
        <v>75</v>
      </c>
      <c r="D150" t="s">
        <v>82</v>
      </c>
      <c r="E150">
        <v>60.5</v>
      </c>
      <c r="F150">
        <v>63.0</v>
      </c>
      <c r="G150" s="2" t="s">
        <v>64</v>
      </c>
      <c r="H150" s="2">
        <v>0.0</v>
      </c>
      <c r="I150" s="2">
        <v>0.0</v>
      </c>
      <c r="J150" s="37">
        <v>0.0</v>
      </c>
      <c r="K150" s="2">
        <v>0.0</v>
      </c>
      <c r="L150" s="2">
        <v>0.0</v>
      </c>
      <c r="M150" s="37">
        <v>0.0</v>
      </c>
    </row>
    <row r="151" ht="14.25" customHeight="1">
      <c r="A151" t="s">
        <v>219</v>
      </c>
      <c r="B151" t="s">
        <v>204</v>
      </c>
      <c r="C151" t="s">
        <v>75</v>
      </c>
      <c r="D151" t="s">
        <v>82</v>
      </c>
      <c r="E151">
        <v>13.3</v>
      </c>
      <c r="F151">
        <v>13.5</v>
      </c>
      <c r="G151" s="2" t="s">
        <v>64</v>
      </c>
      <c r="H151" s="2">
        <v>0.0</v>
      </c>
      <c r="I151" s="2">
        <v>0.0</v>
      </c>
      <c r="J151" s="37">
        <v>0.0</v>
      </c>
      <c r="K151" s="2">
        <v>0.0</v>
      </c>
      <c r="L151" s="2">
        <v>0.0</v>
      </c>
      <c r="M151" s="37">
        <v>0.0</v>
      </c>
    </row>
    <row r="152" ht="14.25" customHeight="1">
      <c r="A152" t="s">
        <v>220</v>
      </c>
      <c r="B152" t="s">
        <v>204</v>
      </c>
      <c r="C152" t="s">
        <v>75</v>
      </c>
      <c r="D152" t="s">
        <v>82</v>
      </c>
      <c r="E152">
        <v>17.9</v>
      </c>
      <c r="F152">
        <v>18.5</v>
      </c>
      <c r="G152" s="2" t="s">
        <v>64</v>
      </c>
      <c r="H152" s="2">
        <v>0.0</v>
      </c>
      <c r="I152" s="2">
        <v>0.0</v>
      </c>
      <c r="J152" s="37">
        <v>0.0</v>
      </c>
      <c r="K152" s="2">
        <v>0.0</v>
      </c>
      <c r="L152" s="2">
        <v>0.0</v>
      </c>
      <c r="M152" s="37">
        <v>0.0</v>
      </c>
    </row>
    <row r="153" ht="14.25" customHeight="1">
      <c r="A153" t="s">
        <v>221</v>
      </c>
      <c r="B153" t="s">
        <v>204</v>
      </c>
      <c r="C153" t="s">
        <v>75</v>
      </c>
      <c r="D153" t="s">
        <v>82</v>
      </c>
      <c r="E153">
        <v>31.7</v>
      </c>
      <c r="F153">
        <v>32.1</v>
      </c>
      <c r="G153" s="2" t="s">
        <v>64</v>
      </c>
      <c r="H153" s="2">
        <v>0.0</v>
      </c>
      <c r="I153" s="2">
        <v>0.0</v>
      </c>
      <c r="J153" s="37">
        <v>0.0</v>
      </c>
      <c r="K153" s="2">
        <v>0.0</v>
      </c>
      <c r="L153" s="2">
        <v>0.0</v>
      </c>
      <c r="M153" s="37">
        <v>0.0</v>
      </c>
    </row>
    <row r="154" ht="14.25" customHeight="1">
      <c r="A154" t="s">
        <v>222</v>
      </c>
      <c r="B154" t="s">
        <v>204</v>
      </c>
      <c r="C154" t="s">
        <v>75</v>
      </c>
      <c r="D154" t="s">
        <v>82</v>
      </c>
      <c r="E154">
        <v>24.4</v>
      </c>
      <c r="F154">
        <v>24.8</v>
      </c>
      <c r="G154" s="2" t="s">
        <v>64</v>
      </c>
      <c r="H154" s="2">
        <v>0.0</v>
      </c>
      <c r="I154" s="2">
        <v>0.0</v>
      </c>
      <c r="J154" s="37">
        <v>0.0</v>
      </c>
      <c r="K154" s="2">
        <v>0.0</v>
      </c>
      <c r="L154" s="2">
        <v>0.0</v>
      </c>
      <c r="M154" s="37">
        <v>0.0</v>
      </c>
    </row>
    <row r="155" ht="14.25" customHeight="1">
      <c r="A155" t="s">
        <v>223</v>
      </c>
      <c r="B155" t="s">
        <v>204</v>
      </c>
      <c r="C155" t="s">
        <v>75</v>
      </c>
      <c r="D155" t="s">
        <v>82</v>
      </c>
      <c r="E155">
        <v>43.3</v>
      </c>
      <c r="F155">
        <v>43.6</v>
      </c>
      <c r="G155" s="2" t="s">
        <v>64</v>
      </c>
      <c r="H155" s="2">
        <v>0.0</v>
      </c>
      <c r="I155" s="2">
        <v>0.0</v>
      </c>
      <c r="J155" s="37">
        <v>0.0</v>
      </c>
      <c r="K155" s="2">
        <v>0.0</v>
      </c>
      <c r="L155" s="2">
        <v>0.0</v>
      </c>
      <c r="M155" s="37">
        <v>0.0</v>
      </c>
    </row>
    <row r="156" ht="14.25" customHeight="1">
      <c r="A156" t="s">
        <v>224</v>
      </c>
      <c r="B156" t="s">
        <v>204</v>
      </c>
      <c r="C156" t="s">
        <v>75</v>
      </c>
      <c r="D156" t="s">
        <v>82</v>
      </c>
      <c r="E156">
        <v>60.5</v>
      </c>
      <c r="F156">
        <v>63.0</v>
      </c>
      <c r="G156" s="2" t="s">
        <v>64</v>
      </c>
      <c r="H156" s="2">
        <v>0.0</v>
      </c>
      <c r="I156" s="2">
        <v>0.0</v>
      </c>
      <c r="J156" s="37">
        <v>0.0</v>
      </c>
      <c r="K156" s="2">
        <v>0.0</v>
      </c>
      <c r="L156" s="2">
        <v>0.0</v>
      </c>
      <c r="M156" s="37">
        <v>0.0</v>
      </c>
    </row>
    <row r="157" ht="14.25" customHeight="1">
      <c r="A157" t="s">
        <v>225</v>
      </c>
      <c r="B157" t="s">
        <v>204</v>
      </c>
      <c r="C157" t="s">
        <v>75</v>
      </c>
      <c r="D157" t="s">
        <v>82</v>
      </c>
      <c r="E157">
        <v>13.6</v>
      </c>
      <c r="F157">
        <v>13.8</v>
      </c>
      <c r="G157" s="2" t="s">
        <v>64</v>
      </c>
      <c r="H157" s="2">
        <v>0.0</v>
      </c>
      <c r="I157" s="2">
        <v>0.0</v>
      </c>
      <c r="J157" s="37">
        <v>0.0</v>
      </c>
      <c r="K157" s="2">
        <v>0.0</v>
      </c>
      <c r="L157" s="2">
        <v>0.0</v>
      </c>
      <c r="M157" s="37">
        <v>0.0</v>
      </c>
    </row>
    <row r="158" ht="14.25" customHeight="1">
      <c r="A158" t="s">
        <v>226</v>
      </c>
      <c r="B158" t="s">
        <v>204</v>
      </c>
      <c r="C158" t="s">
        <v>75</v>
      </c>
      <c r="D158" t="s">
        <v>82</v>
      </c>
      <c r="E158">
        <v>18.1</v>
      </c>
      <c r="F158">
        <v>18.7</v>
      </c>
      <c r="G158" s="2" t="s">
        <v>64</v>
      </c>
      <c r="H158" s="2">
        <v>0.0</v>
      </c>
      <c r="I158" s="2">
        <v>0.0</v>
      </c>
      <c r="J158" s="37">
        <v>0.0</v>
      </c>
      <c r="K158" s="2">
        <v>0.0</v>
      </c>
      <c r="L158" s="2">
        <v>0.0</v>
      </c>
      <c r="M158" s="37">
        <v>0.0</v>
      </c>
    </row>
    <row r="159" ht="14.25" customHeight="1">
      <c r="A159" t="s">
        <v>227</v>
      </c>
      <c r="B159" t="s">
        <v>204</v>
      </c>
      <c r="C159" t="s">
        <v>75</v>
      </c>
      <c r="D159" t="s">
        <v>82</v>
      </c>
      <c r="E159">
        <v>24.5</v>
      </c>
      <c r="F159">
        <v>24.9</v>
      </c>
      <c r="G159" s="2" t="s">
        <v>64</v>
      </c>
      <c r="H159" s="2">
        <v>0.0</v>
      </c>
      <c r="I159" s="2">
        <v>0.0</v>
      </c>
      <c r="J159" s="37">
        <v>0.0</v>
      </c>
      <c r="K159" s="2">
        <v>0.0</v>
      </c>
      <c r="L159" s="2">
        <v>0.0</v>
      </c>
      <c r="M159" s="37">
        <v>0.0</v>
      </c>
    </row>
    <row r="160" ht="14.25" customHeight="1">
      <c r="A160" t="s">
        <v>228</v>
      </c>
      <c r="B160" t="s">
        <v>204</v>
      </c>
      <c r="C160" t="s">
        <v>75</v>
      </c>
      <c r="D160" t="s">
        <v>82</v>
      </c>
      <c r="E160">
        <v>31.8</v>
      </c>
      <c r="F160">
        <v>32.2</v>
      </c>
      <c r="G160" s="2" t="s">
        <v>64</v>
      </c>
      <c r="H160" s="2">
        <v>0.0</v>
      </c>
      <c r="I160" s="2">
        <v>0.0</v>
      </c>
      <c r="J160" s="37">
        <v>0.0</v>
      </c>
      <c r="K160" s="2">
        <v>0.0</v>
      </c>
      <c r="L160" s="2">
        <v>0.0</v>
      </c>
      <c r="M160" s="37">
        <v>0.0</v>
      </c>
    </row>
    <row r="161" ht="14.25" customHeight="1">
      <c r="A161" t="s">
        <v>229</v>
      </c>
      <c r="B161" t="s">
        <v>204</v>
      </c>
      <c r="C161" t="s">
        <v>75</v>
      </c>
      <c r="D161" t="s">
        <v>82</v>
      </c>
      <c r="E161">
        <v>36.2</v>
      </c>
      <c r="F161">
        <v>36.3</v>
      </c>
      <c r="G161" s="2" t="s">
        <v>64</v>
      </c>
      <c r="H161" s="2">
        <v>0.0</v>
      </c>
      <c r="I161" s="2">
        <v>0.0</v>
      </c>
      <c r="J161" s="37">
        <v>0.0</v>
      </c>
      <c r="K161" s="2">
        <v>0.0</v>
      </c>
      <c r="L161" s="2">
        <v>0.0</v>
      </c>
      <c r="M161" s="37">
        <v>0.0</v>
      </c>
    </row>
    <row r="162" ht="14.25" customHeight="1">
      <c r="A162" t="s">
        <v>230</v>
      </c>
      <c r="B162" t="s">
        <v>204</v>
      </c>
      <c r="C162" t="s">
        <v>75</v>
      </c>
      <c r="D162" t="s">
        <v>82</v>
      </c>
      <c r="E162">
        <v>43.4</v>
      </c>
      <c r="F162">
        <v>43.7</v>
      </c>
      <c r="G162" s="2" t="s">
        <v>64</v>
      </c>
      <c r="H162" s="2">
        <v>0.0</v>
      </c>
      <c r="I162" s="2">
        <v>0.0</v>
      </c>
      <c r="J162" s="37">
        <v>0.0</v>
      </c>
      <c r="K162" s="2">
        <v>0.0</v>
      </c>
      <c r="L162" s="2">
        <v>0.0</v>
      </c>
      <c r="M162" s="37">
        <v>0.0</v>
      </c>
    </row>
    <row r="163" ht="14.25" customHeight="1">
      <c r="A163" t="s">
        <v>231</v>
      </c>
      <c r="B163" t="s">
        <v>204</v>
      </c>
      <c r="C163" t="s">
        <v>75</v>
      </c>
      <c r="D163" t="s">
        <v>82</v>
      </c>
      <c r="E163">
        <v>60.6</v>
      </c>
      <c r="F163">
        <v>63.1</v>
      </c>
      <c r="G163" s="2" t="s">
        <v>64</v>
      </c>
      <c r="H163" s="2">
        <v>0.0</v>
      </c>
      <c r="I163" s="2">
        <v>0.0</v>
      </c>
      <c r="J163" s="37">
        <v>0.0</v>
      </c>
      <c r="K163" s="2">
        <v>0.0</v>
      </c>
      <c r="L163" s="2">
        <v>0.0</v>
      </c>
      <c r="M163" s="37">
        <v>0.0</v>
      </c>
    </row>
    <row r="164" ht="14.25" customHeight="1">
      <c r="A164" t="s">
        <v>232</v>
      </c>
      <c r="B164" t="s">
        <v>204</v>
      </c>
      <c r="C164" t="s">
        <v>75</v>
      </c>
      <c r="D164" t="s">
        <v>82</v>
      </c>
      <c r="E164">
        <v>13.6</v>
      </c>
      <c r="F164">
        <v>13.8</v>
      </c>
      <c r="G164" s="2" t="s">
        <v>64</v>
      </c>
      <c r="H164" s="2">
        <v>0.0</v>
      </c>
      <c r="I164" s="2">
        <v>0.0</v>
      </c>
      <c r="J164" s="37">
        <v>0.0</v>
      </c>
      <c r="K164" s="2">
        <v>0.0</v>
      </c>
      <c r="L164" s="2">
        <v>0.0</v>
      </c>
      <c r="M164" s="37">
        <v>0.0</v>
      </c>
    </row>
    <row r="165" ht="14.25" customHeight="1">
      <c r="A165" t="s">
        <v>233</v>
      </c>
      <c r="B165" t="s">
        <v>204</v>
      </c>
      <c r="C165" t="s">
        <v>75</v>
      </c>
      <c r="D165" t="s">
        <v>82</v>
      </c>
      <c r="E165">
        <v>13.6</v>
      </c>
      <c r="F165">
        <v>13.8</v>
      </c>
      <c r="G165" s="2" t="s">
        <v>64</v>
      </c>
      <c r="H165" s="2">
        <v>0.0</v>
      </c>
      <c r="I165" s="2">
        <v>0.0</v>
      </c>
      <c r="J165" s="37">
        <v>0.0</v>
      </c>
      <c r="K165" s="2">
        <v>0.0</v>
      </c>
      <c r="L165" s="2">
        <v>0.0</v>
      </c>
      <c r="M165" s="37">
        <v>0.0</v>
      </c>
    </row>
    <row r="166" ht="14.25" customHeight="1">
      <c r="A166" t="s">
        <v>234</v>
      </c>
      <c r="B166" t="s">
        <v>204</v>
      </c>
      <c r="C166" t="s">
        <v>75</v>
      </c>
      <c r="D166" t="s">
        <v>82</v>
      </c>
      <c r="E166">
        <v>18.1</v>
      </c>
      <c r="F166">
        <v>18.7</v>
      </c>
      <c r="G166" s="2" t="s">
        <v>64</v>
      </c>
      <c r="H166" s="2">
        <v>0.0</v>
      </c>
      <c r="I166" s="2">
        <v>0.0</v>
      </c>
      <c r="J166" s="37">
        <v>0.0</v>
      </c>
      <c r="K166" s="2">
        <v>0.0</v>
      </c>
      <c r="L166" s="2">
        <v>0.0</v>
      </c>
      <c r="M166" s="37">
        <v>0.0</v>
      </c>
    </row>
    <row r="167" ht="14.25" customHeight="1">
      <c r="A167" t="s">
        <v>235</v>
      </c>
      <c r="B167" t="s">
        <v>204</v>
      </c>
      <c r="C167" t="s">
        <v>75</v>
      </c>
      <c r="D167" t="s">
        <v>82</v>
      </c>
      <c r="E167">
        <v>18.1</v>
      </c>
      <c r="F167">
        <v>18.7</v>
      </c>
      <c r="G167" s="2" t="s">
        <v>64</v>
      </c>
      <c r="H167" s="2">
        <v>0.0</v>
      </c>
      <c r="I167" s="2">
        <v>0.0</v>
      </c>
      <c r="J167" s="37">
        <v>0.0</v>
      </c>
      <c r="K167" s="2">
        <v>0.0</v>
      </c>
      <c r="L167" s="2">
        <v>0.0</v>
      </c>
      <c r="M167" s="37">
        <v>0.0</v>
      </c>
    </row>
    <row r="168" ht="14.25" customHeight="1">
      <c r="A168" t="s">
        <v>236</v>
      </c>
      <c r="B168" t="s">
        <v>204</v>
      </c>
      <c r="C168" t="s">
        <v>75</v>
      </c>
      <c r="D168" t="s">
        <v>82</v>
      </c>
      <c r="E168">
        <v>24.5</v>
      </c>
      <c r="F168">
        <v>24.9</v>
      </c>
      <c r="G168" s="2" t="s">
        <v>64</v>
      </c>
      <c r="H168" s="2">
        <v>0.0</v>
      </c>
      <c r="I168" s="2">
        <v>0.0</v>
      </c>
      <c r="J168" s="37">
        <v>0.0</v>
      </c>
      <c r="K168" s="2">
        <v>0.0</v>
      </c>
      <c r="L168" s="2">
        <v>0.0</v>
      </c>
      <c r="M168" s="37">
        <v>0.0</v>
      </c>
    </row>
    <row r="169" ht="14.25" customHeight="1">
      <c r="A169" t="s">
        <v>237</v>
      </c>
      <c r="B169" t="s">
        <v>204</v>
      </c>
      <c r="C169" t="s">
        <v>75</v>
      </c>
      <c r="D169" t="s">
        <v>82</v>
      </c>
      <c r="E169">
        <v>24.5</v>
      </c>
      <c r="F169">
        <v>24.9</v>
      </c>
      <c r="G169" s="2" t="s">
        <v>64</v>
      </c>
      <c r="H169" s="2">
        <v>0.0</v>
      </c>
      <c r="I169" s="2">
        <v>0.0</v>
      </c>
      <c r="J169" s="37">
        <v>0.0</v>
      </c>
      <c r="K169" s="2">
        <v>0.0</v>
      </c>
      <c r="L169" s="2">
        <v>0.0</v>
      </c>
      <c r="M169" s="37">
        <v>0.0</v>
      </c>
    </row>
    <row r="170" ht="14.25" customHeight="1">
      <c r="A170" t="s">
        <v>238</v>
      </c>
      <c r="B170" t="s">
        <v>204</v>
      </c>
      <c r="C170" t="s">
        <v>75</v>
      </c>
      <c r="D170" t="s">
        <v>82</v>
      </c>
      <c r="E170">
        <v>31.8</v>
      </c>
      <c r="F170">
        <v>32.2</v>
      </c>
      <c r="G170" s="2" t="s">
        <v>64</v>
      </c>
      <c r="H170" s="2">
        <v>0.0</v>
      </c>
      <c r="I170" s="2">
        <v>0.0</v>
      </c>
      <c r="J170" s="37">
        <v>0.0</v>
      </c>
      <c r="K170" s="2">
        <v>0.0</v>
      </c>
      <c r="L170" s="2">
        <v>0.0</v>
      </c>
      <c r="M170" s="37">
        <v>0.0</v>
      </c>
    </row>
    <row r="171" ht="14.25" customHeight="1">
      <c r="A171" t="s">
        <v>239</v>
      </c>
      <c r="B171" t="s">
        <v>204</v>
      </c>
      <c r="C171" t="s">
        <v>75</v>
      </c>
      <c r="D171" t="s">
        <v>82</v>
      </c>
      <c r="E171">
        <v>31.8</v>
      </c>
      <c r="F171">
        <v>32.2</v>
      </c>
      <c r="G171" s="2" t="s">
        <v>64</v>
      </c>
      <c r="H171" s="2">
        <v>0.0</v>
      </c>
      <c r="I171" s="2">
        <v>0.0</v>
      </c>
      <c r="J171" s="37">
        <v>0.0</v>
      </c>
      <c r="K171" s="2">
        <v>0.0</v>
      </c>
      <c r="L171" s="2">
        <v>0.0</v>
      </c>
      <c r="M171" s="37">
        <v>0.0</v>
      </c>
    </row>
    <row r="172" ht="14.25" customHeight="1">
      <c r="A172" t="s">
        <v>240</v>
      </c>
      <c r="B172" t="s">
        <v>204</v>
      </c>
      <c r="C172" t="s">
        <v>75</v>
      </c>
      <c r="D172" t="s">
        <v>82</v>
      </c>
      <c r="E172">
        <v>36.2</v>
      </c>
      <c r="F172">
        <v>36.3</v>
      </c>
      <c r="G172" s="2" t="s">
        <v>64</v>
      </c>
      <c r="H172" s="2">
        <v>0.0</v>
      </c>
      <c r="I172" s="2">
        <v>0.0</v>
      </c>
      <c r="J172" s="37">
        <v>0.0</v>
      </c>
      <c r="K172" s="2">
        <v>0.0</v>
      </c>
      <c r="L172" s="2">
        <v>0.0</v>
      </c>
      <c r="M172" s="37">
        <v>0.0</v>
      </c>
    </row>
    <row r="173" ht="14.25" customHeight="1">
      <c r="A173" t="s">
        <v>241</v>
      </c>
      <c r="B173" t="s">
        <v>204</v>
      </c>
      <c r="C173" t="s">
        <v>75</v>
      </c>
      <c r="D173" t="s">
        <v>82</v>
      </c>
      <c r="E173">
        <v>36.2</v>
      </c>
      <c r="F173">
        <v>36.3</v>
      </c>
      <c r="G173" s="2" t="s">
        <v>64</v>
      </c>
      <c r="H173" s="2">
        <v>0.0</v>
      </c>
      <c r="I173" s="2">
        <v>0.0</v>
      </c>
      <c r="J173" s="37">
        <v>0.0</v>
      </c>
      <c r="K173" s="2">
        <v>0.0</v>
      </c>
      <c r="L173" s="2">
        <v>0.0</v>
      </c>
      <c r="M173" s="37">
        <v>0.0</v>
      </c>
    </row>
    <row r="174" ht="14.25" customHeight="1">
      <c r="A174" t="s">
        <v>242</v>
      </c>
      <c r="B174" t="s">
        <v>204</v>
      </c>
      <c r="C174" t="s">
        <v>75</v>
      </c>
      <c r="D174" t="s">
        <v>82</v>
      </c>
      <c r="E174">
        <v>43.4</v>
      </c>
      <c r="F174">
        <v>43.7</v>
      </c>
      <c r="G174" s="2" t="s">
        <v>64</v>
      </c>
      <c r="H174" s="2">
        <v>0.0</v>
      </c>
      <c r="I174" s="2">
        <v>0.0</v>
      </c>
      <c r="J174" s="37">
        <v>0.0</v>
      </c>
      <c r="K174" s="2">
        <v>0.0</v>
      </c>
      <c r="L174" s="2">
        <v>0.0</v>
      </c>
      <c r="M174" s="37">
        <v>0.0</v>
      </c>
    </row>
    <row r="175" ht="14.25" customHeight="1">
      <c r="A175" t="s">
        <v>243</v>
      </c>
      <c r="B175" t="s">
        <v>204</v>
      </c>
      <c r="C175" t="s">
        <v>75</v>
      </c>
      <c r="D175" t="s">
        <v>82</v>
      </c>
      <c r="E175">
        <v>43.4</v>
      </c>
      <c r="F175">
        <v>43.7</v>
      </c>
      <c r="G175" s="2" t="s">
        <v>64</v>
      </c>
      <c r="H175" s="2">
        <v>0.0</v>
      </c>
      <c r="I175" s="2">
        <v>0.0</v>
      </c>
      <c r="J175" s="37">
        <v>0.0</v>
      </c>
      <c r="K175" s="2">
        <v>0.0</v>
      </c>
      <c r="L175" s="2">
        <v>0.0</v>
      </c>
      <c r="M175" s="37">
        <v>0.0</v>
      </c>
    </row>
    <row r="176" ht="14.25" customHeight="1">
      <c r="A176" t="s">
        <v>244</v>
      </c>
      <c r="B176" t="s">
        <v>204</v>
      </c>
      <c r="C176" t="s">
        <v>75</v>
      </c>
      <c r="D176" t="s">
        <v>82</v>
      </c>
      <c r="E176">
        <v>60.6</v>
      </c>
      <c r="F176">
        <v>63.1</v>
      </c>
      <c r="G176" s="2" t="s">
        <v>64</v>
      </c>
      <c r="H176" s="2">
        <v>0.0</v>
      </c>
      <c r="I176" s="2">
        <v>0.0</v>
      </c>
      <c r="J176" s="37">
        <v>0.0</v>
      </c>
      <c r="K176" s="2">
        <v>0.0</v>
      </c>
      <c r="L176" s="2">
        <v>0.0</v>
      </c>
      <c r="M176" s="37">
        <v>0.0</v>
      </c>
    </row>
    <row r="177" ht="14.25" customHeight="1">
      <c r="A177" t="s">
        <v>245</v>
      </c>
      <c r="B177" t="s">
        <v>204</v>
      </c>
      <c r="C177" t="s">
        <v>75</v>
      </c>
      <c r="D177" t="s">
        <v>82</v>
      </c>
      <c r="E177">
        <v>60.6</v>
      </c>
      <c r="F177">
        <v>63.1</v>
      </c>
      <c r="G177" s="2" t="s">
        <v>64</v>
      </c>
      <c r="H177" s="2">
        <v>0.0</v>
      </c>
      <c r="I177" s="2">
        <v>0.0</v>
      </c>
      <c r="J177" s="37">
        <v>0.0</v>
      </c>
      <c r="K177" s="2">
        <v>0.0</v>
      </c>
      <c r="L177" s="2">
        <v>0.0</v>
      </c>
      <c r="M177" s="37">
        <v>0.0</v>
      </c>
    </row>
    <row r="178" ht="14.25" customHeight="1">
      <c r="A178" t="s">
        <v>246</v>
      </c>
      <c r="B178" t="s">
        <v>204</v>
      </c>
      <c r="C178" t="s">
        <v>75</v>
      </c>
      <c r="D178" t="s">
        <v>82</v>
      </c>
      <c r="E178">
        <v>14.86</v>
      </c>
      <c r="F178">
        <v>12.97</v>
      </c>
      <c r="G178" s="2" t="s">
        <v>64</v>
      </c>
      <c r="H178" s="2">
        <v>0.0</v>
      </c>
      <c r="I178" s="2">
        <v>0.0</v>
      </c>
      <c r="J178" s="37">
        <v>0.0</v>
      </c>
      <c r="K178" s="2">
        <v>0.0</v>
      </c>
      <c r="L178" s="2">
        <v>0.0</v>
      </c>
      <c r="M178" s="37">
        <v>0.0</v>
      </c>
    </row>
    <row r="179" ht="14.25" customHeight="1">
      <c r="A179" t="s">
        <v>247</v>
      </c>
      <c r="B179" t="s">
        <v>204</v>
      </c>
      <c r="C179" t="s">
        <v>75</v>
      </c>
      <c r="D179" t="s">
        <v>82</v>
      </c>
      <c r="E179">
        <v>18.8</v>
      </c>
      <c r="F179">
        <v>16.42</v>
      </c>
      <c r="G179" s="2" t="s">
        <v>64</v>
      </c>
      <c r="H179" s="2">
        <v>0.0</v>
      </c>
      <c r="I179" s="2">
        <v>0.0</v>
      </c>
      <c r="J179" s="37">
        <v>0.0</v>
      </c>
      <c r="K179" s="2">
        <v>0.0</v>
      </c>
      <c r="L179" s="2">
        <v>0.0</v>
      </c>
      <c r="M179" s="37">
        <v>0.0</v>
      </c>
    </row>
    <row r="180" ht="14.25" customHeight="1">
      <c r="A180" t="s">
        <v>248</v>
      </c>
      <c r="B180" t="s">
        <v>204</v>
      </c>
      <c r="C180" t="s">
        <v>75</v>
      </c>
      <c r="D180" t="s">
        <v>82</v>
      </c>
      <c r="E180">
        <v>26.3</v>
      </c>
      <c r="F180">
        <v>22.93</v>
      </c>
      <c r="G180" s="2" t="s">
        <v>64</v>
      </c>
      <c r="H180" s="2">
        <v>0.0</v>
      </c>
      <c r="I180" s="2">
        <v>0.0</v>
      </c>
      <c r="J180" s="37">
        <v>0.0</v>
      </c>
      <c r="K180" s="2">
        <v>0.0</v>
      </c>
      <c r="L180" s="2">
        <v>0.0</v>
      </c>
      <c r="M180" s="37">
        <v>0.0</v>
      </c>
    </row>
    <row r="181" ht="14.25" customHeight="1">
      <c r="A181" t="s">
        <v>249</v>
      </c>
      <c r="B181" t="s">
        <v>204</v>
      </c>
      <c r="C181" t="s">
        <v>75</v>
      </c>
      <c r="D181" t="s">
        <v>82</v>
      </c>
      <c r="E181">
        <v>33.93</v>
      </c>
      <c r="F181">
        <v>29.57</v>
      </c>
      <c r="G181" s="2" t="s">
        <v>64</v>
      </c>
      <c r="H181" s="2">
        <v>0.0</v>
      </c>
      <c r="I181" s="2">
        <v>0.0</v>
      </c>
      <c r="J181" s="37">
        <v>0.0</v>
      </c>
      <c r="K181" s="2">
        <v>0.0</v>
      </c>
      <c r="L181" s="2">
        <v>0.0</v>
      </c>
      <c r="M181" s="37">
        <v>0.0</v>
      </c>
    </row>
    <row r="182" ht="14.25" customHeight="1">
      <c r="A182" t="s">
        <v>250</v>
      </c>
      <c r="B182" t="s">
        <v>204</v>
      </c>
      <c r="C182" t="s">
        <v>75</v>
      </c>
      <c r="D182" t="s">
        <v>82</v>
      </c>
      <c r="E182">
        <v>36.22</v>
      </c>
      <c r="F182">
        <v>33.87</v>
      </c>
      <c r="G182" s="2" t="s">
        <v>64</v>
      </c>
      <c r="H182" s="2">
        <v>0.0</v>
      </c>
      <c r="I182" s="2">
        <v>0.0</v>
      </c>
      <c r="J182" s="37">
        <v>0.0</v>
      </c>
      <c r="K182" s="2">
        <v>0.0</v>
      </c>
      <c r="L182" s="2">
        <v>0.0</v>
      </c>
      <c r="M182" s="37">
        <v>0.0</v>
      </c>
    </row>
    <row r="183" ht="14.25" customHeight="1">
      <c r="A183" t="s">
        <v>251</v>
      </c>
      <c r="B183" t="s">
        <v>204</v>
      </c>
      <c r="C183" t="s">
        <v>75</v>
      </c>
      <c r="D183" t="s">
        <v>82</v>
      </c>
      <c r="E183">
        <v>46.66</v>
      </c>
      <c r="F183">
        <v>40.95</v>
      </c>
      <c r="G183" s="2" t="s">
        <v>64</v>
      </c>
      <c r="H183" s="2">
        <v>0.0</v>
      </c>
      <c r="I183" s="2">
        <v>0.0</v>
      </c>
      <c r="J183" s="37">
        <v>0.0</v>
      </c>
      <c r="K183" s="2">
        <v>0.0</v>
      </c>
      <c r="L183" s="2">
        <v>0.0</v>
      </c>
      <c r="M183" s="37">
        <v>0.0</v>
      </c>
    </row>
    <row r="184" ht="14.25" customHeight="1">
      <c r="A184" t="s">
        <v>252</v>
      </c>
      <c r="B184" t="s">
        <v>204</v>
      </c>
      <c r="C184" t="s">
        <v>75</v>
      </c>
      <c r="D184" t="s">
        <v>82</v>
      </c>
      <c r="E184">
        <v>50.66</v>
      </c>
      <c r="F184">
        <v>44.41</v>
      </c>
      <c r="G184" s="2" t="s">
        <v>64</v>
      </c>
      <c r="H184" s="2">
        <v>0.0</v>
      </c>
      <c r="I184" s="2">
        <v>0.0</v>
      </c>
      <c r="J184" s="37">
        <v>0.0</v>
      </c>
      <c r="K184" s="2">
        <v>0.0</v>
      </c>
      <c r="L184" s="2">
        <v>0.0</v>
      </c>
      <c r="M184" s="37">
        <v>0.0</v>
      </c>
    </row>
    <row r="185" ht="14.25" customHeight="1">
      <c r="A185" t="s">
        <v>253</v>
      </c>
      <c r="B185" t="s">
        <v>204</v>
      </c>
      <c r="C185" t="s">
        <v>75</v>
      </c>
      <c r="D185" t="s">
        <v>82</v>
      </c>
      <c r="E185">
        <v>61.09</v>
      </c>
      <c r="F185">
        <v>61.38</v>
      </c>
      <c r="G185" s="2" t="s">
        <v>64</v>
      </c>
      <c r="H185" s="2">
        <v>0.0</v>
      </c>
      <c r="I185" s="2">
        <v>0.0</v>
      </c>
      <c r="J185" s="37">
        <v>0.0</v>
      </c>
      <c r="K185" s="2">
        <v>0.0</v>
      </c>
      <c r="L185" s="2">
        <v>0.0</v>
      </c>
      <c r="M185" s="37">
        <v>0.0</v>
      </c>
    </row>
    <row r="186" ht="14.25" customHeight="1">
      <c r="A186" t="s">
        <v>254</v>
      </c>
      <c r="B186" t="s">
        <v>204</v>
      </c>
      <c r="C186" t="s">
        <v>75</v>
      </c>
      <c r="D186" t="s">
        <v>82</v>
      </c>
      <c r="E186">
        <v>51.2</v>
      </c>
      <c r="F186">
        <v>50.16</v>
      </c>
      <c r="G186" s="2" t="s">
        <v>64</v>
      </c>
      <c r="H186" s="2">
        <v>0.0</v>
      </c>
      <c r="I186" s="2">
        <v>0.0</v>
      </c>
      <c r="J186" s="37">
        <v>0.0</v>
      </c>
      <c r="K186" s="2">
        <v>0.0</v>
      </c>
      <c r="L186" s="2">
        <v>0.0</v>
      </c>
      <c r="M186" s="37">
        <v>0.0</v>
      </c>
    </row>
    <row r="187" ht="14.25" customHeight="1">
      <c r="A187" t="s">
        <v>255</v>
      </c>
      <c r="B187" t="s">
        <v>204</v>
      </c>
      <c r="C187" t="s">
        <v>75</v>
      </c>
      <c r="D187" t="s">
        <v>82</v>
      </c>
      <c r="E187">
        <v>51.2</v>
      </c>
      <c r="F187">
        <v>50.16</v>
      </c>
      <c r="G187" s="2" t="s">
        <v>64</v>
      </c>
      <c r="H187" s="2">
        <v>0.0</v>
      </c>
      <c r="I187" s="2">
        <v>0.0</v>
      </c>
      <c r="J187" s="37">
        <v>0.0</v>
      </c>
      <c r="K187" s="2">
        <v>0.0</v>
      </c>
      <c r="L187" s="2">
        <v>0.0</v>
      </c>
      <c r="M187" s="37">
        <v>0.0</v>
      </c>
    </row>
    <row r="188" ht="14.25" customHeight="1">
      <c r="A188" t="s">
        <v>256</v>
      </c>
      <c r="B188" t="s">
        <v>257</v>
      </c>
      <c r="C188" t="s">
        <v>62</v>
      </c>
      <c r="D188" t="s">
        <v>258</v>
      </c>
      <c r="E188">
        <v>2.477</v>
      </c>
      <c r="F188">
        <v>2.341</v>
      </c>
      <c r="G188" s="2" t="s">
        <v>64</v>
      </c>
      <c r="H188" s="2">
        <v>0.0</v>
      </c>
      <c r="I188" s="2">
        <v>0.0</v>
      </c>
      <c r="J188" s="37">
        <v>0.0</v>
      </c>
      <c r="K188" s="2">
        <v>0.0</v>
      </c>
      <c r="L188" s="2">
        <v>0.0</v>
      </c>
      <c r="M188" s="37">
        <v>0.0</v>
      </c>
    </row>
    <row r="189" ht="14.25" customHeight="1">
      <c r="A189" t="s">
        <v>259</v>
      </c>
      <c r="B189" t="s">
        <v>260</v>
      </c>
      <c r="C189" t="s">
        <v>62</v>
      </c>
      <c r="D189" t="s">
        <v>63</v>
      </c>
      <c r="E189">
        <v>3.5</v>
      </c>
      <c r="F189">
        <v>4.5</v>
      </c>
      <c r="G189" s="2" t="s">
        <v>64</v>
      </c>
      <c r="H189" s="2">
        <v>0.0</v>
      </c>
      <c r="I189" s="2">
        <v>0.0</v>
      </c>
      <c r="J189" s="37">
        <v>0.0</v>
      </c>
      <c r="K189" s="2">
        <v>0.0</v>
      </c>
      <c r="L189" s="2">
        <v>0.0</v>
      </c>
      <c r="M189" s="37">
        <v>0.0</v>
      </c>
    </row>
    <row r="190" ht="14.25" customHeight="1">
      <c r="A190" t="s">
        <v>261</v>
      </c>
      <c r="B190" t="s">
        <v>260</v>
      </c>
      <c r="C190" t="s">
        <v>62</v>
      </c>
      <c r="D190" t="s">
        <v>63</v>
      </c>
      <c r="E190">
        <v>5.2</v>
      </c>
      <c r="F190">
        <v>5.2</v>
      </c>
      <c r="G190" s="2" t="s">
        <v>67</v>
      </c>
      <c r="H190" s="2">
        <v>28.0</v>
      </c>
      <c r="I190" s="2">
        <v>120.0</v>
      </c>
      <c r="J190" s="37">
        <v>784.88</v>
      </c>
      <c r="K190" s="2">
        <v>32.0</v>
      </c>
      <c r="L190" s="2">
        <v>210.0</v>
      </c>
      <c r="M190" s="37">
        <v>991.72</v>
      </c>
    </row>
    <row r="191" ht="14.25" customHeight="1">
      <c r="A191" t="s">
        <v>262</v>
      </c>
      <c r="B191" t="s">
        <v>260</v>
      </c>
      <c r="C191" t="s">
        <v>62</v>
      </c>
      <c r="D191" t="s">
        <v>63</v>
      </c>
      <c r="E191">
        <v>2.64</v>
      </c>
      <c r="F191">
        <v>4.05</v>
      </c>
      <c r="G191" s="2" t="s">
        <v>64</v>
      </c>
      <c r="H191" s="2">
        <v>0.0</v>
      </c>
      <c r="I191" s="2">
        <v>0.0</v>
      </c>
      <c r="J191" s="37">
        <v>0.0</v>
      </c>
      <c r="K191" s="2">
        <v>0.0</v>
      </c>
      <c r="L191" s="2">
        <v>0.0</v>
      </c>
      <c r="M191" s="37">
        <v>0.0</v>
      </c>
    </row>
    <row r="192" ht="14.25" customHeight="1">
      <c r="A192" t="s">
        <v>263</v>
      </c>
      <c r="B192" t="s">
        <v>260</v>
      </c>
      <c r="C192" t="s">
        <v>62</v>
      </c>
      <c r="D192" t="s">
        <v>63</v>
      </c>
      <c r="E192">
        <v>2.64</v>
      </c>
      <c r="F192">
        <v>2.9</v>
      </c>
      <c r="G192" s="2" t="s">
        <v>67</v>
      </c>
      <c r="H192" s="2">
        <v>14.0</v>
      </c>
      <c r="I192" s="2">
        <v>28.0</v>
      </c>
      <c r="J192" s="37">
        <v>350.84</v>
      </c>
      <c r="K192" s="2">
        <v>16.0</v>
      </c>
      <c r="L192" s="2">
        <v>68.0</v>
      </c>
      <c r="M192" s="37">
        <v>447.76</v>
      </c>
    </row>
    <row r="193" ht="14.25" customHeight="1">
      <c r="A193" t="s">
        <v>264</v>
      </c>
      <c r="B193" t="s">
        <v>260</v>
      </c>
      <c r="C193" t="s">
        <v>62</v>
      </c>
      <c r="D193" t="s">
        <v>63</v>
      </c>
      <c r="E193">
        <v>5.3</v>
      </c>
      <c r="F193">
        <v>5.3</v>
      </c>
      <c r="G193" s="2" t="s">
        <v>67</v>
      </c>
      <c r="H193" s="2">
        <v>29.0</v>
      </c>
      <c r="I193" s="2">
        <v>8.0</v>
      </c>
      <c r="J193" s="37">
        <v>661.74</v>
      </c>
      <c r="K193" s="2">
        <v>33.0</v>
      </c>
      <c r="L193" s="2">
        <v>100.0</v>
      </c>
      <c r="M193" s="37">
        <v>871.1800000000001</v>
      </c>
    </row>
    <row r="194" ht="14.25" customHeight="1">
      <c r="A194" t="s">
        <v>265</v>
      </c>
      <c r="B194" t="s">
        <v>260</v>
      </c>
      <c r="C194" t="s">
        <v>62</v>
      </c>
      <c r="D194" t="s">
        <v>63</v>
      </c>
      <c r="E194">
        <v>3.5</v>
      </c>
      <c r="F194">
        <v>4.0</v>
      </c>
      <c r="G194" s="2" t="s">
        <v>64</v>
      </c>
      <c r="H194" s="2">
        <v>0.0</v>
      </c>
      <c r="I194" s="2">
        <v>0.0</v>
      </c>
      <c r="J194" s="37">
        <v>0.0</v>
      </c>
      <c r="K194" s="2">
        <v>0.0</v>
      </c>
      <c r="L194" s="2">
        <v>0.0</v>
      </c>
      <c r="M194" s="37">
        <v>0.0</v>
      </c>
    </row>
    <row r="195" ht="14.25" customHeight="1">
      <c r="A195" t="s">
        <v>266</v>
      </c>
      <c r="B195" t="s">
        <v>267</v>
      </c>
      <c r="C195" t="s">
        <v>62</v>
      </c>
      <c r="D195" t="s">
        <v>268</v>
      </c>
      <c r="E195">
        <v>2.637</v>
      </c>
      <c r="F195">
        <v>2.14</v>
      </c>
      <c r="G195" s="2" t="s">
        <v>64</v>
      </c>
      <c r="H195" s="2">
        <v>0.0</v>
      </c>
      <c r="I195" s="2">
        <v>0.0</v>
      </c>
      <c r="J195" s="37">
        <v>0.0</v>
      </c>
      <c r="K195" s="2">
        <v>0.0</v>
      </c>
      <c r="L195" s="2">
        <v>0.0</v>
      </c>
      <c r="M195" s="37">
        <v>0.0</v>
      </c>
    </row>
    <row r="196" ht="14.25" customHeight="1">
      <c r="A196" t="s">
        <v>269</v>
      </c>
      <c r="B196" t="s">
        <v>267</v>
      </c>
      <c r="C196" t="s">
        <v>62</v>
      </c>
      <c r="D196" t="s">
        <v>268</v>
      </c>
      <c r="E196">
        <v>2.637</v>
      </c>
      <c r="F196">
        <v>2.14</v>
      </c>
      <c r="G196" s="2" t="s">
        <v>64</v>
      </c>
      <c r="H196" s="2">
        <v>0.0</v>
      </c>
      <c r="I196" s="2">
        <v>0.0</v>
      </c>
      <c r="J196" s="37">
        <v>0.0</v>
      </c>
      <c r="K196" s="2">
        <v>0.0</v>
      </c>
      <c r="L196" s="2">
        <v>0.0</v>
      </c>
      <c r="M196" s="37">
        <v>0.0</v>
      </c>
    </row>
    <row r="197" ht="14.25" customHeight="1">
      <c r="A197" t="s">
        <v>270</v>
      </c>
      <c r="B197" t="s">
        <v>267</v>
      </c>
      <c r="C197" t="s">
        <v>62</v>
      </c>
      <c r="D197" t="s">
        <v>268</v>
      </c>
      <c r="E197">
        <v>2.637</v>
      </c>
      <c r="F197">
        <v>2.14</v>
      </c>
      <c r="G197" s="2" t="s">
        <v>64</v>
      </c>
      <c r="H197" s="2">
        <v>0.0</v>
      </c>
      <c r="I197" s="2">
        <v>0.0</v>
      </c>
      <c r="J197" s="37">
        <v>0.0</v>
      </c>
      <c r="K197" s="2">
        <v>0.0</v>
      </c>
      <c r="L197" s="2">
        <v>0.0</v>
      </c>
      <c r="M197" s="37">
        <v>0.0</v>
      </c>
    </row>
    <row r="198" ht="14.25" customHeight="1">
      <c r="A198" t="s">
        <v>271</v>
      </c>
      <c r="B198" t="s">
        <v>267</v>
      </c>
      <c r="C198" t="s">
        <v>62</v>
      </c>
      <c r="D198" t="s">
        <v>268</v>
      </c>
      <c r="E198">
        <v>2.637</v>
      </c>
      <c r="F198">
        <v>2.14</v>
      </c>
      <c r="G198" s="2" t="s">
        <v>64</v>
      </c>
      <c r="H198" s="2">
        <v>0.0</v>
      </c>
      <c r="I198" s="2">
        <v>0.0</v>
      </c>
      <c r="J198" s="37">
        <v>0.0</v>
      </c>
      <c r="K198" s="2">
        <v>0.0</v>
      </c>
      <c r="L198" s="2">
        <v>0.0</v>
      </c>
      <c r="M198" s="37">
        <v>0.0</v>
      </c>
    </row>
    <row r="199" ht="14.25" customHeight="1">
      <c r="A199" t="s">
        <v>272</v>
      </c>
      <c r="B199" t="s">
        <v>267</v>
      </c>
      <c r="C199" t="s">
        <v>62</v>
      </c>
      <c r="D199" t="s">
        <v>268</v>
      </c>
      <c r="E199">
        <v>2.637</v>
      </c>
      <c r="F199">
        <v>2.14</v>
      </c>
      <c r="G199" s="2" t="s">
        <v>64</v>
      </c>
      <c r="H199" s="2">
        <v>0.0</v>
      </c>
      <c r="I199" s="2">
        <v>0.0</v>
      </c>
      <c r="J199" s="37">
        <v>0.0</v>
      </c>
      <c r="K199" s="2">
        <v>0.0</v>
      </c>
      <c r="L199" s="2">
        <v>0.0</v>
      </c>
      <c r="M199" s="37">
        <v>0.0</v>
      </c>
    </row>
    <row r="200" ht="14.25" customHeight="1">
      <c r="A200" t="s">
        <v>273</v>
      </c>
      <c r="B200" t="s">
        <v>267</v>
      </c>
      <c r="C200" t="s">
        <v>62</v>
      </c>
      <c r="D200" t="s">
        <v>268</v>
      </c>
      <c r="E200">
        <v>3.5</v>
      </c>
      <c r="F200">
        <v>2.83</v>
      </c>
      <c r="G200" s="2" t="s">
        <v>64</v>
      </c>
      <c r="H200" s="2">
        <v>0.0</v>
      </c>
      <c r="I200" s="2">
        <v>0.0</v>
      </c>
      <c r="J200" s="37">
        <v>0.0</v>
      </c>
      <c r="K200" s="2">
        <v>0.0</v>
      </c>
      <c r="L200" s="2">
        <v>0.0</v>
      </c>
      <c r="M200" s="37">
        <v>0.0</v>
      </c>
    </row>
    <row r="201" ht="14.25" customHeight="1">
      <c r="A201" t="s">
        <v>274</v>
      </c>
      <c r="B201" t="s">
        <v>267</v>
      </c>
      <c r="C201" t="s">
        <v>62</v>
      </c>
      <c r="D201" t="s">
        <v>268</v>
      </c>
      <c r="E201">
        <v>3.5</v>
      </c>
      <c r="F201">
        <v>2.83</v>
      </c>
      <c r="G201" s="2" t="s">
        <v>64</v>
      </c>
      <c r="H201" s="2">
        <v>0.0</v>
      </c>
      <c r="I201" s="2">
        <v>0.0</v>
      </c>
      <c r="J201" s="37">
        <v>0.0</v>
      </c>
      <c r="K201" s="2">
        <v>0.0</v>
      </c>
      <c r="L201" s="2">
        <v>0.0</v>
      </c>
      <c r="M201" s="37">
        <v>0.0</v>
      </c>
    </row>
    <row r="202" ht="14.25" customHeight="1">
      <c r="A202" t="s">
        <v>275</v>
      </c>
      <c r="B202" t="s">
        <v>267</v>
      </c>
      <c r="C202" t="s">
        <v>62</v>
      </c>
      <c r="D202" t="s">
        <v>268</v>
      </c>
      <c r="E202">
        <v>3.5</v>
      </c>
      <c r="F202">
        <v>2.83</v>
      </c>
      <c r="G202" s="2" t="s">
        <v>64</v>
      </c>
      <c r="H202" s="2">
        <v>0.0</v>
      </c>
      <c r="I202" s="2">
        <v>0.0</v>
      </c>
      <c r="J202" s="37">
        <v>0.0</v>
      </c>
      <c r="K202" s="2">
        <v>0.0</v>
      </c>
      <c r="L202" s="2">
        <v>0.0</v>
      </c>
      <c r="M202" s="37">
        <v>0.0</v>
      </c>
    </row>
    <row r="203" ht="14.25" customHeight="1">
      <c r="A203" t="s">
        <v>276</v>
      </c>
      <c r="B203" t="s">
        <v>267</v>
      </c>
      <c r="C203" t="s">
        <v>62</v>
      </c>
      <c r="D203" t="s">
        <v>268</v>
      </c>
      <c r="E203">
        <v>3.5</v>
      </c>
      <c r="F203">
        <v>2.83</v>
      </c>
      <c r="G203" s="2" t="s">
        <v>64</v>
      </c>
      <c r="H203" s="2">
        <v>0.0</v>
      </c>
      <c r="I203" s="2">
        <v>0.0</v>
      </c>
      <c r="J203" s="37">
        <v>0.0</v>
      </c>
      <c r="K203" s="2">
        <v>0.0</v>
      </c>
      <c r="L203" s="2">
        <v>0.0</v>
      </c>
      <c r="M203" s="37">
        <v>0.0</v>
      </c>
    </row>
    <row r="204" ht="14.25" customHeight="1">
      <c r="A204" t="s">
        <v>277</v>
      </c>
      <c r="B204" t="s">
        <v>267</v>
      </c>
      <c r="C204" t="s">
        <v>62</v>
      </c>
      <c r="D204" t="s">
        <v>268</v>
      </c>
      <c r="E204">
        <v>3.5</v>
      </c>
      <c r="F204">
        <v>2.83</v>
      </c>
      <c r="G204" s="2" t="s">
        <v>64</v>
      </c>
      <c r="H204" s="2">
        <v>0.0</v>
      </c>
      <c r="I204" s="2">
        <v>0.0</v>
      </c>
      <c r="J204" s="37">
        <v>0.0</v>
      </c>
      <c r="K204" s="2">
        <v>0.0</v>
      </c>
      <c r="L204" s="2">
        <v>0.0</v>
      </c>
      <c r="M204" s="37">
        <v>0.0</v>
      </c>
    </row>
    <row r="205" ht="14.25" customHeight="1">
      <c r="A205" t="s">
        <v>278</v>
      </c>
      <c r="B205" t="s">
        <v>267</v>
      </c>
      <c r="C205" t="s">
        <v>62</v>
      </c>
      <c r="D205" t="s">
        <v>268</v>
      </c>
      <c r="E205">
        <v>4.1</v>
      </c>
      <c r="F205">
        <v>3.25</v>
      </c>
      <c r="G205" s="2" t="s">
        <v>64</v>
      </c>
      <c r="H205" s="2">
        <v>0.0</v>
      </c>
      <c r="I205" s="2">
        <v>0.0</v>
      </c>
      <c r="J205" s="37">
        <v>0.0</v>
      </c>
      <c r="K205" s="2">
        <v>0.0</v>
      </c>
      <c r="L205" s="2">
        <v>0.0</v>
      </c>
      <c r="M205" s="37">
        <v>0.0</v>
      </c>
    </row>
    <row r="206" ht="14.25" customHeight="1">
      <c r="A206" t="s">
        <v>279</v>
      </c>
      <c r="B206" t="s">
        <v>267</v>
      </c>
      <c r="C206" t="s">
        <v>62</v>
      </c>
      <c r="D206" t="s">
        <v>268</v>
      </c>
      <c r="E206">
        <v>4.1</v>
      </c>
      <c r="F206">
        <v>3.25</v>
      </c>
      <c r="G206" s="2" t="s">
        <v>64</v>
      </c>
      <c r="H206" s="2">
        <v>0.0</v>
      </c>
      <c r="I206" s="2">
        <v>0.0</v>
      </c>
      <c r="J206" s="37">
        <v>0.0</v>
      </c>
      <c r="K206" s="2">
        <v>0.0</v>
      </c>
      <c r="L206" s="2">
        <v>0.0</v>
      </c>
      <c r="M206" s="37">
        <v>0.0</v>
      </c>
    </row>
    <row r="207" ht="14.25" customHeight="1">
      <c r="A207" t="s">
        <v>280</v>
      </c>
      <c r="B207" t="s">
        <v>267</v>
      </c>
      <c r="C207" t="s">
        <v>62</v>
      </c>
      <c r="D207" t="s">
        <v>268</v>
      </c>
      <c r="E207">
        <v>4.1</v>
      </c>
      <c r="F207">
        <v>3.25</v>
      </c>
      <c r="G207" s="2" t="s">
        <v>64</v>
      </c>
      <c r="H207" s="2">
        <v>0.0</v>
      </c>
      <c r="I207" s="2">
        <v>0.0</v>
      </c>
      <c r="J207" s="37">
        <v>0.0</v>
      </c>
      <c r="K207" s="2">
        <v>0.0</v>
      </c>
      <c r="L207" s="2">
        <v>0.0</v>
      </c>
      <c r="M207" s="37">
        <v>0.0</v>
      </c>
    </row>
    <row r="208" ht="14.25" customHeight="1">
      <c r="A208" t="s">
        <v>281</v>
      </c>
      <c r="B208" t="s">
        <v>267</v>
      </c>
      <c r="C208" t="s">
        <v>62</v>
      </c>
      <c r="D208" t="s">
        <v>268</v>
      </c>
      <c r="E208">
        <v>4.1</v>
      </c>
      <c r="F208">
        <v>3.25</v>
      </c>
      <c r="G208" s="2" t="s">
        <v>64</v>
      </c>
      <c r="H208" s="2">
        <v>0.0</v>
      </c>
      <c r="I208" s="2">
        <v>0.0</v>
      </c>
      <c r="J208" s="37">
        <v>0.0</v>
      </c>
      <c r="K208" s="2">
        <v>0.0</v>
      </c>
      <c r="L208" s="2">
        <v>0.0</v>
      </c>
      <c r="M208" s="37">
        <v>0.0</v>
      </c>
    </row>
    <row r="209" ht="14.25" customHeight="1">
      <c r="A209" t="s">
        <v>282</v>
      </c>
      <c r="B209" t="s">
        <v>267</v>
      </c>
      <c r="C209" t="s">
        <v>62</v>
      </c>
      <c r="D209" t="s">
        <v>268</v>
      </c>
      <c r="E209">
        <v>4.1</v>
      </c>
      <c r="F209">
        <v>3.25</v>
      </c>
      <c r="G209" s="2" t="s">
        <v>64</v>
      </c>
      <c r="H209" s="2">
        <v>0.0</v>
      </c>
      <c r="I209" s="2">
        <v>0.0</v>
      </c>
      <c r="J209" s="37">
        <v>0.0</v>
      </c>
      <c r="K209" s="2">
        <v>0.0</v>
      </c>
      <c r="L209" s="2">
        <v>0.0</v>
      </c>
      <c r="M209" s="37">
        <v>0.0</v>
      </c>
    </row>
    <row r="210" ht="14.25" customHeight="1">
      <c r="A210" t="s">
        <v>283</v>
      </c>
      <c r="B210" t="s">
        <v>284</v>
      </c>
      <c r="C210" t="s">
        <v>75</v>
      </c>
      <c r="D210" t="s">
        <v>82</v>
      </c>
      <c r="E210">
        <v>11.38</v>
      </c>
      <c r="F210">
        <v>11.74</v>
      </c>
      <c r="G210" s="2" t="s">
        <v>64</v>
      </c>
      <c r="H210" s="2">
        <v>0.0</v>
      </c>
      <c r="I210" s="2">
        <v>0.0</v>
      </c>
      <c r="J210" s="37">
        <v>0.0</v>
      </c>
      <c r="K210" s="2">
        <v>0.0</v>
      </c>
      <c r="L210" s="2">
        <v>0.0</v>
      </c>
      <c r="M210" s="37">
        <v>0.0</v>
      </c>
    </row>
    <row r="211" ht="14.25" customHeight="1">
      <c r="A211" t="s">
        <v>285</v>
      </c>
      <c r="B211" t="s">
        <v>284</v>
      </c>
      <c r="C211" t="s">
        <v>75</v>
      </c>
      <c r="D211" t="s">
        <v>82</v>
      </c>
      <c r="E211">
        <v>11.38</v>
      </c>
      <c r="F211">
        <v>11.74</v>
      </c>
      <c r="G211" s="2" t="s">
        <v>64</v>
      </c>
      <c r="H211" s="2">
        <v>0.0</v>
      </c>
      <c r="I211" s="2">
        <v>0.0</v>
      </c>
      <c r="J211" s="37">
        <v>0.0</v>
      </c>
      <c r="K211" s="2">
        <v>0.0</v>
      </c>
      <c r="L211" s="2">
        <v>0.0</v>
      </c>
      <c r="M211" s="37">
        <v>0.0</v>
      </c>
    </row>
    <row r="212" ht="14.25" customHeight="1">
      <c r="A212" t="s">
        <v>286</v>
      </c>
      <c r="B212" t="s">
        <v>284</v>
      </c>
      <c r="C212" t="s">
        <v>75</v>
      </c>
      <c r="D212" t="s">
        <v>82</v>
      </c>
      <c r="E212">
        <v>11.38</v>
      </c>
      <c r="F212">
        <v>11.74</v>
      </c>
      <c r="G212" s="2" t="s">
        <v>64</v>
      </c>
      <c r="H212" s="2">
        <v>0.0</v>
      </c>
      <c r="I212" s="2">
        <v>0.0</v>
      </c>
      <c r="J212" s="37">
        <v>0.0</v>
      </c>
      <c r="K212" s="2">
        <v>0.0</v>
      </c>
      <c r="L212" s="2">
        <v>0.0</v>
      </c>
      <c r="M212" s="37">
        <v>0.0</v>
      </c>
    </row>
    <row r="213" ht="14.25" customHeight="1">
      <c r="A213" t="s">
        <v>287</v>
      </c>
      <c r="B213" t="s">
        <v>284</v>
      </c>
      <c r="C213" t="s">
        <v>75</v>
      </c>
      <c r="D213" t="s">
        <v>82</v>
      </c>
      <c r="E213">
        <v>11.38</v>
      </c>
      <c r="F213">
        <v>11.74</v>
      </c>
      <c r="G213" s="2" t="s">
        <v>64</v>
      </c>
      <c r="H213" s="2">
        <v>0.0</v>
      </c>
      <c r="I213" s="2">
        <v>0.0</v>
      </c>
      <c r="J213" s="37">
        <v>0.0</v>
      </c>
      <c r="K213" s="2">
        <v>0.0</v>
      </c>
      <c r="L213" s="2">
        <v>0.0</v>
      </c>
      <c r="M213" s="37">
        <v>0.0</v>
      </c>
    </row>
    <row r="214" ht="14.25" customHeight="1">
      <c r="A214" t="s">
        <v>288</v>
      </c>
      <c r="B214" t="s">
        <v>284</v>
      </c>
      <c r="C214" t="s">
        <v>75</v>
      </c>
      <c r="D214" t="s">
        <v>82</v>
      </c>
      <c r="E214">
        <v>11.38</v>
      </c>
      <c r="F214">
        <v>11.74</v>
      </c>
      <c r="G214" s="2" t="s">
        <v>64</v>
      </c>
      <c r="H214" s="2">
        <v>0.0</v>
      </c>
      <c r="I214" s="2">
        <v>0.0</v>
      </c>
      <c r="J214" s="37">
        <v>0.0</v>
      </c>
      <c r="K214" s="2">
        <v>0.0</v>
      </c>
      <c r="L214" s="2">
        <v>0.0</v>
      </c>
      <c r="M214" s="37">
        <v>0.0</v>
      </c>
    </row>
    <row r="215" ht="14.25" customHeight="1">
      <c r="A215" t="s">
        <v>289</v>
      </c>
      <c r="B215" t="s">
        <v>284</v>
      </c>
      <c r="C215" t="s">
        <v>75</v>
      </c>
      <c r="D215" t="s">
        <v>82</v>
      </c>
      <c r="E215">
        <v>11.38</v>
      </c>
      <c r="F215">
        <v>11.74</v>
      </c>
      <c r="G215" s="2" t="s">
        <v>64</v>
      </c>
      <c r="H215" s="2">
        <v>0.0</v>
      </c>
      <c r="I215" s="2">
        <v>0.0</v>
      </c>
      <c r="J215" s="37">
        <v>0.0</v>
      </c>
      <c r="K215" s="2">
        <v>0.0</v>
      </c>
      <c r="L215" s="2">
        <v>0.0</v>
      </c>
      <c r="M215" s="37">
        <v>0.0</v>
      </c>
    </row>
    <row r="216" ht="14.25" customHeight="1">
      <c r="A216" t="s">
        <v>290</v>
      </c>
      <c r="B216" t="s">
        <v>284</v>
      </c>
      <c r="C216" t="s">
        <v>75</v>
      </c>
      <c r="D216" t="s">
        <v>82</v>
      </c>
      <c r="E216">
        <v>11.38</v>
      </c>
      <c r="F216">
        <v>11.74</v>
      </c>
      <c r="G216" s="2" t="s">
        <v>64</v>
      </c>
      <c r="H216" s="2">
        <v>0.0</v>
      </c>
      <c r="I216" s="2">
        <v>0.0</v>
      </c>
      <c r="J216" s="37">
        <v>0.0</v>
      </c>
      <c r="K216" s="2">
        <v>0.0</v>
      </c>
      <c r="L216" s="2">
        <v>0.0</v>
      </c>
      <c r="M216" s="37">
        <v>0.0</v>
      </c>
    </row>
    <row r="217" ht="14.25" customHeight="1">
      <c r="A217" t="s">
        <v>291</v>
      </c>
      <c r="B217" t="s">
        <v>284</v>
      </c>
      <c r="C217" t="s">
        <v>75</v>
      </c>
      <c r="D217" t="s">
        <v>63</v>
      </c>
      <c r="E217">
        <v>11.38</v>
      </c>
      <c r="F217">
        <v>11.74</v>
      </c>
      <c r="G217" s="2" t="s">
        <v>64</v>
      </c>
      <c r="H217" s="2">
        <v>0.0</v>
      </c>
      <c r="I217" s="2">
        <v>0.0</v>
      </c>
      <c r="J217" s="37">
        <v>0.0</v>
      </c>
      <c r="K217" s="2">
        <v>0.0</v>
      </c>
      <c r="L217" s="2">
        <v>0.0</v>
      </c>
      <c r="M217" s="37">
        <v>0.0</v>
      </c>
    </row>
    <row r="218" ht="14.25" customHeight="1">
      <c r="A218" t="s">
        <v>292</v>
      </c>
      <c r="B218" t="s">
        <v>284</v>
      </c>
      <c r="C218" t="s">
        <v>75</v>
      </c>
      <c r="D218" t="s">
        <v>63</v>
      </c>
      <c r="E218">
        <v>11.38</v>
      </c>
      <c r="F218">
        <v>11.74</v>
      </c>
      <c r="G218" s="2" t="s">
        <v>64</v>
      </c>
      <c r="H218" s="2">
        <v>0.0</v>
      </c>
      <c r="I218" s="2">
        <v>0.0</v>
      </c>
      <c r="J218" s="37">
        <v>0.0</v>
      </c>
      <c r="K218" s="2">
        <v>0.0</v>
      </c>
      <c r="L218" s="2">
        <v>0.0</v>
      </c>
      <c r="M218" s="37">
        <v>0.0</v>
      </c>
    </row>
    <row r="219" ht="14.25" customHeight="1">
      <c r="A219" t="s">
        <v>293</v>
      </c>
      <c r="B219" t="s">
        <v>284</v>
      </c>
      <c r="C219" t="s">
        <v>75</v>
      </c>
      <c r="D219" t="s">
        <v>63</v>
      </c>
      <c r="E219">
        <v>11.38</v>
      </c>
      <c r="F219">
        <v>11.74</v>
      </c>
      <c r="G219" s="2" t="s">
        <v>64</v>
      </c>
      <c r="H219" s="2">
        <v>0.0</v>
      </c>
      <c r="I219" s="2">
        <v>0.0</v>
      </c>
      <c r="J219" s="37">
        <v>0.0</v>
      </c>
      <c r="K219" s="2">
        <v>0.0</v>
      </c>
      <c r="L219" s="2">
        <v>0.0</v>
      </c>
      <c r="M219" s="37">
        <v>0.0</v>
      </c>
    </row>
    <row r="220" ht="14.25" customHeight="1">
      <c r="A220" t="s">
        <v>294</v>
      </c>
      <c r="B220" t="s">
        <v>284</v>
      </c>
      <c r="C220" t="s">
        <v>75</v>
      </c>
      <c r="D220" t="s">
        <v>63</v>
      </c>
      <c r="E220">
        <v>11.38</v>
      </c>
      <c r="F220">
        <v>11.74</v>
      </c>
      <c r="G220" s="2" t="s">
        <v>64</v>
      </c>
      <c r="H220" s="2">
        <v>0.0</v>
      </c>
      <c r="I220" s="2">
        <v>0.0</v>
      </c>
      <c r="J220" s="37">
        <v>0.0</v>
      </c>
      <c r="K220" s="2">
        <v>0.0</v>
      </c>
      <c r="L220" s="2">
        <v>0.0</v>
      </c>
      <c r="M220" s="37">
        <v>0.0</v>
      </c>
    </row>
    <row r="221" ht="14.25" customHeight="1">
      <c r="A221" t="s">
        <v>295</v>
      </c>
      <c r="B221" t="s">
        <v>284</v>
      </c>
      <c r="C221" t="s">
        <v>75</v>
      </c>
      <c r="D221" t="s">
        <v>82</v>
      </c>
      <c r="E221">
        <v>16.01</v>
      </c>
      <c r="F221">
        <v>14.22</v>
      </c>
      <c r="G221" s="2" t="s">
        <v>64</v>
      </c>
      <c r="H221" s="2">
        <v>0.0</v>
      </c>
      <c r="I221" s="2">
        <v>0.0</v>
      </c>
      <c r="J221" s="37">
        <v>0.0</v>
      </c>
      <c r="K221" s="2">
        <v>0.0</v>
      </c>
      <c r="L221" s="2">
        <v>0.0</v>
      </c>
      <c r="M221" s="37">
        <v>0.0</v>
      </c>
    </row>
    <row r="222" ht="14.25" customHeight="1">
      <c r="A222" t="s">
        <v>296</v>
      </c>
      <c r="B222" t="s">
        <v>284</v>
      </c>
      <c r="C222" t="s">
        <v>75</v>
      </c>
      <c r="D222" t="s">
        <v>82</v>
      </c>
      <c r="E222">
        <v>16.01</v>
      </c>
      <c r="F222">
        <v>14.22</v>
      </c>
      <c r="G222" s="2" t="s">
        <v>64</v>
      </c>
      <c r="H222" s="2">
        <v>0.0</v>
      </c>
      <c r="I222" s="2">
        <v>0.0</v>
      </c>
      <c r="J222" s="37">
        <v>0.0</v>
      </c>
      <c r="K222" s="2">
        <v>0.0</v>
      </c>
      <c r="L222" s="2">
        <v>0.0</v>
      </c>
      <c r="M222" s="37">
        <v>0.0</v>
      </c>
    </row>
    <row r="223" ht="14.25" customHeight="1">
      <c r="A223" t="s">
        <v>297</v>
      </c>
      <c r="B223" t="s">
        <v>284</v>
      </c>
      <c r="C223" t="s">
        <v>75</v>
      </c>
      <c r="D223" t="s">
        <v>82</v>
      </c>
      <c r="E223">
        <v>16.01</v>
      </c>
      <c r="F223">
        <v>14.22</v>
      </c>
      <c r="G223" s="2" t="s">
        <v>64</v>
      </c>
      <c r="H223" s="2">
        <v>0.0</v>
      </c>
      <c r="I223" s="2">
        <v>0.0</v>
      </c>
      <c r="J223" s="37">
        <v>0.0</v>
      </c>
      <c r="K223" s="2">
        <v>0.0</v>
      </c>
      <c r="L223" s="2">
        <v>0.0</v>
      </c>
      <c r="M223" s="37">
        <v>0.0</v>
      </c>
    </row>
    <row r="224" ht="14.25" customHeight="1">
      <c r="A224" t="s">
        <v>298</v>
      </c>
      <c r="B224" t="s">
        <v>284</v>
      </c>
      <c r="C224" t="s">
        <v>75</v>
      </c>
      <c r="D224" t="s">
        <v>82</v>
      </c>
      <c r="E224">
        <v>16.01</v>
      </c>
      <c r="F224">
        <v>14.22</v>
      </c>
      <c r="G224" s="2" t="s">
        <v>64</v>
      </c>
      <c r="H224" s="2">
        <v>0.0</v>
      </c>
      <c r="I224" s="2">
        <v>0.0</v>
      </c>
      <c r="J224" s="37">
        <v>0.0</v>
      </c>
      <c r="K224" s="2">
        <v>0.0</v>
      </c>
      <c r="L224" s="2">
        <v>0.0</v>
      </c>
      <c r="M224" s="37">
        <v>0.0</v>
      </c>
    </row>
    <row r="225" ht="14.25" customHeight="1">
      <c r="A225" t="s">
        <v>299</v>
      </c>
      <c r="B225" t="s">
        <v>284</v>
      </c>
      <c r="C225" t="s">
        <v>75</v>
      </c>
      <c r="D225" t="s">
        <v>82</v>
      </c>
      <c r="E225">
        <v>16.01</v>
      </c>
      <c r="F225">
        <v>14.22</v>
      </c>
      <c r="G225" s="2" t="s">
        <v>64</v>
      </c>
      <c r="H225" s="2">
        <v>0.0</v>
      </c>
      <c r="I225" s="2">
        <v>0.0</v>
      </c>
      <c r="J225" s="37">
        <v>0.0</v>
      </c>
      <c r="K225" s="2">
        <v>0.0</v>
      </c>
      <c r="L225" s="2">
        <v>0.0</v>
      </c>
      <c r="M225" s="37">
        <v>0.0</v>
      </c>
    </row>
    <row r="226" ht="14.25" customHeight="1">
      <c r="A226" t="s">
        <v>300</v>
      </c>
      <c r="B226" t="s">
        <v>284</v>
      </c>
      <c r="C226" t="s">
        <v>75</v>
      </c>
      <c r="D226" t="s">
        <v>82</v>
      </c>
      <c r="E226">
        <v>16.01</v>
      </c>
      <c r="F226">
        <v>14.22</v>
      </c>
      <c r="G226" s="2" t="s">
        <v>64</v>
      </c>
      <c r="H226" s="2">
        <v>0.0</v>
      </c>
      <c r="I226" s="2">
        <v>0.0</v>
      </c>
      <c r="J226" s="37">
        <v>0.0</v>
      </c>
      <c r="K226" s="2">
        <v>0.0</v>
      </c>
      <c r="L226" s="2">
        <v>0.0</v>
      </c>
      <c r="M226" s="37">
        <v>0.0</v>
      </c>
    </row>
    <row r="227" ht="14.25" customHeight="1">
      <c r="A227" t="s">
        <v>301</v>
      </c>
      <c r="B227" t="s">
        <v>284</v>
      </c>
      <c r="C227" t="s">
        <v>75</v>
      </c>
      <c r="D227" t="s">
        <v>82</v>
      </c>
      <c r="E227">
        <v>16.01</v>
      </c>
      <c r="F227">
        <v>14.22</v>
      </c>
      <c r="G227" s="2" t="s">
        <v>64</v>
      </c>
      <c r="H227" s="2">
        <v>0.0</v>
      </c>
      <c r="I227" s="2">
        <v>0.0</v>
      </c>
      <c r="J227" s="37">
        <v>0.0</v>
      </c>
      <c r="K227" s="2">
        <v>0.0</v>
      </c>
      <c r="L227" s="2">
        <v>0.0</v>
      </c>
      <c r="M227" s="37">
        <v>0.0</v>
      </c>
    </row>
    <row r="228" ht="14.25" customHeight="1">
      <c r="A228" t="s">
        <v>302</v>
      </c>
      <c r="B228" t="s">
        <v>284</v>
      </c>
      <c r="C228" t="s">
        <v>75</v>
      </c>
      <c r="D228" t="s">
        <v>63</v>
      </c>
      <c r="E228">
        <v>16.01</v>
      </c>
      <c r="F228">
        <v>14.22</v>
      </c>
      <c r="G228" s="2" t="s">
        <v>64</v>
      </c>
      <c r="H228" s="2">
        <v>0.0</v>
      </c>
      <c r="I228" s="2">
        <v>0.0</v>
      </c>
      <c r="J228" s="37">
        <v>0.0</v>
      </c>
      <c r="K228" s="2">
        <v>0.0</v>
      </c>
      <c r="L228" s="2">
        <v>0.0</v>
      </c>
      <c r="M228" s="37">
        <v>0.0</v>
      </c>
    </row>
    <row r="229" ht="14.25" customHeight="1">
      <c r="A229" t="s">
        <v>303</v>
      </c>
      <c r="B229" t="s">
        <v>284</v>
      </c>
      <c r="C229" t="s">
        <v>75</v>
      </c>
      <c r="D229" t="s">
        <v>63</v>
      </c>
      <c r="E229">
        <v>16.01</v>
      </c>
      <c r="F229">
        <v>14.22</v>
      </c>
      <c r="G229" s="2" t="s">
        <v>64</v>
      </c>
      <c r="H229" s="2">
        <v>0.0</v>
      </c>
      <c r="I229" s="2">
        <v>0.0</v>
      </c>
      <c r="J229" s="37">
        <v>0.0</v>
      </c>
      <c r="K229" s="2">
        <v>0.0</v>
      </c>
      <c r="L229" s="2">
        <v>0.0</v>
      </c>
      <c r="M229" s="37">
        <v>0.0</v>
      </c>
    </row>
    <row r="230" ht="14.25" customHeight="1">
      <c r="A230" t="s">
        <v>304</v>
      </c>
      <c r="B230" t="s">
        <v>284</v>
      </c>
      <c r="C230" t="s">
        <v>75</v>
      </c>
      <c r="D230" t="s">
        <v>63</v>
      </c>
      <c r="E230">
        <v>16.01</v>
      </c>
      <c r="F230">
        <v>14.22</v>
      </c>
      <c r="G230" s="2" t="s">
        <v>64</v>
      </c>
      <c r="H230" s="2">
        <v>0.0</v>
      </c>
      <c r="I230" s="2">
        <v>0.0</v>
      </c>
      <c r="J230" s="37">
        <v>0.0</v>
      </c>
      <c r="K230" s="2">
        <v>0.0</v>
      </c>
      <c r="L230" s="2">
        <v>0.0</v>
      </c>
      <c r="M230" s="37">
        <v>0.0</v>
      </c>
    </row>
    <row r="231" ht="14.25" customHeight="1">
      <c r="A231" t="s">
        <v>305</v>
      </c>
      <c r="B231" t="s">
        <v>284</v>
      </c>
      <c r="C231" t="s">
        <v>75</v>
      </c>
      <c r="D231" t="s">
        <v>63</v>
      </c>
      <c r="E231">
        <v>16.01</v>
      </c>
      <c r="F231">
        <v>14.22</v>
      </c>
      <c r="G231" s="2" t="s">
        <v>64</v>
      </c>
      <c r="H231" s="2">
        <v>0.0</v>
      </c>
      <c r="I231" s="2">
        <v>0.0</v>
      </c>
      <c r="J231" s="37">
        <v>0.0</v>
      </c>
      <c r="K231" s="2">
        <v>0.0</v>
      </c>
      <c r="L231" s="2">
        <v>0.0</v>
      </c>
      <c r="M231" s="37">
        <v>0.0</v>
      </c>
    </row>
    <row r="232" ht="14.25" customHeight="1">
      <c r="A232" t="s">
        <v>306</v>
      </c>
      <c r="B232" t="s">
        <v>284</v>
      </c>
      <c r="C232" t="s">
        <v>75</v>
      </c>
      <c r="D232" t="s">
        <v>82</v>
      </c>
      <c r="E232">
        <v>18.74</v>
      </c>
      <c r="F232">
        <v>16.06</v>
      </c>
      <c r="G232" s="2" t="s">
        <v>64</v>
      </c>
      <c r="H232" s="2">
        <v>0.0</v>
      </c>
      <c r="I232" s="2">
        <v>0.0</v>
      </c>
      <c r="J232" s="37">
        <v>0.0</v>
      </c>
      <c r="K232" s="2">
        <v>0.0</v>
      </c>
      <c r="L232" s="2">
        <v>0.0</v>
      </c>
      <c r="M232" s="37">
        <v>0.0</v>
      </c>
    </row>
    <row r="233" ht="14.25" customHeight="1">
      <c r="A233" t="s">
        <v>307</v>
      </c>
      <c r="B233" t="s">
        <v>284</v>
      </c>
      <c r="C233" t="s">
        <v>75</v>
      </c>
      <c r="D233" t="s">
        <v>82</v>
      </c>
      <c r="E233">
        <v>18.74</v>
      </c>
      <c r="F233">
        <v>16.06</v>
      </c>
      <c r="G233" s="2" t="s">
        <v>64</v>
      </c>
      <c r="H233" s="2">
        <v>0.0</v>
      </c>
      <c r="I233" s="2">
        <v>0.0</v>
      </c>
      <c r="J233" s="37">
        <v>0.0</v>
      </c>
      <c r="K233" s="2">
        <v>0.0</v>
      </c>
      <c r="L233" s="2">
        <v>0.0</v>
      </c>
      <c r="M233" s="37">
        <v>0.0</v>
      </c>
    </row>
    <row r="234" ht="14.25" customHeight="1">
      <c r="A234" t="s">
        <v>308</v>
      </c>
      <c r="B234" t="s">
        <v>284</v>
      </c>
      <c r="C234" t="s">
        <v>75</v>
      </c>
      <c r="D234" t="s">
        <v>82</v>
      </c>
      <c r="E234">
        <v>18.74</v>
      </c>
      <c r="F234">
        <v>16.06</v>
      </c>
      <c r="G234" s="2" t="s">
        <v>64</v>
      </c>
      <c r="H234" s="2">
        <v>0.0</v>
      </c>
      <c r="I234" s="2">
        <v>0.0</v>
      </c>
      <c r="J234" s="37">
        <v>0.0</v>
      </c>
      <c r="K234" s="2">
        <v>0.0</v>
      </c>
      <c r="L234" s="2">
        <v>0.0</v>
      </c>
      <c r="M234" s="37">
        <v>0.0</v>
      </c>
    </row>
    <row r="235" ht="14.25" customHeight="1">
      <c r="A235" t="s">
        <v>309</v>
      </c>
      <c r="B235" t="s">
        <v>284</v>
      </c>
      <c r="C235" t="s">
        <v>75</v>
      </c>
      <c r="D235" t="s">
        <v>82</v>
      </c>
      <c r="E235">
        <v>18.74</v>
      </c>
      <c r="F235">
        <v>16.06</v>
      </c>
      <c r="G235" s="2" t="s">
        <v>64</v>
      </c>
      <c r="H235" s="2">
        <v>0.0</v>
      </c>
      <c r="I235" s="2">
        <v>0.0</v>
      </c>
      <c r="J235" s="37">
        <v>0.0</v>
      </c>
      <c r="K235" s="2">
        <v>0.0</v>
      </c>
      <c r="L235" s="2">
        <v>0.0</v>
      </c>
      <c r="M235" s="37">
        <v>0.0</v>
      </c>
    </row>
    <row r="236" ht="14.25" customHeight="1">
      <c r="A236" t="s">
        <v>310</v>
      </c>
      <c r="B236" t="s">
        <v>284</v>
      </c>
      <c r="C236" t="s">
        <v>75</v>
      </c>
      <c r="D236" t="s">
        <v>82</v>
      </c>
      <c r="E236">
        <v>18.74</v>
      </c>
      <c r="F236">
        <v>16.06</v>
      </c>
      <c r="G236" s="2" t="s">
        <v>64</v>
      </c>
      <c r="H236" s="2">
        <v>0.0</v>
      </c>
      <c r="I236" s="2">
        <v>0.0</v>
      </c>
      <c r="J236" s="37">
        <v>0.0</v>
      </c>
      <c r="K236" s="2">
        <v>0.0</v>
      </c>
      <c r="L236" s="2">
        <v>0.0</v>
      </c>
      <c r="M236" s="37">
        <v>0.0</v>
      </c>
    </row>
    <row r="237" ht="14.25" customHeight="1">
      <c r="A237" t="s">
        <v>311</v>
      </c>
      <c r="B237" t="s">
        <v>284</v>
      </c>
      <c r="C237" t="s">
        <v>75</v>
      </c>
      <c r="D237" t="s">
        <v>82</v>
      </c>
      <c r="E237">
        <v>18.74</v>
      </c>
      <c r="F237">
        <v>16.06</v>
      </c>
      <c r="G237" s="2" t="s">
        <v>64</v>
      </c>
      <c r="H237" s="2">
        <v>0.0</v>
      </c>
      <c r="I237" s="2">
        <v>0.0</v>
      </c>
      <c r="J237" s="37">
        <v>0.0</v>
      </c>
      <c r="K237" s="2">
        <v>0.0</v>
      </c>
      <c r="L237" s="2">
        <v>0.0</v>
      </c>
      <c r="M237" s="37">
        <v>0.0</v>
      </c>
    </row>
    <row r="238" ht="14.25" customHeight="1">
      <c r="A238" t="s">
        <v>312</v>
      </c>
      <c r="B238" t="s">
        <v>284</v>
      </c>
      <c r="C238" t="s">
        <v>75</v>
      </c>
      <c r="D238" t="s">
        <v>82</v>
      </c>
      <c r="E238">
        <v>18.74</v>
      </c>
      <c r="F238">
        <v>16.06</v>
      </c>
      <c r="G238" s="2" t="s">
        <v>64</v>
      </c>
      <c r="H238" s="2">
        <v>0.0</v>
      </c>
      <c r="I238" s="2">
        <v>0.0</v>
      </c>
      <c r="J238" s="37">
        <v>0.0</v>
      </c>
      <c r="K238" s="2">
        <v>0.0</v>
      </c>
      <c r="L238" s="2">
        <v>0.0</v>
      </c>
      <c r="M238" s="37">
        <v>0.0</v>
      </c>
    </row>
    <row r="239" ht="14.25" customHeight="1">
      <c r="A239" t="s">
        <v>312</v>
      </c>
      <c r="B239" t="s">
        <v>284</v>
      </c>
      <c r="C239" t="s">
        <v>75</v>
      </c>
      <c r="D239" t="s">
        <v>82</v>
      </c>
      <c r="E239">
        <v>18.74</v>
      </c>
      <c r="F239">
        <v>16.06</v>
      </c>
      <c r="G239" s="2" t="s">
        <v>64</v>
      </c>
      <c r="H239" s="2">
        <v>0.0</v>
      </c>
      <c r="I239" s="2">
        <v>0.0</v>
      </c>
      <c r="J239" s="37">
        <v>0.0</v>
      </c>
      <c r="K239" s="2">
        <v>0.0</v>
      </c>
      <c r="L239" s="2">
        <v>0.0</v>
      </c>
      <c r="M239" s="37">
        <v>0.0</v>
      </c>
    </row>
    <row r="240" ht="14.25" customHeight="1">
      <c r="A240" t="s">
        <v>313</v>
      </c>
      <c r="B240" t="s">
        <v>284</v>
      </c>
      <c r="C240" t="s">
        <v>75</v>
      </c>
      <c r="D240" t="s">
        <v>63</v>
      </c>
      <c r="E240">
        <v>18.74</v>
      </c>
      <c r="F240">
        <v>16.06</v>
      </c>
      <c r="G240" s="2" t="s">
        <v>64</v>
      </c>
      <c r="H240" s="2">
        <v>0.0</v>
      </c>
      <c r="I240" s="2">
        <v>0.0</v>
      </c>
      <c r="J240" s="37">
        <v>0.0</v>
      </c>
      <c r="K240" s="2">
        <v>0.0</v>
      </c>
      <c r="L240" s="2">
        <v>0.0</v>
      </c>
      <c r="M240" s="37">
        <v>0.0</v>
      </c>
    </row>
    <row r="241" ht="14.25" customHeight="1">
      <c r="A241" t="s">
        <v>314</v>
      </c>
      <c r="B241" t="s">
        <v>284</v>
      </c>
      <c r="C241" t="s">
        <v>75</v>
      </c>
      <c r="D241" t="s">
        <v>63</v>
      </c>
      <c r="E241">
        <v>18.74</v>
      </c>
      <c r="F241">
        <v>16.06</v>
      </c>
      <c r="G241" s="2" t="s">
        <v>64</v>
      </c>
      <c r="H241" s="2">
        <v>0.0</v>
      </c>
      <c r="I241" s="2">
        <v>0.0</v>
      </c>
      <c r="J241" s="37">
        <v>0.0</v>
      </c>
      <c r="K241" s="2">
        <v>0.0</v>
      </c>
      <c r="L241" s="2">
        <v>0.0</v>
      </c>
      <c r="M241" s="37">
        <v>0.0</v>
      </c>
    </row>
    <row r="242" ht="14.25" customHeight="1">
      <c r="A242" t="s">
        <v>315</v>
      </c>
      <c r="B242" t="s">
        <v>284</v>
      </c>
      <c r="C242" t="s">
        <v>75</v>
      </c>
      <c r="D242" t="s">
        <v>63</v>
      </c>
      <c r="E242">
        <v>18.74</v>
      </c>
      <c r="F242">
        <v>16.06</v>
      </c>
      <c r="G242" s="2" t="s">
        <v>64</v>
      </c>
      <c r="H242" s="2">
        <v>0.0</v>
      </c>
      <c r="I242" s="2">
        <v>0.0</v>
      </c>
      <c r="J242" s="37">
        <v>0.0</v>
      </c>
      <c r="K242" s="2">
        <v>0.0</v>
      </c>
      <c r="L242" s="2">
        <v>0.0</v>
      </c>
      <c r="M242" s="37">
        <v>0.0</v>
      </c>
    </row>
    <row r="243" ht="14.25" customHeight="1">
      <c r="A243" t="s">
        <v>316</v>
      </c>
      <c r="B243" t="s">
        <v>284</v>
      </c>
      <c r="C243" t="s">
        <v>75</v>
      </c>
      <c r="D243" t="s">
        <v>63</v>
      </c>
      <c r="E243">
        <v>18.74</v>
      </c>
      <c r="F243">
        <v>16.06</v>
      </c>
      <c r="G243" s="2" t="s">
        <v>64</v>
      </c>
      <c r="H243" s="2">
        <v>0.0</v>
      </c>
      <c r="I243" s="2">
        <v>0.0</v>
      </c>
      <c r="J243" s="37">
        <v>0.0</v>
      </c>
      <c r="K243" s="2">
        <v>0.0</v>
      </c>
      <c r="L243" s="2">
        <v>0.0</v>
      </c>
      <c r="M243" s="37">
        <v>0.0</v>
      </c>
    </row>
    <row r="244" ht="14.25" customHeight="1">
      <c r="A244" t="s">
        <v>317</v>
      </c>
      <c r="B244" t="s">
        <v>284</v>
      </c>
      <c r="C244" t="s">
        <v>75</v>
      </c>
      <c r="D244" t="s">
        <v>82</v>
      </c>
      <c r="E244">
        <v>16.01</v>
      </c>
      <c r="F244">
        <v>14.22</v>
      </c>
      <c r="G244" s="2" t="s">
        <v>64</v>
      </c>
      <c r="H244" s="2">
        <v>0.0</v>
      </c>
      <c r="I244" s="2">
        <v>0.0</v>
      </c>
      <c r="J244" s="37">
        <v>0.0</v>
      </c>
      <c r="K244" s="2">
        <v>0.0</v>
      </c>
      <c r="L244" s="2">
        <v>0.0</v>
      </c>
      <c r="M244" s="37">
        <v>0.0</v>
      </c>
    </row>
    <row r="245" ht="14.25" customHeight="1">
      <c r="A245" t="s">
        <v>318</v>
      </c>
      <c r="B245" t="s">
        <v>284</v>
      </c>
      <c r="C245" t="s">
        <v>75</v>
      </c>
      <c r="D245" t="s">
        <v>82</v>
      </c>
      <c r="E245">
        <v>16.01</v>
      </c>
      <c r="F245">
        <v>14.22</v>
      </c>
      <c r="G245" s="2" t="s">
        <v>64</v>
      </c>
      <c r="H245" s="2">
        <v>0.0</v>
      </c>
      <c r="I245" s="2">
        <v>0.0</v>
      </c>
      <c r="J245" s="37">
        <v>0.0</v>
      </c>
      <c r="K245" s="2">
        <v>0.0</v>
      </c>
      <c r="L245" s="2">
        <v>0.0</v>
      </c>
      <c r="M245" s="37">
        <v>0.0</v>
      </c>
    </row>
    <row r="246" ht="14.25" customHeight="1">
      <c r="A246" t="s">
        <v>319</v>
      </c>
      <c r="B246" t="s">
        <v>284</v>
      </c>
      <c r="C246" t="s">
        <v>75</v>
      </c>
      <c r="D246" t="s">
        <v>82</v>
      </c>
      <c r="E246">
        <v>16.01</v>
      </c>
      <c r="F246">
        <v>14.22</v>
      </c>
      <c r="G246" s="2" t="s">
        <v>64</v>
      </c>
      <c r="H246" s="2">
        <v>0.0</v>
      </c>
      <c r="I246" s="2">
        <v>0.0</v>
      </c>
      <c r="J246" s="37">
        <v>0.0</v>
      </c>
      <c r="K246" s="2">
        <v>0.0</v>
      </c>
      <c r="L246" s="2">
        <v>0.0</v>
      </c>
      <c r="M246" s="37">
        <v>0.0</v>
      </c>
    </row>
    <row r="247" ht="14.25" customHeight="1">
      <c r="A247" t="s">
        <v>320</v>
      </c>
      <c r="B247" t="s">
        <v>284</v>
      </c>
      <c r="C247" t="s">
        <v>75</v>
      </c>
      <c r="D247" t="s">
        <v>82</v>
      </c>
      <c r="E247">
        <v>16.01</v>
      </c>
      <c r="F247">
        <v>14.22</v>
      </c>
      <c r="G247" s="2" t="s">
        <v>64</v>
      </c>
      <c r="H247" s="2">
        <v>0.0</v>
      </c>
      <c r="I247" s="2">
        <v>0.0</v>
      </c>
      <c r="J247" s="37">
        <v>0.0</v>
      </c>
      <c r="K247" s="2">
        <v>0.0</v>
      </c>
      <c r="L247" s="2">
        <v>0.0</v>
      </c>
      <c r="M247" s="37">
        <v>0.0</v>
      </c>
    </row>
    <row r="248" ht="14.25" customHeight="1">
      <c r="A248" t="s">
        <v>321</v>
      </c>
      <c r="B248" t="s">
        <v>284</v>
      </c>
      <c r="C248" t="s">
        <v>75</v>
      </c>
      <c r="D248" t="s">
        <v>82</v>
      </c>
      <c r="E248">
        <v>16.01</v>
      </c>
      <c r="F248">
        <v>14.22</v>
      </c>
      <c r="G248" s="2" t="s">
        <v>64</v>
      </c>
      <c r="H248" s="2">
        <v>0.0</v>
      </c>
      <c r="I248" s="2">
        <v>0.0</v>
      </c>
      <c r="J248" s="37">
        <v>0.0</v>
      </c>
      <c r="K248" s="2">
        <v>0.0</v>
      </c>
      <c r="L248" s="2">
        <v>0.0</v>
      </c>
      <c r="M248" s="37">
        <v>0.0</v>
      </c>
    </row>
    <row r="249" ht="14.25" customHeight="1">
      <c r="A249" t="s">
        <v>322</v>
      </c>
      <c r="B249" t="s">
        <v>284</v>
      </c>
      <c r="C249" t="s">
        <v>75</v>
      </c>
      <c r="D249" t="s">
        <v>82</v>
      </c>
      <c r="E249">
        <v>16.01</v>
      </c>
      <c r="F249">
        <v>14.22</v>
      </c>
      <c r="G249" s="2" t="s">
        <v>64</v>
      </c>
      <c r="H249" s="2">
        <v>0.0</v>
      </c>
      <c r="I249" s="2">
        <v>0.0</v>
      </c>
      <c r="J249" s="37">
        <v>0.0</v>
      </c>
      <c r="K249" s="2">
        <v>0.0</v>
      </c>
      <c r="L249" s="2">
        <v>0.0</v>
      </c>
      <c r="M249" s="37">
        <v>0.0</v>
      </c>
    </row>
    <row r="250" ht="14.25" customHeight="1">
      <c r="A250" t="s">
        <v>323</v>
      </c>
      <c r="B250" t="s">
        <v>284</v>
      </c>
      <c r="C250" t="s">
        <v>75</v>
      </c>
      <c r="D250" t="s">
        <v>82</v>
      </c>
      <c r="E250">
        <v>16.01</v>
      </c>
      <c r="F250">
        <v>14.22</v>
      </c>
      <c r="G250" s="2" t="s">
        <v>64</v>
      </c>
      <c r="H250" s="2">
        <v>0.0</v>
      </c>
      <c r="I250" s="2">
        <v>0.0</v>
      </c>
      <c r="J250" s="37">
        <v>0.0</v>
      </c>
      <c r="K250" s="2">
        <v>0.0</v>
      </c>
      <c r="L250" s="2">
        <v>0.0</v>
      </c>
      <c r="M250" s="37">
        <v>0.0</v>
      </c>
    </row>
    <row r="251" ht="14.25" customHeight="1">
      <c r="A251" t="s">
        <v>324</v>
      </c>
      <c r="B251" t="s">
        <v>284</v>
      </c>
      <c r="C251" t="s">
        <v>75</v>
      </c>
      <c r="D251" t="s">
        <v>82</v>
      </c>
      <c r="E251">
        <v>16.01</v>
      </c>
      <c r="F251">
        <v>14.22</v>
      </c>
      <c r="G251" s="2" t="s">
        <v>64</v>
      </c>
      <c r="H251" s="2">
        <v>0.0</v>
      </c>
      <c r="I251" s="2">
        <v>0.0</v>
      </c>
      <c r="J251" s="37">
        <v>0.0</v>
      </c>
      <c r="K251" s="2">
        <v>0.0</v>
      </c>
      <c r="L251" s="2">
        <v>0.0</v>
      </c>
      <c r="M251" s="37">
        <v>0.0</v>
      </c>
    </row>
    <row r="252" ht="14.25" customHeight="1">
      <c r="A252" t="s">
        <v>325</v>
      </c>
      <c r="B252" t="s">
        <v>284</v>
      </c>
      <c r="C252" t="s">
        <v>75</v>
      </c>
      <c r="D252" t="s">
        <v>82</v>
      </c>
      <c r="E252">
        <v>16.01</v>
      </c>
      <c r="F252">
        <v>14.22</v>
      </c>
      <c r="G252" s="2" t="s">
        <v>64</v>
      </c>
      <c r="H252" s="2">
        <v>0.0</v>
      </c>
      <c r="I252" s="2">
        <v>0.0</v>
      </c>
      <c r="J252" s="37">
        <v>0.0</v>
      </c>
      <c r="K252" s="2">
        <v>0.0</v>
      </c>
      <c r="L252" s="2">
        <v>0.0</v>
      </c>
      <c r="M252" s="37">
        <v>0.0</v>
      </c>
    </row>
    <row r="253" ht="14.25" customHeight="1">
      <c r="A253" t="s">
        <v>326</v>
      </c>
      <c r="B253" t="s">
        <v>284</v>
      </c>
      <c r="C253" t="s">
        <v>75</v>
      </c>
      <c r="D253" t="s">
        <v>82</v>
      </c>
      <c r="E253">
        <v>16.01</v>
      </c>
      <c r="F253">
        <v>14.22</v>
      </c>
      <c r="G253" s="2" t="s">
        <v>64</v>
      </c>
      <c r="H253" s="2">
        <v>0.0</v>
      </c>
      <c r="I253" s="2">
        <v>0.0</v>
      </c>
      <c r="J253" s="37">
        <v>0.0</v>
      </c>
      <c r="K253" s="2">
        <v>0.0</v>
      </c>
      <c r="L253" s="2">
        <v>0.0</v>
      </c>
      <c r="M253" s="37">
        <v>0.0</v>
      </c>
    </row>
    <row r="254" ht="14.25" customHeight="1">
      <c r="A254" t="s">
        <v>327</v>
      </c>
      <c r="B254" t="s">
        <v>284</v>
      </c>
      <c r="C254" t="s">
        <v>75</v>
      </c>
      <c r="D254" t="s">
        <v>82</v>
      </c>
      <c r="E254">
        <v>22.45</v>
      </c>
      <c r="F254">
        <v>18.89</v>
      </c>
      <c r="G254" s="2" t="s">
        <v>64</v>
      </c>
      <c r="H254" s="2">
        <v>0.0</v>
      </c>
      <c r="I254" s="2">
        <v>0.0</v>
      </c>
      <c r="J254" s="37">
        <v>0.0</v>
      </c>
      <c r="K254" s="2">
        <v>0.0</v>
      </c>
      <c r="L254" s="2">
        <v>0.0</v>
      </c>
      <c r="M254" s="37">
        <v>0.0</v>
      </c>
    </row>
    <row r="255" ht="14.25" customHeight="1">
      <c r="A255" t="s">
        <v>328</v>
      </c>
      <c r="B255" t="s">
        <v>284</v>
      </c>
      <c r="C255" t="s">
        <v>75</v>
      </c>
      <c r="D255" t="s">
        <v>82</v>
      </c>
      <c r="E255">
        <v>22.45</v>
      </c>
      <c r="F255">
        <v>18.89</v>
      </c>
      <c r="G255" s="2" t="s">
        <v>64</v>
      </c>
      <c r="H255" s="2">
        <v>0.0</v>
      </c>
      <c r="I255" s="2">
        <v>0.0</v>
      </c>
      <c r="J255" s="37">
        <v>0.0</v>
      </c>
      <c r="K255" s="2">
        <v>0.0</v>
      </c>
      <c r="L255" s="2">
        <v>0.0</v>
      </c>
      <c r="M255" s="37">
        <v>0.0</v>
      </c>
    </row>
    <row r="256" ht="14.25" customHeight="1">
      <c r="A256" t="s">
        <v>329</v>
      </c>
      <c r="B256" t="s">
        <v>284</v>
      </c>
      <c r="C256" t="s">
        <v>75</v>
      </c>
      <c r="D256" t="s">
        <v>82</v>
      </c>
      <c r="E256">
        <v>22.45</v>
      </c>
      <c r="F256">
        <v>18.89</v>
      </c>
      <c r="G256" s="2" t="s">
        <v>64</v>
      </c>
      <c r="H256" s="2">
        <v>0.0</v>
      </c>
      <c r="I256" s="2">
        <v>0.0</v>
      </c>
      <c r="J256" s="37">
        <v>0.0</v>
      </c>
      <c r="K256" s="2">
        <v>0.0</v>
      </c>
      <c r="L256" s="2">
        <v>0.0</v>
      </c>
      <c r="M256" s="37">
        <v>0.0</v>
      </c>
    </row>
    <row r="257" ht="14.25" customHeight="1">
      <c r="A257" t="s">
        <v>330</v>
      </c>
      <c r="B257" t="s">
        <v>284</v>
      </c>
      <c r="C257" t="s">
        <v>75</v>
      </c>
      <c r="D257" t="s">
        <v>82</v>
      </c>
      <c r="E257">
        <v>22.45</v>
      </c>
      <c r="F257">
        <v>18.89</v>
      </c>
      <c r="G257" s="2" t="s">
        <v>64</v>
      </c>
      <c r="H257" s="2">
        <v>0.0</v>
      </c>
      <c r="I257" s="2">
        <v>0.0</v>
      </c>
      <c r="J257" s="37">
        <v>0.0</v>
      </c>
      <c r="K257" s="2">
        <v>0.0</v>
      </c>
      <c r="L257" s="2">
        <v>0.0</v>
      </c>
      <c r="M257" s="37">
        <v>0.0</v>
      </c>
    </row>
    <row r="258" ht="14.25" customHeight="1">
      <c r="A258" t="s">
        <v>331</v>
      </c>
      <c r="B258" t="s">
        <v>284</v>
      </c>
      <c r="C258" t="s">
        <v>75</v>
      </c>
      <c r="D258" t="s">
        <v>82</v>
      </c>
      <c r="E258">
        <v>22.45</v>
      </c>
      <c r="F258">
        <v>18.89</v>
      </c>
      <c r="G258" s="2" t="s">
        <v>64</v>
      </c>
      <c r="H258" s="2">
        <v>0.0</v>
      </c>
      <c r="I258" s="2">
        <v>0.0</v>
      </c>
      <c r="J258" s="37">
        <v>0.0</v>
      </c>
      <c r="K258" s="2">
        <v>0.0</v>
      </c>
      <c r="L258" s="2">
        <v>0.0</v>
      </c>
      <c r="M258" s="37">
        <v>0.0</v>
      </c>
    </row>
    <row r="259" ht="14.25" customHeight="1">
      <c r="A259" t="s">
        <v>332</v>
      </c>
      <c r="B259" t="s">
        <v>284</v>
      </c>
      <c r="C259" t="s">
        <v>75</v>
      </c>
      <c r="D259" t="s">
        <v>82</v>
      </c>
      <c r="E259">
        <v>22.45</v>
      </c>
      <c r="F259">
        <v>18.89</v>
      </c>
      <c r="G259" s="2" t="s">
        <v>64</v>
      </c>
      <c r="H259" s="2">
        <v>0.0</v>
      </c>
      <c r="I259" s="2">
        <v>0.0</v>
      </c>
      <c r="J259" s="37">
        <v>0.0</v>
      </c>
      <c r="K259" s="2">
        <v>0.0</v>
      </c>
      <c r="L259" s="2">
        <v>0.0</v>
      </c>
      <c r="M259" s="37">
        <v>0.0</v>
      </c>
    </row>
    <row r="260" ht="14.25" customHeight="1">
      <c r="A260" t="s">
        <v>333</v>
      </c>
      <c r="B260" t="s">
        <v>284</v>
      </c>
      <c r="C260" t="s">
        <v>75</v>
      </c>
      <c r="D260" t="s">
        <v>82</v>
      </c>
      <c r="E260">
        <v>22.45</v>
      </c>
      <c r="F260">
        <v>18.89</v>
      </c>
      <c r="G260" s="2" t="s">
        <v>64</v>
      </c>
      <c r="H260" s="2">
        <v>0.0</v>
      </c>
      <c r="I260" s="2">
        <v>0.0</v>
      </c>
      <c r="J260" s="37">
        <v>0.0</v>
      </c>
      <c r="K260" s="2">
        <v>0.0</v>
      </c>
      <c r="L260" s="2">
        <v>0.0</v>
      </c>
      <c r="M260" s="37">
        <v>0.0</v>
      </c>
    </row>
    <row r="261" ht="14.25" customHeight="1">
      <c r="A261" t="s">
        <v>334</v>
      </c>
      <c r="B261" t="s">
        <v>284</v>
      </c>
      <c r="C261" t="s">
        <v>75</v>
      </c>
      <c r="D261" t="s">
        <v>63</v>
      </c>
      <c r="E261">
        <v>22.45</v>
      </c>
      <c r="F261">
        <v>18.89</v>
      </c>
      <c r="G261" s="2" t="s">
        <v>64</v>
      </c>
      <c r="H261" s="2">
        <v>0.0</v>
      </c>
      <c r="I261" s="2">
        <v>0.0</v>
      </c>
      <c r="J261" s="37">
        <v>0.0</v>
      </c>
      <c r="K261" s="2">
        <v>0.0</v>
      </c>
      <c r="L261" s="2">
        <v>0.0</v>
      </c>
      <c r="M261" s="37">
        <v>0.0</v>
      </c>
    </row>
    <row r="262" ht="14.25" customHeight="1">
      <c r="A262" t="s">
        <v>335</v>
      </c>
      <c r="B262" t="s">
        <v>284</v>
      </c>
      <c r="C262" t="s">
        <v>75</v>
      </c>
      <c r="D262" t="s">
        <v>63</v>
      </c>
      <c r="E262">
        <v>22.45</v>
      </c>
      <c r="F262">
        <v>18.89</v>
      </c>
      <c r="G262" s="2" t="s">
        <v>64</v>
      </c>
      <c r="H262" s="2">
        <v>0.0</v>
      </c>
      <c r="I262" s="2">
        <v>0.0</v>
      </c>
      <c r="J262" s="37">
        <v>0.0</v>
      </c>
      <c r="K262" s="2">
        <v>0.0</v>
      </c>
      <c r="L262" s="2">
        <v>0.0</v>
      </c>
      <c r="M262" s="37">
        <v>0.0</v>
      </c>
    </row>
    <row r="263" ht="14.25" customHeight="1">
      <c r="A263" t="s">
        <v>336</v>
      </c>
      <c r="B263" t="s">
        <v>284</v>
      </c>
      <c r="C263" t="s">
        <v>75</v>
      </c>
      <c r="D263" t="s">
        <v>63</v>
      </c>
      <c r="E263">
        <v>22.45</v>
      </c>
      <c r="F263">
        <v>18.89</v>
      </c>
      <c r="G263" s="2" t="s">
        <v>64</v>
      </c>
      <c r="H263" s="2">
        <v>0.0</v>
      </c>
      <c r="I263" s="2">
        <v>0.0</v>
      </c>
      <c r="J263" s="37">
        <v>0.0</v>
      </c>
      <c r="K263" s="2">
        <v>0.0</v>
      </c>
      <c r="L263" s="2">
        <v>0.0</v>
      </c>
      <c r="M263" s="37">
        <v>0.0</v>
      </c>
    </row>
    <row r="264" ht="14.25" customHeight="1">
      <c r="A264" t="s">
        <v>337</v>
      </c>
      <c r="B264" t="s">
        <v>284</v>
      </c>
      <c r="C264" t="s">
        <v>75</v>
      </c>
      <c r="D264" t="s">
        <v>63</v>
      </c>
      <c r="E264">
        <v>22.45</v>
      </c>
      <c r="F264">
        <v>18.89</v>
      </c>
      <c r="G264" s="2" t="s">
        <v>64</v>
      </c>
      <c r="H264" s="2">
        <v>0.0</v>
      </c>
      <c r="I264" s="2">
        <v>0.0</v>
      </c>
      <c r="J264" s="37">
        <v>0.0</v>
      </c>
      <c r="K264" s="2">
        <v>0.0</v>
      </c>
      <c r="L264" s="2">
        <v>0.0</v>
      </c>
      <c r="M264" s="37">
        <v>0.0</v>
      </c>
    </row>
    <row r="265" ht="14.25" customHeight="1">
      <c r="A265" t="s">
        <v>338</v>
      </c>
      <c r="B265" t="s">
        <v>284</v>
      </c>
      <c r="C265" t="s">
        <v>75</v>
      </c>
      <c r="D265" t="s">
        <v>82</v>
      </c>
      <c r="E265">
        <v>22.4</v>
      </c>
      <c r="F265">
        <v>22.73</v>
      </c>
      <c r="G265" s="2" t="s">
        <v>64</v>
      </c>
      <c r="H265" s="2">
        <v>0.0</v>
      </c>
      <c r="I265" s="2">
        <v>0.0</v>
      </c>
      <c r="J265" s="37">
        <v>0.0</v>
      </c>
      <c r="K265" s="2">
        <v>0.0</v>
      </c>
      <c r="L265" s="2">
        <v>0.0</v>
      </c>
      <c r="M265" s="37">
        <v>0.0</v>
      </c>
    </row>
    <row r="266" ht="14.25" customHeight="1">
      <c r="A266" t="s">
        <v>339</v>
      </c>
      <c r="B266" t="s">
        <v>284</v>
      </c>
      <c r="C266" t="s">
        <v>75</v>
      </c>
      <c r="D266" t="s">
        <v>82</v>
      </c>
      <c r="E266">
        <v>22.4</v>
      </c>
      <c r="F266">
        <v>22.73</v>
      </c>
      <c r="G266" s="2" t="s">
        <v>64</v>
      </c>
      <c r="H266" s="2">
        <v>0.0</v>
      </c>
      <c r="I266" s="2">
        <v>0.0</v>
      </c>
      <c r="J266" s="37">
        <v>0.0</v>
      </c>
      <c r="K266" s="2">
        <v>0.0</v>
      </c>
      <c r="L266" s="2">
        <v>0.0</v>
      </c>
      <c r="M266" s="37">
        <v>0.0</v>
      </c>
    </row>
    <row r="267" ht="14.25" customHeight="1">
      <c r="A267" t="s">
        <v>340</v>
      </c>
      <c r="B267" t="s">
        <v>284</v>
      </c>
      <c r="C267" t="s">
        <v>75</v>
      </c>
      <c r="D267" t="s">
        <v>82</v>
      </c>
      <c r="E267">
        <v>22.4</v>
      </c>
      <c r="F267">
        <v>22.73</v>
      </c>
      <c r="G267" s="2" t="s">
        <v>64</v>
      </c>
      <c r="H267" s="2">
        <v>0.0</v>
      </c>
      <c r="I267" s="2">
        <v>0.0</v>
      </c>
      <c r="J267" s="37">
        <v>0.0</v>
      </c>
      <c r="K267" s="2">
        <v>0.0</v>
      </c>
      <c r="L267" s="2">
        <v>0.0</v>
      </c>
      <c r="M267" s="37">
        <v>0.0</v>
      </c>
    </row>
    <row r="268" ht="14.25" customHeight="1">
      <c r="A268" t="s">
        <v>341</v>
      </c>
      <c r="B268" t="s">
        <v>284</v>
      </c>
      <c r="C268" t="s">
        <v>75</v>
      </c>
      <c r="D268" t="s">
        <v>82</v>
      </c>
      <c r="E268">
        <v>22.4</v>
      </c>
      <c r="F268">
        <v>22.73</v>
      </c>
      <c r="G268" s="2" t="s">
        <v>64</v>
      </c>
      <c r="H268" s="2">
        <v>0.0</v>
      </c>
      <c r="I268" s="2">
        <v>0.0</v>
      </c>
      <c r="J268" s="37">
        <v>0.0</v>
      </c>
      <c r="K268" s="2">
        <v>0.0</v>
      </c>
      <c r="L268" s="2">
        <v>0.0</v>
      </c>
      <c r="M268" s="37">
        <v>0.0</v>
      </c>
    </row>
    <row r="269" ht="14.25" customHeight="1">
      <c r="A269" t="s">
        <v>342</v>
      </c>
      <c r="B269" t="s">
        <v>284</v>
      </c>
      <c r="C269" t="s">
        <v>75</v>
      </c>
      <c r="D269" t="s">
        <v>82</v>
      </c>
      <c r="E269">
        <v>22.4</v>
      </c>
      <c r="F269">
        <v>22.73</v>
      </c>
      <c r="G269" s="2" t="s">
        <v>64</v>
      </c>
      <c r="H269" s="2">
        <v>0.0</v>
      </c>
      <c r="I269" s="2">
        <v>0.0</v>
      </c>
      <c r="J269" s="37">
        <v>0.0</v>
      </c>
      <c r="K269" s="2">
        <v>0.0</v>
      </c>
      <c r="L269" s="2">
        <v>0.0</v>
      </c>
      <c r="M269" s="37">
        <v>0.0</v>
      </c>
    </row>
    <row r="270" ht="14.25" customHeight="1">
      <c r="A270" t="s">
        <v>343</v>
      </c>
      <c r="B270" t="s">
        <v>284</v>
      </c>
      <c r="C270" t="s">
        <v>75</v>
      </c>
      <c r="D270" t="s">
        <v>82</v>
      </c>
      <c r="E270">
        <v>22.4</v>
      </c>
      <c r="F270">
        <v>22.73</v>
      </c>
      <c r="G270" s="2" t="s">
        <v>64</v>
      </c>
      <c r="H270" s="2">
        <v>0.0</v>
      </c>
      <c r="I270" s="2">
        <v>0.0</v>
      </c>
      <c r="J270" s="37">
        <v>0.0</v>
      </c>
      <c r="K270" s="2">
        <v>0.0</v>
      </c>
      <c r="L270" s="2">
        <v>0.0</v>
      </c>
      <c r="M270" s="37">
        <v>0.0</v>
      </c>
    </row>
    <row r="271" ht="14.25" customHeight="1">
      <c r="A271" t="s">
        <v>344</v>
      </c>
      <c r="B271" t="s">
        <v>284</v>
      </c>
      <c r="C271" t="s">
        <v>75</v>
      </c>
      <c r="D271" t="s">
        <v>82</v>
      </c>
      <c r="E271">
        <v>22.4</v>
      </c>
      <c r="F271">
        <v>22.73</v>
      </c>
      <c r="G271" s="2" t="s">
        <v>64</v>
      </c>
      <c r="H271" s="2">
        <v>0.0</v>
      </c>
      <c r="I271" s="2">
        <v>0.0</v>
      </c>
      <c r="J271" s="37">
        <v>0.0</v>
      </c>
      <c r="K271" s="2">
        <v>0.0</v>
      </c>
      <c r="L271" s="2">
        <v>0.0</v>
      </c>
      <c r="M271" s="37">
        <v>0.0</v>
      </c>
    </row>
    <row r="272" ht="14.25" customHeight="1">
      <c r="A272" t="s">
        <v>345</v>
      </c>
      <c r="B272" t="s">
        <v>284</v>
      </c>
      <c r="C272" t="s">
        <v>75</v>
      </c>
      <c r="D272" t="s">
        <v>63</v>
      </c>
      <c r="E272">
        <v>22.4</v>
      </c>
      <c r="F272">
        <v>22.73</v>
      </c>
      <c r="G272" s="2" t="s">
        <v>64</v>
      </c>
      <c r="H272" s="2">
        <v>0.0</v>
      </c>
      <c r="I272" s="2">
        <v>0.0</v>
      </c>
      <c r="J272" s="37">
        <v>0.0</v>
      </c>
      <c r="K272" s="2">
        <v>0.0</v>
      </c>
      <c r="L272" s="2">
        <v>0.0</v>
      </c>
      <c r="M272" s="37">
        <v>0.0</v>
      </c>
    </row>
    <row r="273" ht="14.25" customHeight="1">
      <c r="A273" t="s">
        <v>346</v>
      </c>
      <c r="B273" t="s">
        <v>284</v>
      </c>
      <c r="C273" t="s">
        <v>75</v>
      </c>
      <c r="D273" t="s">
        <v>63</v>
      </c>
      <c r="E273">
        <v>22.4</v>
      </c>
      <c r="F273">
        <v>22.73</v>
      </c>
      <c r="G273" s="2" t="s">
        <v>64</v>
      </c>
      <c r="H273" s="2">
        <v>0.0</v>
      </c>
      <c r="I273" s="2">
        <v>0.0</v>
      </c>
      <c r="J273" s="37">
        <v>0.0</v>
      </c>
      <c r="K273" s="2">
        <v>0.0</v>
      </c>
      <c r="L273" s="2">
        <v>0.0</v>
      </c>
      <c r="M273" s="37">
        <v>0.0</v>
      </c>
    </row>
    <row r="274" ht="14.25" customHeight="1">
      <c r="A274" t="s">
        <v>347</v>
      </c>
      <c r="B274" t="s">
        <v>284</v>
      </c>
      <c r="C274" t="s">
        <v>75</v>
      </c>
      <c r="D274" t="s">
        <v>63</v>
      </c>
      <c r="E274">
        <v>22.4</v>
      </c>
      <c r="F274">
        <v>22.73</v>
      </c>
      <c r="G274" s="2" t="s">
        <v>64</v>
      </c>
      <c r="H274" s="2">
        <v>0.0</v>
      </c>
      <c r="I274" s="2">
        <v>0.0</v>
      </c>
      <c r="J274" s="37">
        <v>0.0</v>
      </c>
      <c r="K274" s="2">
        <v>0.0</v>
      </c>
      <c r="L274" s="2">
        <v>0.0</v>
      </c>
      <c r="M274" s="37">
        <v>0.0</v>
      </c>
    </row>
    <row r="275" ht="14.25" customHeight="1">
      <c r="A275" t="s">
        <v>348</v>
      </c>
      <c r="B275" t="s">
        <v>284</v>
      </c>
      <c r="C275" t="s">
        <v>75</v>
      </c>
      <c r="D275" t="s">
        <v>63</v>
      </c>
      <c r="E275">
        <v>22.4</v>
      </c>
      <c r="F275">
        <v>22.73</v>
      </c>
      <c r="G275" s="2" t="s">
        <v>64</v>
      </c>
      <c r="H275" s="2">
        <v>0.0</v>
      </c>
      <c r="I275" s="2">
        <v>0.0</v>
      </c>
      <c r="J275" s="37">
        <v>0.0</v>
      </c>
      <c r="K275" s="2">
        <v>0.0</v>
      </c>
      <c r="L275" s="2">
        <v>0.0</v>
      </c>
      <c r="M275" s="37">
        <v>0.0</v>
      </c>
    </row>
    <row r="276" ht="14.25" customHeight="1">
      <c r="A276" t="s">
        <v>349</v>
      </c>
      <c r="B276" t="s">
        <v>284</v>
      </c>
      <c r="C276" t="s">
        <v>75</v>
      </c>
      <c r="D276" t="s">
        <v>82</v>
      </c>
      <c r="E276">
        <v>23.36</v>
      </c>
      <c r="F276">
        <v>20.36</v>
      </c>
      <c r="G276" s="2" t="s">
        <v>64</v>
      </c>
      <c r="H276" s="2">
        <v>0.0</v>
      </c>
      <c r="I276" s="2">
        <v>0.0</v>
      </c>
      <c r="J276" s="37">
        <v>0.0</v>
      </c>
      <c r="K276" s="2">
        <v>0.0</v>
      </c>
      <c r="L276" s="2">
        <v>0.0</v>
      </c>
      <c r="M276" s="37">
        <v>0.0</v>
      </c>
    </row>
    <row r="277" ht="14.25" customHeight="1">
      <c r="A277" t="s">
        <v>350</v>
      </c>
      <c r="B277" t="s">
        <v>284</v>
      </c>
      <c r="C277" t="s">
        <v>75</v>
      </c>
      <c r="D277" t="s">
        <v>82</v>
      </c>
      <c r="E277">
        <v>23.36</v>
      </c>
      <c r="F277">
        <v>20.36</v>
      </c>
      <c r="G277" s="2" t="s">
        <v>64</v>
      </c>
      <c r="H277" s="2">
        <v>0.0</v>
      </c>
      <c r="I277" s="2">
        <v>0.0</v>
      </c>
      <c r="J277" s="37">
        <v>0.0</v>
      </c>
      <c r="K277" s="2">
        <v>0.0</v>
      </c>
      <c r="L277" s="2">
        <v>0.0</v>
      </c>
      <c r="M277" s="37">
        <v>0.0</v>
      </c>
    </row>
    <row r="278" ht="14.25" customHeight="1">
      <c r="A278" t="s">
        <v>351</v>
      </c>
      <c r="B278" t="s">
        <v>284</v>
      </c>
      <c r="C278" t="s">
        <v>75</v>
      </c>
      <c r="D278" t="s">
        <v>82</v>
      </c>
      <c r="E278">
        <v>23.36</v>
      </c>
      <c r="F278">
        <v>20.36</v>
      </c>
      <c r="G278" s="2" t="s">
        <v>64</v>
      </c>
      <c r="H278" s="2">
        <v>0.0</v>
      </c>
      <c r="I278" s="2">
        <v>0.0</v>
      </c>
      <c r="J278" s="37">
        <v>0.0</v>
      </c>
      <c r="K278" s="2">
        <v>0.0</v>
      </c>
      <c r="L278" s="2">
        <v>0.0</v>
      </c>
      <c r="M278" s="37">
        <v>0.0</v>
      </c>
    </row>
    <row r="279" ht="14.25" customHeight="1">
      <c r="A279" t="s">
        <v>352</v>
      </c>
      <c r="B279" t="s">
        <v>284</v>
      </c>
      <c r="C279" t="s">
        <v>75</v>
      </c>
      <c r="D279" t="s">
        <v>82</v>
      </c>
      <c r="E279">
        <v>23.36</v>
      </c>
      <c r="F279">
        <v>20.36</v>
      </c>
      <c r="G279" s="2" t="s">
        <v>64</v>
      </c>
      <c r="H279" s="2">
        <v>0.0</v>
      </c>
      <c r="I279" s="2">
        <v>0.0</v>
      </c>
      <c r="J279" s="37">
        <v>0.0</v>
      </c>
      <c r="K279" s="2">
        <v>0.0</v>
      </c>
      <c r="L279" s="2">
        <v>0.0</v>
      </c>
      <c r="M279" s="37">
        <v>0.0</v>
      </c>
    </row>
    <row r="280" ht="14.25" customHeight="1">
      <c r="A280" t="s">
        <v>353</v>
      </c>
      <c r="B280" t="s">
        <v>284</v>
      </c>
      <c r="C280" t="s">
        <v>75</v>
      </c>
      <c r="D280" t="s">
        <v>82</v>
      </c>
      <c r="E280">
        <v>23.36</v>
      </c>
      <c r="F280">
        <v>20.36</v>
      </c>
      <c r="G280" s="2" t="s">
        <v>64</v>
      </c>
      <c r="H280" s="2">
        <v>0.0</v>
      </c>
      <c r="I280" s="2">
        <v>0.0</v>
      </c>
      <c r="J280" s="37">
        <v>0.0</v>
      </c>
      <c r="K280" s="2">
        <v>0.0</v>
      </c>
      <c r="L280" s="2">
        <v>0.0</v>
      </c>
      <c r="M280" s="37">
        <v>0.0</v>
      </c>
    </row>
    <row r="281" ht="14.25" customHeight="1">
      <c r="A281" t="s">
        <v>354</v>
      </c>
      <c r="B281" t="s">
        <v>284</v>
      </c>
      <c r="C281" t="s">
        <v>75</v>
      </c>
      <c r="D281" t="s">
        <v>63</v>
      </c>
      <c r="E281">
        <v>23.36</v>
      </c>
      <c r="F281">
        <v>20.36</v>
      </c>
      <c r="G281" s="2" t="s">
        <v>64</v>
      </c>
      <c r="H281" s="2">
        <v>0.0</v>
      </c>
      <c r="I281" s="2">
        <v>0.0</v>
      </c>
      <c r="J281" s="37">
        <v>0.0</v>
      </c>
      <c r="K281" s="2">
        <v>0.0</v>
      </c>
      <c r="L281" s="2">
        <v>0.0</v>
      </c>
      <c r="M281" s="37">
        <v>0.0</v>
      </c>
    </row>
    <row r="282" ht="14.25" customHeight="1">
      <c r="A282" t="s">
        <v>355</v>
      </c>
      <c r="B282" t="s">
        <v>284</v>
      </c>
      <c r="C282" t="s">
        <v>75</v>
      </c>
      <c r="D282" t="s">
        <v>63</v>
      </c>
      <c r="E282">
        <v>23.36</v>
      </c>
      <c r="F282">
        <v>20.36</v>
      </c>
      <c r="G282" s="2" t="s">
        <v>64</v>
      </c>
      <c r="H282" s="2">
        <v>0.0</v>
      </c>
      <c r="I282" s="2">
        <v>0.0</v>
      </c>
      <c r="J282" s="37">
        <v>0.0</v>
      </c>
      <c r="K282" s="2">
        <v>0.0</v>
      </c>
      <c r="L282" s="2">
        <v>0.0</v>
      </c>
      <c r="M282" s="37">
        <v>0.0</v>
      </c>
    </row>
    <row r="283" ht="14.25" customHeight="1">
      <c r="A283" t="s">
        <v>356</v>
      </c>
      <c r="B283" t="s">
        <v>284</v>
      </c>
      <c r="C283" t="s">
        <v>75</v>
      </c>
      <c r="D283" t="s">
        <v>63</v>
      </c>
      <c r="E283">
        <v>23.36</v>
      </c>
      <c r="F283">
        <v>20.36</v>
      </c>
      <c r="G283" s="2" t="s">
        <v>64</v>
      </c>
      <c r="H283" s="2">
        <v>0.0</v>
      </c>
      <c r="I283" s="2">
        <v>0.0</v>
      </c>
      <c r="J283" s="37">
        <v>0.0</v>
      </c>
      <c r="K283" s="2">
        <v>0.0</v>
      </c>
      <c r="L283" s="2">
        <v>0.0</v>
      </c>
      <c r="M283" s="37">
        <v>0.0</v>
      </c>
    </row>
    <row r="284" ht="14.25" customHeight="1">
      <c r="A284" t="s">
        <v>357</v>
      </c>
      <c r="B284" t="s">
        <v>284</v>
      </c>
      <c r="C284" t="s">
        <v>75</v>
      </c>
      <c r="D284" t="s">
        <v>63</v>
      </c>
      <c r="E284">
        <v>23.36</v>
      </c>
      <c r="F284">
        <v>20.36</v>
      </c>
      <c r="G284" s="2" t="s">
        <v>64</v>
      </c>
      <c r="H284" s="2">
        <v>0.0</v>
      </c>
      <c r="I284" s="2">
        <v>0.0</v>
      </c>
      <c r="J284" s="37">
        <v>0.0</v>
      </c>
      <c r="K284" s="2">
        <v>0.0</v>
      </c>
      <c r="L284" s="2">
        <v>0.0</v>
      </c>
      <c r="M284" s="37">
        <v>0.0</v>
      </c>
    </row>
    <row r="285" ht="14.25" customHeight="1">
      <c r="A285" t="s">
        <v>358</v>
      </c>
      <c r="B285" t="s">
        <v>284</v>
      </c>
      <c r="C285" t="s">
        <v>75</v>
      </c>
      <c r="D285" t="s">
        <v>63</v>
      </c>
      <c r="E285">
        <v>23.36</v>
      </c>
      <c r="F285">
        <v>20.36</v>
      </c>
      <c r="G285" s="2" t="s">
        <v>64</v>
      </c>
      <c r="H285" s="2">
        <v>0.0</v>
      </c>
      <c r="I285" s="2">
        <v>0.0</v>
      </c>
      <c r="J285" s="37">
        <v>0.0</v>
      </c>
      <c r="K285" s="2">
        <v>0.0</v>
      </c>
      <c r="L285" s="2">
        <v>0.0</v>
      </c>
      <c r="M285" s="37">
        <v>0.0</v>
      </c>
    </row>
    <row r="286" ht="14.25" customHeight="1">
      <c r="A286" t="s">
        <v>359</v>
      </c>
      <c r="B286" t="s">
        <v>284</v>
      </c>
      <c r="C286" t="s">
        <v>75</v>
      </c>
      <c r="D286" t="s">
        <v>63</v>
      </c>
      <c r="E286">
        <v>23.36</v>
      </c>
      <c r="F286">
        <v>20.36</v>
      </c>
      <c r="G286" s="2" t="s">
        <v>64</v>
      </c>
      <c r="H286" s="2">
        <v>0.0</v>
      </c>
      <c r="I286" s="2">
        <v>0.0</v>
      </c>
      <c r="J286" s="37">
        <v>0.0</v>
      </c>
      <c r="K286" s="2">
        <v>0.0</v>
      </c>
      <c r="L286" s="2">
        <v>0.0</v>
      </c>
      <c r="M286" s="37">
        <v>0.0</v>
      </c>
    </row>
    <row r="287" ht="14.25" customHeight="1">
      <c r="A287" t="s">
        <v>360</v>
      </c>
      <c r="B287" t="s">
        <v>284</v>
      </c>
      <c r="C287" t="s">
        <v>75</v>
      </c>
      <c r="D287" t="s">
        <v>82</v>
      </c>
      <c r="E287">
        <v>18.74</v>
      </c>
      <c r="F287">
        <v>16.06</v>
      </c>
      <c r="G287" s="2" t="s">
        <v>64</v>
      </c>
      <c r="H287" s="2">
        <v>0.0</v>
      </c>
      <c r="I287" s="2">
        <v>0.0</v>
      </c>
      <c r="J287" s="37">
        <v>0.0</v>
      </c>
      <c r="K287" s="2">
        <v>0.0</v>
      </c>
      <c r="L287" s="2">
        <v>0.0</v>
      </c>
      <c r="M287" s="37">
        <v>0.0</v>
      </c>
    </row>
    <row r="288" ht="14.25" customHeight="1">
      <c r="A288" t="s">
        <v>361</v>
      </c>
      <c r="B288" t="s">
        <v>284</v>
      </c>
      <c r="C288" t="s">
        <v>75</v>
      </c>
      <c r="D288" t="s">
        <v>82</v>
      </c>
      <c r="E288">
        <v>18.74</v>
      </c>
      <c r="F288">
        <v>16.06</v>
      </c>
      <c r="G288" s="2" t="s">
        <v>64</v>
      </c>
      <c r="H288" s="2">
        <v>0.0</v>
      </c>
      <c r="I288" s="2">
        <v>0.0</v>
      </c>
      <c r="J288" s="37">
        <v>0.0</v>
      </c>
      <c r="K288" s="2">
        <v>0.0</v>
      </c>
      <c r="L288" s="2">
        <v>0.0</v>
      </c>
      <c r="M288" s="37">
        <v>0.0</v>
      </c>
    </row>
    <row r="289" ht="14.25" customHeight="1">
      <c r="A289" t="s">
        <v>362</v>
      </c>
      <c r="B289" t="s">
        <v>284</v>
      </c>
      <c r="C289" t="s">
        <v>75</v>
      </c>
      <c r="D289" t="s">
        <v>82</v>
      </c>
      <c r="E289">
        <v>18.74</v>
      </c>
      <c r="F289">
        <v>16.06</v>
      </c>
      <c r="G289" s="2" t="s">
        <v>64</v>
      </c>
      <c r="H289" s="2">
        <v>0.0</v>
      </c>
      <c r="I289" s="2">
        <v>0.0</v>
      </c>
      <c r="J289" s="37">
        <v>0.0</v>
      </c>
      <c r="K289" s="2">
        <v>0.0</v>
      </c>
      <c r="L289" s="2">
        <v>0.0</v>
      </c>
      <c r="M289" s="37">
        <v>0.0</v>
      </c>
    </row>
    <row r="290" ht="14.25" customHeight="1">
      <c r="A290" t="s">
        <v>363</v>
      </c>
      <c r="B290" t="s">
        <v>284</v>
      </c>
      <c r="C290" t="s">
        <v>75</v>
      </c>
      <c r="D290" t="s">
        <v>82</v>
      </c>
      <c r="E290">
        <v>18.74</v>
      </c>
      <c r="F290">
        <v>16.06</v>
      </c>
      <c r="G290" s="2" t="s">
        <v>64</v>
      </c>
      <c r="H290" s="2">
        <v>0.0</v>
      </c>
      <c r="I290" s="2">
        <v>0.0</v>
      </c>
      <c r="J290" s="37">
        <v>0.0</v>
      </c>
      <c r="K290" s="2">
        <v>0.0</v>
      </c>
      <c r="L290" s="2">
        <v>0.0</v>
      </c>
      <c r="M290" s="37">
        <v>0.0</v>
      </c>
    </row>
    <row r="291" ht="14.25" customHeight="1">
      <c r="A291" t="s">
        <v>364</v>
      </c>
      <c r="B291" t="s">
        <v>284</v>
      </c>
      <c r="C291" t="s">
        <v>75</v>
      </c>
      <c r="D291" t="s">
        <v>82</v>
      </c>
      <c r="E291">
        <v>18.74</v>
      </c>
      <c r="F291">
        <v>16.06</v>
      </c>
      <c r="G291" s="2" t="s">
        <v>64</v>
      </c>
      <c r="H291" s="2">
        <v>0.0</v>
      </c>
      <c r="I291" s="2">
        <v>0.0</v>
      </c>
      <c r="J291" s="37">
        <v>0.0</v>
      </c>
      <c r="K291" s="2">
        <v>0.0</v>
      </c>
      <c r="L291" s="2">
        <v>0.0</v>
      </c>
      <c r="M291" s="37">
        <v>0.0</v>
      </c>
    </row>
    <row r="292" ht="14.25" customHeight="1">
      <c r="A292" t="s">
        <v>365</v>
      </c>
      <c r="B292" t="s">
        <v>284</v>
      </c>
      <c r="C292" t="s">
        <v>75</v>
      </c>
      <c r="D292" t="s">
        <v>82</v>
      </c>
      <c r="E292">
        <v>18.74</v>
      </c>
      <c r="F292">
        <v>16.06</v>
      </c>
      <c r="G292" s="2" t="s">
        <v>64</v>
      </c>
      <c r="H292" s="2">
        <v>0.0</v>
      </c>
      <c r="I292" s="2">
        <v>0.0</v>
      </c>
      <c r="J292" s="37">
        <v>0.0</v>
      </c>
      <c r="K292" s="2">
        <v>0.0</v>
      </c>
      <c r="L292" s="2">
        <v>0.0</v>
      </c>
      <c r="M292" s="37">
        <v>0.0</v>
      </c>
    </row>
    <row r="293" ht="14.25" customHeight="1">
      <c r="A293" t="s">
        <v>366</v>
      </c>
      <c r="B293" t="s">
        <v>284</v>
      </c>
      <c r="C293" t="s">
        <v>75</v>
      </c>
      <c r="D293" t="s">
        <v>82</v>
      </c>
      <c r="E293">
        <v>18.74</v>
      </c>
      <c r="F293">
        <v>16.06</v>
      </c>
      <c r="G293" s="2" t="s">
        <v>64</v>
      </c>
      <c r="H293" s="2">
        <v>0.0</v>
      </c>
      <c r="I293" s="2">
        <v>0.0</v>
      </c>
      <c r="J293" s="37">
        <v>0.0</v>
      </c>
      <c r="K293" s="2">
        <v>0.0</v>
      </c>
      <c r="L293" s="2">
        <v>0.0</v>
      </c>
      <c r="M293" s="37">
        <v>0.0</v>
      </c>
    </row>
    <row r="294" ht="14.25" customHeight="1">
      <c r="A294" t="s">
        <v>367</v>
      </c>
      <c r="B294" t="s">
        <v>284</v>
      </c>
      <c r="C294" t="s">
        <v>75</v>
      </c>
      <c r="D294" t="s">
        <v>82</v>
      </c>
      <c r="E294">
        <v>18.74</v>
      </c>
      <c r="F294">
        <v>16.06</v>
      </c>
      <c r="G294" s="2" t="s">
        <v>64</v>
      </c>
      <c r="H294" s="2">
        <v>0.0</v>
      </c>
      <c r="I294" s="2">
        <v>0.0</v>
      </c>
      <c r="J294" s="37">
        <v>0.0</v>
      </c>
      <c r="K294" s="2">
        <v>0.0</v>
      </c>
      <c r="L294" s="2">
        <v>0.0</v>
      </c>
      <c r="M294" s="37">
        <v>0.0</v>
      </c>
    </row>
    <row r="295" ht="14.25" customHeight="1">
      <c r="A295" t="s">
        <v>368</v>
      </c>
      <c r="B295" t="s">
        <v>284</v>
      </c>
      <c r="C295" t="s">
        <v>75</v>
      </c>
      <c r="D295" t="s">
        <v>82</v>
      </c>
      <c r="E295">
        <v>18.74</v>
      </c>
      <c r="F295">
        <v>16.06</v>
      </c>
      <c r="G295" s="2" t="s">
        <v>64</v>
      </c>
      <c r="H295" s="2">
        <v>0.0</v>
      </c>
      <c r="I295" s="2">
        <v>0.0</v>
      </c>
      <c r="J295" s="37">
        <v>0.0</v>
      </c>
      <c r="K295" s="2">
        <v>0.0</v>
      </c>
      <c r="L295" s="2">
        <v>0.0</v>
      </c>
      <c r="M295" s="37">
        <v>0.0</v>
      </c>
    </row>
    <row r="296" ht="14.25" customHeight="1">
      <c r="A296" t="s">
        <v>369</v>
      </c>
      <c r="B296" t="s">
        <v>284</v>
      </c>
      <c r="C296" t="s">
        <v>75</v>
      </c>
      <c r="D296" t="s">
        <v>82</v>
      </c>
      <c r="E296">
        <v>18.74</v>
      </c>
      <c r="F296">
        <v>16.06</v>
      </c>
      <c r="G296" s="2" t="s">
        <v>64</v>
      </c>
      <c r="H296" s="2">
        <v>0.0</v>
      </c>
      <c r="I296" s="2">
        <v>0.0</v>
      </c>
      <c r="J296" s="37">
        <v>0.0</v>
      </c>
      <c r="K296" s="2">
        <v>0.0</v>
      </c>
      <c r="L296" s="2">
        <v>0.0</v>
      </c>
      <c r="M296" s="37">
        <v>0.0</v>
      </c>
    </row>
    <row r="297" ht="14.25" customHeight="1">
      <c r="A297" t="s">
        <v>370</v>
      </c>
      <c r="B297" t="s">
        <v>284</v>
      </c>
      <c r="C297" t="s">
        <v>75</v>
      </c>
      <c r="D297" t="s">
        <v>82</v>
      </c>
      <c r="E297">
        <v>11.38</v>
      </c>
      <c r="F297">
        <v>11.74</v>
      </c>
      <c r="G297" s="2" t="s">
        <v>64</v>
      </c>
      <c r="H297" s="2">
        <v>0.0</v>
      </c>
      <c r="I297" s="2">
        <v>0.0</v>
      </c>
      <c r="J297" s="37">
        <v>0.0</v>
      </c>
      <c r="K297" s="2">
        <v>0.0</v>
      </c>
      <c r="L297" s="2">
        <v>0.0</v>
      </c>
      <c r="M297" s="37">
        <v>0.0</v>
      </c>
    </row>
    <row r="298" ht="14.25" customHeight="1">
      <c r="A298" t="s">
        <v>371</v>
      </c>
      <c r="B298" t="s">
        <v>284</v>
      </c>
      <c r="C298" t="s">
        <v>75</v>
      </c>
      <c r="D298" t="s">
        <v>82</v>
      </c>
      <c r="E298">
        <v>11.38</v>
      </c>
      <c r="F298">
        <v>11.74</v>
      </c>
      <c r="G298" s="2" t="s">
        <v>64</v>
      </c>
      <c r="H298" s="2">
        <v>0.0</v>
      </c>
      <c r="I298" s="2">
        <v>0.0</v>
      </c>
      <c r="J298" s="37">
        <v>0.0</v>
      </c>
      <c r="K298" s="2">
        <v>0.0</v>
      </c>
      <c r="L298" s="2">
        <v>0.0</v>
      </c>
      <c r="M298" s="37">
        <v>0.0</v>
      </c>
    </row>
    <row r="299" ht="14.25" customHeight="1">
      <c r="A299" t="s">
        <v>372</v>
      </c>
      <c r="B299" t="s">
        <v>284</v>
      </c>
      <c r="C299" t="s">
        <v>75</v>
      </c>
      <c r="D299" t="s">
        <v>82</v>
      </c>
      <c r="E299">
        <v>11.38</v>
      </c>
      <c r="F299">
        <v>11.74</v>
      </c>
      <c r="G299" s="2" t="s">
        <v>64</v>
      </c>
      <c r="H299" s="2">
        <v>0.0</v>
      </c>
      <c r="I299" s="2">
        <v>0.0</v>
      </c>
      <c r="J299" s="37">
        <v>0.0</v>
      </c>
      <c r="K299" s="2">
        <v>0.0</v>
      </c>
      <c r="L299" s="2">
        <v>0.0</v>
      </c>
      <c r="M299" s="37">
        <v>0.0</v>
      </c>
    </row>
    <row r="300" ht="14.25" customHeight="1">
      <c r="A300" t="s">
        <v>373</v>
      </c>
      <c r="B300" t="s">
        <v>284</v>
      </c>
      <c r="C300" t="s">
        <v>75</v>
      </c>
      <c r="D300" t="s">
        <v>82</v>
      </c>
      <c r="E300">
        <v>11.38</v>
      </c>
      <c r="F300">
        <v>11.74</v>
      </c>
      <c r="G300" s="2" t="s">
        <v>64</v>
      </c>
      <c r="H300" s="2">
        <v>0.0</v>
      </c>
      <c r="I300" s="2">
        <v>0.0</v>
      </c>
      <c r="J300" s="37">
        <v>0.0</v>
      </c>
      <c r="K300" s="2">
        <v>0.0</v>
      </c>
      <c r="L300" s="2">
        <v>0.0</v>
      </c>
      <c r="M300" s="37">
        <v>0.0</v>
      </c>
    </row>
    <row r="301" ht="14.25" customHeight="1">
      <c r="A301" t="s">
        <v>374</v>
      </c>
      <c r="B301" t="s">
        <v>284</v>
      </c>
      <c r="C301" t="s">
        <v>75</v>
      </c>
      <c r="D301" t="s">
        <v>82</v>
      </c>
      <c r="E301">
        <v>11.38</v>
      </c>
      <c r="F301">
        <v>11.74</v>
      </c>
      <c r="G301" s="2" t="s">
        <v>64</v>
      </c>
      <c r="H301" s="2">
        <v>0.0</v>
      </c>
      <c r="I301" s="2">
        <v>0.0</v>
      </c>
      <c r="J301" s="37">
        <v>0.0</v>
      </c>
      <c r="K301" s="2">
        <v>0.0</v>
      </c>
      <c r="L301" s="2">
        <v>0.0</v>
      </c>
      <c r="M301" s="37">
        <v>0.0</v>
      </c>
    </row>
    <row r="302" ht="14.25" customHeight="1">
      <c r="A302" t="s">
        <v>375</v>
      </c>
      <c r="B302" t="s">
        <v>284</v>
      </c>
      <c r="C302" t="s">
        <v>75</v>
      </c>
      <c r="D302" t="s">
        <v>82</v>
      </c>
      <c r="E302">
        <v>11.38</v>
      </c>
      <c r="F302">
        <v>11.74</v>
      </c>
      <c r="G302" s="2" t="s">
        <v>64</v>
      </c>
      <c r="H302" s="2">
        <v>0.0</v>
      </c>
      <c r="I302" s="2">
        <v>0.0</v>
      </c>
      <c r="J302" s="37">
        <v>0.0</v>
      </c>
      <c r="K302" s="2">
        <v>0.0</v>
      </c>
      <c r="L302" s="2">
        <v>0.0</v>
      </c>
      <c r="M302" s="37">
        <v>0.0</v>
      </c>
    </row>
    <row r="303" ht="14.25" customHeight="1">
      <c r="A303" t="s">
        <v>376</v>
      </c>
      <c r="B303" t="s">
        <v>284</v>
      </c>
      <c r="C303" t="s">
        <v>75</v>
      </c>
      <c r="D303" t="s">
        <v>82</v>
      </c>
      <c r="E303">
        <v>11.38</v>
      </c>
      <c r="F303">
        <v>11.74</v>
      </c>
      <c r="G303" s="2" t="s">
        <v>64</v>
      </c>
      <c r="H303" s="2">
        <v>0.0</v>
      </c>
      <c r="I303" s="2">
        <v>0.0</v>
      </c>
      <c r="J303" s="37">
        <v>0.0</v>
      </c>
      <c r="K303" s="2">
        <v>0.0</v>
      </c>
      <c r="L303" s="2">
        <v>0.0</v>
      </c>
      <c r="M303" s="37">
        <v>0.0</v>
      </c>
    </row>
    <row r="304" ht="14.25" customHeight="1">
      <c r="A304" t="s">
        <v>377</v>
      </c>
      <c r="B304" t="s">
        <v>284</v>
      </c>
      <c r="C304" t="s">
        <v>75</v>
      </c>
      <c r="D304" t="s">
        <v>82</v>
      </c>
      <c r="E304">
        <v>11.38</v>
      </c>
      <c r="F304">
        <v>11.74</v>
      </c>
      <c r="G304" s="2" t="s">
        <v>64</v>
      </c>
      <c r="H304" s="2">
        <v>0.0</v>
      </c>
      <c r="I304" s="2">
        <v>0.0</v>
      </c>
      <c r="J304" s="37">
        <v>0.0</v>
      </c>
      <c r="K304" s="2">
        <v>0.0</v>
      </c>
      <c r="L304" s="2">
        <v>0.0</v>
      </c>
      <c r="M304" s="37">
        <v>0.0</v>
      </c>
    </row>
    <row r="305" ht="14.25" customHeight="1">
      <c r="A305" t="s">
        <v>378</v>
      </c>
      <c r="B305" t="s">
        <v>284</v>
      </c>
      <c r="C305" t="s">
        <v>75</v>
      </c>
      <c r="D305" t="s">
        <v>82</v>
      </c>
      <c r="E305">
        <v>11.38</v>
      </c>
      <c r="F305">
        <v>11.74</v>
      </c>
      <c r="G305" s="2" t="s">
        <v>64</v>
      </c>
      <c r="H305" s="2">
        <v>0.0</v>
      </c>
      <c r="I305" s="2">
        <v>0.0</v>
      </c>
      <c r="J305" s="37">
        <v>0.0</v>
      </c>
      <c r="K305" s="2">
        <v>0.0</v>
      </c>
      <c r="L305" s="2">
        <v>0.0</v>
      </c>
      <c r="M305" s="37">
        <v>0.0</v>
      </c>
    </row>
    <row r="306" ht="14.25" customHeight="1">
      <c r="A306" t="s">
        <v>379</v>
      </c>
      <c r="B306" t="s">
        <v>284</v>
      </c>
      <c r="C306" t="s">
        <v>75</v>
      </c>
      <c r="D306" t="s">
        <v>82</v>
      </c>
      <c r="E306">
        <v>11.38</v>
      </c>
      <c r="F306">
        <v>11.74</v>
      </c>
      <c r="G306" s="2" t="s">
        <v>64</v>
      </c>
      <c r="H306" s="2">
        <v>0.0</v>
      </c>
      <c r="I306" s="2">
        <v>0.0</v>
      </c>
      <c r="J306" s="37">
        <v>0.0</v>
      </c>
      <c r="K306" s="2">
        <v>0.0</v>
      </c>
      <c r="L306" s="2">
        <v>0.0</v>
      </c>
      <c r="M306" s="37">
        <v>0.0</v>
      </c>
    </row>
    <row r="307" ht="14.25" customHeight="1">
      <c r="A307" t="s">
        <v>380</v>
      </c>
      <c r="B307" t="s">
        <v>284</v>
      </c>
      <c r="C307" t="s">
        <v>75</v>
      </c>
      <c r="D307" t="s">
        <v>82</v>
      </c>
      <c r="E307">
        <v>22.45</v>
      </c>
      <c r="F307">
        <v>18.89</v>
      </c>
      <c r="G307" s="2" t="s">
        <v>64</v>
      </c>
      <c r="H307" s="2">
        <v>0.0</v>
      </c>
      <c r="I307" s="2">
        <v>0.0</v>
      </c>
      <c r="J307" s="37">
        <v>0.0</v>
      </c>
      <c r="K307" s="2">
        <v>0.0</v>
      </c>
      <c r="L307" s="2">
        <v>0.0</v>
      </c>
      <c r="M307" s="37">
        <v>0.0</v>
      </c>
    </row>
    <row r="308" ht="14.25" customHeight="1">
      <c r="A308" t="s">
        <v>381</v>
      </c>
      <c r="B308" t="s">
        <v>284</v>
      </c>
      <c r="C308" t="s">
        <v>75</v>
      </c>
      <c r="D308" t="s">
        <v>82</v>
      </c>
      <c r="E308">
        <v>22.45</v>
      </c>
      <c r="F308">
        <v>18.89</v>
      </c>
      <c r="G308" s="2" t="s">
        <v>64</v>
      </c>
      <c r="H308" s="2">
        <v>0.0</v>
      </c>
      <c r="I308" s="2">
        <v>0.0</v>
      </c>
      <c r="J308" s="37">
        <v>0.0</v>
      </c>
      <c r="K308" s="2">
        <v>0.0</v>
      </c>
      <c r="L308" s="2">
        <v>0.0</v>
      </c>
      <c r="M308" s="37">
        <v>0.0</v>
      </c>
    </row>
    <row r="309" ht="14.25" customHeight="1">
      <c r="A309" t="s">
        <v>382</v>
      </c>
      <c r="B309" t="s">
        <v>284</v>
      </c>
      <c r="C309" t="s">
        <v>75</v>
      </c>
      <c r="D309" t="s">
        <v>82</v>
      </c>
      <c r="E309">
        <v>22.45</v>
      </c>
      <c r="F309">
        <v>18.89</v>
      </c>
      <c r="G309" s="2" t="s">
        <v>64</v>
      </c>
      <c r="H309" s="2">
        <v>0.0</v>
      </c>
      <c r="I309" s="2">
        <v>0.0</v>
      </c>
      <c r="J309" s="37">
        <v>0.0</v>
      </c>
      <c r="K309" s="2">
        <v>0.0</v>
      </c>
      <c r="L309" s="2">
        <v>0.0</v>
      </c>
      <c r="M309" s="37">
        <v>0.0</v>
      </c>
    </row>
    <row r="310" ht="14.25" customHeight="1">
      <c r="A310" t="s">
        <v>383</v>
      </c>
      <c r="B310" t="s">
        <v>284</v>
      </c>
      <c r="C310" t="s">
        <v>75</v>
      </c>
      <c r="D310" t="s">
        <v>82</v>
      </c>
      <c r="E310">
        <v>22.45</v>
      </c>
      <c r="F310">
        <v>18.89</v>
      </c>
      <c r="G310" s="2" t="s">
        <v>64</v>
      </c>
      <c r="H310" s="2">
        <v>0.0</v>
      </c>
      <c r="I310" s="2">
        <v>0.0</v>
      </c>
      <c r="J310" s="37">
        <v>0.0</v>
      </c>
      <c r="K310" s="2">
        <v>0.0</v>
      </c>
      <c r="L310" s="2">
        <v>0.0</v>
      </c>
      <c r="M310" s="37">
        <v>0.0</v>
      </c>
    </row>
    <row r="311" ht="14.25" customHeight="1">
      <c r="A311" t="s">
        <v>384</v>
      </c>
      <c r="B311" t="s">
        <v>284</v>
      </c>
      <c r="C311" t="s">
        <v>75</v>
      </c>
      <c r="D311" t="s">
        <v>82</v>
      </c>
      <c r="E311">
        <v>22.45</v>
      </c>
      <c r="F311">
        <v>18.89</v>
      </c>
      <c r="G311" s="2" t="s">
        <v>64</v>
      </c>
      <c r="H311" s="2">
        <v>0.0</v>
      </c>
      <c r="I311" s="2">
        <v>0.0</v>
      </c>
      <c r="J311" s="37">
        <v>0.0</v>
      </c>
      <c r="K311" s="2">
        <v>0.0</v>
      </c>
      <c r="L311" s="2">
        <v>0.0</v>
      </c>
      <c r="M311" s="37">
        <v>0.0</v>
      </c>
    </row>
    <row r="312" ht="14.25" customHeight="1">
      <c r="A312" t="s">
        <v>385</v>
      </c>
      <c r="B312" t="s">
        <v>284</v>
      </c>
      <c r="C312" t="s">
        <v>75</v>
      </c>
      <c r="D312" t="s">
        <v>82</v>
      </c>
      <c r="E312">
        <v>22.45</v>
      </c>
      <c r="F312">
        <v>18.89</v>
      </c>
      <c r="G312" s="2" t="s">
        <v>64</v>
      </c>
      <c r="H312" s="2">
        <v>0.0</v>
      </c>
      <c r="I312" s="2">
        <v>0.0</v>
      </c>
      <c r="J312" s="37">
        <v>0.0</v>
      </c>
      <c r="K312" s="2">
        <v>0.0</v>
      </c>
      <c r="L312" s="2">
        <v>0.0</v>
      </c>
      <c r="M312" s="37">
        <v>0.0</v>
      </c>
    </row>
    <row r="313" ht="14.25" customHeight="1">
      <c r="A313" t="s">
        <v>386</v>
      </c>
      <c r="B313" t="s">
        <v>284</v>
      </c>
      <c r="C313" t="s">
        <v>75</v>
      </c>
      <c r="D313" t="s">
        <v>82</v>
      </c>
      <c r="E313">
        <v>22.45</v>
      </c>
      <c r="F313">
        <v>18.89</v>
      </c>
      <c r="G313" s="2" t="s">
        <v>64</v>
      </c>
      <c r="H313" s="2">
        <v>0.0</v>
      </c>
      <c r="I313" s="2">
        <v>0.0</v>
      </c>
      <c r="J313" s="37">
        <v>0.0</v>
      </c>
      <c r="K313" s="2">
        <v>0.0</v>
      </c>
      <c r="L313" s="2">
        <v>0.0</v>
      </c>
      <c r="M313" s="37">
        <v>0.0</v>
      </c>
    </row>
    <row r="314" ht="14.25" customHeight="1">
      <c r="A314" t="s">
        <v>387</v>
      </c>
      <c r="B314" t="s">
        <v>284</v>
      </c>
      <c r="C314" t="s">
        <v>75</v>
      </c>
      <c r="D314" t="s">
        <v>82</v>
      </c>
      <c r="E314">
        <v>22.45</v>
      </c>
      <c r="F314">
        <v>18.89</v>
      </c>
      <c r="G314" s="2" t="s">
        <v>64</v>
      </c>
      <c r="H314" s="2">
        <v>0.0</v>
      </c>
      <c r="I314" s="2">
        <v>0.0</v>
      </c>
      <c r="J314" s="37">
        <v>0.0</v>
      </c>
      <c r="K314" s="2">
        <v>0.0</v>
      </c>
      <c r="L314" s="2">
        <v>0.0</v>
      </c>
      <c r="M314" s="37">
        <v>0.0</v>
      </c>
    </row>
    <row r="315" ht="14.25" customHeight="1">
      <c r="A315" t="s">
        <v>388</v>
      </c>
      <c r="B315" t="s">
        <v>284</v>
      </c>
      <c r="C315" t="s">
        <v>75</v>
      </c>
      <c r="D315" t="s">
        <v>82</v>
      </c>
      <c r="E315">
        <v>22.45</v>
      </c>
      <c r="F315">
        <v>18.89</v>
      </c>
      <c r="G315" s="2" t="s">
        <v>64</v>
      </c>
      <c r="H315" s="2">
        <v>0.0</v>
      </c>
      <c r="I315" s="2">
        <v>0.0</v>
      </c>
      <c r="J315" s="37">
        <v>0.0</v>
      </c>
      <c r="K315" s="2">
        <v>0.0</v>
      </c>
      <c r="L315" s="2">
        <v>0.0</v>
      </c>
      <c r="M315" s="37">
        <v>0.0</v>
      </c>
    </row>
    <row r="316" ht="14.25" customHeight="1">
      <c r="A316" t="s">
        <v>389</v>
      </c>
      <c r="B316" t="s">
        <v>284</v>
      </c>
      <c r="C316" t="s">
        <v>75</v>
      </c>
      <c r="D316" t="s">
        <v>82</v>
      </c>
      <c r="E316">
        <v>22.45</v>
      </c>
      <c r="F316">
        <v>18.89</v>
      </c>
      <c r="G316" s="2" t="s">
        <v>64</v>
      </c>
      <c r="H316" s="2">
        <v>0.0</v>
      </c>
      <c r="I316" s="2">
        <v>0.0</v>
      </c>
      <c r="J316" s="37">
        <v>0.0</v>
      </c>
      <c r="K316" s="2">
        <v>0.0</v>
      </c>
      <c r="L316" s="2">
        <v>0.0</v>
      </c>
      <c r="M316" s="37">
        <v>0.0</v>
      </c>
    </row>
    <row r="317" ht="14.25" customHeight="1">
      <c r="A317" t="s">
        <v>390</v>
      </c>
      <c r="B317" t="s">
        <v>284</v>
      </c>
      <c r="C317" t="s">
        <v>75</v>
      </c>
      <c r="D317" t="s">
        <v>82</v>
      </c>
      <c r="E317">
        <v>32.14</v>
      </c>
      <c r="F317">
        <v>26.48</v>
      </c>
      <c r="G317" s="2" t="s">
        <v>64</v>
      </c>
      <c r="H317" s="2">
        <v>0.0</v>
      </c>
      <c r="I317" s="2">
        <v>0.0</v>
      </c>
      <c r="J317" s="37">
        <v>0.0</v>
      </c>
      <c r="K317" s="2">
        <v>0.0</v>
      </c>
      <c r="L317" s="2">
        <v>0.0</v>
      </c>
      <c r="M317" s="37">
        <v>0.0</v>
      </c>
    </row>
    <row r="318" ht="14.25" customHeight="1">
      <c r="A318" t="s">
        <v>391</v>
      </c>
      <c r="B318" t="s">
        <v>284</v>
      </c>
      <c r="C318" t="s">
        <v>75</v>
      </c>
      <c r="D318" t="s">
        <v>82</v>
      </c>
      <c r="E318">
        <v>32.14</v>
      </c>
      <c r="F318">
        <v>26.48</v>
      </c>
      <c r="G318" s="2" t="s">
        <v>64</v>
      </c>
      <c r="H318" s="2">
        <v>0.0</v>
      </c>
      <c r="I318" s="2">
        <v>0.0</v>
      </c>
      <c r="J318" s="37">
        <v>0.0</v>
      </c>
      <c r="K318" s="2">
        <v>0.0</v>
      </c>
      <c r="L318" s="2">
        <v>0.0</v>
      </c>
      <c r="M318" s="37">
        <v>0.0</v>
      </c>
    </row>
    <row r="319" ht="14.25" customHeight="1">
      <c r="A319" t="s">
        <v>392</v>
      </c>
      <c r="B319" t="s">
        <v>284</v>
      </c>
      <c r="C319" t="s">
        <v>75</v>
      </c>
      <c r="D319" t="s">
        <v>82</v>
      </c>
      <c r="E319">
        <v>32.14</v>
      </c>
      <c r="F319">
        <v>26.48</v>
      </c>
      <c r="G319" s="2" t="s">
        <v>64</v>
      </c>
      <c r="H319" s="2">
        <v>0.0</v>
      </c>
      <c r="I319" s="2">
        <v>0.0</v>
      </c>
      <c r="J319" s="37">
        <v>0.0</v>
      </c>
      <c r="K319" s="2">
        <v>0.0</v>
      </c>
      <c r="L319" s="2">
        <v>0.0</v>
      </c>
      <c r="M319" s="37">
        <v>0.0</v>
      </c>
    </row>
    <row r="320" ht="14.25" customHeight="1">
      <c r="A320" t="s">
        <v>393</v>
      </c>
      <c r="B320" t="s">
        <v>284</v>
      </c>
      <c r="C320" t="s">
        <v>75</v>
      </c>
      <c r="D320" t="s">
        <v>82</v>
      </c>
      <c r="E320">
        <v>32.14</v>
      </c>
      <c r="F320">
        <v>26.48</v>
      </c>
      <c r="G320" s="2" t="s">
        <v>64</v>
      </c>
      <c r="H320" s="2">
        <v>0.0</v>
      </c>
      <c r="I320" s="2">
        <v>0.0</v>
      </c>
      <c r="J320" s="37">
        <v>0.0</v>
      </c>
      <c r="K320" s="2">
        <v>0.0</v>
      </c>
      <c r="L320" s="2">
        <v>0.0</v>
      </c>
      <c r="M320" s="37">
        <v>0.0</v>
      </c>
    </row>
    <row r="321" ht="14.25" customHeight="1">
      <c r="A321" t="s">
        <v>394</v>
      </c>
      <c r="B321" t="s">
        <v>284</v>
      </c>
      <c r="C321" t="s">
        <v>75</v>
      </c>
      <c r="D321" t="s">
        <v>82</v>
      </c>
      <c r="E321">
        <v>32.14</v>
      </c>
      <c r="F321">
        <v>26.48</v>
      </c>
      <c r="G321" s="2" t="s">
        <v>64</v>
      </c>
      <c r="H321" s="2">
        <v>0.0</v>
      </c>
      <c r="I321" s="2">
        <v>0.0</v>
      </c>
      <c r="J321" s="37">
        <v>0.0</v>
      </c>
      <c r="K321" s="2">
        <v>0.0</v>
      </c>
      <c r="L321" s="2">
        <v>0.0</v>
      </c>
      <c r="M321" s="37">
        <v>0.0</v>
      </c>
    </row>
    <row r="322" ht="14.25" customHeight="1">
      <c r="A322" t="s">
        <v>395</v>
      </c>
      <c r="B322" t="s">
        <v>284</v>
      </c>
      <c r="C322" t="s">
        <v>75</v>
      </c>
      <c r="D322" t="s">
        <v>82</v>
      </c>
      <c r="E322">
        <v>32.14</v>
      </c>
      <c r="F322">
        <v>26.48</v>
      </c>
      <c r="G322" s="2" t="s">
        <v>64</v>
      </c>
      <c r="H322" s="2">
        <v>0.0</v>
      </c>
      <c r="I322" s="2">
        <v>0.0</v>
      </c>
      <c r="J322" s="37">
        <v>0.0</v>
      </c>
      <c r="K322" s="2">
        <v>0.0</v>
      </c>
      <c r="L322" s="2">
        <v>0.0</v>
      </c>
      <c r="M322" s="37">
        <v>0.0</v>
      </c>
    </row>
    <row r="323" ht="14.25" customHeight="1">
      <c r="A323" t="s">
        <v>396</v>
      </c>
      <c r="B323" t="s">
        <v>284</v>
      </c>
      <c r="C323" t="s">
        <v>75</v>
      </c>
      <c r="D323" t="s">
        <v>82</v>
      </c>
      <c r="E323">
        <v>32.14</v>
      </c>
      <c r="F323">
        <v>26.48</v>
      </c>
      <c r="G323" s="2" t="s">
        <v>64</v>
      </c>
      <c r="H323" s="2">
        <v>0.0</v>
      </c>
      <c r="I323" s="2">
        <v>0.0</v>
      </c>
      <c r="J323" s="37">
        <v>0.0</v>
      </c>
      <c r="K323" s="2">
        <v>0.0</v>
      </c>
      <c r="L323" s="2">
        <v>0.0</v>
      </c>
      <c r="M323" s="37">
        <v>0.0</v>
      </c>
    </row>
    <row r="324" ht="14.25" customHeight="1">
      <c r="A324" t="s">
        <v>397</v>
      </c>
      <c r="B324" t="s">
        <v>284</v>
      </c>
      <c r="C324" t="s">
        <v>75</v>
      </c>
      <c r="D324" t="s">
        <v>82</v>
      </c>
      <c r="E324">
        <v>32.14</v>
      </c>
      <c r="F324">
        <v>26.48</v>
      </c>
      <c r="G324" s="2" t="s">
        <v>64</v>
      </c>
      <c r="H324" s="2">
        <v>0.0</v>
      </c>
      <c r="I324" s="2">
        <v>0.0</v>
      </c>
      <c r="J324" s="37">
        <v>0.0</v>
      </c>
      <c r="K324" s="2">
        <v>0.0</v>
      </c>
      <c r="L324" s="2">
        <v>0.0</v>
      </c>
      <c r="M324" s="37">
        <v>0.0</v>
      </c>
    </row>
    <row r="325" ht="14.25" customHeight="1">
      <c r="A325" t="s">
        <v>398</v>
      </c>
      <c r="B325" t="s">
        <v>284</v>
      </c>
      <c r="C325" t="s">
        <v>75</v>
      </c>
      <c r="D325" t="s">
        <v>82</v>
      </c>
      <c r="E325">
        <v>32.14</v>
      </c>
      <c r="F325">
        <v>26.48</v>
      </c>
      <c r="G325" s="2" t="s">
        <v>64</v>
      </c>
      <c r="H325" s="2">
        <v>0.0</v>
      </c>
      <c r="I325" s="2">
        <v>0.0</v>
      </c>
      <c r="J325" s="37">
        <v>0.0</v>
      </c>
      <c r="K325" s="2">
        <v>0.0</v>
      </c>
      <c r="L325" s="2">
        <v>0.0</v>
      </c>
      <c r="M325" s="37">
        <v>0.0</v>
      </c>
    </row>
    <row r="326" ht="14.25" customHeight="1">
      <c r="A326" t="s">
        <v>399</v>
      </c>
      <c r="B326" t="s">
        <v>284</v>
      </c>
      <c r="C326" t="s">
        <v>75</v>
      </c>
      <c r="D326" t="s">
        <v>82</v>
      </c>
      <c r="E326">
        <v>32.14</v>
      </c>
      <c r="F326">
        <v>26.48</v>
      </c>
      <c r="G326" s="2" t="s">
        <v>64</v>
      </c>
      <c r="H326" s="2">
        <v>0.0</v>
      </c>
      <c r="I326" s="2">
        <v>0.0</v>
      </c>
      <c r="J326" s="37">
        <v>0.0</v>
      </c>
      <c r="K326" s="2">
        <v>0.0</v>
      </c>
      <c r="L326" s="2">
        <v>0.0</v>
      </c>
      <c r="M326" s="37">
        <v>0.0</v>
      </c>
    </row>
    <row r="327" ht="14.25" customHeight="1">
      <c r="A327" t="s">
        <v>400</v>
      </c>
      <c r="B327" t="s">
        <v>284</v>
      </c>
      <c r="C327" t="s">
        <v>75</v>
      </c>
      <c r="D327" t="s">
        <v>82</v>
      </c>
      <c r="E327">
        <v>32.14</v>
      </c>
      <c r="F327">
        <v>26.48</v>
      </c>
      <c r="G327" s="2" t="s">
        <v>64</v>
      </c>
      <c r="H327" s="2">
        <v>0.0</v>
      </c>
      <c r="I327" s="2">
        <v>0.0</v>
      </c>
      <c r="J327" s="37">
        <v>0.0</v>
      </c>
      <c r="K327" s="2">
        <v>0.0</v>
      </c>
      <c r="L327" s="2">
        <v>0.0</v>
      </c>
      <c r="M327" s="37">
        <v>0.0</v>
      </c>
    </row>
    <row r="328" ht="14.25" customHeight="1">
      <c r="A328" t="s">
        <v>401</v>
      </c>
      <c r="B328" t="s">
        <v>284</v>
      </c>
      <c r="C328" t="s">
        <v>75</v>
      </c>
      <c r="D328" t="s">
        <v>82</v>
      </c>
      <c r="E328">
        <v>32.14</v>
      </c>
      <c r="F328">
        <v>26.48</v>
      </c>
      <c r="G328" s="2" t="s">
        <v>64</v>
      </c>
      <c r="H328" s="2">
        <v>0.0</v>
      </c>
      <c r="I328" s="2">
        <v>0.0</v>
      </c>
      <c r="J328" s="37">
        <v>0.0</v>
      </c>
      <c r="K328" s="2">
        <v>0.0</v>
      </c>
      <c r="L328" s="2">
        <v>0.0</v>
      </c>
      <c r="M328" s="37">
        <v>0.0</v>
      </c>
    </row>
    <row r="329" ht="14.25" customHeight="1">
      <c r="A329" t="s">
        <v>402</v>
      </c>
      <c r="B329" t="s">
        <v>284</v>
      </c>
      <c r="C329" t="s">
        <v>75</v>
      </c>
      <c r="D329" t="s">
        <v>82</v>
      </c>
      <c r="E329">
        <v>32.14</v>
      </c>
      <c r="F329">
        <v>26.48</v>
      </c>
      <c r="G329" s="2" t="s">
        <v>64</v>
      </c>
      <c r="H329" s="2">
        <v>0.0</v>
      </c>
      <c r="I329" s="2">
        <v>0.0</v>
      </c>
      <c r="J329" s="37">
        <v>0.0</v>
      </c>
      <c r="K329" s="2">
        <v>0.0</v>
      </c>
      <c r="L329" s="2">
        <v>0.0</v>
      </c>
      <c r="M329" s="37">
        <v>0.0</v>
      </c>
    </row>
    <row r="330" ht="14.25" customHeight="1">
      <c r="A330" t="s">
        <v>403</v>
      </c>
      <c r="B330" t="s">
        <v>284</v>
      </c>
      <c r="C330" t="s">
        <v>75</v>
      </c>
      <c r="D330" t="s">
        <v>82</v>
      </c>
      <c r="E330">
        <v>32.14</v>
      </c>
      <c r="F330">
        <v>26.48</v>
      </c>
      <c r="G330" s="2" t="s">
        <v>64</v>
      </c>
      <c r="H330" s="2">
        <v>0.0</v>
      </c>
      <c r="I330" s="2">
        <v>0.0</v>
      </c>
      <c r="J330" s="37">
        <v>0.0</v>
      </c>
      <c r="K330" s="2">
        <v>0.0</v>
      </c>
      <c r="L330" s="2">
        <v>0.0</v>
      </c>
      <c r="M330" s="37">
        <v>0.0</v>
      </c>
    </row>
    <row r="331" ht="14.25" customHeight="1">
      <c r="A331" t="s">
        <v>404</v>
      </c>
      <c r="B331" t="s">
        <v>284</v>
      </c>
      <c r="C331" t="s">
        <v>75</v>
      </c>
      <c r="D331" t="s">
        <v>63</v>
      </c>
      <c r="E331">
        <v>32.14</v>
      </c>
      <c r="F331">
        <v>26.48</v>
      </c>
      <c r="G331" s="2" t="s">
        <v>64</v>
      </c>
      <c r="H331" s="2">
        <v>0.0</v>
      </c>
      <c r="I331" s="2">
        <v>0.0</v>
      </c>
      <c r="J331" s="37">
        <v>0.0</v>
      </c>
      <c r="K331" s="2">
        <v>0.0</v>
      </c>
      <c r="L331" s="2">
        <v>0.0</v>
      </c>
      <c r="M331" s="37">
        <v>0.0</v>
      </c>
    </row>
    <row r="332" ht="14.25" customHeight="1">
      <c r="A332" t="s">
        <v>405</v>
      </c>
      <c r="B332" t="s">
        <v>284</v>
      </c>
      <c r="C332" t="s">
        <v>75</v>
      </c>
      <c r="D332" t="s">
        <v>63</v>
      </c>
      <c r="E332">
        <v>32.14</v>
      </c>
      <c r="F332">
        <v>26.48</v>
      </c>
      <c r="G332" s="2" t="s">
        <v>64</v>
      </c>
      <c r="H332" s="2">
        <v>0.0</v>
      </c>
      <c r="I332" s="2">
        <v>0.0</v>
      </c>
      <c r="J332" s="37">
        <v>0.0</v>
      </c>
      <c r="K332" s="2">
        <v>0.0</v>
      </c>
      <c r="L332" s="2">
        <v>0.0</v>
      </c>
      <c r="M332" s="37">
        <v>0.0</v>
      </c>
    </row>
    <row r="333" ht="14.25" customHeight="1">
      <c r="A333" t="s">
        <v>406</v>
      </c>
      <c r="B333" t="s">
        <v>284</v>
      </c>
      <c r="C333" t="s">
        <v>75</v>
      </c>
      <c r="D333" t="s">
        <v>63</v>
      </c>
      <c r="E333">
        <v>32.14</v>
      </c>
      <c r="F333">
        <v>26.48</v>
      </c>
      <c r="G333" s="2" t="s">
        <v>64</v>
      </c>
      <c r="H333" s="2">
        <v>0.0</v>
      </c>
      <c r="I333" s="2">
        <v>0.0</v>
      </c>
      <c r="J333" s="37">
        <v>0.0</v>
      </c>
      <c r="K333" s="2">
        <v>0.0</v>
      </c>
      <c r="L333" s="2">
        <v>0.0</v>
      </c>
      <c r="M333" s="37">
        <v>0.0</v>
      </c>
    </row>
    <row r="334" ht="14.25" customHeight="1">
      <c r="A334" t="s">
        <v>407</v>
      </c>
      <c r="B334" t="s">
        <v>284</v>
      </c>
      <c r="C334" t="s">
        <v>75</v>
      </c>
      <c r="D334" t="s">
        <v>63</v>
      </c>
      <c r="E334">
        <v>32.14</v>
      </c>
      <c r="F334">
        <v>26.48</v>
      </c>
      <c r="G334" s="2" t="s">
        <v>64</v>
      </c>
      <c r="H334" s="2">
        <v>0.0</v>
      </c>
      <c r="I334" s="2">
        <v>0.0</v>
      </c>
      <c r="J334" s="37">
        <v>0.0</v>
      </c>
      <c r="K334" s="2">
        <v>0.0</v>
      </c>
      <c r="L334" s="2">
        <v>0.0</v>
      </c>
      <c r="M334" s="37">
        <v>0.0</v>
      </c>
    </row>
    <row r="335" ht="14.25" customHeight="1">
      <c r="A335" t="s">
        <v>408</v>
      </c>
      <c r="B335" t="s">
        <v>284</v>
      </c>
      <c r="C335" t="s">
        <v>75</v>
      </c>
      <c r="D335" t="s">
        <v>63</v>
      </c>
      <c r="E335">
        <v>32.14</v>
      </c>
      <c r="F335">
        <v>26.48</v>
      </c>
      <c r="G335" s="2" t="s">
        <v>64</v>
      </c>
      <c r="H335" s="2">
        <v>0.0</v>
      </c>
      <c r="I335" s="2">
        <v>0.0</v>
      </c>
      <c r="J335" s="37">
        <v>0.0</v>
      </c>
      <c r="K335" s="2">
        <v>0.0</v>
      </c>
      <c r="L335" s="2">
        <v>0.0</v>
      </c>
      <c r="M335" s="37">
        <v>0.0</v>
      </c>
    </row>
    <row r="336" ht="14.25" customHeight="1">
      <c r="A336" t="s">
        <v>409</v>
      </c>
      <c r="B336" t="s">
        <v>284</v>
      </c>
      <c r="C336" t="s">
        <v>75</v>
      </c>
      <c r="D336" t="s">
        <v>63</v>
      </c>
      <c r="E336">
        <v>32.14</v>
      </c>
      <c r="F336">
        <v>26.48</v>
      </c>
      <c r="G336" s="2" t="s">
        <v>64</v>
      </c>
      <c r="H336" s="2">
        <v>0.0</v>
      </c>
      <c r="I336" s="2">
        <v>0.0</v>
      </c>
      <c r="J336" s="37">
        <v>0.0</v>
      </c>
      <c r="K336" s="2">
        <v>0.0</v>
      </c>
      <c r="L336" s="2">
        <v>0.0</v>
      </c>
      <c r="M336" s="37">
        <v>0.0</v>
      </c>
    </row>
    <row r="337" ht="14.25" customHeight="1">
      <c r="A337" t="s">
        <v>410</v>
      </c>
      <c r="B337" t="s">
        <v>284</v>
      </c>
      <c r="C337" t="s">
        <v>75</v>
      </c>
      <c r="D337" t="s">
        <v>82</v>
      </c>
      <c r="E337">
        <v>23.36</v>
      </c>
      <c r="F337">
        <v>20.36</v>
      </c>
      <c r="G337" s="2" t="s">
        <v>64</v>
      </c>
      <c r="H337" s="2">
        <v>0.0</v>
      </c>
      <c r="I337" s="2">
        <v>0.0</v>
      </c>
      <c r="J337" s="37">
        <v>0.0</v>
      </c>
      <c r="K337" s="2">
        <v>0.0</v>
      </c>
      <c r="L337" s="2">
        <v>0.0</v>
      </c>
      <c r="M337" s="37">
        <v>0.0</v>
      </c>
    </row>
    <row r="338" ht="14.25" customHeight="1">
      <c r="A338" t="s">
        <v>411</v>
      </c>
      <c r="B338" t="s">
        <v>284</v>
      </c>
      <c r="C338" t="s">
        <v>75</v>
      </c>
      <c r="D338" t="s">
        <v>82</v>
      </c>
      <c r="E338">
        <v>23.36</v>
      </c>
      <c r="F338">
        <v>20.36</v>
      </c>
      <c r="G338" s="2" t="s">
        <v>64</v>
      </c>
      <c r="H338" s="2">
        <v>0.0</v>
      </c>
      <c r="I338" s="2">
        <v>0.0</v>
      </c>
      <c r="J338" s="37">
        <v>0.0</v>
      </c>
      <c r="K338" s="2">
        <v>0.0</v>
      </c>
      <c r="L338" s="2">
        <v>0.0</v>
      </c>
      <c r="M338" s="37">
        <v>0.0</v>
      </c>
    </row>
    <row r="339" ht="14.25" customHeight="1">
      <c r="A339" t="s">
        <v>412</v>
      </c>
      <c r="B339" t="s">
        <v>284</v>
      </c>
      <c r="C339" t="s">
        <v>75</v>
      </c>
      <c r="D339" t="s">
        <v>82</v>
      </c>
      <c r="E339">
        <v>23.36</v>
      </c>
      <c r="F339">
        <v>20.36</v>
      </c>
      <c r="G339" s="2" t="s">
        <v>64</v>
      </c>
      <c r="H339" s="2">
        <v>0.0</v>
      </c>
      <c r="I339" s="2">
        <v>0.0</v>
      </c>
      <c r="J339" s="37">
        <v>0.0</v>
      </c>
      <c r="K339" s="2">
        <v>0.0</v>
      </c>
      <c r="L339" s="2">
        <v>0.0</v>
      </c>
      <c r="M339" s="37">
        <v>0.0</v>
      </c>
    </row>
    <row r="340" ht="14.25" customHeight="1">
      <c r="A340" t="s">
        <v>413</v>
      </c>
      <c r="B340" t="s">
        <v>284</v>
      </c>
      <c r="C340" t="s">
        <v>75</v>
      </c>
      <c r="D340" t="s">
        <v>82</v>
      </c>
      <c r="E340">
        <v>23.36</v>
      </c>
      <c r="F340">
        <v>20.36</v>
      </c>
      <c r="G340" s="2" t="s">
        <v>64</v>
      </c>
      <c r="H340" s="2">
        <v>0.0</v>
      </c>
      <c r="I340" s="2">
        <v>0.0</v>
      </c>
      <c r="J340" s="37">
        <v>0.0</v>
      </c>
      <c r="K340" s="2">
        <v>0.0</v>
      </c>
      <c r="L340" s="2">
        <v>0.0</v>
      </c>
      <c r="M340" s="37">
        <v>0.0</v>
      </c>
    </row>
    <row r="341" ht="14.25" customHeight="1">
      <c r="A341" t="s">
        <v>414</v>
      </c>
      <c r="B341" t="s">
        <v>284</v>
      </c>
      <c r="C341" t="s">
        <v>75</v>
      </c>
      <c r="D341" t="s">
        <v>82</v>
      </c>
      <c r="E341">
        <v>23.36</v>
      </c>
      <c r="F341">
        <v>20.36</v>
      </c>
      <c r="G341" s="2" t="s">
        <v>64</v>
      </c>
      <c r="H341" s="2">
        <v>0.0</v>
      </c>
      <c r="I341" s="2">
        <v>0.0</v>
      </c>
      <c r="J341" s="37">
        <v>0.0</v>
      </c>
      <c r="K341" s="2">
        <v>0.0</v>
      </c>
      <c r="L341" s="2">
        <v>0.0</v>
      </c>
      <c r="M341" s="37">
        <v>0.0</v>
      </c>
    </row>
    <row r="342" ht="14.25" customHeight="1">
      <c r="A342" t="s">
        <v>415</v>
      </c>
      <c r="B342" t="s">
        <v>284</v>
      </c>
      <c r="C342" t="s">
        <v>75</v>
      </c>
      <c r="D342" t="s">
        <v>82</v>
      </c>
      <c r="E342">
        <v>23.36</v>
      </c>
      <c r="F342">
        <v>20.36</v>
      </c>
      <c r="G342" s="2" t="s">
        <v>64</v>
      </c>
      <c r="H342" s="2">
        <v>0.0</v>
      </c>
      <c r="I342" s="2">
        <v>0.0</v>
      </c>
      <c r="J342" s="37">
        <v>0.0</v>
      </c>
      <c r="K342" s="2">
        <v>0.0</v>
      </c>
      <c r="L342" s="2">
        <v>0.0</v>
      </c>
      <c r="M342" s="37">
        <v>0.0</v>
      </c>
    </row>
    <row r="343" ht="14.25" customHeight="1">
      <c r="A343" t="s">
        <v>416</v>
      </c>
      <c r="B343" t="s">
        <v>284</v>
      </c>
      <c r="C343" t="s">
        <v>75</v>
      </c>
      <c r="D343" t="s">
        <v>82</v>
      </c>
      <c r="E343">
        <v>23.36</v>
      </c>
      <c r="F343">
        <v>20.36</v>
      </c>
      <c r="G343" s="2" t="s">
        <v>64</v>
      </c>
      <c r="H343" s="2">
        <v>0.0</v>
      </c>
      <c r="I343" s="2">
        <v>0.0</v>
      </c>
      <c r="J343" s="37">
        <v>0.0</v>
      </c>
      <c r="K343" s="2">
        <v>0.0</v>
      </c>
      <c r="L343" s="2">
        <v>0.0</v>
      </c>
      <c r="M343" s="37">
        <v>0.0</v>
      </c>
    </row>
    <row r="344" ht="14.25" customHeight="1">
      <c r="A344" t="s">
        <v>417</v>
      </c>
      <c r="B344" t="s">
        <v>284</v>
      </c>
      <c r="C344" t="s">
        <v>75</v>
      </c>
      <c r="D344" t="s">
        <v>82</v>
      </c>
      <c r="E344">
        <v>23.36</v>
      </c>
      <c r="F344">
        <v>20.36</v>
      </c>
      <c r="G344" s="2" t="s">
        <v>64</v>
      </c>
      <c r="H344" s="2">
        <v>0.0</v>
      </c>
      <c r="I344" s="2">
        <v>0.0</v>
      </c>
      <c r="J344" s="37">
        <v>0.0</v>
      </c>
      <c r="K344" s="2">
        <v>0.0</v>
      </c>
      <c r="L344" s="2">
        <v>0.0</v>
      </c>
      <c r="M344" s="37">
        <v>0.0</v>
      </c>
    </row>
    <row r="345" ht="14.25" customHeight="1">
      <c r="A345" t="s">
        <v>418</v>
      </c>
      <c r="B345" t="s">
        <v>284</v>
      </c>
      <c r="C345" t="s">
        <v>75</v>
      </c>
      <c r="D345" t="s">
        <v>82</v>
      </c>
      <c r="E345">
        <v>23.36</v>
      </c>
      <c r="F345">
        <v>20.36</v>
      </c>
      <c r="G345" s="2" t="s">
        <v>64</v>
      </c>
      <c r="H345" s="2">
        <v>0.0</v>
      </c>
      <c r="I345" s="2">
        <v>0.0</v>
      </c>
      <c r="J345" s="37">
        <v>0.0</v>
      </c>
      <c r="K345" s="2">
        <v>0.0</v>
      </c>
      <c r="L345" s="2">
        <v>0.0</v>
      </c>
      <c r="M345" s="37">
        <v>0.0</v>
      </c>
    </row>
    <row r="346" ht="14.25" customHeight="1">
      <c r="A346" t="s">
        <v>419</v>
      </c>
      <c r="B346" t="s">
        <v>284</v>
      </c>
      <c r="C346" t="s">
        <v>75</v>
      </c>
      <c r="D346" t="s">
        <v>82</v>
      </c>
      <c r="E346">
        <v>23.36</v>
      </c>
      <c r="F346">
        <v>20.36</v>
      </c>
      <c r="G346" s="2" t="s">
        <v>64</v>
      </c>
      <c r="H346" s="2">
        <v>0.0</v>
      </c>
      <c r="I346" s="2">
        <v>0.0</v>
      </c>
      <c r="J346" s="37">
        <v>0.0</v>
      </c>
      <c r="K346" s="2">
        <v>0.0</v>
      </c>
      <c r="L346" s="2">
        <v>0.0</v>
      </c>
      <c r="M346" s="37">
        <v>0.0</v>
      </c>
    </row>
    <row r="347" ht="14.25" customHeight="1">
      <c r="A347" t="s">
        <v>420</v>
      </c>
      <c r="B347" t="s">
        <v>284</v>
      </c>
      <c r="C347" t="s">
        <v>75</v>
      </c>
      <c r="D347" t="s">
        <v>82</v>
      </c>
      <c r="E347">
        <v>22.4</v>
      </c>
      <c r="F347">
        <v>22.73</v>
      </c>
      <c r="G347" s="2" t="s">
        <v>64</v>
      </c>
      <c r="H347" s="2">
        <v>0.0</v>
      </c>
      <c r="I347" s="2">
        <v>0.0</v>
      </c>
      <c r="J347" s="37">
        <v>0.0</v>
      </c>
      <c r="K347" s="2">
        <v>0.0</v>
      </c>
      <c r="L347" s="2">
        <v>0.0</v>
      </c>
      <c r="M347" s="37">
        <v>0.0</v>
      </c>
    </row>
    <row r="348" ht="14.25" customHeight="1">
      <c r="A348" t="s">
        <v>421</v>
      </c>
      <c r="B348" t="s">
        <v>284</v>
      </c>
      <c r="C348" t="s">
        <v>75</v>
      </c>
      <c r="D348" t="s">
        <v>82</v>
      </c>
      <c r="E348">
        <v>22.4</v>
      </c>
      <c r="F348">
        <v>22.73</v>
      </c>
      <c r="G348" s="2" t="s">
        <v>64</v>
      </c>
      <c r="H348" s="2">
        <v>0.0</v>
      </c>
      <c r="I348" s="2">
        <v>0.0</v>
      </c>
      <c r="J348" s="37">
        <v>0.0</v>
      </c>
      <c r="K348" s="2">
        <v>0.0</v>
      </c>
      <c r="L348" s="2">
        <v>0.0</v>
      </c>
      <c r="M348" s="37">
        <v>0.0</v>
      </c>
    </row>
    <row r="349" ht="14.25" customHeight="1">
      <c r="A349" t="s">
        <v>422</v>
      </c>
      <c r="B349" t="s">
        <v>284</v>
      </c>
      <c r="C349" t="s">
        <v>75</v>
      </c>
      <c r="D349" t="s">
        <v>82</v>
      </c>
      <c r="E349">
        <v>22.4</v>
      </c>
      <c r="F349">
        <v>22.73</v>
      </c>
      <c r="G349" s="2" t="s">
        <v>64</v>
      </c>
      <c r="H349" s="2">
        <v>0.0</v>
      </c>
      <c r="I349" s="2">
        <v>0.0</v>
      </c>
      <c r="J349" s="37">
        <v>0.0</v>
      </c>
      <c r="K349" s="2">
        <v>0.0</v>
      </c>
      <c r="L349" s="2">
        <v>0.0</v>
      </c>
      <c r="M349" s="37">
        <v>0.0</v>
      </c>
    </row>
    <row r="350" ht="14.25" customHeight="1">
      <c r="A350" t="s">
        <v>423</v>
      </c>
      <c r="B350" t="s">
        <v>284</v>
      </c>
      <c r="C350" t="s">
        <v>75</v>
      </c>
      <c r="D350" t="s">
        <v>82</v>
      </c>
      <c r="E350">
        <v>22.4</v>
      </c>
      <c r="F350">
        <v>22.73</v>
      </c>
      <c r="G350" s="2" t="s">
        <v>64</v>
      </c>
      <c r="H350" s="2">
        <v>0.0</v>
      </c>
      <c r="I350" s="2">
        <v>0.0</v>
      </c>
      <c r="J350" s="37">
        <v>0.0</v>
      </c>
      <c r="K350" s="2">
        <v>0.0</v>
      </c>
      <c r="L350" s="2">
        <v>0.0</v>
      </c>
      <c r="M350" s="37">
        <v>0.0</v>
      </c>
    </row>
    <row r="351" ht="14.25" customHeight="1">
      <c r="A351" t="s">
        <v>424</v>
      </c>
      <c r="B351" t="s">
        <v>284</v>
      </c>
      <c r="C351" t="s">
        <v>75</v>
      </c>
      <c r="D351" t="s">
        <v>82</v>
      </c>
      <c r="E351">
        <v>22.4</v>
      </c>
      <c r="F351">
        <v>22.73</v>
      </c>
      <c r="G351" s="2" t="s">
        <v>64</v>
      </c>
      <c r="H351" s="2">
        <v>0.0</v>
      </c>
      <c r="I351" s="2">
        <v>0.0</v>
      </c>
      <c r="J351" s="37">
        <v>0.0</v>
      </c>
      <c r="K351" s="2">
        <v>0.0</v>
      </c>
      <c r="L351" s="2">
        <v>0.0</v>
      </c>
      <c r="M351" s="37">
        <v>0.0</v>
      </c>
    </row>
    <row r="352" ht="14.25" customHeight="1">
      <c r="A352" t="s">
        <v>425</v>
      </c>
      <c r="B352" t="s">
        <v>284</v>
      </c>
      <c r="C352" t="s">
        <v>75</v>
      </c>
      <c r="D352" t="s">
        <v>82</v>
      </c>
      <c r="E352">
        <v>22.4</v>
      </c>
      <c r="F352">
        <v>22.73</v>
      </c>
      <c r="G352" s="2" t="s">
        <v>64</v>
      </c>
      <c r="H352" s="2">
        <v>0.0</v>
      </c>
      <c r="I352" s="2">
        <v>0.0</v>
      </c>
      <c r="J352" s="37">
        <v>0.0</v>
      </c>
      <c r="K352" s="2">
        <v>0.0</v>
      </c>
      <c r="L352" s="2">
        <v>0.0</v>
      </c>
      <c r="M352" s="37">
        <v>0.0</v>
      </c>
    </row>
    <row r="353" ht="14.25" customHeight="1">
      <c r="A353" t="s">
        <v>426</v>
      </c>
      <c r="B353" t="s">
        <v>284</v>
      </c>
      <c r="C353" t="s">
        <v>75</v>
      </c>
      <c r="D353" t="s">
        <v>82</v>
      </c>
      <c r="E353">
        <v>22.4</v>
      </c>
      <c r="F353">
        <v>22.73</v>
      </c>
      <c r="G353" s="2" t="s">
        <v>64</v>
      </c>
      <c r="H353" s="2">
        <v>0.0</v>
      </c>
      <c r="I353" s="2">
        <v>0.0</v>
      </c>
      <c r="J353" s="37">
        <v>0.0</v>
      </c>
      <c r="K353" s="2">
        <v>0.0</v>
      </c>
      <c r="L353" s="2">
        <v>0.0</v>
      </c>
      <c r="M353" s="37">
        <v>0.0</v>
      </c>
    </row>
    <row r="354" ht="14.25" customHeight="1">
      <c r="A354" t="s">
        <v>427</v>
      </c>
      <c r="B354" t="s">
        <v>284</v>
      </c>
      <c r="C354" t="s">
        <v>75</v>
      </c>
      <c r="D354" t="s">
        <v>82</v>
      </c>
      <c r="E354">
        <v>22.4</v>
      </c>
      <c r="F354">
        <v>22.73</v>
      </c>
      <c r="G354" s="2" t="s">
        <v>64</v>
      </c>
      <c r="H354" s="2">
        <v>0.0</v>
      </c>
      <c r="I354" s="2">
        <v>0.0</v>
      </c>
      <c r="J354" s="37">
        <v>0.0</v>
      </c>
      <c r="K354" s="2">
        <v>0.0</v>
      </c>
      <c r="L354" s="2">
        <v>0.0</v>
      </c>
      <c r="M354" s="37">
        <v>0.0</v>
      </c>
    </row>
    <row r="355" ht="14.25" customHeight="1">
      <c r="A355" t="s">
        <v>428</v>
      </c>
      <c r="B355" t="s">
        <v>284</v>
      </c>
      <c r="C355" t="s">
        <v>75</v>
      </c>
      <c r="D355" t="s">
        <v>82</v>
      </c>
      <c r="E355">
        <v>22.4</v>
      </c>
      <c r="F355">
        <v>22.73</v>
      </c>
      <c r="G355" s="2" t="s">
        <v>64</v>
      </c>
      <c r="H355" s="2">
        <v>0.0</v>
      </c>
      <c r="I355" s="2">
        <v>0.0</v>
      </c>
      <c r="J355" s="37">
        <v>0.0</v>
      </c>
      <c r="K355" s="2">
        <v>0.0</v>
      </c>
      <c r="L355" s="2">
        <v>0.0</v>
      </c>
      <c r="M355" s="37">
        <v>0.0</v>
      </c>
    </row>
    <row r="356" ht="14.25" customHeight="1">
      <c r="A356" t="s">
        <v>429</v>
      </c>
      <c r="B356" t="s">
        <v>284</v>
      </c>
      <c r="C356" t="s">
        <v>75</v>
      </c>
      <c r="D356" t="s">
        <v>82</v>
      </c>
      <c r="E356">
        <v>22.4</v>
      </c>
      <c r="F356">
        <v>22.73</v>
      </c>
      <c r="G356" s="2" t="s">
        <v>64</v>
      </c>
      <c r="H356" s="2">
        <v>0.0</v>
      </c>
      <c r="I356" s="2">
        <v>0.0</v>
      </c>
      <c r="J356" s="37">
        <v>0.0</v>
      </c>
      <c r="K356" s="2">
        <v>0.0</v>
      </c>
      <c r="L356" s="2">
        <v>0.0</v>
      </c>
      <c r="M356" s="37">
        <v>0.0</v>
      </c>
    </row>
    <row r="357" ht="14.25" customHeight="1">
      <c r="A357" t="s">
        <v>430</v>
      </c>
      <c r="B357" t="s">
        <v>431</v>
      </c>
      <c r="C357" t="s">
        <v>62</v>
      </c>
      <c r="D357" t="s">
        <v>63</v>
      </c>
      <c r="E357">
        <v>3.5</v>
      </c>
      <c r="F357">
        <v>4.5</v>
      </c>
      <c r="G357" s="2" t="s">
        <v>64</v>
      </c>
      <c r="H357" s="2">
        <v>0.0</v>
      </c>
      <c r="I357" s="2">
        <v>0.0</v>
      </c>
      <c r="J357" s="37">
        <v>0.0</v>
      </c>
      <c r="K357" s="2">
        <v>0.0</v>
      </c>
      <c r="L357" s="2">
        <v>0.0</v>
      </c>
      <c r="M357" s="37">
        <v>0.0</v>
      </c>
    </row>
    <row r="358" ht="14.25" customHeight="1">
      <c r="A358" t="s">
        <v>432</v>
      </c>
      <c r="B358" t="s">
        <v>431</v>
      </c>
      <c r="C358" t="s">
        <v>62</v>
      </c>
      <c r="D358" t="s">
        <v>268</v>
      </c>
      <c r="E358">
        <v>4.689</v>
      </c>
      <c r="F358">
        <v>3.283</v>
      </c>
      <c r="G358" s="2" t="s">
        <v>64</v>
      </c>
      <c r="H358" s="2">
        <v>0.0</v>
      </c>
      <c r="I358" s="2">
        <v>0.0</v>
      </c>
      <c r="J358" s="37">
        <v>0.0</v>
      </c>
      <c r="K358" s="2">
        <v>0.0</v>
      </c>
      <c r="L358" s="2">
        <v>0.0</v>
      </c>
      <c r="M358" s="37">
        <v>0.0</v>
      </c>
    </row>
    <row r="359" ht="14.25" customHeight="1">
      <c r="A359" t="s">
        <v>433</v>
      </c>
      <c r="B359" t="s">
        <v>431</v>
      </c>
      <c r="C359" t="s">
        <v>62</v>
      </c>
      <c r="D359" t="s">
        <v>268</v>
      </c>
      <c r="E359">
        <v>3.3</v>
      </c>
      <c r="F359">
        <v>2.6</v>
      </c>
      <c r="G359" s="2" t="s">
        <v>64</v>
      </c>
      <c r="H359" s="2">
        <v>0.0</v>
      </c>
      <c r="I359" s="2">
        <v>0.0</v>
      </c>
      <c r="J359" s="37">
        <v>0.0</v>
      </c>
      <c r="K359" s="2">
        <v>0.0</v>
      </c>
      <c r="L359" s="2">
        <v>0.0</v>
      </c>
      <c r="M359" s="37">
        <v>0.0</v>
      </c>
    </row>
    <row r="360" ht="14.25" customHeight="1">
      <c r="A360" t="s">
        <v>434</v>
      </c>
      <c r="B360" t="s">
        <v>435</v>
      </c>
      <c r="C360" t="s">
        <v>62</v>
      </c>
      <c r="D360" t="s">
        <v>63</v>
      </c>
      <c r="E360">
        <v>2.5</v>
      </c>
      <c r="F360">
        <v>3.2</v>
      </c>
      <c r="G360" s="2" t="s">
        <v>64</v>
      </c>
      <c r="H360" s="2">
        <v>0.0</v>
      </c>
      <c r="I360" s="2">
        <v>0.0</v>
      </c>
      <c r="J360" s="37">
        <v>0.0</v>
      </c>
      <c r="K360" s="2">
        <v>0.0</v>
      </c>
      <c r="L360" s="2">
        <v>0.0</v>
      </c>
      <c r="M360" s="37">
        <v>0.0</v>
      </c>
    </row>
    <row r="361" ht="14.25" customHeight="1">
      <c r="A361" t="s">
        <v>436</v>
      </c>
      <c r="B361" t="s">
        <v>435</v>
      </c>
      <c r="C361" t="s">
        <v>62</v>
      </c>
      <c r="D361" t="s">
        <v>63</v>
      </c>
      <c r="E361">
        <v>5.0</v>
      </c>
      <c r="F361">
        <v>6.0</v>
      </c>
      <c r="G361" s="2" t="s">
        <v>67</v>
      </c>
      <c r="H361" s="2">
        <v>31.0</v>
      </c>
      <c r="I361" s="2">
        <v>175.0</v>
      </c>
      <c r="J361" s="37">
        <v>923.76</v>
      </c>
      <c r="K361" s="2">
        <v>36.0</v>
      </c>
      <c r="L361" s="2">
        <v>261.0</v>
      </c>
      <c r="M361" s="37">
        <v>1147.8600000000001</v>
      </c>
    </row>
    <row r="362" ht="14.25" customHeight="1">
      <c r="A362" t="s">
        <v>437</v>
      </c>
      <c r="B362" t="s">
        <v>438</v>
      </c>
      <c r="C362" t="s">
        <v>75</v>
      </c>
      <c r="D362" t="s">
        <v>63</v>
      </c>
      <c r="E362">
        <v>7.3</v>
      </c>
      <c r="F362">
        <v>7.5</v>
      </c>
      <c r="G362" s="2" t="s">
        <v>67</v>
      </c>
      <c r="H362" s="2">
        <v>46.0</v>
      </c>
      <c r="I362" s="2">
        <v>142.0</v>
      </c>
      <c r="J362" s="37">
        <v>1217.76</v>
      </c>
      <c r="K362" s="2">
        <v>53.0</v>
      </c>
      <c r="L362" s="2">
        <v>284.0</v>
      </c>
      <c r="M362" s="37">
        <v>1559.5800000000002</v>
      </c>
    </row>
    <row r="363" ht="14.25" customHeight="1">
      <c r="A363" t="s">
        <v>439</v>
      </c>
      <c r="B363" t="s">
        <v>438</v>
      </c>
      <c r="C363" t="s">
        <v>75</v>
      </c>
      <c r="D363" t="s">
        <v>63</v>
      </c>
      <c r="E363">
        <v>10.5</v>
      </c>
      <c r="F363">
        <v>11.5</v>
      </c>
      <c r="G363" s="2" t="s">
        <v>67</v>
      </c>
      <c r="H363" s="2">
        <v>68.0</v>
      </c>
      <c r="I363" s="2">
        <v>104.0</v>
      </c>
      <c r="J363" s="37">
        <v>1662.48</v>
      </c>
      <c r="K363" s="2">
        <v>78.0</v>
      </c>
      <c r="L363" s="2">
        <v>308.0</v>
      </c>
      <c r="M363" s="37">
        <v>2152.28</v>
      </c>
    </row>
    <row r="364" ht="14.25" customHeight="1">
      <c r="A364" t="s">
        <v>440</v>
      </c>
      <c r="B364" t="s">
        <v>441</v>
      </c>
      <c r="C364" t="s">
        <v>62</v>
      </c>
      <c r="D364" t="s">
        <v>268</v>
      </c>
      <c r="E364">
        <v>4.2</v>
      </c>
      <c r="F364">
        <v>2.88</v>
      </c>
      <c r="G364" s="2" t="s">
        <v>64</v>
      </c>
      <c r="H364" s="2">
        <v>0.0</v>
      </c>
      <c r="I364" s="2">
        <v>0.0</v>
      </c>
      <c r="J364" s="37">
        <v>0.0</v>
      </c>
      <c r="K364" s="2">
        <v>0.0</v>
      </c>
      <c r="L364" s="2">
        <v>0.0</v>
      </c>
      <c r="M364" s="37">
        <v>0.0</v>
      </c>
    </row>
    <row r="365" ht="14.25" customHeight="1">
      <c r="A365" t="s">
        <v>442</v>
      </c>
      <c r="B365" t="s">
        <v>441</v>
      </c>
      <c r="C365" t="s">
        <v>62</v>
      </c>
      <c r="D365" t="s">
        <v>268</v>
      </c>
      <c r="E365">
        <v>4.2</v>
      </c>
      <c r="F365">
        <v>2.88</v>
      </c>
      <c r="G365" s="2" t="s">
        <v>64</v>
      </c>
      <c r="H365" s="2">
        <v>0.0</v>
      </c>
      <c r="I365" s="2">
        <v>0.0</v>
      </c>
      <c r="J365" s="37">
        <v>0.0</v>
      </c>
      <c r="K365" s="2">
        <v>0.0</v>
      </c>
      <c r="L365" s="2">
        <v>0.0</v>
      </c>
      <c r="M365" s="37">
        <v>0.0</v>
      </c>
    </row>
    <row r="366" ht="14.25" customHeight="1">
      <c r="A366" t="s">
        <v>443</v>
      </c>
      <c r="B366" t="s">
        <v>441</v>
      </c>
      <c r="C366" t="s">
        <v>62</v>
      </c>
      <c r="D366" t="s">
        <v>268</v>
      </c>
      <c r="E366">
        <v>4.2</v>
      </c>
      <c r="F366">
        <v>2.88</v>
      </c>
      <c r="G366" s="2" t="s">
        <v>64</v>
      </c>
      <c r="H366" s="2">
        <v>0.0</v>
      </c>
      <c r="I366" s="2">
        <v>0.0</v>
      </c>
      <c r="J366" s="37">
        <v>0.0</v>
      </c>
      <c r="K366" s="2">
        <v>0.0</v>
      </c>
      <c r="L366" s="2">
        <v>0.0</v>
      </c>
      <c r="M366" s="37">
        <v>0.0</v>
      </c>
    </row>
    <row r="367" ht="14.25" customHeight="1">
      <c r="A367" t="s">
        <v>444</v>
      </c>
      <c r="B367" t="s">
        <v>445</v>
      </c>
      <c r="C367" t="s">
        <v>75</v>
      </c>
      <c r="D367" t="s">
        <v>63</v>
      </c>
      <c r="E367">
        <v>10.0</v>
      </c>
      <c r="F367">
        <v>11.5</v>
      </c>
      <c r="G367" s="2" t="s">
        <v>64</v>
      </c>
      <c r="H367" s="2">
        <v>0.0</v>
      </c>
      <c r="I367" s="2">
        <v>0.0</v>
      </c>
      <c r="J367" s="37">
        <v>0.0</v>
      </c>
      <c r="K367" s="2">
        <v>0.0</v>
      </c>
      <c r="L367" s="2">
        <v>0.0</v>
      </c>
      <c r="M367" s="37">
        <v>0.0</v>
      </c>
    </row>
    <row r="368" ht="14.25" customHeight="1">
      <c r="A368" t="s">
        <v>446</v>
      </c>
      <c r="B368" t="s">
        <v>445</v>
      </c>
      <c r="C368" t="s">
        <v>75</v>
      </c>
      <c r="D368" t="s">
        <v>63</v>
      </c>
      <c r="E368">
        <v>12.5</v>
      </c>
      <c r="F368">
        <v>13.5</v>
      </c>
      <c r="G368" s="2" t="s">
        <v>64</v>
      </c>
      <c r="H368" s="2">
        <v>0.0</v>
      </c>
      <c r="I368" s="2">
        <v>0.0</v>
      </c>
      <c r="J368" s="37">
        <v>0.0</v>
      </c>
      <c r="K368" s="2">
        <v>0.0</v>
      </c>
      <c r="L368" s="2">
        <v>0.0</v>
      </c>
      <c r="M368" s="37">
        <v>0.0</v>
      </c>
    </row>
    <row r="369" ht="14.25" customHeight="1">
      <c r="A369" t="s">
        <v>447</v>
      </c>
      <c r="B369" t="s">
        <v>445</v>
      </c>
      <c r="C369" t="s">
        <v>75</v>
      </c>
      <c r="D369" t="s">
        <v>63</v>
      </c>
      <c r="E369">
        <v>13.5</v>
      </c>
      <c r="F369">
        <v>16.0</v>
      </c>
      <c r="G369" s="2" t="s">
        <v>64</v>
      </c>
      <c r="H369" s="2">
        <v>0.0</v>
      </c>
      <c r="I369" s="2">
        <v>0.0</v>
      </c>
      <c r="J369" s="37">
        <v>0.0</v>
      </c>
      <c r="K369" s="2">
        <v>0.0</v>
      </c>
      <c r="L369" s="2">
        <v>0.0</v>
      </c>
      <c r="M369" s="37">
        <v>0.0</v>
      </c>
    </row>
    <row r="370" ht="14.25" customHeight="1">
      <c r="A370" t="s">
        <v>448</v>
      </c>
      <c r="B370" t="s">
        <v>445</v>
      </c>
      <c r="C370" t="s">
        <v>75</v>
      </c>
      <c r="D370" t="s">
        <v>63</v>
      </c>
      <c r="E370">
        <v>15.0</v>
      </c>
      <c r="F370">
        <v>17.5</v>
      </c>
      <c r="G370" s="2" t="s">
        <v>64</v>
      </c>
      <c r="H370" s="2">
        <v>0.0</v>
      </c>
      <c r="I370" s="2">
        <v>0.0</v>
      </c>
      <c r="J370" s="37">
        <v>0.0</v>
      </c>
      <c r="K370" s="2">
        <v>0.0</v>
      </c>
      <c r="L370" s="2">
        <v>0.0</v>
      </c>
      <c r="M370" s="37">
        <v>0.0</v>
      </c>
    </row>
    <row r="371" ht="14.25" customHeight="1">
      <c r="A371" t="s">
        <v>449</v>
      </c>
      <c r="B371" t="s">
        <v>445</v>
      </c>
      <c r="C371" t="s">
        <v>75</v>
      </c>
      <c r="D371" t="s">
        <v>63</v>
      </c>
      <c r="E371">
        <v>7.1</v>
      </c>
      <c r="F371">
        <v>7.7</v>
      </c>
      <c r="G371" s="2" t="s">
        <v>64</v>
      </c>
      <c r="H371" s="2">
        <v>0.0</v>
      </c>
      <c r="I371" s="2">
        <v>0.0</v>
      </c>
      <c r="J371" s="37">
        <v>0.0</v>
      </c>
      <c r="K371" s="2">
        <v>0.0</v>
      </c>
      <c r="L371" s="2">
        <v>0.0</v>
      </c>
      <c r="M371" s="37">
        <v>0.0</v>
      </c>
    </row>
    <row r="372" ht="14.25" customHeight="1">
      <c r="A372" t="s">
        <v>450</v>
      </c>
      <c r="B372" t="s">
        <v>445</v>
      </c>
      <c r="C372" t="s">
        <v>62</v>
      </c>
      <c r="D372" t="s">
        <v>63</v>
      </c>
      <c r="E372">
        <v>8.2</v>
      </c>
      <c r="F372">
        <v>9.0</v>
      </c>
      <c r="G372" s="2" t="s">
        <v>64</v>
      </c>
      <c r="H372" s="2">
        <v>0.0</v>
      </c>
      <c r="I372" s="2">
        <v>0.0</v>
      </c>
      <c r="J372" s="37">
        <v>0.0</v>
      </c>
      <c r="K372" s="2">
        <v>0.0</v>
      </c>
      <c r="L372" s="2">
        <v>0.0</v>
      </c>
      <c r="M372" s="37">
        <v>0.0</v>
      </c>
    </row>
    <row r="373" ht="14.25" customHeight="1">
      <c r="A373" t="s">
        <v>451</v>
      </c>
      <c r="B373" t="s">
        <v>445</v>
      </c>
      <c r="C373" t="s">
        <v>62</v>
      </c>
      <c r="D373" t="s">
        <v>63</v>
      </c>
      <c r="E373">
        <v>8.2</v>
      </c>
      <c r="F373">
        <v>9.0</v>
      </c>
      <c r="G373" s="2" t="s">
        <v>64</v>
      </c>
      <c r="H373" s="2">
        <v>0.0</v>
      </c>
      <c r="I373" s="2">
        <v>0.0</v>
      </c>
      <c r="J373" s="37">
        <v>0.0</v>
      </c>
      <c r="K373" s="2">
        <v>0.0</v>
      </c>
      <c r="L373" s="2">
        <v>0.0</v>
      </c>
      <c r="M373" s="37">
        <v>0.0</v>
      </c>
    </row>
    <row r="374" ht="14.25" customHeight="1">
      <c r="A374" t="s">
        <v>452</v>
      </c>
      <c r="B374" t="s">
        <v>445</v>
      </c>
      <c r="C374" t="s">
        <v>75</v>
      </c>
      <c r="D374" t="s">
        <v>63</v>
      </c>
      <c r="E374">
        <v>18.0</v>
      </c>
      <c r="F374">
        <v>20.0</v>
      </c>
      <c r="G374" s="2" t="s">
        <v>64</v>
      </c>
      <c r="H374" s="2">
        <v>0.0</v>
      </c>
      <c r="I374" s="2">
        <v>0.0</v>
      </c>
      <c r="J374" s="37">
        <v>0.0</v>
      </c>
      <c r="K374" s="2">
        <v>0.0</v>
      </c>
      <c r="L374" s="2">
        <v>0.0</v>
      </c>
      <c r="M374" s="37">
        <v>0.0</v>
      </c>
    </row>
    <row r="375" ht="14.25" customHeight="1">
      <c r="A375" t="s">
        <v>453</v>
      </c>
      <c r="B375" t="s">
        <v>445</v>
      </c>
      <c r="C375" t="s">
        <v>62</v>
      </c>
      <c r="D375" t="s">
        <v>63</v>
      </c>
      <c r="E375">
        <v>2.5</v>
      </c>
      <c r="F375">
        <v>3.0</v>
      </c>
      <c r="G375" s="2" t="s">
        <v>64</v>
      </c>
      <c r="H375" s="2">
        <v>0.0</v>
      </c>
      <c r="I375" s="2">
        <v>0.0</v>
      </c>
      <c r="J375" s="37">
        <v>0.0</v>
      </c>
      <c r="K375" s="2">
        <v>0.0</v>
      </c>
      <c r="L375" s="2">
        <v>0.0</v>
      </c>
      <c r="M375" s="37">
        <v>0.0</v>
      </c>
    </row>
    <row r="376" ht="14.25" customHeight="1">
      <c r="A376" t="s">
        <v>454</v>
      </c>
      <c r="B376" t="s">
        <v>445</v>
      </c>
      <c r="C376" t="s">
        <v>62</v>
      </c>
      <c r="D376" t="s">
        <v>63</v>
      </c>
      <c r="E376">
        <v>3.5</v>
      </c>
      <c r="F376">
        <v>3.7</v>
      </c>
      <c r="G376" s="2" t="s">
        <v>64</v>
      </c>
      <c r="H376" s="2">
        <v>0.0</v>
      </c>
      <c r="I376" s="2">
        <v>0.0</v>
      </c>
      <c r="J376" s="37">
        <v>0.0</v>
      </c>
      <c r="K376" s="2">
        <v>0.0</v>
      </c>
      <c r="L376" s="2">
        <v>0.0</v>
      </c>
      <c r="M376" s="37">
        <v>0.0</v>
      </c>
    </row>
    <row r="377" ht="14.25" customHeight="1">
      <c r="A377" t="s">
        <v>455</v>
      </c>
      <c r="B377" t="s">
        <v>445</v>
      </c>
      <c r="C377" t="s">
        <v>62</v>
      </c>
      <c r="D377" t="s">
        <v>63</v>
      </c>
      <c r="E377">
        <v>5.0</v>
      </c>
      <c r="F377">
        <v>5.2</v>
      </c>
      <c r="G377" s="2" t="s">
        <v>64</v>
      </c>
      <c r="H377" s="2">
        <v>0.0</v>
      </c>
      <c r="I377" s="2">
        <v>0.0</v>
      </c>
      <c r="J377" s="37">
        <v>0.0</v>
      </c>
      <c r="K377" s="2">
        <v>0.0</v>
      </c>
      <c r="L377" s="2">
        <v>0.0</v>
      </c>
      <c r="M377" s="37">
        <v>0.0</v>
      </c>
    </row>
    <row r="378" ht="14.25" customHeight="1">
      <c r="A378" t="s">
        <v>456</v>
      </c>
      <c r="B378" t="s">
        <v>445</v>
      </c>
      <c r="C378" t="s">
        <v>62</v>
      </c>
      <c r="D378" t="s">
        <v>63</v>
      </c>
      <c r="E378">
        <v>7.0</v>
      </c>
      <c r="F378">
        <v>7.5</v>
      </c>
      <c r="G378" s="2" t="s">
        <v>64</v>
      </c>
      <c r="H378" s="2">
        <v>0.0</v>
      </c>
      <c r="I378" s="2">
        <v>0.0</v>
      </c>
      <c r="J378" s="37">
        <v>0.0</v>
      </c>
      <c r="K378" s="2">
        <v>0.0</v>
      </c>
      <c r="L378" s="2">
        <v>0.0</v>
      </c>
      <c r="M378" s="37">
        <v>0.0</v>
      </c>
    </row>
    <row r="379" ht="14.25" customHeight="1">
      <c r="A379" t="s">
        <v>457</v>
      </c>
      <c r="B379" t="s">
        <v>445</v>
      </c>
      <c r="C379" t="s">
        <v>75</v>
      </c>
      <c r="D379" t="s">
        <v>63</v>
      </c>
      <c r="E379">
        <v>20.0</v>
      </c>
      <c r="F379">
        <v>22.8</v>
      </c>
      <c r="G379" s="2" t="s">
        <v>64</v>
      </c>
      <c r="H379" s="2">
        <v>0.0</v>
      </c>
      <c r="I379" s="2">
        <v>0.0</v>
      </c>
      <c r="J379" s="37">
        <v>0.0</v>
      </c>
      <c r="K379" s="2">
        <v>0.0</v>
      </c>
      <c r="L379" s="2">
        <v>0.0</v>
      </c>
      <c r="M379" s="37">
        <v>0.0</v>
      </c>
    </row>
    <row r="380" ht="14.25" customHeight="1">
      <c r="A380" t="s">
        <v>458</v>
      </c>
      <c r="B380" t="s">
        <v>445</v>
      </c>
      <c r="C380" t="s">
        <v>62</v>
      </c>
      <c r="D380" t="s">
        <v>268</v>
      </c>
      <c r="E380">
        <v>4.0</v>
      </c>
      <c r="F380">
        <v>3.15</v>
      </c>
      <c r="G380" s="2" t="s">
        <v>64</v>
      </c>
      <c r="H380" s="2">
        <v>0.0</v>
      </c>
      <c r="I380" s="2">
        <v>0.0</v>
      </c>
      <c r="J380" s="37">
        <v>0.0</v>
      </c>
      <c r="K380" s="2">
        <v>0.0</v>
      </c>
      <c r="L380" s="2">
        <v>0.0</v>
      </c>
      <c r="M380" s="37">
        <v>0.0</v>
      </c>
    </row>
    <row r="381" ht="14.25" customHeight="1">
      <c r="A381" t="s">
        <v>459</v>
      </c>
      <c r="B381" t="s">
        <v>445</v>
      </c>
      <c r="C381" t="s">
        <v>62</v>
      </c>
      <c r="D381" t="s">
        <v>268</v>
      </c>
      <c r="E381">
        <v>3.5</v>
      </c>
      <c r="F381">
        <v>2.8</v>
      </c>
      <c r="G381" s="2" t="s">
        <v>64</v>
      </c>
      <c r="H381" s="2">
        <v>0.0</v>
      </c>
      <c r="I381" s="2">
        <v>0.0</v>
      </c>
      <c r="J381" s="37">
        <v>0.0</v>
      </c>
      <c r="K381" s="2">
        <v>0.0</v>
      </c>
      <c r="L381" s="2">
        <v>0.0</v>
      </c>
      <c r="M381" s="37">
        <v>0.0</v>
      </c>
    </row>
    <row r="382" ht="14.25" customHeight="1">
      <c r="A382" t="s">
        <v>460</v>
      </c>
      <c r="B382" t="s">
        <v>445</v>
      </c>
      <c r="C382" t="s">
        <v>62</v>
      </c>
      <c r="D382" t="s">
        <v>63</v>
      </c>
      <c r="E382">
        <v>8.2</v>
      </c>
      <c r="F382">
        <v>8.5</v>
      </c>
      <c r="G382" s="2" t="s">
        <v>67</v>
      </c>
      <c r="H382" s="2">
        <v>45.0</v>
      </c>
      <c r="I382" s="2">
        <v>138.0</v>
      </c>
      <c r="J382" s="37">
        <v>1190.1000000000001</v>
      </c>
      <c r="K382" s="2">
        <v>52.0</v>
      </c>
      <c r="L382" s="2">
        <v>279.0</v>
      </c>
      <c r="M382" s="37">
        <v>1530.6200000000001</v>
      </c>
    </row>
    <row r="383" ht="14.25" customHeight="1">
      <c r="A383" t="s">
        <v>461</v>
      </c>
      <c r="B383" t="s">
        <v>445</v>
      </c>
      <c r="C383" t="s">
        <v>62</v>
      </c>
      <c r="D383" t="s">
        <v>63</v>
      </c>
      <c r="E383">
        <v>7.2</v>
      </c>
      <c r="F383">
        <v>7.2</v>
      </c>
      <c r="G383" s="2" t="s">
        <v>67</v>
      </c>
      <c r="H383" s="2">
        <v>38.0</v>
      </c>
      <c r="I383" s="2">
        <v>188.0</v>
      </c>
      <c r="J383" s="37">
        <v>1097.88</v>
      </c>
      <c r="K383" s="2">
        <v>44.0</v>
      </c>
      <c r="L383" s="2">
        <v>312.0</v>
      </c>
      <c r="M383" s="37">
        <v>1393.8400000000001</v>
      </c>
    </row>
    <row r="384" ht="14.25" customHeight="1">
      <c r="A384" t="s">
        <v>462</v>
      </c>
      <c r="B384" t="s">
        <v>445</v>
      </c>
      <c r="C384" t="s">
        <v>62</v>
      </c>
      <c r="D384" t="s">
        <v>63</v>
      </c>
      <c r="E384">
        <v>5.2</v>
      </c>
      <c r="F384">
        <v>5.2</v>
      </c>
      <c r="G384" s="2" t="s">
        <v>67</v>
      </c>
      <c r="H384" s="2">
        <v>28.0</v>
      </c>
      <c r="I384" s="2">
        <v>120.0</v>
      </c>
      <c r="J384" s="37">
        <v>784.88</v>
      </c>
      <c r="K384" s="2">
        <v>32.0</v>
      </c>
      <c r="L384" s="2">
        <v>210.0</v>
      </c>
      <c r="M384" s="37">
        <v>991.72</v>
      </c>
    </row>
    <row r="385" ht="14.25" customHeight="1">
      <c r="A385" t="s">
        <v>463</v>
      </c>
      <c r="B385" t="s">
        <v>445</v>
      </c>
      <c r="C385" t="s">
        <v>62</v>
      </c>
      <c r="D385" t="s">
        <v>63</v>
      </c>
      <c r="E385">
        <v>3.5</v>
      </c>
      <c r="F385">
        <v>4.5</v>
      </c>
      <c r="G385" s="2" t="s">
        <v>64</v>
      </c>
      <c r="H385" s="2">
        <v>0.0</v>
      </c>
      <c r="I385" s="2">
        <v>0.0</v>
      </c>
      <c r="J385" s="37">
        <v>0.0</v>
      </c>
      <c r="K385" s="2">
        <v>0.0</v>
      </c>
      <c r="L385" s="2">
        <v>0.0</v>
      </c>
      <c r="M385" s="37">
        <v>0.0</v>
      </c>
    </row>
    <row r="386" ht="14.25" customHeight="1">
      <c r="A386" t="s">
        <v>464</v>
      </c>
      <c r="B386" t="s">
        <v>445</v>
      </c>
      <c r="C386" t="s">
        <v>62</v>
      </c>
      <c r="D386" t="s">
        <v>63</v>
      </c>
      <c r="E386">
        <v>2.64</v>
      </c>
      <c r="F386">
        <v>4.05</v>
      </c>
      <c r="G386" s="2" t="s">
        <v>64</v>
      </c>
      <c r="H386" s="2">
        <v>0.0</v>
      </c>
      <c r="I386" s="2">
        <v>0.0</v>
      </c>
      <c r="J386" s="37">
        <v>0.0</v>
      </c>
      <c r="K386" s="2">
        <v>0.0</v>
      </c>
      <c r="L386" s="2">
        <v>0.0</v>
      </c>
      <c r="M386" s="37">
        <v>0.0</v>
      </c>
    </row>
    <row r="387" ht="14.25" customHeight="1">
      <c r="A387" t="s">
        <v>465</v>
      </c>
      <c r="B387" t="s">
        <v>445</v>
      </c>
      <c r="C387" t="s">
        <v>62</v>
      </c>
      <c r="D387" t="s">
        <v>63</v>
      </c>
      <c r="E387">
        <v>2.8</v>
      </c>
      <c r="F387">
        <v>2.65</v>
      </c>
      <c r="G387" s="2" t="s">
        <v>67</v>
      </c>
      <c r="H387" s="2">
        <v>14.0</v>
      </c>
      <c r="I387" s="2">
        <v>128.0</v>
      </c>
      <c r="J387" s="37">
        <v>480.84000000000003</v>
      </c>
      <c r="K387" s="2">
        <v>16.0</v>
      </c>
      <c r="L387" s="2">
        <v>171.0</v>
      </c>
      <c r="M387" s="37">
        <v>581.6600000000001</v>
      </c>
    </row>
    <row r="388" ht="14.25" customHeight="1">
      <c r="A388" t="s">
        <v>466</v>
      </c>
      <c r="B388" t="s">
        <v>445</v>
      </c>
      <c r="C388" t="s">
        <v>62</v>
      </c>
      <c r="D388" t="s">
        <v>467</v>
      </c>
      <c r="E388">
        <v>2.7</v>
      </c>
      <c r="F388">
        <v>2.4</v>
      </c>
      <c r="G388" s="2" t="s">
        <v>64</v>
      </c>
      <c r="H388" s="2">
        <v>0.0</v>
      </c>
      <c r="I388" s="2">
        <v>0.0</v>
      </c>
      <c r="J388" s="37">
        <v>0.0</v>
      </c>
      <c r="K388" s="2">
        <v>0.0</v>
      </c>
      <c r="L388" s="2">
        <v>0.0</v>
      </c>
      <c r="M388" s="37">
        <v>0.0</v>
      </c>
    </row>
    <row r="389" ht="14.25" customHeight="1">
      <c r="A389" t="s">
        <v>468</v>
      </c>
      <c r="B389" t="s">
        <v>445</v>
      </c>
      <c r="C389" t="s">
        <v>62</v>
      </c>
      <c r="D389" t="s">
        <v>467</v>
      </c>
      <c r="E389">
        <v>4.2</v>
      </c>
      <c r="F389">
        <v>3.6</v>
      </c>
      <c r="G389" s="2" t="s">
        <v>64</v>
      </c>
      <c r="H389" s="2">
        <v>0.0</v>
      </c>
      <c r="I389" s="2">
        <v>0.0</v>
      </c>
      <c r="J389" s="37">
        <v>0.0</v>
      </c>
      <c r="K389" s="2">
        <v>0.0</v>
      </c>
      <c r="L389" s="2">
        <v>0.0</v>
      </c>
      <c r="M389" s="37">
        <v>0.0</v>
      </c>
    </row>
    <row r="390" ht="14.25" customHeight="1">
      <c r="A390" t="s">
        <v>469</v>
      </c>
      <c r="B390" t="s">
        <v>445</v>
      </c>
      <c r="C390" t="s">
        <v>75</v>
      </c>
      <c r="D390" t="s">
        <v>63</v>
      </c>
      <c r="E390">
        <v>10.5</v>
      </c>
      <c r="F390">
        <v>12.5</v>
      </c>
      <c r="G390" s="2" t="s">
        <v>67</v>
      </c>
      <c r="H390" s="2">
        <v>72.0</v>
      </c>
      <c r="I390" s="2">
        <v>508.0</v>
      </c>
      <c r="J390" s="37">
        <v>2277.52</v>
      </c>
      <c r="K390" s="2">
        <v>84.0</v>
      </c>
      <c r="L390" s="2">
        <v>712.0</v>
      </c>
      <c r="M390" s="37">
        <v>2812.2400000000002</v>
      </c>
    </row>
    <row r="391" ht="14.25" customHeight="1">
      <c r="A391" t="s">
        <v>470</v>
      </c>
      <c r="B391" t="s">
        <v>445</v>
      </c>
      <c r="C391" t="s">
        <v>75</v>
      </c>
      <c r="D391" t="s">
        <v>63</v>
      </c>
      <c r="E391">
        <v>12.5</v>
      </c>
      <c r="F391">
        <v>15.0</v>
      </c>
      <c r="G391" s="2" t="s">
        <v>67</v>
      </c>
      <c r="H391" s="2">
        <v>79.0</v>
      </c>
      <c r="I391" s="2">
        <v>130.0</v>
      </c>
      <c r="J391" s="37">
        <v>1943.3400000000001</v>
      </c>
      <c r="K391" s="2">
        <v>92.0</v>
      </c>
      <c r="L391" s="2">
        <v>372.0</v>
      </c>
      <c r="M391" s="37">
        <v>2549.92</v>
      </c>
    </row>
    <row r="392" ht="14.25" customHeight="1">
      <c r="A392" t="s">
        <v>471</v>
      </c>
      <c r="B392" t="s">
        <v>445</v>
      </c>
      <c r="C392" t="s">
        <v>75</v>
      </c>
      <c r="D392" t="s">
        <v>63</v>
      </c>
      <c r="E392">
        <v>14.0</v>
      </c>
      <c r="F392">
        <v>16.5</v>
      </c>
      <c r="G392" s="2" t="s">
        <v>67</v>
      </c>
      <c r="H392" s="2">
        <v>91.0</v>
      </c>
      <c r="I392" s="2">
        <v>373.0</v>
      </c>
      <c r="J392" s="37">
        <v>2528.76</v>
      </c>
      <c r="K392" s="2">
        <v>106.0</v>
      </c>
      <c r="L392" s="2">
        <v>644.0</v>
      </c>
      <c r="M392" s="37">
        <v>3217.96</v>
      </c>
    </row>
    <row r="393" ht="14.25" customHeight="1">
      <c r="A393" t="s">
        <v>472</v>
      </c>
      <c r="B393" t="s">
        <v>445</v>
      </c>
      <c r="C393" t="s">
        <v>75</v>
      </c>
      <c r="D393" t="s">
        <v>63</v>
      </c>
      <c r="E393">
        <v>16.0</v>
      </c>
      <c r="F393">
        <v>19.0</v>
      </c>
      <c r="G393" s="2" t="s">
        <v>67</v>
      </c>
      <c r="H393" s="2">
        <v>100.0</v>
      </c>
      <c r="I393" s="2">
        <v>174.0</v>
      </c>
      <c r="J393" s="37">
        <v>2472.2</v>
      </c>
      <c r="K393" s="2">
        <v>117.0</v>
      </c>
      <c r="L393" s="2">
        <v>484.0</v>
      </c>
      <c r="M393" s="37">
        <v>3257.0200000000004</v>
      </c>
    </row>
    <row r="394" ht="14.25" customHeight="1">
      <c r="A394" t="s">
        <v>473</v>
      </c>
      <c r="B394" t="s">
        <v>445</v>
      </c>
      <c r="C394" t="s">
        <v>62</v>
      </c>
      <c r="D394" t="s">
        <v>63</v>
      </c>
      <c r="E394">
        <v>2.64</v>
      </c>
      <c r="F394">
        <v>3.3</v>
      </c>
      <c r="G394" s="2" t="s">
        <v>67</v>
      </c>
      <c r="H394" s="2">
        <v>16.0</v>
      </c>
      <c r="I394" s="2">
        <v>96.0</v>
      </c>
      <c r="J394" s="37">
        <v>484.16</v>
      </c>
      <c r="K394" s="2">
        <v>18.0</v>
      </c>
      <c r="L394" s="2">
        <v>136.0</v>
      </c>
      <c r="M394" s="37">
        <v>581.08</v>
      </c>
    </row>
    <row r="395" ht="14.25" customHeight="1">
      <c r="A395" t="s">
        <v>474</v>
      </c>
      <c r="B395" t="s">
        <v>445</v>
      </c>
      <c r="C395" t="s">
        <v>62</v>
      </c>
      <c r="D395" t="s">
        <v>63</v>
      </c>
      <c r="E395">
        <v>3.53</v>
      </c>
      <c r="F395">
        <v>3.65</v>
      </c>
      <c r="G395" s="2" t="s">
        <v>67</v>
      </c>
      <c r="H395" s="2">
        <v>18.0</v>
      </c>
      <c r="I395" s="2">
        <v>52.0</v>
      </c>
      <c r="J395" s="37">
        <v>471.88000000000005</v>
      </c>
      <c r="K395" s="2">
        <v>20.0</v>
      </c>
      <c r="L395" s="2">
        <v>106.0</v>
      </c>
      <c r="M395" s="37">
        <v>587.0</v>
      </c>
    </row>
    <row r="396" ht="14.25" customHeight="1">
      <c r="A396" t="s">
        <v>475</v>
      </c>
      <c r="B396" t="s">
        <v>445</v>
      </c>
      <c r="C396" t="s">
        <v>62</v>
      </c>
      <c r="D396" t="s">
        <v>63</v>
      </c>
      <c r="E396">
        <v>5.3</v>
      </c>
      <c r="F396">
        <v>5.3</v>
      </c>
      <c r="G396" s="2" t="s">
        <v>67</v>
      </c>
      <c r="H396" s="2">
        <v>31.0</v>
      </c>
      <c r="I396" s="2">
        <v>193.0</v>
      </c>
      <c r="J396" s="37">
        <v>947.16</v>
      </c>
      <c r="K396" s="2">
        <v>35.0</v>
      </c>
      <c r="L396" s="2">
        <v>285.0</v>
      </c>
      <c r="M396" s="37">
        <v>1156.6</v>
      </c>
    </row>
    <row r="397" ht="14.25" customHeight="1">
      <c r="A397" t="s">
        <v>476</v>
      </c>
      <c r="B397" t="s">
        <v>445</v>
      </c>
      <c r="C397" t="s">
        <v>62</v>
      </c>
      <c r="D397" t="s">
        <v>63</v>
      </c>
      <c r="E397">
        <v>7.2</v>
      </c>
      <c r="F397">
        <v>7.3</v>
      </c>
      <c r="G397" s="2" t="s">
        <v>67</v>
      </c>
      <c r="H397" s="2">
        <v>40.0</v>
      </c>
      <c r="I397" s="2">
        <v>81.0</v>
      </c>
      <c r="J397" s="37">
        <v>1003.7</v>
      </c>
      <c r="K397" s="2">
        <v>46.0</v>
      </c>
      <c r="L397" s="2">
        <v>205.0</v>
      </c>
      <c r="M397" s="37">
        <v>1299.66</v>
      </c>
    </row>
    <row r="398" ht="14.25" customHeight="1">
      <c r="A398" t="s">
        <v>477</v>
      </c>
      <c r="B398" t="s">
        <v>445</v>
      </c>
      <c r="C398" t="s">
        <v>62</v>
      </c>
      <c r="D398" t="s">
        <v>63</v>
      </c>
      <c r="E398">
        <v>8.2</v>
      </c>
      <c r="F398">
        <v>8.4</v>
      </c>
      <c r="G398" s="2" t="s">
        <v>67</v>
      </c>
      <c r="H398" s="2">
        <v>44.0</v>
      </c>
      <c r="I398" s="2">
        <v>90.0</v>
      </c>
      <c r="J398" s="37">
        <v>1105.24</v>
      </c>
      <c r="K398" s="2">
        <v>51.0</v>
      </c>
      <c r="L398" s="2">
        <v>231.0</v>
      </c>
      <c r="M398" s="37">
        <v>1445.76</v>
      </c>
    </row>
    <row r="399" ht="14.25" customHeight="1">
      <c r="A399" t="s">
        <v>478</v>
      </c>
      <c r="B399" t="s">
        <v>479</v>
      </c>
      <c r="C399" t="s">
        <v>75</v>
      </c>
      <c r="D399" t="s">
        <v>63</v>
      </c>
      <c r="E399">
        <v>10.0</v>
      </c>
      <c r="F399">
        <v>12.0</v>
      </c>
      <c r="G399" s="2" t="s">
        <v>64</v>
      </c>
      <c r="H399" s="2">
        <v>0.0</v>
      </c>
      <c r="I399" s="2">
        <v>0.0</v>
      </c>
      <c r="J399" s="37">
        <v>0.0</v>
      </c>
      <c r="K399" s="2">
        <v>0.0</v>
      </c>
      <c r="L399" s="2">
        <v>0.0</v>
      </c>
      <c r="M399" s="37">
        <v>0.0</v>
      </c>
    </row>
    <row r="400" ht="14.25" customHeight="1">
      <c r="A400" t="s">
        <v>480</v>
      </c>
      <c r="B400" t="s">
        <v>479</v>
      </c>
      <c r="C400" t="s">
        <v>75</v>
      </c>
      <c r="D400" t="s">
        <v>63</v>
      </c>
      <c r="E400">
        <v>10.0</v>
      </c>
      <c r="F400">
        <v>12.0</v>
      </c>
      <c r="G400" s="2" t="s">
        <v>64</v>
      </c>
      <c r="H400" s="2">
        <v>0.0</v>
      </c>
      <c r="I400" s="2">
        <v>0.0</v>
      </c>
      <c r="J400" s="37">
        <v>0.0</v>
      </c>
      <c r="K400" s="2">
        <v>0.0</v>
      </c>
      <c r="L400" s="2">
        <v>0.0</v>
      </c>
      <c r="M400" s="37">
        <v>0.0</v>
      </c>
    </row>
    <row r="401" ht="14.25" customHeight="1">
      <c r="A401" t="s">
        <v>481</v>
      </c>
      <c r="B401" t="s">
        <v>479</v>
      </c>
      <c r="C401" t="s">
        <v>75</v>
      </c>
      <c r="D401" t="s">
        <v>63</v>
      </c>
      <c r="E401">
        <v>10.0</v>
      </c>
      <c r="F401">
        <v>12.0</v>
      </c>
      <c r="G401" s="2" t="s">
        <v>64</v>
      </c>
      <c r="H401" s="2">
        <v>0.0</v>
      </c>
      <c r="I401" s="2">
        <v>0.0</v>
      </c>
      <c r="J401" s="37">
        <v>0.0</v>
      </c>
      <c r="K401" s="2">
        <v>0.0</v>
      </c>
      <c r="L401" s="2">
        <v>0.0</v>
      </c>
      <c r="M401" s="37">
        <v>0.0</v>
      </c>
    </row>
    <row r="402" ht="14.25" customHeight="1">
      <c r="A402" t="s">
        <v>482</v>
      </c>
      <c r="B402" t="s">
        <v>479</v>
      </c>
      <c r="C402" t="s">
        <v>62</v>
      </c>
      <c r="D402" t="s">
        <v>63</v>
      </c>
      <c r="E402">
        <v>7.2</v>
      </c>
      <c r="F402">
        <v>8.0</v>
      </c>
      <c r="G402" s="2" t="s">
        <v>64</v>
      </c>
      <c r="H402" s="2">
        <v>0.0</v>
      </c>
      <c r="I402" s="2">
        <v>0.0</v>
      </c>
      <c r="J402" s="37">
        <v>0.0</v>
      </c>
      <c r="K402" s="2">
        <v>0.0</v>
      </c>
      <c r="L402" s="2">
        <v>0.0</v>
      </c>
      <c r="M402" s="37">
        <v>0.0</v>
      </c>
    </row>
    <row r="403" ht="14.25" customHeight="1">
      <c r="A403" t="s">
        <v>483</v>
      </c>
      <c r="B403" t="s">
        <v>479</v>
      </c>
      <c r="C403" t="s">
        <v>62</v>
      </c>
      <c r="D403" t="s">
        <v>63</v>
      </c>
      <c r="E403">
        <v>10.2</v>
      </c>
      <c r="F403">
        <v>12.1</v>
      </c>
      <c r="G403" s="2" t="s">
        <v>64</v>
      </c>
      <c r="H403" s="2">
        <v>0.0</v>
      </c>
      <c r="I403" s="2">
        <v>0.0</v>
      </c>
      <c r="J403" s="37">
        <v>0.0</v>
      </c>
      <c r="K403" s="2">
        <v>0.0</v>
      </c>
      <c r="L403" s="2">
        <v>0.0</v>
      </c>
      <c r="M403" s="37">
        <v>0.0</v>
      </c>
    </row>
    <row r="404" ht="14.25" customHeight="1">
      <c r="A404" t="s">
        <v>484</v>
      </c>
      <c r="B404" t="s">
        <v>479</v>
      </c>
      <c r="C404" t="s">
        <v>62</v>
      </c>
      <c r="D404" t="s">
        <v>63</v>
      </c>
      <c r="E404">
        <v>12.8</v>
      </c>
      <c r="F404">
        <v>13.5</v>
      </c>
      <c r="G404" s="2" t="s">
        <v>64</v>
      </c>
      <c r="H404" s="2">
        <v>0.0</v>
      </c>
      <c r="I404" s="2">
        <v>0.0</v>
      </c>
      <c r="J404" s="37">
        <v>0.0</v>
      </c>
      <c r="K404" s="2">
        <v>0.0</v>
      </c>
      <c r="L404" s="2">
        <v>0.0</v>
      </c>
      <c r="M404" s="37">
        <v>0.0</v>
      </c>
    </row>
    <row r="405" ht="14.25" customHeight="1">
      <c r="A405" t="s">
        <v>485</v>
      </c>
      <c r="B405" t="s">
        <v>479</v>
      </c>
      <c r="C405" t="s">
        <v>62</v>
      </c>
      <c r="D405" t="s">
        <v>63</v>
      </c>
      <c r="E405">
        <v>13.6</v>
      </c>
      <c r="F405">
        <v>16.0</v>
      </c>
      <c r="G405" s="2" t="s">
        <v>64</v>
      </c>
      <c r="H405" s="2">
        <v>0.0</v>
      </c>
      <c r="I405" s="2">
        <v>0.0</v>
      </c>
      <c r="J405" s="37">
        <v>0.0</v>
      </c>
      <c r="K405" s="2">
        <v>0.0</v>
      </c>
      <c r="L405" s="2">
        <v>0.0</v>
      </c>
      <c r="M405" s="37">
        <v>0.0</v>
      </c>
    </row>
    <row r="406" ht="14.25" customHeight="1">
      <c r="A406" t="s">
        <v>486</v>
      </c>
      <c r="B406" t="s">
        <v>479</v>
      </c>
      <c r="C406" t="s">
        <v>62</v>
      </c>
      <c r="D406" t="s">
        <v>63</v>
      </c>
      <c r="E406">
        <v>2.5</v>
      </c>
      <c r="F406">
        <v>3.15</v>
      </c>
      <c r="G406" s="2" t="s">
        <v>67</v>
      </c>
      <c r="H406" s="2">
        <v>16.0</v>
      </c>
      <c r="I406" s="2">
        <v>46.0</v>
      </c>
      <c r="J406" s="37">
        <v>419.16</v>
      </c>
      <c r="K406" s="2">
        <v>18.0</v>
      </c>
      <c r="L406" s="2">
        <v>84.0</v>
      </c>
      <c r="M406" s="37">
        <v>513.48</v>
      </c>
    </row>
    <row r="407" ht="14.25" customHeight="1">
      <c r="A407" t="s">
        <v>487</v>
      </c>
      <c r="B407" t="s">
        <v>479</v>
      </c>
      <c r="C407" t="s">
        <v>62</v>
      </c>
      <c r="D407" t="s">
        <v>63</v>
      </c>
      <c r="E407">
        <v>3.45</v>
      </c>
      <c r="F407">
        <v>3.73</v>
      </c>
      <c r="G407" s="2" t="s">
        <v>64</v>
      </c>
      <c r="H407" s="2">
        <v>0.0</v>
      </c>
      <c r="I407" s="2">
        <v>0.0</v>
      </c>
      <c r="J407" s="37">
        <v>0.0</v>
      </c>
      <c r="K407" s="2">
        <v>0.0</v>
      </c>
      <c r="L407" s="2">
        <v>0.0</v>
      </c>
      <c r="M407" s="37">
        <v>0.0</v>
      </c>
    </row>
    <row r="408" ht="14.25" customHeight="1">
      <c r="A408" t="s">
        <v>488</v>
      </c>
      <c r="B408" t="s">
        <v>479</v>
      </c>
      <c r="C408" t="s">
        <v>62</v>
      </c>
      <c r="D408" t="s">
        <v>63</v>
      </c>
      <c r="E408">
        <v>5.2</v>
      </c>
      <c r="F408">
        <v>5.5</v>
      </c>
      <c r="G408" s="2" t="s">
        <v>67</v>
      </c>
      <c r="H408" s="2">
        <v>29.0</v>
      </c>
      <c r="I408" s="2">
        <v>148.0</v>
      </c>
      <c r="J408" s="37">
        <v>843.74</v>
      </c>
      <c r="K408" s="2">
        <v>34.0</v>
      </c>
      <c r="L408" s="2">
        <v>238.0</v>
      </c>
      <c r="M408" s="37">
        <v>1073.04</v>
      </c>
    </row>
    <row r="409" ht="14.25" customHeight="1">
      <c r="A409" t="s">
        <v>489</v>
      </c>
      <c r="B409" t="s">
        <v>479</v>
      </c>
      <c r="C409" t="s">
        <v>62</v>
      </c>
      <c r="D409" t="s">
        <v>63</v>
      </c>
      <c r="E409">
        <v>7.1</v>
      </c>
      <c r="F409">
        <v>7.1</v>
      </c>
      <c r="G409" s="2" t="s">
        <v>67</v>
      </c>
      <c r="H409" s="2">
        <v>38.0</v>
      </c>
      <c r="I409" s="2">
        <v>170.0</v>
      </c>
      <c r="J409" s="37">
        <v>1074.48</v>
      </c>
      <c r="K409" s="2">
        <v>43.0</v>
      </c>
      <c r="L409" s="2">
        <v>293.0</v>
      </c>
      <c r="M409" s="37">
        <v>1346.68</v>
      </c>
    </row>
    <row r="410" ht="14.25" customHeight="1">
      <c r="A410" t="s">
        <v>486</v>
      </c>
      <c r="B410" t="s">
        <v>479</v>
      </c>
      <c r="C410" t="s">
        <v>62</v>
      </c>
      <c r="D410" t="s">
        <v>63</v>
      </c>
      <c r="E410">
        <v>2.5</v>
      </c>
      <c r="F410">
        <v>3.0</v>
      </c>
      <c r="G410" s="2" t="s">
        <v>64</v>
      </c>
      <c r="H410" s="2">
        <v>15.0</v>
      </c>
      <c r="I410" s="2">
        <v>40.0</v>
      </c>
      <c r="J410" s="37">
        <v>388.90000000000003</v>
      </c>
      <c r="K410" s="2">
        <v>17.0</v>
      </c>
      <c r="L410" s="2">
        <v>78.0</v>
      </c>
      <c r="M410" s="37">
        <v>483.22</v>
      </c>
    </row>
    <row r="411" ht="14.25" customHeight="1">
      <c r="A411" t="s">
        <v>490</v>
      </c>
      <c r="B411" t="s">
        <v>479</v>
      </c>
      <c r="C411" t="s">
        <v>62</v>
      </c>
      <c r="D411" t="s">
        <v>63</v>
      </c>
      <c r="E411">
        <v>8.5</v>
      </c>
      <c r="F411">
        <v>9.0</v>
      </c>
      <c r="G411" s="2" t="s">
        <v>67</v>
      </c>
      <c r="H411" s="2">
        <v>48.0</v>
      </c>
      <c r="I411" s="2">
        <v>192.0</v>
      </c>
      <c r="J411" s="37">
        <v>1327.6799999999998</v>
      </c>
      <c r="K411" s="2">
        <v>55.0</v>
      </c>
      <c r="L411" s="2">
        <v>338.0</v>
      </c>
      <c r="M411" s="37">
        <v>1674.7</v>
      </c>
    </row>
    <row r="412" ht="14.25" customHeight="1">
      <c r="A412" t="s">
        <v>482</v>
      </c>
      <c r="B412" t="s">
        <v>479</v>
      </c>
      <c r="C412" t="s">
        <v>62</v>
      </c>
      <c r="D412" t="s">
        <v>63</v>
      </c>
      <c r="E412">
        <v>7.1</v>
      </c>
      <c r="F412">
        <v>8.0</v>
      </c>
      <c r="G412" s="2" t="s">
        <v>64</v>
      </c>
      <c r="H412" s="2">
        <v>0.0</v>
      </c>
      <c r="I412" s="2">
        <v>0.0</v>
      </c>
      <c r="J412" s="37">
        <v>0.0</v>
      </c>
      <c r="K412" s="2">
        <v>0.0</v>
      </c>
      <c r="L412" s="2">
        <v>0.0</v>
      </c>
      <c r="M412" s="37">
        <v>0.0</v>
      </c>
    </row>
    <row r="413" ht="14.25" customHeight="1">
      <c r="A413" t="s">
        <v>483</v>
      </c>
      <c r="B413" t="s">
        <v>479</v>
      </c>
      <c r="C413" t="s">
        <v>62</v>
      </c>
      <c r="D413" t="s">
        <v>63</v>
      </c>
      <c r="E413">
        <v>10.1</v>
      </c>
      <c r="F413">
        <v>12.0</v>
      </c>
      <c r="G413" s="2" t="s">
        <v>64</v>
      </c>
      <c r="H413" s="2">
        <v>0.0</v>
      </c>
      <c r="I413" s="2">
        <v>0.0</v>
      </c>
      <c r="J413" s="37">
        <v>0.0</v>
      </c>
      <c r="K413" s="2">
        <v>0.0</v>
      </c>
      <c r="L413" s="2">
        <v>0.0</v>
      </c>
      <c r="M413" s="37">
        <v>0.0</v>
      </c>
    </row>
    <row r="414" ht="14.25" customHeight="1">
      <c r="A414" t="s">
        <v>484</v>
      </c>
      <c r="B414" t="s">
        <v>479</v>
      </c>
      <c r="C414" t="s">
        <v>62</v>
      </c>
      <c r="D414" t="s">
        <v>63</v>
      </c>
      <c r="E414">
        <v>12.5</v>
      </c>
      <c r="F414">
        <v>13.5</v>
      </c>
      <c r="G414" s="2" t="s">
        <v>64</v>
      </c>
      <c r="H414" s="2">
        <v>0.0</v>
      </c>
      <c r="I414" s="2">
        <v>0.0</v>
      </c>
      <c r="J414" s="37">
        <v>0.0</v>
      </c>
      <c r="K414" s="2">
        <v>0.0</v>
      </c>
      <c r="L414" s="2">
        <v>0.0</v>
      </c>
      <c r="M414" s="37">
        <v>0.0</v>
      </c>
    </row>
    <row r="415" ht="14.25" customHeight="1">
      <c r="A415" t="s">
        <v>485</v>
      </c>
      <c r="B415" t="s">
        <v>479</v>
      </c>
      <c r="C415" t="s">
        <v>62</v>
      </c>
      <c r="D415" t="s">
        <v>63</v>
      </c>
      <c r="E415">
        <v>13.6</v>
      </c>
      <c r="F415">
        <v>16.0</v>
      </c>
      <c r="G415" s="2" t="s">
        <v>64</v>
      </c>
      <c r="H415" s="2">
        <v>0.0</v>
      </c>
      <c r="I415" s="2">
        <v>0.0</v>
      </c>
      <c r="J415" s="37">
        <v>0.0</v>
      </c>
      <c r="K415" s="2">
        <v>0.0</v>
      </c>
      <c r="L415" s="2">
        <v>0.0</v>
      </c>
      <c r="M415" s="37">
        <v>0.0</v>
      </c>
    </row>
    <row r="416" ht="14.25" customHeight="1">
      <c r="A416" t="s">
        <v>491</v>
      </c>
      <c r="B416" t="s">
        <v>479</v>
      </c>
      <c r="C416" t="s">
        <v>62</v>
      </c>
      <c r="D416" t="s">
        <v>63</v>
      </c>
      <c r="E416">
        <v>5.2</v>
      </c>
      <c r="F416">
        <v>5.8</v>
      </c>
      <c r="G416" s="2" t="s">
        <v>64</v>
      </c>
      <c r="H416" s="2">
        <v>0.0</v>
      </c>
      <c r="I416" s="2">
        <v>0.0</v>
      </c>
      <c r="J416" s="37">
        <v>0.0</v>
      </c>
      <c r="K416" s="2">
        <v>0.0</v>
      </c>
      <c r="L416" s="2">
        <v>0.0</v>
      </c>
      <c r="M416" s="37">
        <v>0.0</v>
      </c>
    </row>
    <row r="417" ht="14.25" customHeight="1">
      <c r="A417" t="s">
        <v>492</v>
      </c>
      <c r="B417" t="s">
        <v>479</v>
      </c>
      <c r="C417" t="s">
        <v>62</v>
      </c>
      <c r="D417" t="s">
        <v>63</v>
      </c>
      <c r="E417">
        <v>2.5</v>
      </c>
      <c r="F417">
        <v>3.2</v>
      </c>
      <c r="G417" s="2" t="s">
        <v>64</v>
      </c>
      <c r="H417" s="2">
        <v>0.0</v>
      </c>
      <c r="I417" s="2">
        <v>0.0</v>
      </c>
      <c r="J417" s="37">
        <v>0.0</v>
      </c>
      <c r="K417" s="2">
        <v>0.0</v>
      </c>
      <c r="L417" s="2">
        <v>0.0</v>
      </c>
      <c r="M417" s="37">
        <v>0.0</v>
      </c>
    </row>
    <row r="418" ht="14.25" customHeight="1">
      <c r="A418" t="s">
        <v>493</v>
      </c>
      <c r="B418" t="s">
        <v>479</v>
      </c>
      <c r="C418" t="s">
        <v>62</v>
      </c>
      <c r="D418" t="s">
        <v>63</v>
      </c>
      <c r="E418">
        <v>3.5</v>
      </c>
      <c r="F418">
        <v>3.8</v>
      </c>
      <c r="G418" s="2" t="s">
        <v>64</v>
      </c>
      <c r="H418" s="2">
        <v>0.0</v>
      </c>
      <c r="I418" s="2">
        <v>0.0</v>
      </c>
      <c r="J418" s="37">
        <v>0.0</v>
      </c>
      <c r="K418" s="2">
        <v>0.0</v>
      </c>
      <c r="L418" s="2">
        <v>0.0</v>
      </c>
      <c r="M418" s="37">
        <v>0.0</v>
      </c>
    </row>
    <row r="419" ht="14.25" customHeight="1">
      <c r="A419" t="s">
        <v>494</v>
      </c>
      <c r="B419" t="s">
        <v>479</v>
      </c>
      <c r="C419" t="s">
        <v>75</v>
      </c>
      <c r="D419" t="s">
        <v>63</v>
      </c>
      <c r="E419">
        <v>24.0</v>
      </c>
      <c r="F419">
        <v>26.0</v>
      </c>
      <c r="G419" s="2" t="s">
        <v>64</v>
      </c>
      <c r="H419" s="2">
        <v>0.0</v>
      </c>
      <c r="I419" s="2">
        <v>0.0</v>
      </c>
      <c r="J419" s="37">
        <v>0.0</v>
      </c>
      <c r="K419" s="2">
        <v>0.0</v>
      </c>
      <c r="L419" s="2">
        <v>0.0</v>
      </c>
      <c r="M419" s="37">
        <v>0.0</v>
      </c>
    </row>
    <row r="420" ht="14.25" customHeight="1">
      <c r="A420" t="s">
        <v>495</v>
      </c>
      <c r="B420" t="s">
        <v>479</v>
      </c>
      <c r="C420" t="s">
        <v>75</v>
      </c>
      <c r="D420" t="s">
        <v>63</v>
      </c>
      <c r="E420">
        <v>20.0</v>
      </c>
      <c r="F420">
        <v>22.4</v>
      </c>
      <c r="G420" s="2" t="s">
        <v>64</v>
      </c>
      <c r="H420" s="2">
        <v>0.0</v>
      </c>
      <c r="I420" s="2">
        <v>0.0</v>
      </c>
      <c r="J420" s="37">
        <v>0.0</v>
      </c>
      <c r="K420" s="2">
        <v>0.0</v>
      </c>
      <c r="L420" s="2">
        <v>0.0</v>
      </c>
      <c r="M420" s="37">
        <v>0.0</v>
      </c>
    </row>
    <row r="421" ht="14.25" customHeight="1">
      <c r="A421" t="s">
        <v>496</v>
      </c>
      <c r="B421" t="s">
        <v>479</v>
      </c>
      <c r="C421" t="s">
        <v>62</v>
      </c>
      <c r="D421" t="s">
        <v>63</v>
      </c>
      <c r="E421">
        <v>2.7</v>
      </c>
      <c r="F421">
        <v>3.0</v>
      </c>
      <c r="G421" s="2" t="s">
        <v>64</v>
      </c>
      <c r="H421" s="2">
        <v>0.0</v>
      </c>
      <c r="I421" s="2">
        <v>0.0</v>
      </c>
      <c r="J421" s="37">
        <v>0.0</v>
      </c>
      <c r="K421" s="2">
        <v>0.0</v>
      </c>
      <c r="L421" s="2">
        <v>0.0</v>
      </c>
      <c r="M421" s="37">
        <v>0.0</v>
      </c>
    </row>
    <row r="422" ht="14.25" customHeight="1">
      <c r="A422" t="s">
        <v>497</v>
      </c>
      <c r="B422" t="s">
        <v>479</v>
      </c>
      <c r="C422" t="s">
        <v>62</v>
      </c>
      <c r="D422" t="s">
        <v>63</v>
      </c>
      <c r="E422">
        <v>3.517</v>
      </c>
      <c r="F422">
        <v>3.8</v>
      </c>
      <c r="G422" s="2" t="s">
        <v>64</v>
      </c>
      <c r="H422" s="2">
        <v>0.0</v>
      </c>
      <c r="I422" s="2">
        <v>0.0</v>
      </c>
      <c r="J422" s="37">
        <v>0.0</v>
      </c>
      <c r="K422" s="2">
        <v>0.0</v>
      </c>
      <c r="L422" s="2">
        <v>0.0</v>
      </c>
      <c r="M422" s="37">
        <v>0.0</v>
      </c>
    </row>
    <row r="423" ht="14.25" customHeight="1">
      <c r="A423" t="s">
        <v>498</v>
      </c>
      <c r="B423" t="s">
        <v>479</v>
      </c>
      <c r="C423" t="s">
        <v>62</v>
      </c>
      <c r="D423" t="s">
        <v>63</v>
      </c>
      <c r="E423">
        <v>5.2</v>
      </c>
      <c r="F423">
        <v>5.8</v>
      </c>
      <c r="G423" s="2" t="s">
        <v>64</v>
      </c>
      <c r="H423" s="2">
        <v>0.0</v>
      </c>
      <c r="I423" s="2">
        <v>0.0</v>
      </c>
      <c r="J423" s="37">
        <v>0.0</v>
      </c>
      <c r="K423" s="2">
        <v>0.0</v>
      </c>
      <c r="L423" s="2">
        <v>0.0</v>
      </c>
      <c r="M423" s="37">
        <v>0.0</v>
      </c>
    </row>
    <row r="424" ht="14.25" customHeight="1">
      <c r="A424" t="s">
        <v>499</v>
      </c>
      <c r="B424" t="s">
        <v>479</v>
      </c>
      <c r="C424" t="s">
        <v>62</v>
      </c>
      <c r="D424" t="s">
        <v>63</v>
      </c>
      <c r="E424">
        <v>7.1</v>
      </c>
      <c r="F424">
        <v>7.8</v>
      </c>
      <c r="G424" s="2" t="s">
        <v>67</v>
      </c>
      <c r="H424" s="2">
        <v>42.0</v>
      </c>
      <c r="I424" s="2">
        <v>159.0</v>
      </c>
      <c r="J424" s="37">
        <v>1150.02</v>
      </c>
      <c r="K424" s="2">
        <v>48.0</v>
      </c>
      <c r="L424" s="2">
        <v>282.0</v>
      </c>
      <c r="M424" s="37">
        <v>1444.6799999999998</v>
      </c>
    </row>
    <row r="425" ht="14.25" customHeight="1">
      <c r="A425" t="s">
        <v>500</v>
      </c>
      <c r="B425" t="s">
        <v>479</v>
      </c>
      <c r="C425" t="s">
        <v>62</v>
      </c>
      <c r="D425" t="s">
        <v>63</v>
      </c>
      <c r="E425">
        <v>8.2</v>
      </c>
      <c r="F425">
        <v>9.0</v>
      </c>
      <c r="G425" s="2" t="s">
        <v>67</v>
      </c>
      <c r="H425" s="2">
        <v>47.0</v>
      </c>
      <c r="I425" s="2">
        <v>34.0</v>
      </c>
      <c r="J425" s="37">
        <v>1099.8200000000002</v>
      </c>
      <c r="K425" s="2">
        <v>54.0</v>
      </c>
      <c r="L425" s="2">
        <v>175.0</v>
      </c>
      <c r="M425" s="37">
        <v>1440.3400000000001</v>
      </c>
    </row>
    <row r="426" ht="14.25" customHeight="1">
      <c r="A426" t="s">
        <v>501</v>
      </c>
      <c r="B426" t="s">
        <v>479</v>
      </c>
      <c r="C426" t="s">
        <v>75</v>
      </c>
      <c r="D426" t="s">
        <v>63</v>
      </c>
      <c r="E426">
        <v>12.2</v>
      </c>
      <c r="F426">
        <v>20.0</v>
      </c>
      <c r="G426" s="2" t="s">
        <v>67</v>
      </c>
      <c r="H426" s="2">
        <v>110.0</v>
      </c>
      <c r="I426" s="2">
        <v>28.0</v>
      </c>
      <c r="J426" s="37">
        <v>2507.0</v>
      </c>
      <c r="K426" s="2">
        <v>127.0</v>
      </c>
      <c r="L426" s="2">
        <v>264.0</v>
      </c>
      <c r="M426" s="37">
        <v>3195.62</v>
      </c>
    </row>
    <row r="427" ht="14.25" customHeight="1">
      <c r="A427" t="s">
        <v>502</v>
      </c>
      <c r="B427" t="s">
        <v>479</v>
      </c>
      <c r="C427" t="s">
        <v>75</v>
      </c>
      <c r="D427" t="s">
        <v>63</v>
      </c>
      <c r="E427">
        <v>7.1</v>
      </c>
      <c r="F427">
        <v>8.0</v>
      </c>
      <c r="G427" s="2" t="s">
        <v>67</v>
      </c>
      <c r="H427" s="2">
        <v>43.0</v>
      </c>
      <c r="I427" s="2">
        <v>179.0</v>
      </c>
      <c r="J427" s="37">
        <v>1198.48</v>
      </c>
      <c r="K427" s="2">
        <v>51.0</v>
      </c>
      <c r="L427" s="2">
        <v>317.0</v>
      </c>
      <c r="M427" s="37">
        <v>1557.56</v>
      </c>
    </row>
    <row r="428" ht="14.25" customHeight="1">
      <c r="A428" t="s">
        <v>503</v>
      </c>
      <c r="B428" t="s">
        <v>479</v>
      </c>
      <c r="C428" t="s">
        <v>75</v>
      </c>
      <c r="D428" t="s">
        <v>63</v>
      </c>
      <c r="E428">
        <v>10.0</v>
      </c>
      <c r="F428">
        <v>12.0</v>
      </c>
      <c r="G428" s="2" t="s">
        <v>67</v>
      </c>
      <c r="H428" s="2">
        <v>65.0</v>
      </c>
      <c r="I428" s="2">
        <v>294.0</v>
      </c>
      <c r="J428" s="37">
        <v>1842.1000000000001</v>
      </c>
      <c r="K428" s="2">
        <v>75.0</v>
      </c>
      <c r="L428" s="2">
        <v>488.0</v>
      </c>
      <c r="M428" s="37">
        <v>2318.9</v>
      </c>
    </row>
    <row r="429" ht="14.25" customHeight="1">
      <c r="A429" t="s">
        <v>504</v>
      </c>
      <c r="B429" t="s">
        <v>479</v>
      </c>
      <c r="C429" t="s">
        <v>75</v>
      </c>
      <c r="D429" t="s">
        <v>63</v>
      </c>
      <c r="E429">
        <v>12.5</v>
      </c>
      <c r="F429">
        <v>14.0</v>
      </c>
      <c r="G429" s="2" t="s">
        <v>67</v>
      </c>
      <c r="H429" s="2">
        <v>75.0</v>
      </c>
      <c r="I429" s="2">
        <v>197.0</v>
      </c>
      <c r="J429" s="37">
        <v>1940.6</v>
      </c>
      <c r="K429" s="2">
        <v>88.0</v>
      </c>
      <c r="L429" s="2">
        <v>439.0</v>
      </c>
      <c r="M429" s="37">
        <v>2547.1800000000003</v>
      </c>
    </row>
    <row r="430" ht="14.25" customHeight="1">
      <c r="A430" t="s">
        <v>505</v>
      </c>
      <c r="B430" t="s">
        <v>479</v>
      </c>
      <c r="C430" t="s">
        <v>75</v>
      </c>
      <c r="D430" t="s">
        <v>63</v>
      </c>
      <c r="E430">
        <v>14.0</v>
      </c>
      <c r="F430">
        <v>16.0</v>
      </c>
      <c r="G430" s="2" t="s">
        <v>67</v>
      </c>
      <c r="H430" s="2">
        <v>85.0</v>
      </c>
      <c r="I430" s="2">
        <v>334.0</v>
      </c>
      <c r="J430" s="37">
        <v>2343.3</v>
      </c>
      <c r="K430" s="2">
        <v>99.0</v>
      </c>
      <c r="L430" s="2">
        <v>605.0</v>
      </c>
      <c r="M430" s="37">
        <v>3010.04</v>
      </c>
    </row>
    <row r="431" ht="14.25" customHeight="1">
      <c r="A431" t="s">
        <v>506</v>
      </c>
      <c r="B431" t="s">
        <v>479</v>
      </c>
      <c r="C431" t="s">
        <v>75</v>
      </c>
      <c r="D431" t="s">
        <v>63</v>
      </c>
      <c r="E431">
        <v>16.0</v>
      </c>
      <c r="F431">
        <v>18.0</v>
      </c>
      <c r="G431" s="2" t="s">
        <v>67</v>
      </c>
      <c r="H431" s="2">
        <v>98.0</v>
      </c>
      <c r="I431" s="2">
        <v>202.0</v>
      </c>
      <c r="J431" s="37">
        <v>2463.68</v>
      </c>
      <c r="K431" s="2">
        <v>114.0</v>
      </c>
      <c r="L431" s="2">
        <v>512.0</v>
      </c>
      <c r="M431" s="37">
        <v>3226.04</v>
      </c>
    </row>
    <row r="432" ht="14.25" customHeight="1">
      <c r="A432" t="s">
        <v>507</v>
      </c>
      <c r="B432" t="s">
        <v>479</v>
      </c>
      <c r="C432" t="s">
        <v>75</v>
      </c>
      <c r="D432" t="s">
        <v>63</v>
      </c>
      <c r="E432">
        <v>20.4</v>
      </c>
      <c r="F432">
        <v>22.5</v>
      </c>
      <c r="G432" s="2" t="s">
        <v>64</v>
      </c>
      <c r="H432" s="2">
        <v>0.0</v>
      </c>
      <c r="I432" s="2">
        <v>0.0</v>
      </c>
      <c r="J432" s="37">
        <v>0.0</v>
      </c>
      <c r="K432" s="2">
        <v>0.0</v>
      </c>
      <c r="L432" s="2">
        <v>0.0</v>
      </c>
      <c r="M432" s="37">
        <v>0.0</v>
      </c>
    </row>
    <row r="433" ht="14.25" customHeight="1">
      <c r="A433" t="s">
        <v>508</v>
      </c>
      <c r="B433" t="s">
        <v>479</v>
      </c>
      <c r="C433" t="s">
        <v>62</v>
      </c>
      <c r="D433" t="s">
        <v>63</v>
      </c>
      <c r="E433">
        <v>14.0</v>
      </c>
      <c r="F433">
        <v>15.4</v>
      </c>
      <c r="G433" s="2" t="s">
        <v>67</v>
      </c>
      <c r="H433" s="2">
        <v>73.0</v>
      </c>
      <c r="I433" s="2">
        <v>188.0</v>
      </c>
      <c r="J433" s="37">
        <v>1883.9800000000002</v>
      </c>
      <c r="K433" s="2">
        <v>87.0</v>
      </c>
      <c r="L433" s="2">
        <v>459.0</v>
      </c>
      <c r="M433" s="37">
        <v>2550.7200000000003</v>
      </c>
    </row>
    <row r="434" ht="14.25" customHeight="1">
      <c r="A434" t="s">
        <v>509</v>
      </c>
      <c r="B434" t="s">
        <v>479</v>
      </c>
      <c r="C434" t="s">
        <v>62</v>
      </c>
      <c r="D434" t="s">
        <v>63</v>
      </c>
      <c r="E434">
        <v>7.1</v>
      </c>
      <c r="F434">
        <v>8.0</v>
      </c>
      <c r="G434" s="2" t="s">
        <v>67</v>
      </c>
      <c r="H434" s="2">
        <v>41.0</v>
      </c>
      <c r="I434" s="2">
        <v>131.0</v>
      </c>
      <c r="J434" s="37">
        <v>1091.16</v>
      </c>
      <c r="K434" s="2">
        <v>47.0</v>
      </c>
      <c r="L434" s="2">
        <v>254.0</v>
      </c>
      <c r="M434" s="37">
        <v>1385.8200000000002</v>
      </c>
    </row>
    <row r="435" ht="14.25" customHeight="1">
      <c r="A435" t="s">
        <v>510</v>
      </c>
      <c r="B435" t="s">
        <v>479</v>
      </c>
      <c r="C435" t="s">
        <v>62</v>
      </c>
      <c r="D435" t="s">
        <v>63</v>
      </c>
      <c r="E435">
        <v>10.0</v>
      </c>
      <c r="F435">
        <v>12.0</v>
      </c>
      <c r="G435" s="2" t="s">
        <v>67</v>
      </c>
      <c r="H435" s="2">
        <v>64.0</v>
      </c>
      <c r="I435" s="2">
        <v>182.0</v>
      </c>
      <c r="J435" s="37">
        <v>1674.04</v>
      </c>
      <c r="K435" s="2">
        <v>75.0</v>
      </c>
      <c r="L435" s="2">
        <v>376.0</v>
      </c>
      <c r="M435" s="37">
        <v>2173.3</v>
      </c>
    </row>
    <row r="436" ht="14.25" customHeight="1">
      <c r="A436" t="s">
        <v>511</v>
      </c>
      <c r="B436" t="s">
        <v>479</v>
      </c>
      <c r="C436" t="s">
        <v>62</v>
      </c>
      <c r="D436" t="s">
        <v>63</v>
      </c>
      <c r="E436">
        <v>12.5</v>
      </c>
      <c r="F436">
        <v>14.0</v>
      </c>
      <c r="G436" s="2" t="s">
        <v>67</v>
      </c>
      <c r="H436" s="2">
        <v>75.0</v>
      </c>
      <c r="I436" s="2">
        <v>102.0</v>
      </c>
      <c r="J436" s="37">
        <v>1817.1</v>
      </c>
      <c r="K436" s="2">
        <v>87.0</v>
      </c>
      <c r="L436" s="2">
        <v>344.0</v>
      </c>
      <c r="M436" s="37">
        <v>2401.22</v>
      </c>
    </row>
    <row r="437" ht="14.25" customHeight="1">
      <c r="A437" t="s">
        <v>501</v>
      </c>
      <c r="B437" t="s">
        <v>479</v>
      </c>
      <c r="C437" t="s">
        <v>75</v>
      </c>
      <c r="D437" t="s">
        <v>63</v>
      </c>
      <c r="E437">
        <v>13.2</v>
      </c>
      <c r="F437">
        <v>17.0</v>
      </c>
      <c r="G437" s="2" t="s">
        <v>67</v>
      </c>
      <c r="H437" s="2">
        <v>81.0</v>
      </c>
      <c r="I437" s="2">
        <v>200.0</v>
      </c>
      <c r="J437" s="37">
        <v>2079.26</v>
      </c>
      <c r="K437" s="2">
        <v>96.0</v>
      </c>
      <c r="L437" s="2">
        <v>456.0</v>
      </c>
      <c r="M437" s="37">
        <v>2748.96</v>
      </c>
    </row>
    <row r="438" ht="14.25" customHeight="1">
      <c r="A438" t="s">
        <v>512</v>
      </c>
      <c r="B438" t="s">
        <v>479</v>
      </c>
      <c r="C438" t="s">
        <v>62</v>
      </c>
      <c r="D438" t="s">
        <v>63</v>
      </c>
      <c r="E438">
        <v>2.8</v>
      </c>
      <c r="F438">
        <v>2.65</v>
      </c>
      <c r="G438" s="2" t="s">
        <v>67</v>
      </c>
      <c r="H438" s="2">
        <v>14.0</v>
      </c>
      <c r="I438" s="2">
        <v>128.0</v>
      </c>
      <c r="J438" s="37">
        <v>480.84000000000003</v>
      </c>
      <c r="K438" s="2">
        <v>16.0</v>
      </c>
      <c r="L438" s="2">
        <v>171.0</v>
      </c>
      <c r="M438" s="37">
        <v>581.6600000000001</v>
      </c>
    </row>
    <row r="439" ht="14.25" customHeight="1">
      <c r="A439" t="s">
        <v>513</v>
      </c>
      <c r="B439" t="s">
        <v>479</v>
      </c>
      <c r="C439" t="s">
        <v>62</v>
      </c>
      <c r="D439" t="s">
        <v>63</v>
      </c>
      <c r="E439">
        <v>3.5</v>
      </c>
      <c r="F439">
        <v>4.5</v>
      </c>
      <c r="G439" s="2" t="s">
        <v>64</v>
      </c>
      <c r="H439" s="2">
        <v>0.0</v>
      </c>
      <c r="I439" s="2">
        <v>0.0</v>
      </c>
      <c r="J439" s="37">
        <v>0.0</v>
      </c>
      <c r="K439" s="2">
        <v>0.0</v>
      </c>
      <c r="L439" s="2">
        <v>0.0</v>
      </c>
      <c r="M439" s="37">
        <v>0.0</v>
      </c>
    </row>
    <row r="440" ht="14.25" customHeight="1">
      <c r="A440" t="s">
        <v>514</v>
      </c>
      <c r="B440" t="s">
        <v>479</v>
      </c>
      <c r="C440" t="s">
        <v>62</v>
      </c>
      <c r="D440" t="s">
        <v>63</v>
      </c>
      <c r="E440">
        <v>5.2</v>
      </c>
      <c r="F440">
        <v>5.2</v>
      </c>
      <c r="G440" s="2" t="s">
        <v>67</v>
      </c>
      <c r="H440" s="2">
        <v>28.0</v>
      </c>
      <c r="I440" s="2">
        <v>120.0</v>
      </c>
      <c r="J440" s="37">
        <v>784.88</v>
      </c>
      <c r="K440" s="2">
        <v>32.0</v>
      </c>
      <c r="L440" s="2">
        <v>210.0</v>
      </c>
      <c r="M440" s="37">
        <v>991.72</v>
      </c>
    </row>
    <row r="441" ht="14.25" customHeight="1">
      <c r="A441" t="s">
        <v>515</v>
      </c>
      <c r="B441" t="s">
        <v>479</v>
      </c>
      <c r="C441" t="s">
        <v>62</v>
      </c>
      <c r="D441" t="s">
        <v>63</v>
      </c>
      <c r="E441">
        <v>7.2</v>
      </c>
      <c r="F441">
        <v>7.2</v>
      </c>
      <c r="G441" s="2" t="s">
        <v>67</v>
      </c>
      <c r="H441" s="2">
        <v>38.0</v>
      </c>
      <c r="I441" s="2">
        <v>188.0</v>
      </c>
      <c r="J441" s="37">
        <v>1097.88</v>
      </c>
      <c r="K441" s="2">
        <v>44.0</v>
      </c>
      <c r="L441" s="2">
        <v>312.0</v>
      </c>
      <c r="M441" s="37">
        <v>1393.8400000000001</v>
      </c>
    </row>
    <row r="442" ht="14.25" customHeight="1">
      <c r="A442" t="s">
        <v>516</v>
      </c>
      <c r="B442" t="s">
        <v>479</v>
      </c>
      <c r="C442" t="s">
        <v>62</v>
      </c>
      <c r="D442" t="s">
        <v>63</v>
      </c>
      <c r="E442">
        <v>8.2</v>
      </c>
      <c r="F442">
        <v>8.5</v>
      </c>
      <c r="G442" s="2" t="s">
        <v>67</v>
      </c>
      <c r="H442" s="2">
        <v>45.0</v>
      </c>
      <c r="I442" s="2">
        <v>138.0</v>
      </c>
      <c r="J442" s="37">
        <v>1190.1000000000001</v>
      </c>
      <c r="K442" s="2">
        <v>52.0</v>
      </c>
      <c r="L442" s="2">
        <v>279.0</v>
      </c>
      <c r="M442" s="37">
        <v>1530.6200000000001</v>
      </c>
    </row>
    <row r="443" ht="14.25" customHeight="1">
      <c r="A443" t="s">
        <v>517</v>
      </c>
      <c r="B443" t="s">
        <v>479</v>
      </c>
      <c r="C443" t="s">
        <v>75</v>
      </c>
      <c r="D443" t="s">
        <v>63</v>
      </c>
      <c r="E443">
        <v>13.2</v>
      </c>
      <c r="F443">
        <v>17.0</v>
      </c>
      <c r="G443" s="2" t="s">
        <v>67</v>
      </c>
      <c r="H443" s="2">
        <v>86.0</v>
      </c>
      <c r="I443" s="2">
        <v>200.0</v>
      </c>
      <c r="J443" s="37">
        <v>2191.5600000000004</v>
      </c>
      <c r="K443" s="2">
        <v>101.0</v>
      </c>
      <c r="L443" s="2">
        <v>456.0</v>
      </c>
      <c r="M443" s="37">
        <v>2861.26</v>
      </c>
    </row>
    <row r="444" ht="14.25" customHeight="1">
      <c r="A444" t="s">
        <v>518</v>
      </c>
      <c r="B444" t="s">
        <v>479</v>
      </c>
      <c r="C444" t="s">
        <v>62</v>
      </c>
      <c r="D444" t="s">
        <v>63</v>
      </c>
      <c r="E444">
        <v>2.64</v>
      </c>
      <c r="F444">
        <v>3.3</v>
      </c>
      <c r="G444" s="2" t="s">
        <v>67</v>
      </c>
      <c r="H444" s="2">
        <v>16.0</v>
      </c>
      <c r="I444" s="2">
        <v>96.0</v>
      </c>
      <c r="J444" s="37">
        <v>484.16</v>
      </c>
      <c r="K444" s="2">
        <v>18.0</v>
      </c>
      <c r="L444" s="2">
        <v>136.0</v>
      </c>
      <c r="M444" s="37">
        <v>581.08</v>
      </c>
    </row>
    <row r="445" ht="14.25" customHeight="1">
      <c r="A445" t="s">
        <v>519</v>
      </c>
      <c r="B445" t="s">
        <v>479</v>
      </c>
      <c r="C445" t="s">
        <v>62</v>
      </c>
      <c r="D445" t="s">
        <v>63</v>
      </c>
      <c r="E445">
        <v>3.53</v>
      </c>
      <c r="F445">
        <v>3.65</v>
      </c>
      <c r="G445" s="2" t="s">
        <v>67</v>
      </c>
      <c r="H445" s="2">
        <v>18.0</v>
      </c>
      <c r="I445" s="2">
        <v>52.0</v>
      </c>
      <c r="J445" s="37">
        <v>471.88000000000005</v>
      </c>
      <c r="K445" s="2">
        <v>20.0</v>
      </c>
      <c r="L445" s="2">
        <v>106.0</v>
      </c>
      <c r="M445" s="37">
        <v>587.0</v>
      </c>
    </row>
    <row r="446" ht="14.25" customHeight="1">
      <c r="A446" t="s">
        <v>520</v>
      </c>
      <c r="B446" t="s">
        <v>479</v>
      </c>
      <c r="C446" t="s">
        <v>62</v>
      </c>
      <c r="D446" t="s">
        <v>63</v>
      </c>
      <c r="E446">
        <v>5.3</v>
      </c>
      <c r="F446">
        <v>5.3</v>
      </c>
      <c r="G446" s="2" t="s">
        <v>67</v>
      </c>
      <c r="H446" s="2">
        <v>31.0</v>
      </c>
      <c r="I446" s="2">
        <v>193.0</v>
      </c>
      <c r="J446" s="37">
        <v>947.16</v>
      </c>
      <c r="K446" s="2">
        <v>35.0</v>
      </c>
      <c r="L446" s="2">
        <v>285.0</v>
      </c>
      <c r="M446" s="37">
        <v>1156.6</v>
      </c>
    </row>
    <row r="447" ht="14.25" customHeight="1">
      <c r="A447" t="s">
        <v>521</v>
      </c>
      <c r="B447" t="s">
        <v>479</v>
      </c>
      <c r="C447" t="s">
        <v>62</v>
      </c>
      <c r="D447" t="s">
        <v>63</v>
      </c>
      <c r="E447">
        <v>7.2</v>
      </c>
      <c r="F447">
        <v>7.3</v>
      </c>
      <c r="G447" s="2" t="s">
        <v>67</v>
      </c>
      <c r="H447" s="2">
        <v>40.0</v>
      </c>
      <c r="I447" s="2">
        <v>81.0</v>
      </c>
      <c r="J447" s="37">
        <v>1003.7</v>
      </c>
      <c r="K447" s="2">
        <v>46.0</v>
      </c>
      <c r="L447" s="2">
        <v>205.0</v>
      </c>
      <c r="M447" s="37">
        <v>1299.66</v>
      </c>
    </row>
    <row r="448" ht="14.25" customHeight="1">
      <c r="A448" t="s">
        <v>522</v>
      </c>
      <c r="B448" t="s">
        <v>479</v>
      </c>
      <c r="C448" t="s">
        <v>62</v>
      </c>
      <c r="D448" t="s">
        <v>63</v>
      </c>
      <c r="E448">
        <v>8.2</v>
      </c>
      <c r="F448">
        <v>8.4</v>
      </c>
      <c r="G448" s="2" t="s">
        <v>67</v>
      </c>
      <c r="H448" s="2">
        <v>44.0</v>
      </c>
      <c r="I448" s="2">
        <v>90.0</v>
      </c>
      <c r="J448" s="37">
        <v>1105.24</v>
      </c>
      <c r="K448" s="2">
        <v>51.0</v>
      </c>
      <c r="L448" s="2">
        <v>231.0</v>
      </c>
      <c r="M448" s="37">
        <v>1445.76</v>
      </c>
    </row>
    <row r="449" ht="14.25" customHeight="1">
      <c r="A449" t="s">
        <v>523</v>
      </c>
      <c r="B449" t="s">
        <v>479</v>
      </c>
      <c r="C449" t="s">
        <v>75</v>
      </c>
      <c r="D449" t="s">
        <v>82</v>
      </c>
      <c r="E449">
        <v>51.0</v>
      </c>
      <c r="F449">
        <v>56.2</v>
      </c>
      <c r="G449" s="2" t="s">
        <v>64</v>
      </c>
      <c r="H449" s="2">
        <v>0.0</v>
      </c>
      <c r="I449" s="2">
        <v>0.0</v>
      </c>
      <c r="J449" s="37">
        <v>0.0</v>
      </c>
      <c r="K449" s="2">
        <v>0.0</v>
      </c>
      <c r="L449" s="2">
        <v>0.0</v>
      </c>
      <c r="M449" s="37">
        <v>0.0</v>
      </c>
    </row>
    <row r="450" ht="14.25" customHeight="1">
      <c r="A450" t="s">
        <v>524</v>
      </c>
      <c r="B450" t="s">
        <v>525</v>
      </c>
      <c r="C450" t="s">
        <v>75</v>
      </c>
      <c r="D450" t="s">
        <v>63</v>
      </c>
      <c r="E450">
        <v>10.3</v>
      </c>
      <c r="F450">
        <v>11.3</v>
      </c>
      <c r="G450" s="2" t="s">
        <v>67</v>
      </c>
      <c r="H450" s="2">
        <v>74.0</v>
      </c>
      <c r="I450" s="2">
        <v>349.0</v>
      </c>
      <c r="J450" s="37">
        <v>2115.74</v>
      </c>
      <c r="K450" s="2">
        <v>84.0</v>
      </c>
      <c r="L450" s="2">
        <v>548.0</v>
      </c>
      <c r="M450" s="37">
        <v>2599.04</v>
      </c>
    </row>
    <row r="451" ht="14.25" customHeight="1">
      <c r="A451" t="s">
        <v>526</v>
      </c>
      <c r="B451" t="s">
        <v>525</v>
      </c>
      <c r="C451" t="s">
        <v>75</v>
      </c>
      <c r="D451" t="s">
        <v>63</v>
      </c>
      <c r="E451">
        <v>12.0</v>
      </c>
      <c r="F451">
        <v>13.8</v>
      </c>
      <c r="G451" s="2" t="s">
        <v>67</v>
      </c>
      <c r="H451" s="2">
        <v>92.0</v>
      </c>
      <c r="I451" s="2">
        <v>460.0</v>
      </c>
      <c r="J451" s="37">
        <v>2664.32</v>
      </c>
      <c r="K451" s="2">
        <v>104.0</v>
      </c>
      <c r="L451" s="2">
        <v>692.0</v>
      </c>
      <c r="M451" s="37">
        <v>3235.44</v>
      </c>
    </row>
    <row r="452" ht="14.25" customHeight="1">
      <c r="A452" t="s">
        <v>527</v>
      </c>
      <c r="B452" t="s">
        <v>525</v>
      </c>
      <c r="C452" t="s">
        <v>75</v>
      </c>
      <c r="D452" t="s">
        <v>63</v>
      </c>
      <c r="E452">
        <v>13.6</v>
      </c>
      <c r="F452">
        <v>15.7</v>
      </c>
      <c r="G452" s="2" t="s">
        <v>67</v>
      </c>
      <c r="H452" s="2">
        <v>100.0</v>
      </c>
      <c r="I452" s="2">
        <v>357.0</v>
      </c>
      <c r="J452" s="37">
        <v>2710.1</v>
      </c>
      <c r="K452" s="2">
        <v>114.0</v>
      </c>
      <c r="L452" s="2">
        <v>620.0</v>
      </c>
      <c r="M452" s="37">
        <v>3366.44</v>
      </c>
    </row>
    <row r="453" ht="14.25" customHeight="1">
      <c r="A453" t="s">
        <v>528</v>
      </c>
      <c r="B453" t="s">
        <v>525</v>
      </c>
      <c r="C453" t="s">
        <v>75</v>
      </c>
      <c r="D453" t="s">
        <v>63</v>
      </c>
      <c r="E453">
        <v>17.1</v>
      </c>
      <c r="F453">
        <v>19.0</v>
      </c>
      <c r="G453" s="2" t="s">
        <v>64</v>
      </c>
      <c r="H453" s="2">
        <v>0.0</v>
      </c>
      <c r="I453" s="2">
        <v>0.0</v>
      </c>
      <c r="J453" s="37">
        <v>0.0</v>
      </c>
      <c r="K453" s="2">
        <v>0.0</v>
      </c>
      <c r="L453" s="2">
        <v>0.0</v>
      </c>
      <c r="M453" s="37">
        <v>0.0</v>
      </c>
    </row>
    <row r="454" ht="14.25" customHeight="1">
      <c r="A454" t="s">
        <v>529</v>
      </c>
      <c r="B454" t="s">
        <v>530</v>
      </c>
      <c r="C454" t="s">
        <v>62</v>
      </c>
      <c r="D454" t="s">
        <v>63</v>
      </c>
      <c r="E454">
        <v>6.65</v>
      </c>
      <c r="F454">
        <v>7.2</v>
      </c>
      <c r="G454" s="2" t="s">
        <v>64</v>
      </c>
      <c r="H454" s="2">
        <v>0.0</v>
      </c>
      <c r="I454" s="2">
        <v>0.0</v>
      </c>
      <c r="J454" s="37">
        <v>0.0</v>
      </c>
      <c r="K454" s="2">
        <v>0.0</v>
      </c>
      <c r="L454" s="2">
        <v>0.0</v>
      </c>
      <c r="M454" s="37">
        <v>0.0</v>
      </c>
    </row>
    <row r="455" ht="14.25" customHeight="1">
      <c r="A455" t="s">
        <v>531</v>
      </c>
      <c r="B455" t="s">
        <v>530</v>
      </c>
      <c r="C455" t="s">
        <v>62</v>
      </c>
      <c r="D455" t="s">
        <v>63</v>
      </c>
      <c r="E455">
        <v>8.9</v>
      </c>
      <c r="F455">
        <v>9.9</v>
      </c>
      <c r="G455" s="2" t="s">
        <v>64</v>
      </c>
      <c r="H455" s="2">
        <v>0.0</v>
      </c>
      <c r="I455" s="2">
        <v>0.0</v>
      </c>
      <c r="J455" s="37">
        <v>0.0</v>
      </c>
      <c r="K455" s="2">
        <v>0.0</v>
      </c>
      <c r="L455" s="2">
        <v>0.0</v>
      </c>
      <c r="M455" s="37">
        <v>0.0</v>
      </c>
    </row>
    <row r="456" ht="14.25" customHeight="1">
      <c r="A456" t="s">
        <v>532</v>
      </c>
      <c r="B456" t="s">
        <v>530</v>
      </c>
      <c r="C456" t="s">
        <v>62</v>
      </c>
      <c r="D456" t="s">
        <v>63</v>
      </c>
      <c r="E456">
        <v>12.5</v>
      </c>
      <c r="F456">
        <v>14.1</v>
      </c>
      <c r="G456" s="2" t="s">
        <v>64</v>
      </c>
      <c r="H456" s="2">
        <v>0.0</v>
      </c>
      <c r="I456" s="2">
        <v>0.0</v>
      </c>
      <c r="J456" s="37">
        <v>0.0</v>
      </c>
      <c r="K456" s="2">
        <v>0.0</v>
      </c>
      <c r="L456" s="2">
        <v>0.0</v>
      </c>
      <c r="M456" s="37">
        <v>0.0</v>
      </c>
    </row>
    <row r="457" ht="14.25" customHeight="1">
      <c r="A457" t="s">
        <v>533</v>
      </c>
      <c r="B457" t="s">
        <v>530</v>
      </c>
      <c r="C457" t="s">
        <v>62</v>
      </c>
      <c r="D457" t="s">
        <v>63</v>
      </c>
      <c r="E457">
        <v>13.5</v>
      </c>
      <c r="F457">
        <v>14.6</v>
      </c>
      <c r="G457" s="2" t="s">
        <v>64</v>
      </c>
      <c r="H457" s="2">
        <v>0.0</v>
      </c>
      <c r="I457" s="2">
        <v>0.0</v>
      </c>
      <c r="J457" s="37">
        <v>0.0</v>
      </c>
      <c r="K457" s="2">
        <v>0.0</v>
      </c>
      <c r="L457" s="2">
        <v>0.0</v>
      </c>
      <c r="M457" s="37">
        <v>0.0</v>
      </c>
    </row>
    <row r="458" ht="14.25" customHeight="1">
      <c r="A458" t="s">
        <v>534</v>
      </c>
      <c r="B458" t="s">
        <v>530</v>
      </c>
      <c r="C458" t="s">
        <v>62</v>
      </c>
      <c r="D458" t="s">
        <v>63</v>
      </c>
      <c r="E458">
        <v>5.05</v>
      </c>
      <c r="F458">
        <v>5.35</v>
      </c>
      <c r="G458" s="2" t="s">
        <v>67</v>
      </c>
      <c r="H458" s="2">
        <v>31.0</v>
      </c>
      <c r="I458" s="2">
        <v>206.0</v>
      </c>
      <c r="J458" s="37">
        <v>964.06</v>
      </c>
      <c r="K458" s="2">
        <v>35.0</v>
      </c>
      <c r="L458" s="2">
        <v>293.0</v>
      </c>
      <c r="M458" s="37">
        <v>1167.0</v>
      </c>
    </row>
    <row r="459" ht="14.25" customHeight="1">
      <c r="A459" t="s">
        <v>535</v>
      </c>
      <c r="B459" t="s">
        <v>530</v>
      </c>
      <c r="C459" t="s">
        <v>75</v>
      </c>
      <c r="D459" t="s">
        <v>63</v>
      </c>
      <c r="E459">
        <v>6.8</v>
      </c>
      <c r="F459">
        <v>6.9</v>
      </c>
      <c r="G459" s="2" t="s">
        <v>64</v>
      </c>
      <c r="H459" s="2">
        <v>0.0</v>
      </c>
      <c r="I459" s="2">
        <v>0.0</v>
      </c>
      <c r="J459" s="37">
        <v>0.0</v>
      </c>
      <c r="K459" s="2">
        <v>0.0</v>
      </c>
      <c r="L459" s="2">
        <v>0.0</v>
      </c>
      <c r="M459" s="37">
        <v>0.0</v>
      </c>
    </row>
    <row r="460" ht="14.25" customHeight="1">
      <c r="A460" t="s">
        <v>536</v>
      </c>
      <c r="B460" t="s">
        <v>530</v>
      </c>
      <c r="C460" t="s">
        <v>75</v>
      </c>
      <c r="D460" t="s">
        <v>63</v>
      </c>
      <c r="E460">
        <v>9.45</v>
      </c>
      <c r="F460">
        <v>9.87</v>
      </c>
      <c r="G460" s="2" t="s">
        <v>64</v>
      </c>
      <c r="H460" s="2">
        <v>0.0</v>
      </c>
      <c r="I460" s="2">
        <v>0.0</v>
      </c>
      <c r="J460" s="37">
        <v>0.0</v>
      </c>
      <c r="K460" s="2">
        <v>0.0</v>
      </c>
      <c r="L460" s="2">
        <v>0.0</v>
      </c>
      <c r="M460" s="37">
        <v>0.0</v>
      </c>
    </row>
    <row r="461" ht="14.25" customHeight="1">
      <c r="A461" t="s">
        <v>537</v>
      </c>
      <c r="B461" t="s">
        <v>530</v>
      </c>
      <c r="C461" t="s">
        <v>75</v>
      </c>
      <c r="D461" t="s">
        <v>63</v>
      </c>
      <c r="E461">
        <v>5.83</v>
      </c>
      <c r="F461">
        <v>6.47</v>
      </c>
      <c r="G461" s="2" t="s">
        <v>67</v>
      </c>
      <c r="H461" s="2">
        <v>37.0</v>
      </c>
      <c r="I461" s="2">
        <v>78.0</v>
      </c>
      <c r="J461" s="37">
        <v>932.42</v>
      </c>
      <c r="K461" s="2">
        <v>43.0</v>
      </c>
      <c r="L461" s="2">
        <v>191.0</v>
      </c>
      <c r="M461" s="37">
        <v>1214.0800000000002</v>
      </c>
    </row>
    <row r="462" ht="14.25" customHeight="1">
      <c r="A462" t="s">
        <v>538</v>
      </c>
      <c r="B462" t="s">
        <v>530</v>
      </c>
      <c r="C462" t="s">
        <v>75</v>
      </c>
      <c r="D462" t="s">
        <v>63</v>
      </c>
      <c r="E462">
        <v>7.08</v>
      </c>
      <c r="F462">
        <v>7.08</v>
      </c>
      <c r="G462" s="2" t="s">
        <v>67</v>
      </c>
      <c r="H462" s="2">
        <v>40.0</v>
      </c>
      <c r="I462" s="2">
        <v>47.0</v>
      </c>
      <c r="J462" s="37">
        <v>959.5000000000001</v>
      </c>
      <c r="K462" s="2">
        <v>47.0</v>
      </c>
      <c r="L462" s="2">
        <v>184.0</v>
      </c>
      <c r="M462" s="37">
        <v>1294.8200000000002</v>
      </c>
    </row>
    <row r="463" ht="14.25" customHeight="1">
      <c r="A463" t="s">
        <v>539</v>
      </c>
      <c r="B463" t="s">
        <v>530</v>
      </c>
      <c r="C463" t="s">
        <v>75</v>
      </c>
      <c r="D463" t="s">
        <v>63</v>
      </c>
      <c r="E463">
        <v>7.85</v>
      </c>
      <c r="F463">
        <v>8.25</v>
      </c>
      <c r="G463" s="2" t="s">
        <v>67</v>
      </c>
      <c r="H463" s="2">
        <v>44.0</v>
      </c>
      <c r="I463" s="2">
        <v>18.0</v>
      </c>
      <c r="J463" s="37">
        <v>1011.64</v>
      </c>
      <c r="K463" s="2">
        <v>52.0</v>
      </c>
      <c r="L463" s="2">
        <v>170.0</v>
      </c>
      <c r="M463" s="37">
        <v>1388.92</v>
      </c>
    </row>
    <row r="464" ht="14.25" customHeight="1">
      <c r="A464" t="s">
        <v>540</v>
      </c>
      <c r="B464" t="s">
        <v>530</v>
      </c>
      <c r="C464" t="s">
        <v>75</v>
      </c>
      <c r="D464" t="s">
        <v>63</v>
      </c>
      <c r="E464">
        <v>8.7</v>
      </c>
      <c r="F464">
        <v>9.28</v>
      </c>
      <c r="G464" s="2" t="s">
        <v>67</v>
      </c>
      <c r="H464" s="2">
        <v>53.0</v>
      </c>
      <c r="I464" s="2">
        <v>87.0</v>
      </c>
      <c r="J464" s="37">
        <v>1303.48</v>
      </c>
      <c r="K464" s="2">
        <v>61.0</v>
      </c>
      <c r="L464" s="2">
        <v>256.0</v>
      </c>
      <c r="M464" s="37">
        <v>1702.86</v>
      </c>
    </row>
    <row r="465" ht="14.25" customHeight="1">
      <c r="A465" t="s">
        <v>541</v>
      </c>
      <c r="B465" t="s">
        <v>530</v>
      </c>
      <c r="C465" t="s">
        <v>75</v>
      </c>
      <c r="D465" t="s">
        <v>63</v>
      </c>
      <c r="E465">
        <v>10.15</v>
      </c>
      <c r="F465">
        <v>10.87</v>
      </c>
      <c r="G465" s="2" t="s">
        <v>67</v>
      </c>
      <c r="H465" s="2">
        <v>59.0</v>
      </c>
      <c r="I465" s="2">
        <v>24.0</v>
      </c>
      <c r="J465" s="37">
        <v>1356.3400000000001</v>
      </c>
      <c r="K465" s="2">
        <v>69.0</v>
      </c>
      <c r="L465" s="2">
        <v>221.0</v>
      </c>
      <c r="M465" s="37">
        <v>1837.04</v>
      </c>
    </row>
    <row r="466" ht="14.25" customHeight="1">
      <c r="A466" t="s">
        <v>542</v>
      </c>
      <c r="B466" t="s">
        <v>530</v>
      </c>
      <c r="C466" t="s">
        <v>75</v>
      </c>
      <c r="D466" t="s">
        <v>63</v>
      </c>
      <c r="E466">
        <v>8.6</v>
      </c>
      <c r="F466">
        <v>9.14</v>
      </c>
      <c r="G466" s="2" t="s">
        <v>67</v>
      </c>
      <c r="H466" s="2">
        <v>50.0</v>
      </c>
      <c r="I466" s="2">
        <v>125.0</v>
      </c>
      <c r="J466" s="37">
        <v>1285.5</v>
      </c>
      <c r="K466" s="2">
        <v>58.0</v>
      </c>
      <c r="L466" s="2">
        <v>292.0</v>
      </c>
      <c r="M466" s="37">
        <v>1682.2800000000002</v>
      </c>
    </row>
    <row r="467" ht="14.25" customHeight="1">
      <c r="A467" t="s">
        <v>543</v>
      </c>
      <c r="B467" t="s">
        <v>530</v>
      </c>
      <c r="C467" t="s">
        <v>75</v>
      </c>
      <c r="D467" t="s">
        <v>63</v>
      </c>
      <c r="E467">
        <v>10.05</v>
      </c>
      <c r="F467">
        <v>10.4</v>
      </c>
      <c r="G467" s="2" t="s">
        <v>64</v>
      </c>
      <c r="H467" s="2">
        <v>0.0</v>
      </c>
      <c r="I467" s="2">
        <v>0.0</v>
      </c>
      <c r="J467" s="37">
        <v>0.0</v>
      </c>
      <c r="K467" s="2">
        <v>0.0</v>
      </c>
      <c r="L467" s="2">
        <v>0.0</v>
      </c>
      <c r="M467" s="37">
        <v>0.0</v>
      </c>
    </row>
    <row r="468" ht="14.25" customHeight="1">
      <c r="A468" t="s">
        <v>544</v>
      </c>
      <c r="B468" t="s">
        <v>530</v>
      </c>
      <c r="C468" t="s">
        <v>75</v>
      </c>
      <c r="D468" t="s">
        <v>63</v>
      </c>
      <c r="E468">
        <v>12.0</v>
      </c>
      <c r="F468">
        <v>12.25</v>
      </c>
      <c r="G468" s="2" t="s">
        <v>67</v>
      </c>
      <c r="H468" s="2">
        <v>70.0</v>
      </c>
      <c r="I468" s="2">
        <v>84.0</v>
      </c>
      <c r="J468" s="37">
        <v>1681.4</v>
      </c>
      <c r="K468" s="2">
        <v>81.0</v>
      </c>
      <c r="L468" s="2">
        <v>317.0</v>
      </c>
      <c r="M468" s="37">
        <v>2231.36</v>
      </c>
    </row>
    <row r="469" ht="14.25" customHeight="1">
      <c r="A469" t="s">
        <v>545</v>
      </c>
      <c r="B469" t="s">
        <v>530</v>
      </c>
      <c r="C469" t="s">
        <v>75</v>
      </c>
      <c r="D469" t="s">
        <v>63</v>
      </c>
      <c r="E469">
        <v>13.6</v>
      </c>
      <c r="F469">
        <v>14.0</v>
      </c>
      <c r="G469" s="2" t="s">
        <v>67</v>
      </c>
      <c r="H469" s="2">
        <v>75.0</v>
      </c>
      <c r="I469" s="2">
        <v>32.0</v>
      </c>
      <c r="J469" s="37">
        <v>1726.1</v>
      </c>
      <c r="K469" s="2">
        <v>88.0</v>
      </c>
      <c r="L469" s="2">
        <v>295.0</v>
      </c>
      <c r="M469" s="37">
        <v>2359.98</v>
      </c>
    </row>
    <row r="470" ht="14.25" customHeight="1">
      <c r="A470" t="s">
        <v>546</v>
      </c>
      <c r="B470" t="s">
        <v>530</v>
      </c>
      <c r="C470" t="s">
        <v>62</v>
      </c>
      <c r="D470" t="s">
        <v>268</v>
      </c>
      <c r="E470">
        <v>3.517</v>
      </c>
      <c r="F470">
        <v>2.93</v>
      </c>
      <c r="G470" s="2" t="s">
        <v>64</v>
      </c>
      <c r="H470" s="2">
        <v>0.0</v>
      </c>
      <c r="I470" s="2">
        <v>0.0</v>
      </c>
      <c r="J470" s="37">
        <v>0.0</v>
      </c>
      <c r="K470" s="2">
        <v>0.0</v>
      </c>
      <c r="L470" s="2">
        <v>0.0</v>
      </c>
      <c r="M470" s="37">
        <v>0.0</v>
      </c>
    </row>
    <row r="471" ht="14.25" customHeight="1">
      <c r="A471" t="s">
        <v>546</v>
      </c>
      <c r="B471" t="s">
        <v>530</v>
      </c>
      <c r="C471" t="s">
        <v>62</v>
      </c>
      <c r="D471" t="s">
        <v>268</v>
      </c>
      <c r="E471">
        <v>3.517</v>
      </c>
      <c r="F471">
        <v>2.93</v>
      </c>
      <c r="G471" s="2" t="s">
        <v>64</v>
      </c>
      <c r="H471" s="2">
        <v>0.0</v>
      </c>
      <c r="I471" s="2">
        <v>0.0</v>
      </c>
      <c r="J471" s="37">
        <v>0.0</v>
      </c>
      <c r="K471" s="2">
        <v>0.0</v>
      </c>
      <c r="L471" s="2">
        <v>0.0</v>
      </c>
      <c r="M471" s="37">
        <v>0.0</v>
      </c>
    </row>
    <row r="472" ht="14.25" customHeight="1">
      <c r="A472" t="s">
        <v>547</v>
      </c>
      <c r="B472" t="s">
        <v>530</v>
      </c>
      <c r="C472" t="s">
        <v>75</v>
      </c>
      <c r="D472" t="s">
        <v>63</v>
      </c>
      <c r="E472">
        <v>5.28</v>
      </c>
      <c r="F472">
        <v>5.65</v>
      </c>
      <c r="G472" s="2" t="s">
        <v>67</v>
      </c>
      <c r="H472" s="2">
        <v>31.0</v>
      </c>
      <c r="I472" s="2">
        <v>85.0</v>
      </c>
      <c r="J472" s="37">
        <v>806.76</v>
      </c>
      <c r="K472" s="2">
        <v>36.0</v>
      </c>
      <c r="L472" s="2">
        <v>188.0</v>
      </c>
      <c r="M472" s="37">
        <v>1052.96</v>
      </c>
    </row>
    <row r="473" ht="14.25" customHeight="1">
      <c r="A473" t="s">
        <v>548</v>
      </c>
      <c r="B473" t="s">
        <v>530</v>
      </c>
      <c r="C473" t="s">
        <v>75</v>
      </c>
      <c r="D473" t="s">
        <v>63</v>
      </c>
      <c r="E473">
        <v>12.4</v>
      </c>
      <c r="F473">
        <v>12.8</v>
      </c>
      <c r="G473" s="2" t="s">
        <v>67</v>
      </c>
      <c r="H473" s="2">
        <v>76.0</v>
      </c>
      <c r="I473" s="2">
        <v>185.0</v>
      </c>
      <c r="J473" s="37">
        <v>1947.46</v>
      </c>
      <c r="K473" s="2">
        <v>88.0</v>
      </c>
      <c r="L473" s="2">
        <v>425.0</v>
      </c>
      <c r="M473" s="37">
        <v>2528.98</v>
      </c>
    </row>
    <row r="474" ht="14.25" customHeight="1">
      <c r="A474" t="s">
        <v>549</v>
      </c>
      <c r="B474" t="s">
        <v>530</v>
      </c>
      <c r="C474" t="s">
        <v>75</v>
      </c>
      <c r="D474" t="s">
        <v>63</v>
      </c>
      <c r="E474">
        <v>13.6</v>
      </c>
      <c r="F474">
        <v>14.3</v>
      </c>
      <c r="G474" s="2" t="s">
        <v>67</v>
      </c>
      <c r="H474" s="2">
        <v>83.0</v>
      </c>
      <c r="I474" s="2">
        <v>132.0</v>
      </c>
      <c r="J474" s="37">
        <v>2035.78</v>
      </c>
      <c r="K474" s="2">
        <v>96.0</v>
      </c>
      <c r="L474" s="2">
        <v>396.0</v>
      </c>
      <c r="M474" s="37">
        <v>2670.96</v>
      </c>
    </row>
    <row r="475" ht="14.25" customHeight="1">
      <c r="A475" t="s">
        <v>550</v>
      </c>
      <c r="B475" t="s">
        <v>530</v>
      </c>
      <c r="C475" t="s">
        <v>75</v>
      </c>
      <c r="D475" t="s">
        <v>63</v>
      </c>
      <c r="E475">
        <v>16.2</v>
      </c>
      <c r="F475">
        <v>17.0</v>
      </c>
      <c r="G475" s="2" t="s">
        <v>67</v>
      </c>
      <c r="H475" s="2">
        <v>96.0</v>
      </c>
      <c r="I475" s="2">
        <v>126.0</v>
      </c>
      <c r="J475" s="37">
        <v>2319.96</v>
      </c>
      <c r="K475" s="2">
        <v>111.0</v>
      </c>
      <c r="L475" s="2">
        <v>440.0</v>
      </c>
      <c r="M475" s="37">
        <v>3065.06</v>
      </c>
    </row>
    <row r="476" ht="14.25" customHeight="1">
      <c r="A476" t="s">
        <v>551</v>
      </c>
      <c r="B476" t="s">
        <v>530</v>
      </c>
      <c r="C476" t="s">
        <v>75</v>
      </c>
      <c r="D476" t="s">
        <v>63</v>
      </c>
      <c r="E476">
        <v>12.3</v>
      </c>
      <c r="F476">
        <v>13.0</v>
      </c>
      <c r="G476" s="2" t="s">
        <v>67</v>
      </c>
      <c r="H476" s="2">
        <v>79.0</v>
      </c>
      <c r="I476" s="2">
        <v>194.0</v>
      </c>
      <c r="J476" s="37">
        <v>2026.5400000000002</v>
      </c>
      <c r="K476" s="2">
        <v>91.0</v>
      </c>
      <c r="L476" s="2">
        <v>433.0</v>
      </c>
      <c r="M476" s="37">
        <v>2606.76</v>
      </c>
    </row>
    <row r="477" ht="14.25" customHeight="1">
      <c r="A477" t="s">
        <v>552</v>
      </c>
      <c r="B477" t="s">
        <v>530</v>
      </c>
      <c r="C477" t="s">
        <v>75</v>
      </c>
      <c r="D477" t="s">
        <v>63</v>
      </c>
      <c r="E477">
        <v>13.6</v>
      </c>
      <c r="F477">
        <v>14.5</v>
      </c>
      <c r="G477" s="2" t="s">
        <v>67</v>
      </c>
      <c r="H477" s="2">
        <v>85.0</v>
      </c>
      <c r="I477" s="2">
        <v>93.0</v>
      </c>
      <c r="J477" s="37">
        <v>2030.0000000000002</v>
      </c>
      <c r="K477" s="2">
        <v>98.0</v>
      </c>
      <c r="L477" s="2">
        <v>357.0</v>
      </c>
      <c r="M477" s="37">
        <v>2665.18</v>
      </c>
    </row>
    <row r="478" ht="14.25" customHeight="1">
      <c r="A478" t="s">
        <v>553</v>
      </c>
      <c r="B478" t="s">
        <v>530</v>
      </c>
      <c r="C478" t="s">
        <v>62</v>
      </c>
      <c r="D478" t="s">
        <v>268</v>
      </c>
      <c r="E478">
        <v>3.341</v>
      </c>
      <c r="F478">
        <v>2.931</v>
      </c>
      <c r="G478" s="2" t="s">
        <v>64</v>
      </c>
      <c r="H478" s="2">
        <v>0.0</v>
      </c>
      <c r="I478" s="2">
        <v>0.0</v>
      </c>
      <c r="J478" s="37">
        <v>0.0</v>
      </c>
      <c r="K478" s="2">
        <v>0.0</v>
      </c>
      <c r="L478" s="2">
        <v>0.0</v>
      </c>
      <c r="M478" s="37">
        <v>0.0</v>
      </c>
    </row>
    <row r="479" ht="14.25" customHeight="1">
      <c r="A479" t="s">
        <v>554</v>
      </c>
      <c r="B479" t="s">
        <v>530</v>
      </c>
      <c r="C479" t="s">
        <v>62</v>
      </c>
      <c r="D479" t="s">
        <v>63</v>
      </c>
      <c r="E479">
        <v>2.0</v>
      </c>
      <c r="F479">
        <v>2.2</v>
      </c>
      <c r="G479" s="2" t="s">
        <v>67</v>
      </c>
      <c r="H479" s="2">
        <v>11.0</v>
      </c>
      <c r="I479" s="2">
        <v>54.0</v>
      </c>
      <c r="J479" s="37">
        <v>317.26</v>
      </c>
      <c r="K479" s="2">
        <v>13.0</v>
      </c>
      <c r="L479" s="2">
        <v>84.0</v>
      </c>
      <c r="M479" s="37">
        <v>401.18</v>
      </c>
    </row>
    <row r="480" ht="14.25" customHeight="1">
      <c r="A480" t="s">
        <v>555</v>
      </c>
      <c r="B480" t="s">
        <v>530</v>
      </c>
      <c r="C480" t="s">
        <v>62</v>
      </c>
      <c r="D480" t="s">
        <v>63</v>
      </c>
      <c r="E480">
        <v>2.65</v>
      </c>
      <c r="F480">
        <v>2.75</v>
      </c>
      <c r="G480" s="2" t="s">
        <v>67</v>
      </c>
      <c r="H480" s="2">
        <v>15.0</v>
      </c>
      <c r="I480" s="2">
        <v>108.0</v>
      </c>
      <c r="J480" s="37">
        <v>477.30000000000007</v>
      </c>
      <c r="K480" s="2">
        <v>17.0</v>
      </c>
      <c r="L480" s="2">
        <v>149.0</v>
      </c>
      <c r="M480" s="37">
        <v>575.52</v>
      </c>
    </row>
    <row r="481" ht="14.25" customHeight="1">
      <c r="A481" t="s">
        <v>556</v>
      </c>
      <c r="B481" t="s">
        <v>530</v>
      </c>
      <c r="C481" t="s">
        <v>62</v>
      </c>
      <c r="D481" t="s">
        <v>63</v>
      </c>
      <c r="E481">
        <v>3.5</v>
      </c>
      <c r="F481">
        <v>3.75</v>
      </c>
      <c r="G481" s="2" t="s">
        <v>67</v>
      </c>
      <c r="H481" s="2">
        <v>19.0</v>
      </c>
      <c r="I481" s="2">
        <v>93.0</v>
      </c>
      <c r="J481" s="37">
        <v>547.64</v>
      </c>
      <c r="K481" s="2">
        <v>21.0</v>
      </c>
      <c r="L481" s="2">
        <v>146.0</v>
      </c>
      <c r="M481" s="37">
        <v>661.46</v>
      </c>
    </row>
    <row r="482" ht="14.25" customHeight="1">
      <c r="A482" t="s">
        <v>557</v>
      </c>
      <c r="B482" t="s">
        <v>530</v>
      </c>
      <c r="C482" t="s">
        <v>62</v>
      </c>
      <c r="D482" t="s">
        <v>63</v>
      </c>
      <c r="E482">
        <v>5.0</v>
      </c>
      <c r="F482">
        <v>5.35</v>
      </c>
      <c r="G482" s="2" t="s">
        <v>67</v>
      </c>
      <c r="H482" s="2">
        <v>28.0</v>
      </c>
      <c r="I482" s="2">
        <v>108.0</v>
      </c>
      <c r="J482" s="37">
        <v>769.28</v>
      </c>
      <c r="K482" s="2">
        <v>32.0</v>
      </c>
      <c r="L482" s="2">
        <v>194.0</v>
      </c>
      <c r="M482" s="37">
        <v>970.9200000000001</v>
      </c>
    </row>
    <row r="483" ht="14.25" customHeight="1">
      <c r="A483" t="s">
        <v>558</v>
      </c>
      <c r="B483" t="s">
        <v>530</v>
      </c>
      <c r="C483" t="s">
        <v>62</v>
      </c>
      <c r="D483" t="s">
        <v>63</v>
      </c>
      <c r="E483">
        <v>6.0</v>
      </c>
      <c r="F483">
        <v>6.2</v>
      </c>
      <c r="G483" s="2" t="s">
        <v>64</v>
      </c>
      <c r="H483" s="2">
        <v>0.0</v>
      </c>
      <c r="I483" s="2">
        <v>0.0</v>
      </c>
      <c r="J483" s="37">
        <v>0.0</v>
      </c>
      <c r="K483" s="2">
        <v>0.0</v>
      </c>
      <c r="L483" s="2">
        <v>0.0</v>
      </c>
      <c r="M483" s="37">
        <v>0.0</v>
      </c>
    </row>
    <row r="484" ht="14.25" customHeight="1">
      <c r="A484" t="s">
        <v>559</v>
      </c>
      <c r="B484" t="s">
        <v>530</v>
      </c>
      <c r="C484" t="s">
        <v>62</v>
      </c>
      <c r="D484" t="s">
        <v>63</v>
      </c>
      <c r="E484">
        <v>7.0</v>
      </c>
      <c r="F484">
        <v>7.6</v>
      </c>
      <c r="G484" s="2" t="s">
        <v>67</v>
      </c>
      <c r="H484" s="2">
        <v>41.0</v>
      </c>
      <c r="I484" s="2">
        <v>97.0</v>
      </c>
      <c r="J484" s="37">
        <v>1046.96</v>
      </c>
      <c r="K484" s="2">
        <v>47.0</v>
      </c>
      <c r="L484" s="2">
        <v>218.0</v>
      </c>
      <c r="M484" s="37">
        <v>1339.0200000000002</v>
      </c>
    </row>
    <row r="485" ht="14.25" customHeight="1">
      <c r="A485" t="s">
        <v>560</v>
      </c>
      <c r="B485" t="s">
        <v>530</v>
      </c>
      <c r="C485" t="s">
        <v>62</v>
      </c>
      <c r="D485" t="s">
        <v>63</v>
      </c>
      <c r="E485">
        <v>8.0</v>
      </c>
      <c r="F485">
        <v>8.2</v>
      </c>
      <c r="G485" s="2" t="s">
        <v>67</v>
      </c>
      <c r="H485" s="2">
        <v>43.0</v>
      </c>
      <c r="I485" s="2">
        <v>75.0</v>
      </c>
      <c r="J485" s="37">
        <v>1063.2800000000002</v>
      </c>
      <c r="K485" s="2">
        <v>49.0</v>
      </c>
      <c r="L485" s="2">
        <v>213.0</v>
      </c>
      <c r="M485" s="37">
        <v>1377.44</v>
      </c>
    </row>
    <row r="486" ht="14.25" customHeight="1">
      <c r="A486" t="s">
        <v>561</v>
      </c>
      <c r="B486" t="s">
        <v>530</v>
      </c>
      <c r="C486" t="s">
        <v>62</v>
      </c>
      <c r="D486" t="s">
        <v>63</v>
      </c>
      <c r="E486">
        <v>3.5</v>
      </c>
      <c r="F486">
        <v>4.2</v>
      </c>
      <c r="G486" s="2" t="s">
        <v>64</v>
      </c>
      <c r="H486" s="2">
        <v>0.0</v>
      </c>
      <c r="I486" s="2">
        <v>0.0</v>
      </c>
      <c r="J486" s="37">
        <v>0.0</v>
      </c>
      <c r="K486" s="2">
        <v>0.0</v>
      </c>
      <c r="L486" s="2">
        <v>0.0</v>
      </c>
      <c r="M486" s="37">
        <v>0.0</v>
      </c>
    </row>
    <row r="487" ht="14.25" customHeight="1">
      <c r="A487" t="s">
        <v>562</v>
      </c>
      <c r="B487" t="s">
        <v>530</v>
      </c>
      <c r="C487" t="s">
        <v>62</v>
      </c>
      <c r="D487" t="s">
        <v>63</v>
      </c>
      <c r="E487">
        <v>4.9</v>
      </c>
      <c r="F487">
        <v>5.3</v>
      </c>
      <c r="G487" s="2" t="s">
        <v>67</v>
      </c>
      <c r="H487" s="2">
        <v>29.0</v>
      </c>
      <c r="I487" s="2">
        <v>40.0</v>
      </c>
      <c r="J487" s="37">
        <v>703.34</v>
      </c>
      <c r="K487" s="2">
        <v>33.0</v>
      </c>
      <c r="L487" s="2">
        <v>124.0</v>
      </c>
      <c r="M487" s="37">
        <v>902.3800000000001</v>
      </c>
    </row>
    <row r="488" ht="14.25" customHeight="1">
      <c r="A488" t="s">
        <v>563</v>
      </c>
      <c r="B488" t="s">
        <v>530</v>
      </c>
      <c r="C488" t="s">
        <v>62</v>
      </c>
      <c r="D488" t="s">
        <v>63</v>
      </c>
      <c r="E488">
        <v>2.0</v>
      </c>
      <c r="F488">
        <v>2.2</v>
      </c>
      <c r="G488" s="2" t="s">
        <v>67</v>
      </c>
      <c r="H488" s="2">
        <v>11.0</v>
      </c>
      <c r="I488" s="2">
        <v>54.0</v>
      </c>
      <c r="J488" s="37">
        <v>317.26</v>
      </c>
      <c r="K488" s="2">
        <v>13.0</v>
      </c>
      <c r="L488" s="2">
        <v>84.0</v>
      </c>
      <c r="M488" s="37">
        <v>401.18</v>
      </c>
    </row>
    <row r="489" ht="14.25" customHeight="1">
      <c r="A489" t="s">
        <v>564</v>
      </c>
      <c r="B489" t="s">
        <v>530</v>
      </c>
      <c r="C489" t="s">
        <v>62</v>
      </c>
      <c r="D489" t="s">
        <v>63</v>
      </c>
      <c r="E489">
        <v>2.65</v>
      </c>
      <c r="F489">
        <v>2.75</v>
      </c>
      <c r="G489" s="2" t="s">
        <v>67</v>
      </c>
      <c r="H489" s="2">
        <v>15.0</v>
      </c>
      <c r="I489" s="2">
        <v>108.0</v>
      </c>
      <c r="J489" s="37">
        <v>477.30000000000007</v>
      </c>
      <c r="K489" s="2">
        <v>17.0</v>
      </c>
      <c r="L489" s="2">
        <v>149.0</v>
      </c>
      <c r="M489" s="37">
        <v>575.52</v>
      </c>
    </row>
    <row r="490" ht="14.25" customHeight="1">
      <c r="A490" t="s">
        <v>565</v>
      </c>
      <c r="B490" t="s">
        <v>530</v>
      </c>
      <c r="C490" t="s">
        <v>62</v>
      </c>
      <c r="D490" t="s">
        <v>63</v>
      </c>
      <c r="E490">
        <v>3.5</v>
      </c>
      <c r="F490">
        <v>3.75</v>
      </c>
      <c r="G490" s="2" t="s">
        <v>67</v>
      </c>
      <c r="H490" s="2">
        <v>19.0</v>
      </c>
      <c r="I490" s="2">
        <v>93.0</v>
      </c>
      <c r="J490" s="37">
        <v>547.64</v>
      </c>
      <c r="K490" s="2">
        <v>21.0</v>
      </c>
      <c r="L490" s="2">
        <v>146.0</v>
      </c>
      <c r="M490" s="37">
        <v>661.46</v>
      </c>
    </row>
    <row r="491" ht="14.25" customHeight="1">
      <c r="A491" t="s">
        <v>566</v>
      </c>
      <c r="B491" t="s">
        <v>530</v>
      </c>
      <c r="C491" t="s">
        <v>62</v>
      </c>
      <c r="D491" t="s">
        <v>63</v>
      </c>
      <c r="E491">
        <v>5.0</v>
      </c>
      <c r="F491">
        <v>5.35</v>
      </c>
      <c r="G491" s="2" t="s">
        <v>67</v>
      </c>
      <c r="H491" s="2">
        <v>28.0</v>
      </c>
      <c r="I491" s="2">
        <v>108.0</v>
      </c>
      <c r="J491" s="37">
        <v>769.28</v>
      </c>
      <c r="K491" s="2">
        <v>32.0</v>
      </c>
      <c r="L491" s="2">
        <v>194.0</v>
      </c>
      <c r="M491" s="37">
        <v>970.9200000000001</v>
      </c>
    </row>
    <row r="492" ht="14.25" customHeight="1">
      <c r="A492" t="s">
        <v>567</v>
      </c>
      <c r="B492" t="s">
        <v>530</v>
      </c>
      <c r="C492" t="s">
        <v>62</v>
      </c>
      <c r="D492" t="s">
        <v>63</v>
      </c>
      <c r="E492">
        <v>6.0</v>
      </c>
      <c r="F492">
        <v>6.2</v>
      </c>
      <c r="G492" s="2" t="s">
        <v>64</v>
      </c>
      <c r="H492" s="2">
        <v>0.0</v>
      </c>
      <c r="I492" s="2">
        <v>0.0</v>
      </c>
      <c r="J492" s="37">
        <v>0.0</v>
      </c>
      <c r="K492" s="2">
        <v>0.0</v>
      </c>
      <c r="L492" s="2">
        <v>0.0</v>
      </c>
      <c r="M492" s="37">
        <v>0.0</v>
      </c>
    </row>
    <row r="493" ht="14.25" customHeight="1">
      <c r="A493" t="s">
        <v>568</v>
      </c>
      <c r="B493" t="s">
        <v>530</v>
      </c>
      <c r="C493" t="s">
        <v>62</v>
      </c>
      <c r="D493" t="s">
        <v>63</v>
      </c>
      <c r="E493">
        <v>7.0</v>
      </c>
      <c r="F493">
        <v>7.6</v>
      </c>
      <c r="G493" s="2" t="s">
        <v>67</v>
      </c>
      <c r="H493" s="2">
        <v>41.0</v>
      </c>
      <c r="I493" s="2">
        <v>97.0</v>
      </c>
      <c r="J493" s="37">
        <v>1046.96</v>
      </c>
      <c r="K493" s="2">
        <v>47.0</v>
      </c>
      <c r="L493" s="2">
        <v>218.0</v>
      </c>
      <c r="M493" s="37">
        <v>1339.0200000000002</v>
      </c>
    </row>
    <row r="494" ht="14.25" customHeight="1">
      <c r="A494" t="s">
        <v>569</v>
      </c>
      <c r="B494" t="s">
        <v>530</v>
      </c>
      <c r="C494" t="s">
        <v>62</v>
      </c>
      <c r="D494" t="s">
        <v>63</v>
      </c>
      <c r="E494">
        <v>8.0</v>
      </c>
      <c r="F494">
        <v>8.2</v>
      </c>
      <c r="G494" s="2" t="s">
        <v>67</v>
      </c>
      <c r="H494" s="2">
        <v>43.0</v>
      </c>
      <c r="I494" s="2">
        <v>75.0</v>
      </c>
      <c r="J494" s="37">
        <v>1063.2800000000002</v>
      </c>
      <c r="K494" s="2">
        <v>49.0</v>
      </c>
      <c r="L494" s="2">
        <v>213.0</v>
      </c>
      <c r="M494" s="37">
        <v>1377.44</v>
      </c>
    </row>
    <row r="495" ht="14.25" customHeight="1">
      <c r="A495" t="s">
        <v>570</v>
      </c>
      <c r="B495" t="s">
        <v>530</v>
      </c>
      <c r="C495" t="s">
        <v>62</v>
      </c>
      <c r="D495" t="s">
        <v>63</v>
      </c>
      <c r="E495">
        <v>2.0</v>
      </c>
      <c r="F495">
        <v>2.2</v>
      </c>
      <c r="G495" s="2" t="s">
        <v>67</v>
      </c>
      <c r="H495" s="2">
        <v>11.0</v>
      </c>
      <c r="I495" s="2">
        <v>54.0</v>
      </c>
      <c r="J495" s="37">
        <v>317.26</v>
      </c>
      <c r="K495" s="2">
        <v>13.0</v>
      </c>
      <c r="L495" s="2">
        <v>84.0</v>
      </c>
      <c r="M495" s="37">
        <v>401.18</v>
      </c>
    </row>
    <row r="496" ht="14.25" customHeight="1">
      <c r="A496" t="s">
        <v>571</v>
      </c>
      <c r="B496" t="s">
        <v>530</v>
      </c>
      <c r="C496" t="s">
        <v>62</v>
      </c>
      <c r="D496" t="s">
        <v>63</v>
      </c>
      <c r="E496">
        <v>2.65</v>
      </c>
      <c r="F496">
        <v>2.75</v>
      </c>
      <c r="G496" s="2" t="s">
        <v>67</v>
      </c>
      <c r="H496" s="2">
        <v>15.0</v>
      </c>
      <c r="I496" s="2">
        <v>108.0</v>
      </c>
      <c r="J496" s="37">
        <v>477.30000000000007</v>
      </c>
      <c r="K496" s="2">
        <v>17.0</v>
      </c>
      <c r="L496" s="2">
        <v>149.0</v>
      </c>
      <c r="M496" s="37">
        <v>575.52</v>
      </c>
    </row>
    <row r="497" ht="14.25" customHeight="1">
      <c r="A497" t="s">
        <v>572</v>
      </c>
      <c r="B497" t="s">
        <v>530</v>
      </c>
      <c r="C497" t="s">
        <v>62</v>
      </c>
      <c r="D497" t="s">
        <v>63</v>
      </c>
      <c r="E497">
        <v>3.5</v>
      </c>
      <c r="F497">
        <v>3.75</v>
      </c>
      <c r="G497" s="2" t="s">
        <v>67</v>
      </c>
      <c r="H497" s="2">
        <v>19.0</v>
      </c>
      <c r="I497" s="2">
        <v>93.0</v>
      </c>
      <c r="J497" s="37">
        <v>547.64</v>
      </c>
      <c r="K497" s="2">
        <v>21.0</v>
      </c>
      <c r="L497" s="2">
        <v>146.0</v>
      </c>
      <c r="M497" s="37">
        <v>661.46</v>
      </c>
    </row>
    <row r="498" ht="14.25" customHeight="1">
      <c r="A498" t="s">
        <v>573</v>
      </c>
      <c r="B498" t="s">
        <v>530</v>
      </c>
      <c r="C498" t="s">
        <v>62</v>
      </c>
      <c r="D498" t="s">
        <v>63</v>
      </c>
      <c r="E498">
        <v>5.0</v>
      </c>
      <c r="F498">
        <v>5.35</v>
      </c>
      <c r="G498" s="2" t="s">
        <v>67</v>
      </c>
      <c r="H498" s="2">
        <v>28.0</v>
      </c>
      <c r="I498" s="2">
        <v>108.0</v>
      </c>
      <c r="J498" s="37">
        <v>769.28</v>
      </c>
      <c r="K498" s="2">
        <v>32.0</v>
      </c>
      <c r="L498" s="2">
        <v>194.0</v>
      </c>
      <c r="M498" s="37">
        <v>970.9200000000001</v>
      </c>
    </row>
    <row r="499" ht="14.25" customHeight="1">
      <c r="A499" t="s">
        <v>574</v>
      </c>
      <c r="B499" t="s">
        <v>530</v>
      </c>
      <c r="C499" t="s">
        <v>62</v>
      </c>
      <c r="D499" t="s">
        <v>63</v>
      </c>
      <c r="E499">
        <v>6.0</v>
      </c>
      <c r="F499">
        <v>6.2</v>
      </c>
      <c r="G499" s="2" t="s">
        <v>64</v>
      </c>
      <c r="H499" s="2">
        <v>0.0</v>
      </c>
      <c r="I499" s="2">
        <v>0.0</v>
      </c>
      <c r="J499" s="37">
        <v>0.0</v>
      </c>
      <c r="K499" s="2">
        <v>0.0</v>
      </c>
      <c r="L499" s="2">
        <v>0.0</v>
      </c>
      <c r="M499" s="37">
        <v>0.0</v>
      </c>
    </row>
    <row r="500" ht="14.25" customHeight="1">
      <c r="A500" t="s">
        <v>575</v>
      </c>
      <c r="B500" t="s">
        <v>530</v>
      </c>
      <c r="C500" t="s">
        <v>62</v>
      </c>
      <c r="D500" t="s">
        <v>63</v>
      </c>
      <c r="E500">
        <v>7.0</v>
      </c>
      <c r="F500">
        <v>7.6</v>
      </c>
      <c r="G500" s="2" t="s">
        <v>67</v>
      </c>
      <c r="H500" s="2">
        <v>41.0</v>
      </c>
      <c r="I500" s="2">
        <v>97.0</v>
      </c>
      <c r="J500" s="37">
        <v>1046.96</v>
      </c>
      <c r="K500" s="2">
        <v>47.0</v>
      </c>
      <c r="L500" s="2">
        <v>218.0</v>
      </c>
      <c r="M500" s="37">
        <v>1339.0200000000002</v>
      </c>
    </row>
    <row r="501" ht="14.25" customHeight="1">
      <c r="A501" t="s">
        <v>576</v>
      </c>
      <c r="B501" t="s">
        <v>530</v>
      </c>
      <c r="C501" t="s">
        <v>62</v>
      </c>
      <c r="D501" t="s">
        <v>63</v>
      </c>
      <c r="E501">
        <v>8.0</v>
      </c>
      <c r="F501">
        <v>8.2</v>
      </c>
      <c r="G501" s="2" t="s">
        <v>67</v>
      </c>
      <c r="H501" s="2">
        <v>43.0</v>
      </c>
      <c r="I501" s="2">
        <v>75.0</v>
      </c>
      <c r="J501" s="37">
        <v>1063.2800000000002</v>
      </c>
      <c r="K501" s="2">
        <v>49.0</v>
      </c>
      <c r="L501" s="2">
        <v>213.0</v>
      </c>
      <c r="M501" s="37">
        <v>1377.44</v>
      </c>
    </row>
    <row r="502" ht="14.25" customHeight="1">
      <c r="A502" t="s">
        <v>577</v>
      </c>
      <c r="B502" t="s">
        <v>530</v>
      </c>
      <c r="C502" t="s">
        <v>75</v>
      </c>
      <c r="D502" t="s">
        <v>63</v>
      </c>
      <c r="E502">
        <v>17.0</v>
      </c>
      <c r="F502">
        <v>17.0</v>
      </c>
      <c r="G502" s="2" t="s">
        <v>67</v>
      </c>
      <c r="H502" s="2">
        <v>96.0</v>
      </c>
      <c r="I502" s="2">
        <v>260.0</v>
      </c>
      <c r="J502" s="37">
        <v>2494.16</v>
      </c>
      <c r="K502" s="2">
        <v>112.0</v>
      </c>
      <c r="L502" s="2">
        <v>589.0</v>
      </c>
      <c r="M502" s="37">
        <v>3281.2200000000003</v>
      </c>
    </row>
    <row r="503" ht="14.25" customHeight="1">
      <c r="A503" t="s">
        <v>578</v>
      </c>
      <c r="B503" t="s">
        <v>530</v>
      </c>
      <c r="C503" t="s">
        <v>62</v>
      </c>
      <c r="D503" t="s">
        <v>63</v>
      </c>
      <c r="E503">
        <v>9.1</v>
      </c>
      <c r="F503">
        <v>10.1</v>
      </c>
      <c r="G503" s="2" t="s">
        <v>64</v>
      </c>
      <c r="H503" s="2">
        <v>0.0</v>
      </c>
      <c r="I503" s="2">
        <v>0.0</v>
      </c>
      <c r="J503" s="37">
        <v>0.0</v>
      </c>
      <c r="K503" s="2">
        <v>0.0</v>
      </c>
      <c r="L503" s="2">
        <v>0.0</v>
      </c>
      <c r="M503" s="37">
        <v>0.0</v>
      </c>
    </row>
    <row r="504" ht="14.25" customHeight="1">
      <c r="A504" t="s">
        <v>579</v>
      </c>
      <c r="B504" t="s">
        <v>530</v>
      </c>
      <c r="C504" t="s">
        <v>75</v>
      </c>
      <c r="D504" t="s">
        <v>63</v>
      </c>
      <c r="E504">
        <v>7.3</v>
      </c>
      <c r="F504">
        <v>7.5</v>
      </c>
      <c r="G504" s="2" t="s">
        <v>67</v>
      </c>
      <c r="H504" s="2">
        <v>46.0</v>
      </c>
      <c r="I504" s="2">
        <v>121.0</v>
      </c>
      <c r="J504" s="37">
        <v>1190.46</v>
      </c>
      <c r="K504" s="2">
        <v>52.0</v>
      </c>
      <c r="L504" s="2">
        <v>262.0</v>
      </c>
      <c r="M504" s="37">
        <v>1508.52</v>
      </c>
    </row>
    <row r="505" ht="14.25" customHeight="1">
      <c r="A505" t="s">
        <v>580</v>
      </c>
      <c r="B505" t="s">
        <v>530</v>
      </c>
      <c r="C505" t="s">
        <v>75</v>
      </c>
      <c r="D505" t="s">
        <v>63</v>
      </c>
      <c r="E505">
        <v>9.0</v>
      </c>
      <c r="F505">
        <v>10.5</v>
      </c>
      <c r="G505" s="2" t="s">
        <v>67</v>
      </c>
      <c r="H505" s="2">
        <v>63.0</v>
      </c>
      <c r="I505" s="2">
        <v>164.0</v>
      </c>
      <c r="J505" s="37">
        <v>1628.18</v>
      </c>
      <c r="K505" s="2">
        <v>72.0</v>
      </c>
      <c r="L505" s="2">
        <v>338.0</v>
      </c>
      <c r="M505" s="37">
        <v>2056.52</v>
      </c>
    </row>
    <row r="506" ht="14.25" customHeight="1">
      <c r="A506" t="s">
        <v>581</v>
      </c>
      <c r="B506" t="s">
        <v>530</v>
      </c>
      <c r="C506" t="s">
        <v>75</v>
      </c>
      <c r="D506" t="s">
        <v>63</v>
      </c>
      <c r="E506">
        <v>10.2</v>
      </c>
      <c r="F506">
        <v>12.0</v>
      </c>
      <c r="G506" s="2" t="s">
        <v>67</v>
      </c>
      <c r="H506" s="2">
        <v>67.0</v>
      </c>
      <c r="I506" s="2">
        <v>134.0</v>
      </c>
      <c r="J506" s="37">
        <v>1679.0200000000002</v>
      </c>
      <c r="K506" s="2">
        <v>78.0</v>
      </c>
      <c r="L506" s="2">
        <v>332.0</v>
      </c>
      <c r="M506" s="37">
        <v>2183.48</v>
      </c>
    </row>
    <row r="507" ht="14.25" customHeight="1">
      <c r="A507" t="s">
        <v>582</v>
      </c>
      <c r="B507" t="s">
        <v>530</v>
      </c>
      <c r="C507" t="s">
        <v>75</v>
      </c>
      <c r="D507" t="s">
        <v>63</v>
      </c>
      <c r="E507">
        <v>10.5</v>
      </c>
      <c r="F507">
        <v>12.5</v>
      </c>
      <c r="G507" s="2" t="s">
        <v>67</v>
      </c>
      <c r="H507" s="2">
        <v>72.0</v>
      </c>
      <c r="I507" s="2">
        <v>135.0</v>
      </c>
      <c r="J507" s="37">
        <v>1792.6200000000001</v>
      </c>
      <c r="K507" s="2">
        <v>83.0</v>
      </c>
      <c r="L507" s="2">
        <v>339.0</v>
      </c>
      <c r="M507" s="37">
        <v>2304.88</v>
      </c>
    </row>
    <row r="508" ht="14.25" customHeight="1">
      <c r="A508" t="s">
        <v>583</v>
      </c>
      <c r="B508" t="s">
        <v>530</v>
      </c>
      <c r="C508" t="s">
        <v>75</v>
      </c>
      <c r="D508" t="s">
        <v>63</v>
      </c>
      <c r="E508">
        <v>17.0</v>
      </c>
      <c r="F508">
        <v>18.0</v>
      </c>
      <c r="G508" s="2" t="s">
        <v>67</v>
      </c>
      <c r="H508" s="2">
        <v>102.0</v>
      </c>
      <c r="I508" s="2">
        <v>215.0</v>
      </c>
      <c r="J508" s="37">
        <v>2570.42</v>
      </c>
      <c r="K508" s="2">
        <v>118.0</v>
      </c>
      <c r="L508" s="2">
        <v>544.0</v>
      </c>
      <c r="M508" s="37">
        <v>3357.4800000000005</v>
      </c>
    </row>
    <row r="509" ht="14.25" customHeight="1">
      <c r="A509" t="s">
        <v>584</v>
      </c>
      <c r="B509" t="s">
        <v>530</v>
      </c>
      <c r="C509" t="s">
        <v>75</v>
      </c>
      <c r="D509" t="s">
        <v>63</v>
      </c>
      <c r="E509">
        <v>12.5</v>
      </c>
      <c r="F509">
        <v>14.5</v>
      </c>
      <c r="G509" s="2" t="s">
        <v>67</v>
      </c>
      <c r="H509" s="2">
        <v>87.0</v>
      </c>
      <c r="I509" s="2">
        <v>247.0</v>
      </c>
      <c r="J509" s="37">
        <v>2275.12</v>
      </c>
      <c r="K509" s="2">
        <v>100.0</v>
      </c>
      <c r="L509" s="2">
        <v>490.0</v>
      </c>
      <c r="M509" s="37">
        <v>2883.0</v>
      </c>
    </row>
    <row r="510" ht="14.25" customHeight="1">
      <c r="A510" t="s">
        <v>585</v>
      </c>
      <c r="B510" t="s">
        <v>530</v>
      </c>
      <c r="C510" t="s">
        <v>75</v>
      </c>
      <c r="D510" t="s">
        <v>63</v>
      </c>
      <c r="E510">
        <v>14.0</v>
      </c>
      <c r="F510">
        <v>15.5</v>
      </c>
      <c r="G510" s="2" t="s">
        <v>67</v>
      </c>
      <c r="H510" s="2">
        <v>93.0</v>
      </c>
      <c r="I510" s="2">
        <v>216.0</v>
      </c>
      <c r="J510" s="37">
        <v>2369.5800000000004</v>
      </c>
      <c r="K510" s="2">
        <v>107.0</v>
      </c>
      <c r="L510" s="2">
        <v>487.0</v>
      </c>
      <c r="M510" s="37">
        <v>3036.32</v>
      </c>
    </row>
    <row r="511" ht="14.25" customHeight="1">
      <c r="A511" t="s">
        <v>586</v>
      </c>
      <c r="B511" t="s">
        <v>530</v>
      </c>
      <c r="C511" t="s">
        <v>75</v>
      </c>
      <c r="D511" t="s">
        <v>63</v>
      </c>
      <c r="E511">
        <v>14.0</v>
      </c>
      <c r="F511">
        <v>17.0</v>
      </c>
      <c r="G511" s="2" t="s">
        <v>67</v>
      </c>
      <c r="H511" s="2">
        <v>100.0</v>
      </c>
      <c r="I511" s="2">
        <v>345.0</v>
      </c>
      <c r="J511" s="37">
        <v>2694.5</v>
      </c>
      <c r="K511" s="2">
        <v>115.0</v>
      </c>
      <c r="L511" s="2">
        <v>616.0</v>
      </c>
      <c r="M511" s="37">
        <v>3383.7000000000003</v>
      </c>
    </row>
    <row r="512" ht="14.25" customHeight="1">
      <c r="A512" t="s">
        <v>587</v>
      </c>
      <c r="B512" t="s">
        <v>530</v>
      </c>
      <c r="C512" t="s">
        <v>62</v>
      </c>
      <c r="D512" t="s">
        <v>63</v>
      </c>
      <c r="E512">
        <v>2.05</v>
      </c>
      <c r="F512">
        <v>2.37</v>
      </c>
      <c r="G512" s="2" t="s">
        <v>67</v>
      </c>
      <c r="H512" s="2">
        <v>12.0</v>
      </c>
      <c r="I512" s="2">
        <v>66.0</v>
      </c>
      <c r="J512" s="37">
        <v>355.32</v>
      </c>
      <c r="K512" s="2">
        <v>14.0</v>
      </c>
      <c r="L512" s="2">
        <v>97.0</v>
      </c>
      <c r="M512" s="37">
        <v>440.54</v>
      </c>
    </row>
    <row r="513" ht="14.25" customHeight="1">
      <c r="A513" t="s">
        <v>588</v>
      </c>
      <c r="B513" t="s">
        <v>530</v>
      </c>
      <c r="C513" t="s">
        <v>62</v>
      </c>
      <c r="D513" t="s">
        <v>63</v>
      </c>
      <c r="E513">
        <v>2.5</v>
      </c>
      <c r="F513">
        <v>2.795</v>
      </c>
      <c r="G513" s="2" t="s">
        <v>67</v>
      </c>
      <c r="H513" s="2">
        <v>14.0</v>
      </c>
      <c r="I513" s="2">
        <v>80.0</v>
      </c>
      <c r="J513" s="37">
        <v>418.44</v>
      </c>
      <c r="K513" s="2">
        <v>16.0</v>
      </c>
      <c r="L513" s="2">
        <v>118.0</v>
      </c>
      <c r="M513" s="37">
        <v>512.76</v>
      </c>
    </row>
    <row r="514" ht="14.25" customHeight="1">
      <c r="A514" t="s">
        <v>589</v>
      </c>
      <c r="B514" t="s">
        <v>530</v>
      </c>
      <c r="C514" t="s">
        <v>62</v>
      </c>
      <c r="D514" t="s">
        <v>63</v>
      </c>
      <c r="E514">
        <v>3.5</v>
      </c>
      <c r="F514">
        <v>4.0</v>
      </c>
      <c r="G514" s="2" t="s">
        <v>67</v>
      </c>
      <c r="H514" s="2">
        <v>19.0</v>
      </c>
      <c r="I514" s="2">
        <v>59.0</v>
      </c>
      <c r="J514" s="37">
        <v>503.44</v>
      </c>
      <c r="K514" s="2">
        <v>22.0</v>
      </c>
      <c r="L514" s="2">
        <v>112.0</v>
      </c>
      <c r="M514" s="37">
        <v>639.72</v>
      </c>
    </row>
    <row r="515" ht="14.25" customHeight="1">
      <c r="A515" t="s">
        <v>590</v>
      </c>
      <c r="B515" t="s">
        <v>530</v>
      </c>
      <c r="C515" t="s">
        <v>62</v>
      </c>
      <c r="D515" t="s">
        <v>63</v>
      </c>
      <c r="E515">
        <v>5.0</v>
      </c>
      <c r="F515">
        <v>5.54</v>
      </c>
      <c r="G515" s="2" t="s">
        <v>67</v>
      </c>
      <c r="H515" s="2">
        <v>30.0</v>
      </c>
      <c r="I515" s="2">
        <v>120.0</v>
      </c>
      <c r="J515" s="37">
        <v>829.8000000000001</v>
      </c>
      <c r="K515" s="2">
        <v>34.0</v>
      </c>
      <c r="L515" s="2">
        <v>206.0</v>
      </c>
      <c r="M515" s="37">
        <v>1031.44</v>
      </c>
    </row>
    <row r="516" ht="14.25" customHeight="1">
      <c r="A516" t="s">
        <v>591</v>
      </c>
      <c r="B516" t="s">
        <v>530</v>
      </c>
      <c r="C516" t="s">
        <v>62</v>
      </c>
      <c r="D516" t="s">
        <v>63</v>
      </c>
      <c r="E516">
        <v>6.0</v>
      </c>
      <c r="F516">
        <v>6.5</v>
      </c>
      <c r="G516" s="2" t="s">
        <v>64</v>
      </c>
      <c r="H516" s="2">
        <v>0.0</v>
      </c>
      <c r="I516" s="2">
        <v>0.0</v>
      </c>
      <c r="J516" s="37">
        <v>0.0</v>
      </c>
      <c r="K516" s="2">
        <v>0.0</v>
      </c>
      <c r="L516" s="2">
        <v>0.0</v>
      </c>
      <c r="M516" s="37">
        <v>0.0</v>
      </c>
    </row>
    <row r="517" ht="14.25" customHeight="1">
      <c r="A517" t="s">
        <v>592</v>
      </c>
      <c r="B517" t="s">
        <v>530</v>
      </c>
      <c r="C517" t="s">
        <v>62</v>
      </c>
      <c r="D517" t="s">
        <v>63</v>
      </c>
      <c r="E517">
        <v>7.0</v>
      </c>
      <c r="F517">
        <v>7.5</v>
      </c>
      <c r="G517" s="2" t="s">
        <v>67</v>
      </c>
      <c r="H517" s="2">
        <v>40.0</v>
      </c>
      <c r="I517" s="2">
        <v>91.0</v>
      </c>
      <c r="J517" s="37">
        <v>1016.7</v>
      </c>
      <c r="K517" s="2">
        <v>46.0</v>
      </c>
      <c r="L517" s="2">
        <v>212.0</v>
      </c>
      <c r="M517" s="37">
        <v>1308.7600000000002</v>
      </c>
    </row>
    <row r="518" ht="14.25" customHeight="1">
      <c r="A518" t="s">
        <v>593</v>
      </c>
      <c r="B518" t="s">
        <v>530</v>
      </c>
      <c r="C518" t="s">
        <v>62</v>
      </c>
      <c r="D518" t="s">
        <v>63</v>
      </c>
      <c r="E518">
        <v>7.65</v>
      </c>
      <c r="F518">
        <v>8.2</v>
      </c>
      <c r="G518" s="2" t="s">
        <v>67</v>
      </c>
      <c r="H518" s="2">
        <v>42.0</v>
      </c>
      <c r="I518" s="2">
        <v>57.0</v>
      </c>
      <c r="J518" s="37">
        <v>1017.4200000000001</v>
      </c>
      <c r="K518" s="2">
        <v>49.0</v>
      </c>
      <c r="L518" s="2">
        <v>188.0</v>
      </c>
      <c r="M518" s="37">
        <v>1344.94</v>
      </c>
    </row>
    <row r="519" ht="14.25" customHeight="1">
      <c r="A519" t="s">
        <v>594</v>
      </c>
      <c r="B519" t="s">
        <v>530</v>
      </c>
      <c r="C519" t="s">
        <v>62</v>
      </c>
      <c r="D519" t="s">
        <v>63</v>
      </c>
      <c r="E519">
        <v>9.0</v>
      </c>
      <c r="F519">
        <v>9.5</v>
      </c>
      <c r="G519" s="2" t="s">
        <v>67</v>
      </c>
      <c r="H519" s="2">
        <v>50.0</v>
      </c>
      <c r="I519" s="2">
        <v>117.0</v>
      </c>
      <c r="J519" s="37">
        <v>1275.1</v>
      </c>
      <c r="K519" s="2">
        <v>57.0</v>
      </c>
      <c r="L519" s="2">
        <v>272.0</v>
      </c>
      <c r="M519" s="37">
        <v>1633.8200000000002</v>
      </c>
    </row>
    <row r="520" ht="14.25" customHeight="1">
      <c r="A520" t="s">
        <v>595</v>
      </c>
      <c r="B520" t="s">
        <v>530</v>
      </c>
      <c r="C520" t="s">
        <v>62</v>
      </c>
      <c r="D520" t="s">
        <v>63</v>
      </c>
      <c r="E520">
        <v>2.05</v>
      </c>
      <c r="F520">
        <v>2.37</v>
      </c>
      <c r="G520" s="2" t="s">
        <v>67</v>
      </c>
      <c r="H520" s="2">
        <v>12.0</v>
      </c>
      <c r="I520" s="2">
        <v>66.0</v>
      </c>
      <c r="J520" s="37">
        <v>355.32</v>
      </c>
      <c r="K520" s="2">
        <v>14.0</v>
      </c>
      <c r="L520" s="2">
        <v>97.0</v>
      </c>
      <c r="M520" s="37">
        <v>440.54</v>
      </c>
    </row>
    <row r="521" ht="14.25" customHeight="1">
      <c r="A521" t="s">
        <v>596</v>
      </c>
      <c r="B521" t="s">
        <v>530</v>
      </c>
      <c r="C521" t="s">
        <v>62</v>
      </c>
      <c r="D521" t="s">
        <v>63</v>
      </c>
      <c r="E521">
        <v>2.5</v>
      </c>
      <c r="F521">
        <v>2.795</v>
      </c>
      <c r="G521" s="2" t="s">
        <v>67</v>
      </c>
      <c r="H521" s="2">
        <v>14.0</v>
      </c>
      <c r="I521" s="2">
        <v>80.0</v>
      </c>
      <c r="J521" s="37">
        <v>418.44</v>
      </c>
      <c r="K521" s="2">
        <v>16.0</v>
      </c>
      <c r="L521" s="2">
        <v>118.0</v>
      </c>
      <c r="M521" s="37">
        <v>512.76</v>
      </c>
    </row>
    <row r="522" ht="14.25" customHeight="1">
      <c r="A522" t="s">
        <v>597</v>
      </c>
      <c r="B522" t="s">
        <v>530</v>
      </c>
      <c r="C522" t="s">
        <v>62</v>
      </c>
      <c r="D522" t="s">
        <v>63</v>
      </c>
      <c r="E522">
        <v>3.5</v>
      </c>
      <c r="F522">
        <v>4.0</v>
      </c>
      <c r="G522" s="2" t="s">
        <v>67</v>
      </c>
      <c r="H522" s="2">
        <v>19.0</v>
      </c>
      <c r="I522" s="2">
        <v>59.0</v>
      </c>
      <c r="J522" s="37">
        <v>503.44</v>
      </c>
      <c r="K522" s="2">
        <v>22.0</v>
      </c>
      <c r="L522" s="2">
        <v>112.0</v>
      </c>
      <c r="M522" s="37">
        <v>639.72</v>
      </c>
    </row>
    <row r="523" ht="14.25" customHeight="1">
      <c r="A523" t="s">
        <v>598</v>
      </c>
      <c r="B523" t="s">
        <v>530</v>
      </c>
      <c r="C523" t="s">
        <v>62</v>
      </c>
      <c r="D523" t="s">
        <v>63</v>
      </c>
      <c r="E523">
        <v>5.0</v>
      </c>
      <c r="F523">
        <v>5.54</v>
      </c>
      <c r="G523" s="2" t="s">
        <v>67</v>
      </c>
      <c r="H523" s="2">
        <v>30.0</v>
      </c>
      <c r="I523" s="2">
        <v>120.0</v>
      </c>
      <c r="J523" s="37">
        <v>829.8000000000001</v>
      </c>
      <c r="K523" s="2">
        <v>34.0</v>
      </c>
      <c r="L523" s="2">
        <v>206.0</v>
      </c>
      <c r="M523" s="37">
        <v>1031.44</v>
      </c>
    </row>
    <row r="524" ht="14.25" customHeight="1">
      <c r="A524" t="s">
        <v>599</v>
      </c>
      <c r="B524" t="s">
        <v>530</v>
      </c>
      <c r="C524" t="s">
        <v>62</v>
      </c>
      <c r="D524" t="s">
        <v>63</v>
      </c>
      <c r="E524">
        <v>6.0</v>
      </c>
      <c r="F524">
        <v>6.5</v>
      </c>
      <c r="G524" s="2" t="s">
        <v>64</v>
      </c>
      <c r="H524" s="2">
        <v>0.0</v>
      </c>
      <c r="I524" s="2">
        <v>0.0</v>
      </c>
      <c r="J524" s="37">
        <v>0.0</v>
      </c>
      <c r="K524" s="2">
        <v>0.0</v>
      </c>
      <c r="L524" s="2">
        <v>0.0</v>
      </c>
      <c r="M524" s="37">
        <v>0.0</v>
      </c>
    </row>
    <row r="525" ht="14.25" customHeight="1">
      <c r="A525" t="s">
        <v>600</v>
      </c>
      <c r="B525" t="s">
        <v>530</v>
      </c>
      <c r="C525" t="s">
        <v>62</v>
      </c>
      <c r="D525" t="s">
        <v>63</v>
      </c>
      <c r="E525">
        <v>7.65</v>
      </c>
      <c r="F525">
        <v>8.2</v>
      </c>
      <c r="G525" s="2" t="s">
        <v>67</v>
      </c>
      <c r="H525" s="2">
        <v>42.0</v>
      </c>
      <c r="I525" s="2">
        <v>57.0</v>
      </c>
      <c r="J525" s="37">
        <v>1017.4200000000001</v>
      </c>
      <c r="K525" s="2">
        <v>49.0</v>
      </c>
      <c r="L525" s="2">
        <v>188.0</v>
      </c>
      <c r="M525" s="37">
        <v>1344.94</v>
      </c>
    </row>
    <row r="526" ht="14.25" customHeight="1">
      <c r="A526" t="s">
        <v>601</v>
      </c>
      <c r="B526" t="s">
        <v>530</v>
      </c>
      <c r="C526" t="s">
        <v>62</v>
      </c>
      <c r="D526" t="s">
        <v>63</v>
      </c>
      <c r="E526">
        <v>9.0</v>
      </c>
      <c r="F526">
        <v>9.5</v>
      </c>
      <c r="G526" s="2" t="s">
        <v>67</v>
      </c>
      <c r="H526" s="2">
        <v>50.0</v>
      </c>
      <c r="I526" s="2">
        <v>117.0</v>
      </c>
      <c r="J526" s="37">
        <v>1275.1</v>
      </c>
      <c r="K526" s="2">
        <v>57.0</v>
      </c>
      <c r="L526" s="2">
        <v>272.0</v>
      </c>
      <c r="M526" s="37">
        <v>1633.8200000000002</v>
      </c>
    </row>
    <row r="527" ht="14.25" customHeight="1">
      <c r="A527" t="s">
        <v>602</v>
      </c>
      <c r="B527" t="s">
        <v>530</v>
      </c>
      <c r="C527" t="s">
        <v>62</v>
      </c>
      <c r="D527" t="s">
        <v>63</v>
      </c>
      <c r="E527">
        <v>7.0</v>
      </c>
      <c r="F527">
        <v>7.5</v>
      </c>
      <c r="G527" s="2" t="s">
        <v>67</v>
      </c>
      <c r="H527" s="2">
        <v>40.0</v>
      </c>
      <c r="I527" s="2">
        <v>91.0</v>
      </c>
      <c r="J527" s="37">
        <v>1016.7</v>
      </c>
      <c r="K527" s="2">
        <v>46.0</v>
      </c>
      <c r="L527" s="2">
        <v>212.0</v>
      </c>
      <c r="M527" s="37">
        <v>1308.7600000000002</v>
      </c>
    </row>
    <row r="528" ht="14.25" customHeight="1">
      <c r="A528" t="s">
        <v>603</v>
      </c>
      <c r="B528" t="s">
        <v>604</v>
      </c>
      <c r="C528" t="s">
        <v>62</v>
      </c>
      <c r="D528" t="s">
        <v>268</v>
      </c>
      <c r="E528">
        <v>2.93</v>
      </c>
      <c r="F528">
        <v>2.93</v>
      </c>
      <c r="G528" s="2" t="s">
        <v>64</v>
      </c>
      <c r="H528" s="2">
        <v>0.0</v>
      </c>
      <c r="I528" s="2">
        <v>0.0</v>
      </c>
      <c r="J528" s="37">
        <v>0.0</v>
      </c>
      <c r="K528" s="2">
        <v>0.0</v>
      </c>
      <c r="L528" s="2">
        <v>0.0</v>
      </c>
      <c r="M528" s="37">
        <v>0.0</v>
      </c>
    </row>
    <row r="529" ht="14.25" customHeight="1">
      <c r="A529" t="s">
        <v>605</v>
      </c>
      <c r="B529" t="s">
        <v>604</v>
      </c>
      <c r="C529" t="s">
        <v>62</v>
      </c>
      <c r="D529" t="s">
        <v>268</v>
      </c>
      <c r="E529">
        <v>4.689</v>
      </c>
      <c r="F529">
        <v>3.283</v>
      </c>
      <c r="G529" s="2" t="s">
        <v>64</v>
      </c>
      <c r="H529" s="2">
        <v>0.0</v>
      </c>
      <c r="I529" s="2">
        <v>0.0</v>
      </c>
      <c r="J529" s="37">
        <v>0.0</v>
      </c>
      <c r="K529" s="2">
        <v>0.0</v>
      </c>
      <c r="L529" s="2">
        <v>0.0</v>
      </c>
      <c r="M529" s="37">
        <v>0.0</v>
      </c>
    </row>
    <row r="530" ht="14.25" customHeight="1">
      <c r="A530" t="s">
        <v>606</v>
      </c>
      <c r="B530" t="s">
        <v>607</v>
      </c>
      <c r="C530" t="s">
        <v>62</v>
      </c>
      <c r="D530" t="s">
        <v>268</v>
      </c>
      <c r="E530">
        <v>2.64</v>
      </c>
      <c r="F530">
        <v>2.05</v>
      </c>
      <c r="G530" s="2" t="s">
        <v>64</v>
      </c>
      <c r="H530" s="2">
        <v>0.0</v>
      </c>
      <c r="I530" s="2">
        <v>0.0</v>
      </c>
      <c r="J530" s="37">
        <v>0.0</v>
      </c>
      <c r="K530" s="2">
        <v>0.0</v>
      </c>
      <c r="L530" s="2">
        <v>0.0</v>
      </c>
      <c r="M530" s="37">
        <v>0.0</v>
      </c>
    </row>
    <row r="531" ht="14.25" customHeight="1">
      <c r="A531" t="s">
        <v>608</v>
      </c>
      <c r="B531" t="s">
        <v>609</v>
      </c>
      <c r="C531" t="s">
        <v>75</v>
      </c>
      <c r="D531" t="s">
        <v>82</v>
      </c>
      <c r="E531">
        <v>20.96</v>
      </c>
      <c r="F531">
        <v>23.39</v>
      </c>
      <c r="G531" s="2" t="s">
        <v>64</v>
      </c>
      <c r="H531" s="2">
        <v>0.0</v>
      </c>
      <c r="I531" s="2">
        <v>0.0</v>
      </c>
      <c r="J531" s="37">
        <v>0.0</v>
      </c>
      <c r="K531" s="2">
        <v>0.0</v>
      </c>
      <c r="L531" s="2">
        <v>0.0</v>
      </c>
      <c r="M531" s="37">
        <v>0.0</v>
      </c>
    </row>
    <row r="532" ht="14.25" customHeight="1">
      <c r="A532" t="s">
        <v>610</v>
      </c>
      <c r="B532" t="s">
        <v>611</v>
      </c>
      <c r="C532" t="s">
        <v>62</v>
      </c>
      <c r="D532" t="s">
        <v>63</v>
      </c>
      <c r="E532">
        <v>2.0</v>
      </c>
      <c r="F532">
        <v>2.2</v>
      </c>
      <c r="G532" s="2" t="s">
        <v>67</v>
      </c>
      <c r="H532" s="2">
        <v>11.0</v>
      </c>
      <c r="I532" s="2">
        <v>65.0</v>
      </c>
      <c r="J532" s="37">
        <v>331.56</v>
      </c>
      <c r="K532" s="2">
        <v>13.0</v>
      </c>
      <c r="L532" s="2">
        <v>95.0</v>
      </c>
      <c r="M532" s="37">
        <v>415.48</v>
      </c>
    </row>
    <row r="533" ht="14.25" customHeight="1">
      <c r="A533" t="s">
        <v>612</v>
      </c>
      <c r="B533" t="s">
        <v>611</v>
      </c>
      <c r="C533" t="s">
        <v>62</v>
      </c>
      <c r="D533" t="s">
        <v>63</v>
      </c>
      <c r="E533">
        <v>2.7</v>
      </c>
      <c r="F533">
        <v>2.8</v>
      </c>
      <c r="G533" s="2" t="s">
        <v>67</v>
      </c>
      <c r="H533" s="2">
        <v>14.0</v>
      </c>
      <c r="I533" s="2">
        <v>82.0</v>
      </c>
      <c r="J533" s="37">
        <v>421.04</v>
      </c>
      <c r="K533" s="2">
        <v>16.0</v>
      </c>
      <c r="L533" s="2">
        <v>123.0</v>
      </c>
      <c r="M533" s="37">
        <v>519.26</v>
      </c>
    </row>
    <row r="534" ht="14.25" customHeight="1">
      <c r="A534" t="s">
        <v>613</v>
      </c>
      <c r="B534" t="s">
        <v>611</v>
      </c>
      <c r="C534" t="s">
        <v>62</v>
      </c>
      <c r="D534" t="s">
        <v>63</v>
      </c>
      <c r="E534">
        <v>3.5</v>
      </c>
      <c r="F534">
        <v>3.75</v>
      </c>
      <c r="G534" s="2" t="s">
        <v>67</v>
      </c>
      <c r="H534" s="2">
        <v>19.0</v>
      </c>
      <c r="I534" s="2">
        <v>93.0</v>
      </c>
      <c r="J534" s="37">
        <v>547.64</v>
      </c>
      <c r="K534" s="2">
        <v>22.0</v>
      </c>
      <c r="L534" s="2">
        <v>146.0</v>
      </c>
      <c r="M534" s="37">
        <v>683.9200000000001</v>
      </c>
    </row>
    <row r="535" ht="14.25" customHeight="1">
      <c r="A535" t="s">
        <v>614</v>
      </c>
      <c r="B535" t="s">
        <v>611</v>
      </c>
      <c r="C535" t="s">
        <v>62</v>
      </c>
      <c r="D535" t="s">
        <v>63</v>
      </c>
      <c r="E535">
        <v>4.95</v>
      </c>
      <c r="F535">
        <v>5.5</v>
      </c>
      <c r="G535" s="2" t="s">
        <v>67</v>
      </c>
      <c r="H535" s="2">
        <v>29.0</v>
      </c>
      <c r="I535" s="2">
        <v>144.0</v>
      </c>
      <c r="J535" s="37">
        <v>838.5400000000001</v>
      </c>
      <c r="K535" s="2">
        <v>34.0</v>
      </c>
      <c r="L535" s="2">
        <v>229.0</v>
      </c>
      <c r="M535" s="37">
        <v>1061.34</v>
      </c>
    </row>
    <row r="536" ht="14.25" customHeight="1">
      <c r="A536" t="s">
        <v>615</v>
      </c>
      <c r="B536" t="s">
        <v>611</v>
      </c>
      <c r="C536" t="s">
        <v>62</v>
      </c>
      <c r="D536" t="s">
        <v>63</v>
      </c>
      <c r="E536">
        <v>6.1</v>
      </c>
      <c r="F536">
        <v>6.4</v>
      </c>
      <c r="G536" s="2" t="s">
        <v>67</v>
      </c>
      <c r="H536" s="2">
        <v>33.0</v>
      </c>
      <c r="I536" s="2">
        <v>80.0</v>
      </c>
      <c r="J536" s="37">
        <v>845.1800000000001</v>
      </c>
      <c r="K536" s="2">
        <v>38.0</v>
      </c>
      <c r="L536" s="2">
        <v>186.0</v>
      </c>
      <c r="M536" s="37">
        <v>1095.28</v>
      </c>
    </row>
    <row r="537" ht="14.25" customHeight="1">
      <c r="A537" t="s">
        <v>616</v>
      </c>
      <c r="B537" t="s">
        <v>611</v>
      </c>
      <c r="C537" t="s">
        <v>62</v>
      </c>
      <c r="D537" t="s">
        <v>63</v>
      </c>
      <c r="E537">
        <v>7.0</v>
      </c>
      <c r="F537">
        <v>7.9</v>
      </c>
      <c r="G537" s="2" t="s">
        <v>67</v>
      </c>
      <c r="H537" s="2">
        <v>43.0</v>
      </c>
      <c r="I537" s="2">
        <v>142.0</v>
      </c>
      <c r="J537" s="37">
        <v>1150.38</v>
      </c>
      <c r="K537" s="2">
        <v>49.0</v>
      </c>
      <c r="L537" s="2">
        <v>262.0</v>
      </c>
      <c r="M537" s="37">
        <v>1441.1399999999999</v>
      </c>
    </row>
    <row r="538" ht="14.25" customHeight="1">
      <c r="A538" t="s">
        <v>617</v>
      </c>
      <c r="B538" t="s">
        <v>611</v>
      </c>
      <c r="C538" t="s">
        <v>62</v>
      </c>
      <c r="D538" t="s">
        <v>63</v>
      </c>
      <c r="E538">
        <v>7.9</v>
      </c>
      <c r="F538">
        <v>8.2</v>
      </c>
      <c r="G538" s="2" t="s">
        <v>67</v>
      </c>
      <c r="H538" s="2">
        <v>43.0</v>
      </c>
      <c r="I538" s="2">
        <v>142.0</v>
      </c>
      <c r="J538" s="37">
        <v>1150.38</v>
      </c>
      <c r="K538" s="2">
        <v>50.0</v>
      </c>
      <c r="L538" s="2">
        <v>278.0</v>
      </c>
      <c r="M538" s="37">
        <v>1484.4</v>
      </c>
    </row>
    <row r="539" ht="14.25" customHeight="1">
      <c r="A539" t="s">
        <v>618</v>
      </c>
      <c r="B539" t="s">
        <v>611</v>
      </c>
      <c r="C539" t="s">
        <v>62</v>
      </c>
      <c r="D539" t="s">
        <v>63</v>
      </c>
      <c r="E539">
        <v>4.95</v>
      </c>
      <c r="F539">
        <v>5.5</v>
      </c>
      <c r="G539" s="2" t="s">
        <v>67</v>
      </c>
      <c r="H539" s="2">
        <v>29.0</v>
      </c>
      <c r="I539" s="2">
        <v>144.0</v>
      </c>
      <c r="J539" s="37">
        <v>838.5400000000001</v>
      </c>
      <c r="K539" s="2">
        <v>34.0</v>
      </c>
      <c r="L539" s="2">
        <v>229.0</v>
      </c>
      <c r="M539" s="37">
        <v>1061.34</v>
      </c>
    </row>
    <row r="540" ht="14.25" customHeight="1">
      <c r="A540" t="s">
        <v>619</v>
      </c>
      <c r="B540" t="s">
        <v>611</v>
      </c>
      <c r="C540" t="s">
        <v>62</v>
      </c>
      <c r="D540" t="s">
        <v>63</v>
      </c>
      <c r="E540">
        <v>2.05</v>
      </c>
      <c r="F540">
        <v>2.37</v>
      </c>
      <c r="G540" s="2" t="s">
        <v>67</v>
      </c>
      <c r="H540" s="2">
        <v>12.0</v>
      </c>
      <c r="I540" s="2">
        <v>66.0</v>
      </c>
      <c r="J540" s="37">
        <v>355.32</v>
      </c>
      <c r="K540" s="2">
        <v>14.0</v>
      </c>
      <c r="L540" s="2">
        <v>97.0</v>
      </c>
      <c r="M540" s="37">
        <v>440.54</v>
      </c>
    </row>
    <row r="541" ht="14.25" customHeight="1">
      <c r="A541" t="s">
        <v>620</v>
      </c>
      <c r="B541" t="s">
        <v>611</v>
      </c>
      <c r="C541" t="s">
        <v>62</v>
      </c>
      <c r="D541" t="s">
        <v>63</v>
      </c>
      <c r="E541">
        <v>2.5</v>
      </c>
      <c r="F541">
        <v>2.795</v>
      </c>
      <c r="G541" s="2" t="s">
        <v>67</v>
      </c>
      <c r="H541" s="2">
        <v>14.0</v>
      </c>
      <c r="I541" s="2">
        <v>80.0</v>
      </c>
      <c r="J541" s="37">
        <v>418.44</v>
      </c>
      <c r="K541" s="2">
        <v>16.0</v>
      </c>
      <c r="L541" s="2">
        <v>118.0</v>
      </c>
      <c r="M541" s="37">
        <v>512.76</v>
      </c>
    </row>
    <row r="542" ht="14.25" customHeight="1">
      <c r="A542" t="s">
        <v>621</v>
      </c>
      <c r="B542" t="s">
        <v>611</v>
      </c>
      <c r="C542" t="s">
        <v>62</v>
      </c>
      <c r="D542" t="s">
        <v>63</v>
      </c>
      <c r="E542">
        <v>3.5</v>
      </c>
      <c r="F542">
        <v>4.0</v>
      </c>
      <c r="G542" s="2" t="s">
        <v>67</v>
      </c>
      <c r="H542" s="2">
        <v>19.0</v>
      </c>
      <c r="I542" s="2">
        <v>59.0</v>
      </c>
      <c r="J542" s="37">
        <v>503.44</v>
      </c>
      <c r="K542" s="2">
        <v>22.0</v>
      </c>
      <c r="L542" s="2">
        <v>112.0</v>
      </c>
      <c r="M542" s="37">
        <v>639.72</v>
      </c>
    </row>
    <row r="543" ht="14.25" customHeight="1">
      <c r="A543" t="s">
        <v>622</v>
      </c>
      <c r="B543" t="s">
        <v>611</v>
      </c>
      <c r="C543" t="s">
        <v>62</v>
      </c>
      <c r="D543" t="s">
        <v>63</v>
      </c>
      <c r="E543">
        <v>5.0</v>
      </c>
      <c r="F543">
        <v>5.54</v>
      </c>
      <c r="G543" s="2" t="s">
        <v>67</v>
      </c>
      <c r="H543" s="2">
        <v>30.0</v>
      </c>
      <c r="I543" s="2">
        <v>120.0</v>
      </c>
      <c r="J543" s="37">
        <v>829.8000000000001</v>
      </c>
      <c r="K543" s="2">
        <v>34.0</v>
      </c>
      <c r="L543" s="2">
        <v>206.0</v>
      </c>
      <c r="M543" s="37">
        <v>1031.44</v>
      </c>
    </row>
    <row r="544" ht="14.25" customHeight="1">
      <c r="A544" t="s">
        <v>623</v>
      </c>
      <c r="B544" t="s">
        <v>611</v>
      </c>
      <c r="C544" t="s">
        <v>62</v>
      </c>
      <c r="D544" t="s">
        <v>63</v>
      </c>
      <c r="E544">
        <v>6.0</v>
      </c>
      <c r="F544">
        <v>6.5</v>
      </c>
      <c r="G544" s="2" t="s">
        <v>64</v>
      </c>
      <c r="H544" s="2">
        <v>0.0</v>
      </c>
      <c r="I544" s="2">
        <v>0.0</v>
      </c>
      <c r="J544" s="37">
        <v>0.0</v>
      </c>
      <c r="K544" s="2">
        <v>0.0</v>
      </c>
      <c r="L544" s="2">
        <v>0.0</v>
      </c>
      <c r="M544" s="37">
        <v>0.0</v>
      </c>
    </row>
    <row r="545" ht="14.25" customHeight="1">
      <c r="A545" t="s">
        <v>624</v>
      </c>
      <c r="B545" t="s">
        <v>611</v>
      </c>
      <c r="C545" t="s">
        <v>62</v>
      </c>
      <c r="D545" t="s">
        <v>63</v>
      </c>
      <c r="E545">
        <v>7.0</v>
      </c>
      <c r="F545">
        <v>7.5</v>
      </c>
      <c r="G545" s="2" t="s">
        <v>67</v>
      </c>
      <c r="H545" s="2">
        <v>40.0</v>
      </c>
      <c r="I545" s="2">
        <v>91.0</v>
      </c>
      <c r="J545" s="37">
        <v>1016.7</v>
      </c>
      <c r="K545" s="2">
        <v>46.0</v>
      </c>
      <c r="L545" s="2">
        <v>212.0</v>
      </c>
      <c r="M545" s="37">
        <v>1308.7600000000002</v>
      </c>
    </row>
    <row r="546" ht="14.25" customHeight="1">
      <c r="A546" t="s">
        <v>625</v>
      </c>
      <c r="B546" t="s">
        <v>611</v>
      </c>
      <c r="C546" t="s">
        <v>62</v>
      </c>
      <c r="D546" t="s">
        <v>63</v>
      </c>
      <c r="E546">
        <v>7.65</v>
      </c>
      <c r="F546">
        <v>8.2</v>
      </c>
      <c r="G546" s="2" t="s">
        <v>67</v>
      </c>
      <c r="H546" s="2">
        <v>42.0</v>
      </c>
      <c r="I546" s="2">
        <v>57.0</v>
      </c>
      <c r="J546" s="37">
        <v>1017.4200000000001</v>
      </c>
      <c r="K546" s="2">
        <v>49.0</v>
      </c>
      <c r="L546" s="2">
        <v>188.0</v>
      </c>
      <c r="M546" s="37">
        <v>1344.94</v>
      </c>
    </row>
    <row r="547" ht="14.25" customHeight="1">
      <c r="A547" t="s">
        <v>626</v>
      </c>
      <c r="B547" t="s">
        <v>627</v>
      </c>
      <c r="C547" t="s">
        <v>62</v>
      </c>
      <c r="D547" t="s">
        <v>268</v>
      </c>
      <c r="E547">
        <v>2.6</v>
      </c>
      <c r="F547">
        <v>1.9</v>
      </c>
      <c r="G547" s="2" t="s">
        <v>64</v>
      </c>
      <c r="H547" s="2">
        <v>0.0</v>
      </c>
      <c r="I547" s="2">
        <v>0.0</v>
      </c>
      <c r="J547" s="37">
        <v>0.0</v>
      </c>
      <c r="K547" s="2">
        <v>0.0</v>
      </c>
      <c r="L547" s="2">
        <v>0.0</v>
      </c>
      <c r="M547" s="37">
        <v>0.0</v>
      </c>
    </row>
    <row r="548" ht="14.25" customHeight="1">
      <c r="A548" t="s">
        <v>628</v>
      </c>
      <c r="B548" t="s">
        <v>629</v>
      </c>
      <c r="C548" t="s">
        <v>75</v>
      </c>
      <c r="D548" t="s">
        <v>63</v>
      </c>
      <c r="E548">
        <v>7.1</v>
      </c>
      <c r="F548">
        <v>8.0</v>
      </c>
      <c r="G548" s="2" t="s">
        <v>64</v>
      </c>
      <c r="H548" s="2">
        <v>0.0</v>
      </c>
      <c r="I548" s="2">
        <v>0.0</v>
      </c>
      <c r="J548" s="37">
        <v>0.0</v>
      </c>
      <c r="K548" s="2">
        <v>0.0</v>
      </c>
      <c r="L548" s="2">
        <v>0.0</v>
      </c>
      <c r="M548" s="37">
        <v>0.0</v>
      </c>
    </row>
    <row r="549" ht="14.25" customHeight="1">
      <c r="A549" t="s">
        <v>630</v>
      </c>
      <c r="B549" t="s">
        <v>629</v>
      </c>
      <c r="C549" t="s">
        <v>75</v>
      </c>
      <c r="D549" t="s">
        <v>63</v>
      </c>
      <c r="E549">
        <v>8.5</v>
      </c>
      <c r="F549">
        <v>10.0</v>
      </c>
      <c r="G549" s="2" t="s">
        <v>67</v>
      </c>
      <c r="H549" s="2">
        <v>54.0</v>
      </c>
      <c r="I549" s="2">
        <v>255.0</v>
      </c>
      <c r="J549" s="37">
        <v>1544.3400000000001</v>
      </c>
      <c r="K549" s="2">
        <v>63.0</v>
      </c>
      <c r="L549" s="2">
        <v>419.0</v>
      </c>
      <c r="M549" s="37">
        <v>1959.68</v>
      </c>
    </row>
    <row r="550" ht="14.25" customHeight="1">
      <c r="A550" t="s">
        <v>631</v>
      </c>
      <c r="B550" t="s">
        <v>629</v>
      </c>
      <c r="C550" t="s">
        <v>75</v>
      </c>
      <c r="D550" t="s">
        <v>63</v>
      </c>
      <c r="E550">
        <v>10.0</v>
      </c>
      <c r="F550">
        <v>11.2</v>
      </c>
      <c r="G550" s="2" t="s">
        <v>67</v>
      </c>
      <c r="H550" s="2">
        <v>62.0</v>
      </c>
      <c r="I550" s="2">
        <v>242.0</v>
      </c>
      <c r="J550" s="37">
        <v>1707.12</v>
      </c>
      <c r="K550" s="2">
        <v>72.0</v>
      </c>
      <c r="L550" s="2">
        <v>436.0</v>
      </c>
      <c r="M550" s="37">
        <v>2183.92</v>
      </c>
    </row>
    <row r="551" ht="14.25" customHeight="1">
      <c r="A551" t="s">
        <v>632</v>
      </c>
      <c r="B551" t="s">
        <v>629</v>
      </c>
      <c r="C551" t="s">
        <v>75</v>
      </c>
      <c r="D551" t="s">
        <v>63</v>
      </c>
      <c r="E551">
        <v>12.5</v>
      </c>
      <c r="F551">
        <v>14.0</v>
      </c>
      <c r="G551" s="2" t="s">
        <v>64</v>
      </c>
      <c r="H551" s="2">
        <v>0.0</v>
      </c>
      <c r="I551" s="2">
        <v>0.0</v>
      </c>
      <c r="J551" s="37">
        <v>0.0</v>
      </c>
      <c r="K551" s="2">
        <v>0.0</v>
      </c>
      <c r="L551" s="2">
        <v>0.0</v>
      </c>
      <c r="M551" s="37">
        <v>0.0</v>
      </c>
    </row>
    <row r="552" ht="14.25" customHeight="1">
      <c r="A552" t="s">
        <v>633</v>
      </c>
      <c r="B552" t="s">
        <v>629</v>
      </c>
      <c r="C552" t="s">
        <v>75</v>
      </c>
      <c r="D552" t="s">
        <v>63</v>
      </c>
      <c r="E552">
        <v>14.0</v>
      </c>
      <c r="F552">
        <v>16.0</v>
      </c>
      <c r="G552" s="2" t="s">
        <v>67</v>
      </c>
      <c r="H552" s="2">
        <v>72.0</v>
      </c>
      <c r="I552" s="2">
        <v>26.0</v>
      </c>
      <c r="J552" s="37">
        <v>1650.92</v>
      </c>
      <c r="K552" s="2">
        <v>86.0</v>
      </c>
      <c r="L552" s="2">
        <v>298.0</v>
      </c>
      <c r="M552" s="37">
        <v>2318.96</v>
      </c>
    </row>
    <row r="553" ht="14.25" customHeight="1">
      <c r="A553" t="s">
        <v>634</v>
      </c>
      <c r="B553" t="s">
        <v>629</v>
      </c>
      <c r="C553" t="s">
        <v>75</v>
      </c>
      <c r="D553" t="s">
        <v>63</v>
      </c>
      <c r="E553">
        <v>10.0</v>
      </c>
      <c r="F553">
        <v>11.2</v>
      </c>
      <c r="G553" s="2" t="s">
        <v>67</v>
      </c>
      <c r="H553" s="2">
        <v>62.0</v>
      </c>
      <c r="I553" s="2">
        <v>242.0</v>
      </c>
      <c r="J553" s="37">
        <v>1707.12</v>
      </c>
      <c r="K553" s="2">
        <v>72.0</v>
      </c>
      <c r="L553" s="2">
        <v>436.0</v>
      </c>
      <c r="M553" s="37">
        <v>2183.92</v>
      </c>
    </row>
    <row r="554" ht="14.25" customHeight="1">
      <c r="A554" t="s">
        <v>635</v>
      </c>
      <c r="B554" t="s">
        <v>629</v>
      </c>
      <c r="C554" t="s">
        <v>75</v>
      </c>
      <c r="D554" t="s">
        <v>63</v>
      </c>
      <c r="E554">
        <v>12.5</v>
      </c>
      <c r="F554">
        <v>14.0</v>
      </c>
      <c r="G554" s="2" t="s">
        <v>64</v>
      </c>
      <c r="H554" s="2">
        <v>0.0</v>
      </c>
      <c r="I554" s="2">
        <v>0.0</v>
      </c>
      <c r="J554" s="37">
        <v>0.0</v>
      </c>
      <c r="K554" s="2">
        <v>0.0</v>
      </c>
      <c r="L554" s="2">
        <v>0.0</v>
      </c>
      <c r="M554" s="37">
        <v>0.0</v>
      </c>
    </row>
    <row r="555" ht="14.25" customHeight="1">
      <c r="A555" t="s">
        <v>636</v>
      </c>
      <c r="B555" t="s">
        <v>629</v>
      </c>
      <c r="C555" t="s">
        <v>75</v>
      </c>
      <c r="D555" t="s">
        <v>63</v>
      </c>
      <c r="E555">
        <v>14.0</v>
      </c>
      <c r="F555">
        <v>16.0</v>
      </c>
      <c r="G555" s="2" t="s">
        <v>67</v>
      </c>
      <c r="H555" s="2">
        <v>72.0</v>
      </c>
      <c r="I555" s="2">
        <v>26.0</v>
      </c>
      <c r="J555" s="37">
        <v>1650.92</v>
      </c>
      <c r="K555" s="2">
        <v>86.0</v>
      </c>
      <c r="L555" s="2">
        <v>298.0</v>
      </c>
      <c r="M555" s="37">
        <v>2318.96</v>
      </c>
    </row>
    <row r="556" ht="14.25" customHeight="1">
      <c r="A556" t="s">
        <v>637</v>
      </c>
      <c r="B556" t="s">
        <v>638</v>
      </c>
      <c r="C556" t="s">
        <v>62</v>
      </c>
      <c r="D556" t="s">
        <v>63</v>
      </c>
      <c r="E556">
        <v>2.5</v>
      </c>
      <c r="F556">
        <v>3.0</v>
      </c>
      <c r="G556" s="2" t="s">
        <v>64</v>
      </c>
      <c r="H556" s="2">
        <v>0.0</v>
      </c>
      <c r="I556" s="2">
        <v>0.0</v>
      </c>
      <c r="J556" s="37">
        <v>0.0</v>
      </c>
      <c r="K556" s="2">
        <v>0.0</v>
      </c>
      <c r="L556" s="2">
        <v>0.0</v>
      </c>
      <c r="M556" s="37">
        <v>0.0</v>
      </c>
    </row>
    <row r="557" ht="14.25" customHeight="1">
      <c r="A557" t="s">
        <v>639</v>
      </c>
      <c r="B557" t="s">
        <v>638</v>
      </c>
      <c r="C557" t="s">
        <v>62</v>
      </c>
      <c r="D557" t="s">
        <v>63</v>
      </c>
      <c r="E557">
        <v>3.5</v>
      </c>
      <c r="F557">
        <v>3.7</v>
      </c>
      <c r="G557" s="2" t="s">
        <v>64</v>
      </c>
      <c r="H557" s="2">
        <v>0.0</v>
      </c>
      <c r="I557" s="2">
        <v>0.0</v>
      </c>
      <c r="J557" s="37">
        <v>0.0</v>
      </c>
      <c r="K557" s="2">
        <v>0.0</v>
      </c>
      <c r="L557" s="2">
        <v>0.0</v>
      </c>
      <c r="M557" s="37">
        <v>0.0</v>
      </c>
    </row>
    <row r="558" ht="14.25" customHeight="1">
      <c r="A558" t="s">
        <v>640</v>
      </c>
      <c r="B558" t="s">
        <v>638</v>
      </c>
      <c r="C558" t="s">
        <v>62</v>
      </c>
      <c r="D558" t="s">
        <v>63</v>
      </c>
      <c r="E558">
        <v>5.0</v>
      </c>
      <c r="F558">
        <v>5.2</v>
      </c>
      <c r="G558" s="2" t="s">
        <v>64</v>
      </c>
      <c r="H558" s="2">
        <v>0.0</v>
      </c>
      <c r="I558" s="2">
        <v>0.0</v>
      </c>
      <c r="J558" s="37">
        <v>0.0</v>
      </c>
      <c r="K558" s="2">
        <v>0.0</v>
      </c>
      <c r="L558" s="2">
        <v>0.0</v>
      </c>
      <c r="M558" s="37">
        <v>0.0</v>
      </c>
    </row>
    <row r="559" ht="14.25" customHeight="1">
      <c r="A559" t="s">
        <v>641</v>
      </c>
      <c r="B559" t="s">
        <v>638</v>
      </c>
      <c r="C559" t="s">
        <v>62</v>
      </c>
      <c r="D559" t="s">
        <v>63</v>
      </c>
      <c r="E559">
        <v>6.0</v>
      </c>
      <c r="F559">
        <v>6.5</v>
      </c>
      <c r="G559" s="2" t="s">
        <v>64</v>
      </c>
      <c r="H559" s="2">
        <v>0.0</v>
      </c>
      <c r="I559" s="2">
        <v>0.0</v>
      </c>
      <c r="J559" s="37">
        <v>0.0</v>
      </c>
      <c r="K559" s="2">
        <v>0.0</v>
      </c>
      <c r="L559" s="2">
        <v>0.0</v>
      </c>
      <c r="M559" s="37">
        <v>0.0</v>
      </c>
    </row>
    <row r="560" ht="14.25" customHeight="1">
      <c r="A560" t="s">
        <v>642</v>
      </c>
      <c r="B560" t="s">
        <v>638</v>
      </c>
      <c r="C560" t="s">
        <v>62</v>
      </c>
      <c r="D560" t="s">
        <v>63</v>
      </c>
      <c r="E560">
        <v>7.1</v>
      </c>
      <c r="F560">
        <v>8.0</v>
      </c>
      <c r="G560" s="2" t="s">
        <v>64</v>
      </c>
      <c r="H560" s="2">
        <v>0.0</v>
      </c>
      <c r="I560" s="2">
        <v>0.0</v>
      </c>
      <c r="J560" s="37">
        <v>0.0</v>
      </c>
      <c r="K560" s="2">
        <v>0.0</v>
      </c>
      <c r="L560" s="2">
        <v>0.0</v>
      </c>
      <c r="M560" s="37">
        <v>0.0</v>
      </c>
    </row>
    <row r="561" ht="14.25" customHeight="1">
      <c r="A561" t="s">
        <v>643</v>
      </c>
      <c r="B561" t="s">
        <v>629</v>
      </c>
      <c r="C561" t="s">
        <v>62</v>
      </c>
      <c r="D561" t="s">
        <v>63</v>
      </c>
      <c r="E561">
        <v>2.5</v>
      </c>
      <c r="F561">
        <v>3.4</v>
      </c>
      <c r="G561" s="2" t="s">
        <v>67</v>
      </c>
      <c r="H561" s="2">
        <v>14.0</v>
      </c>
      <c r="I561" s="2">
        <v>80.0</v>
      </c>
      <c r="J561" s="37">
        <v>418.44</v>
      </c>
      <c r="K561" s="2">
        <v>16.0</v>
      </c>
      <c r="L561" s="2">
        <v>118.0</v>
      </c>
      <c r="M561" s="37">
        <v>512.76</v>
      </c>
    </row>
    <row r="562" ht="14.25" customHeight="1">
      <c r="A562" t="s">
        <v>644</v>
      </c>
      <c r="B562" t="s">
        <v>629</v>
      </c>
      <c r="C562" t="s">
        <v>62</v>
      </c>
      <c r="D562" t="s">
        <v>63</v>
      </c>
      <c r="E562">
        <v>3.5</v>
      </c>
      <c r="F562">
        <v>4.5</v>
      </c>
      <c r="G562" s="2" t="s">
        <v>64</v>
      </c>
      <c r="H562" s="2">
        <v>0.0</v>
      </c>
      <c r="I562" s="2">
        <v>0.0</v>
      </c>
      <c r="J562" s="37">
        <v>0.0</v>
      </c>
      <c r="K562" s="2">
        <v>0.0</v>
      </c>
      <c r="L562" s="2">
        <v>0.0</v>
      </c>
      <c r="M562" s="37">
        <v>0.0</v>
      </c>
    </row>
    <row r="563" ht="14.25" customHeight="1">
      <c r="A563" t="s">
        <v>645</v>
      </c>
      <c r="B563" t="s">
        <v>629</v>
      </c>
      <c r="C563" t="s">
        <v>62</v>
      </c>
      <c r="D563" t="s">
        <v>63</v>
      </c>
      <c r="E563">
        <v>4.8</v>
      </c>
      <c r="F563">
        <v>5.8</v>
      </c>
      <c r="G563" s="2" t="s">
        <v>64</v>
      </c>
      <c r="H563" s="2">
        <v>0.0</v>
      </c>
      <c r="I563" s="2">
        <v>0.0</v>
      </c>
      <c r="J563" s="37">
        <v>0.0</v>
      </c>
      <c r="K563" s="2">
        <v>0.0</v>
      </c>
      <c r="L563" s="2">
        <v>0.0</v>
      </c>
      <c r="M563" s="37">
        <v>0.0</v>
      </c>
    </row>
    <row r="564" ht="14.25" customHeight="1">
      <c r="A564" t="s">
        <v>646</v>
      </c>
      <c r="B564" t="s">
        <v>629</v>
      </c>
      <c r="C564" t="s">
        <v>62</v>
      </c>
      <c r="D564" t="s">
        <v>63</v>
      </c>
      <c r="E564">
        <v>2.5</v>
      </c>
      <c r="F564">
        <v>3.2</v>
      </c>
      <c r="G564" s="2" t="s">
        <v>67</v>
      </c>
      <c r="H564" s="2">
        <v>13.0</v>
      </c>
      <c r="I564" s="2">
        <v>80.0</v>
      </c>
      <c r="J564" s="37">
        <v>395.98</v>
      </c>
      <c r="K564" s="2">
        <v>16.0</v>
      </c>
      <c r="L564" s="2">
        <v>118.0</v>
      </c>
      <c r="M564" s="37">
        <v>512.76</v>
      </c>
    </row>
    <row r="565" ht="14.25" customHeight="1">
      <c r="A565" t="s">
        <v>647</v>
      </c>
      <c r="B565" t="s">
        <v>629</v>
      </c>
      <c r="C565" t="s">
        <v>62</v>
      </c>
      <c r="D565" t="s">
        <v>63</v>
      </c>
      <c r="E565">
        <v>2.5</v>
      </c>
      <c r="F565">
        <v>3.2</v>
      </c>
      <c r="G565" s="2" t="s">
        <v>67</v>
      </c>
      <c r="H565" s="2">
        <v>13.0</v>
      </c>
      <c r="I565" s="2">
        <v>80.0</v>
      </c>
      <c r="J565" s="37">
        <v>395.98</v>
      </c>
      <c r="K565" s="2">
        <v>16.0</v>
      </c>
      <c r="L565" s="2">
        <v>118.0</v>
      </c>
      <c r="M565" s="37">
        <v>512.76</v>
      </c>
    </row>
    <row r="566" ht="14.25" customHeight="1">
      <c r="A566" t="s">
        <v>648</v>
      </c>
      <c r="B566" t="s">
        <v>629</v>
      </c>
      <c r="C566" t="s">
        <v>62</v>
      </c>
      <c r="D566" t="s">
        <v>63</v>
      </c>
      <c r="E566">
        <v>2.5</v>
      </c>
      <c r="F566">
        <v>3.2</v>
      </c>
      <c r="G566" s="2" t="s">
        <v>67</v>
      </c>
      <c r="H566" s="2">
        <v>13.0</v>
      </c>
      <c r="I566" s="2">
        <v>80.0</v>
      </c>
      <c r="J566" s="37">
        <v>395.98</v>
      </c>
      <c r="K566" s="2">
        <v>16.0</v>
      </c>
      <c r="L566" s="2">
        <v>118.0</v>
      </c>
      <c r="M566" s="37">
        <v>512.76</v>
      </c>
    </row>
    <row r="567" ht="14.25" customHeight="1">
      <c r="A567" t="s">
        <v>649</v>
      </c>
      <c r="B567" t="s">
        <v>629</v>
      </c>
      <c r="C567" t="s">
        <v>62</v>
      </c>
      <c r="D567" t="s">
        <v>63</v>
      </c>
      <c r="E567">
        <v>3.5</v>
      </c>
      <c r="F567">
        <v>4.0</v>
      </c>
      <c r="G567" s="2" t="s">
        <v>64</v>
      </c>
      <c r="H567" s="2">
        <v>0.0</v>
      </c>
      <c r="I567" s="2">
        <v>0.0</v>
      </c>
      <c r="J567" s="37">
        <v>0.0</v>
      </c>
      <c r="K567" s="2">
        <v>0.0</v>
      </c>
      <c r="L567" s="2">
        <v>0.0</v>
      </c>
      <c r="M567" s="37">
        <v>0.0</v>
      </c>
    </row>
    <row r="568" ht="14.25" customHeight="1">
      <c r="A568" t="s">
        <v>650</v>
      </c>
      <c r="B568" t="s">
        <v>629</v>
      </c>
      <c r="C568" t="s">
        <v>62</v>
      </c>
      <c r="D568" t="s">
        <v>63</v>
      </c>
      <c r="E568">
        <v>3.5</v>
      </c>
      <c r="F568">
        <v>4.0</v>
      </c>
      <c r="G568" s="2" t="s">
        <v>64</v>
      </c>
      <c r="H568" s="2">
        <v>0.0</v>
      </c>
      <c r="I568" s="2">
        <v>0.0</v>
      </c>
      <c r="J568" s="37">
        <v>0.0</v>
      </c>
      <c r="K568" s="2">
        <v>0.0</v>
      </c>
      <c r="L568" s="2">
        <v>0.0</v>
      </c>
      <c r="M568" s="37">
        <v>0.0</v>
      </c>
    </row>
    <row r="569" ht="14.25" customHeight="1">
      <c r="A569" t="s">
        <v>651</v>
      </c>
      <c r="B569" t="s">
        <v>629</v>
      </c>
      <c r="C569" t="s">
        <v>62</v>
      </c>
      <c r="D569" t="s">
        <v>63</v>
      </c>
      <c r="E569">
        <v>3.5</v>
      </c>
      <c r="F569">
        <v>4.0</v>
      </c>
      <c r="G569" s="2" t="s">
        <v>64</v>
      </c>
      <c r="H569" s="2">
        <v>0.0</v>
      </c>
      <c r="I569" s="2">
        <v>0.0</v>
      </c>
      <c r="J569" s="37">
        <v>0.0</v>
      </c>
      <c r="K569" s="2">
        <v>0.0</v>
      </c>
      <c r="L569" s="2">
        <v>0.0</v>
      </c>
      <c r="M569" s="37">
        <v>0.0</v>
      </c>
    </row>
    <row r="570" ht="14.25" customHeight="1">
      <c r="A570" t="s">
        <v>652</v>
      </c>
      <c r="B570" t="s">
        <v>629</v>
      </c>
      <c r="C570" t="s">
        <v>62</v>
      </c>
      <c r="D570" t="s">
        <v>63</v>
      </c>
      <c r="E570">
        <v>5.0</v>
      </c>
      <c r="F570">
        <v>5.8</v>
      </c>
      <c r="G570" s="2" t="s">
        <v>64</v>
      </c>
      <c r="H570" s="2">
        <v>0.0</v>
      </c>
      <c r="I570" s="2">
        <v>0.0</v>
      </c>
      <c r="J570" s="37">
        <v>0.0</v>
      </c>
      <c r="K570" s="2">
        <v>0.0</v>
      </c>
      <c r="L570" s="2">
        <v>0.0</v>
      </c>
      <c r="M570" s="37">
        <v>0.0</v>
      </c>
    </row>
    <row r="571" ht="14.25" customHeight="1">
      <c r="A571" t="s">
        <v>653</v>
      </c>
      <c r="B571" t="s">
        <v>629</v>
      </c>
      <c r="C571" t="s">
        <v>62</v>
      </c>
      <c r="D571" t="s">
        <v>63</v>
      </c>
      <c r="E571">
        <v>5.0</v>
      </c>
      <c r="F571">
        <v>5.8</v>
      </c>
      <c r="G571" s="2" t="s">
        <v>64</v>
      </c>
      <c r="H571" s="2">
        <v>0.0</v>
      </c>
      <c r="I571" s="2">
        <v>0.0</v>
      </c>
      <c r="J571" s="37">
        <v>0.0</v>
      </c>
      <c r="K571" s="2">
        <v>0.0</v>
      </c>
      <c r="L571" s="2">
        <v>0.0</v>
      </c>
      <c r="M571" s="37">
        <v>0.0</v>
      </c>
    </row>
    <row r="572" ht="14.25" customHeight="1">
      <c r="A572" t="s">
        <v>654</v>
      </c>
      <c r="B572" t="s">
        <v>629</v>
      </c>
      <c r="C572" t="s">
        <v>62</v>
      </c>
      <c r="D572" t="s">
        <v>63</v>
      </c>
      <c r="E572">
        <v>5.0</v>
      </c>
      <c r="F572">
        <v>5.8</v>
      </c>
      <c r="G572" s="2" t="s">
        <v>64</v>
      </c>
      <c r="H572" s="2">
        <v>0.0</v>
      </c>
      <c r="I572" s="2">
        <v>0.0</v>
      </c>
      <c r="J572" s="37">
        <v>0.0</v>
      </c>
      <c r="K572" s="2">
        <v>0.0</v>
      </c>
      <c r="L572" s="2">
        <v>0.0</v>
      </c>
      <c r="M572" s="37">
        <v>0.0</v>
      </c>
    </row>
    <row r="573" ht="14.25" customHeight="1">
      <c r="A573" t="s">
        <v>655</v>
      </c>
      <c r="B573" t="s">
        <v>629</v>
      </c>
      <c r="C573" t="s">
        <v>75</v>
      </c>
      <c r="D573" t="s">
        <v>63</v>
      </c>
      <c r="E573">
        <v>15.5</v>
      </c>
      <c r="F573">
        <v>18.0</v>
      </c>
      <c r="G573" s="2" t="s">
        <v>64</v>
      </c>
      <c r="H573" s="2">
        <v>0.0</v>
      </c>
      <c r="I573" s="2">
        <v>0.0</v>
      </c>
      <c r="J573" s="37">
        <v>0.0</v>
      </c>
      <c r="K573" s="2">
        <v>0.0</v>
      </c>
      <c r="L573" s="2">
        <v>0.0</v>
      </c>
      <c r="M573" s="37">
        <v>0.0</v>
      </c>
    </row>
    <row r="574" ht="14.25" customHeight="1">
      <c r="A574" t="s">
        <v>656</v>
      </c>
      <c r="B574" t="s">
        <v>629</v>
      </c>
      <c r="C574" t="s">
        <v>75</v>
      </c>
      <c r="D574" t="s">
        <v>63</v>
      </c>
      <c r="E574">
        <v>6.0</v>
      </c>
      <c r="F574">
        <v>7.0</v>
      </c>
      <c r="G574" s="2" t="s">
        <v>64</v>
      </c>
      <c r="H574" s="2">
        <v>0.0</v>
      </c>
      <c r="I574" s="2">
        <v>0.0</v>
      </c>
      <c r="J574" s="37">
        <v>0.0</v>
      </c>
      <c r="K574" s="2">
        <v>0.0</v>
      </c>
      <c r="L574" s="2">
        <v>0.0</v>
      </c>
      <c r="M574" s="37">
        <v>0.0</v>
      </c>
    </row>
    <row r="575" ht="14.25" customHeight="1">
      <c r="A575" t="s">
        <v>657</v>
      </c>
      <c r="B575" t="s">
        <v>638</v>
      </c>
      <c r="C575" t="s">
        <v>62</v>
      </c>
      <c r="D575" t="s">
        <v>63</v>
      </c>
      <c r="E575">
        <v>6.0</v>
      </c>
      <c r="F575">
        <v>7.1</v>
      </c>
      <c r="G575" s="2" t="s">
        <v>67</v>
      </c>
      <c r="H575" s="2">
        <v>42.0</v>
      </c>
      <c r="I575" s="2">
        <v>242.0</v>
      </c>
      <c r="J575" s="37">
        <v>1257.92</v>
      </c>
      <c r="K575" s="2">
        <v>48.0</v>
      </c>
      <c r="L575" s="2">
        <v>346.0</v>
      </c>
      <c r="M575" s="37">
        <v>1527.8799999999999</v>
      </c>
    </row>
    <row r="576" ht="14.25" customHeight="1">
      <c r="A576" t="s">
        <v>658</v>
      </c>
      <c r="B576" t="s">
        <v>638</v>
      </c>
      <c r="C576" t="s">
        <v>62</v>
      </c>
      <c r="D576" t="s">
        <v>63</v>
      </c>
      <c r="E576">
        <v>7.1</v>
      </c>
      <c r="F576">
        <v>8.0</v>
      </c>
      <c r="G576" s="2" t="s">
        <v>64</v>
      </c>
      <c r="H576" s="2">
        <v>0.0</v>
      </c>
      <c r="I576" s="2">
        <v>0.0</v>
      </c>
      <c r="J576" s="37">
        <v>0.0</v>
      </c>
      <c r="K576" s="2">
        <v>0.0</v>
      </c>
      <c r="L576" s="2">
        <v>0.0</v>
      </c>
      <c r="M576" s="37">
        <v>0.0</v>
      </c>
    </row>
    <row r="577" ht="14.25" customHeight="1">
      <c r="A577" t="s">
        <v>659</v>
      </c>
      <c r="B577" t="s">
        <v>638</v>
      </c>
      <c r="C577" t="s">
        <v>62</v>
      </c>
      <c r="D577" t="s">
        <v>63</v>
      </c>
      <c r="E577">
        <v>8.5</v>
      </c>
      <c r="F577">
        <v>10.0</v>
      </c>
      <c r="G577" s="2" t="s">
        <v>67</v>
      </c>
      <c r="H577" s="2">
        <v>57.0</v>
      </c>
      <c r="I577" s="2">
        <v>358.0</v>
      </c>
      <c r="J577" s="37">
        <v>1745.6200000000001</v>
      </c>
      <c r="K577" s="2">
        <v>65.0</v>
      </c>
      <c r="L577" s="2">
        <v>505.0</v>
      </c>
      <c r="M577" s="37">
        <v>2116.4</v>
      </c>
    </row>
    <row r="578" ht="14.25" customHeight="1">
      <c r="A578" t="s">
        <v>660</v>
      </c>
      <c r="B578" t="s">
        <v>638</v>
      </c>
      <c r="C578" t="s">
        <v>62</v>
      </c>
      <c r="D578" t="s">
        <v>63</v>
      </c>
      <c r="E578">
        <v>10.0</v>
      </c>
      <c r="F578">
        <v>11.2</v>
      </c>
      <c r="G578" s="2" t="s">
        <v>67</v>
      </c>
      <c r="H578" s="2">
        <v>70.0</v>
      </c>
      <c r="I578" s="2">
        <v>474.0</v>
      </c>
      <c r="J578" s="37">
        <v>2188.4</v>
      </c>
      <c r="K578" s="2">
        <v>80.0</v>
      </c>
      <c r="L578" s="2">
        <v>667.0</v>
      </c>
      <c r="M578" s="37">
        <v>2663.9</v>
      </c>
    </row>
    <row r="579" ht="14.25" customHeight="1">
      <c r="A579" t="s">
        <v>661</v>
      </c>
      <c r="B579" t="s">
        <v>638</v>
      </c>
      <c r="C579" t="s">
        <v>62</v>
      </c>
      <c r="D579" t="s">
        <v>63</v>
      </c>
      <c r="E579">
        <v>12.5</v>
      </c>
      <c r="F579">
        <v>14.0</v>
      </c>
      <c r="G579" s="2" t="s">
        <v>67</v>
      </c>
      <c r="H579" s="2">
        <v>83.0</v>
      </c>
      <c r="I579" s="2">
        <v>438.0</v>
      </c>
      <c r="J579" s="37">
        <v>2433.58</v>
      </c>
      <c r="K579" s="2">
        <v>96.0</v>
      </c>
      <c r="L579" s="2">
        <v>680.0</v>
      </c>
      <c r="M579" s="37">
        <v>3040.16</v>
      </c>
    </row>
    <row r="580" ht="14.25" customHeight="1">
      <c r="A580" t="s">
        <v>662</v>
      </c>
      <c r="B580" t="s">
        <v>638</v>
      </c>
      <c r="C580" t="s">
        <v>62</v>
      </c>
      <c r="D580" t="s">
        <v>63</v>
      </c>
      <c r="E580">
        <v>14.0</v>
      </c>
      <c r="F580">
        <v>16.0</v>
      </c>
      <c r="G580" s="2" t="s">
        <v>67</v>
      </c>
      <c r="H580" s="2">
        <v>87.0</v>
      </c>
      <c r="I580" s="2">
        <v>457.0</v>
      </c>
      <c r="J580" s="37">
        <v>2548.12</v>
      </c>
      <c r="K580" s="2">
        <v>101.0</v>
      </c>
      <c r="L580" s="2">
        <v>728.0</v>
      </c>
      <c r="M580" s="37">
        <v>3214.86</v>
      </c>
    </row>
    <row r="581" ht="14.25" customHeight="1">
      <c r="A581" t="s">
        <v>663</v>
      </c>
      <c r="B581" t="s">
        <v>638</v>
      </c>
      <c r="C581" t="s">
        <v>62</v>
      </c>
      <c r="D581" t="s">
        <v>63</v>
      </c>
      <c r="E581">
        <v>7.1</v>
      </c>
      <c r="F581">
        <v>8.0</v>
      </c>
      <c r="G581" s="2" t="s">
        <v>64</v>
      </c>
      <c r="H581" s="2">
        <v>0.0</v>
      </c>
      <c r="I581" s="2">
        <v>0.0</v>
      </c>
      <c r="J581" s="37">
        <v>0.0</v>
      </c>
      <c r="K581" s="2">
        <v>0.0</v>
      </c>
      <c r="L581" s="2">
        <v>0.0</v>
      </c>
      <c r="M581" s="37">
        <v>0.0</v>
      </c>
    </row>
    <row r="582" ht="14.25" customHeight="1">
      <c r="A582" t="s">
        <v>664</v>
      </c>
      <c r="B582" t="s">
        <v>638</v>
      </c>
      <c r="C582" t="s">
        <v>62</v>
      </c>
      <c r="D582" t="s">
        <v>63</v>
      </c>
      <c r="E582">
        <v>8.5</v>
      </c>
      <c r="F582">
        <v>10.0</v>
      </c>
      <c r="G582" s="2" t="s">
        <v>67</v>
      </c>
      <c r="H582" s="2">
        <v>57.0</v>
      </c>
      <c r="I582" s="2">
        <v>358.0</v>
      </c>
      <c r="J582" s="37">
        <v>1745.6200000000001</v>
      </c>
      <c r="K582" s="2">
        <v>65.0</v>
      </c>
      <c r="L582" s="2">
        <v>505.0</v>
      </c>
      <c r="M582" s="37">
        <v>2116.4</v>
      </c>
    </row>
    <row r="583" ht="14.25" customHeight="1">
      <c r="A583" t="s">
        <v>665</v>
      </c>
      <c r="B583" t="s">
        <v>638</v>
      </c>
      <c r="C583" t="s">
        <v>62</v>
      </c>
      <c r="D583" t="s">
        <v>63</v>
      </c>
      <c r="E583">
        <v>10.0</v>
      </c>
      <c r="F583">
        <v>11.2</v>
      </c>
      <c r="G583" s="2" t="s">
        <v>67</v>
      </c>
      <c r="H583" s="2">
        <v>70.0</v>
      </c>
      <c r="I583" s="2">
        <v>474.0</v>
      </c>
      <c r="J583" s="37">
        <v>2188.4</v>
      </c>
      <c r="K583" s="2">
        <v>80.0</v>
      </c>
      <c r="L583" s="2">
        <v>667.0</v>
      </c>
      <c r="M583" s="37">
        <v>2663.9</v>
      </c>
    </row>
    <row r="584" ht="14.25" customHeight="1">
      <c r="A584" t="s">
        <v>666</v>
      </c>
      <c r="B584" t="s">
        <v>638</v>
      </c>
      <c r="C584" t="s">
        <v>62</v>
      </c>
      <c r="D584" t="s">
        <v>63</v>
      </c>
      <c r="E584">
        <v>12.5</v>
      </c>
      <c r="F584">
        <v>14.0</v>
      </c>
      <c r="G584" s="2" t="s">
        <v>67</v>
      </c>
      <c r="H584" s="2">
        <v>83.0</v>
      </c>
      <c r="I584" s="2">
        <v>438.0</v>
      </c>
      <c r="J584" s="37">
        <v>2433.58</v>
      </c>
      <c r="K584" s="2">
        <v>96.0</v>
      </c>
      <c r="L584" s="2">
        <v>680.0</v>
      </c>
      <c r="M584" s="37">
        <v>3040.16</v>
      </c>
    </row>
    <row r="585" ht="14.25" customHeight="1">
      <c r="A585" t="s">
        <v>667</v>
      </c>
      <c r="B585" t="s">
        <v>638</v>
      </c>
      <c r="C585" t="s">
        <v>62</v>
      </c>
      <c r="D585" t="s">
        <v>63</v>
      </c>
      <c r="E585">
        <v>14.0</v>
      </c>
      <c r="F585">
        <v>16.0</v>
      </c>
      <c r="G585" s="2" t="s">
        <v>67</v>
      </c>
      <c r="H585" s="2">
        <v>87.0</v>
      </c>
      <c r="I585" s="2">
        <v>457.0</v>
      </c>
      <c r="J585" s="37">
        <v>2548.12</v>
      </c>
      <c r="K585" s="2">
        <v>101.0</v>
      </c>
      <c r="L585" s="2">
        <v>728.0</v>
      </c>
      <c r="M585" s="37">
        <v>3214.86</v>
      </c>
    </row>
    <row r="586" ht="14.25" customHeight="1">
      <c r="A586" t="s">
        <v>668</v>
      </c>
      <c r="B586" t="s">
        <v>638</v>
      </c>
      <c r="C586" t="s">
        <v>62</v>
      </c>
      <c r="D586" t="s">
        <v>63</v>
      </c>
      <c r="E586">
        <v>7.1</v>
      </c>
      <c r="F586">
        <v>8.0</v>
      </c>
      <c r="G586" s="2" t="s">
        <v>64</v>
      </c>
      <c r="H586" s="2">
        <v>0.0</v>
      </c>
      <c r="I586" s="2">
        <v>0.0</v>
      </c>
      <c r="J586" s="37">
        <v>0.0</v>
      </c>
      <c r="K586" s="2">
        <v>0.0</v>
      </c>
      <c r="L586" s="2">
        <v>0.0</v>
      </c>
      <c r="M586" s="37">
        <v>0.0</v>
      </c>
    </row>
    <row r="587" ht="14.25" customHeight="1">
      <c r="A587" t="s">
        <v>669</v>
      </c>
      <c r="B587" t="s">
        <v>638</v>
      </c>
      <c r="C587" t="s">
        <v>62</v>
      </c>
      <c r="D587" t="s">
        <v>63</v>
      </c>
      <c r="E587">
        <v>8.5</v>
      </c>
      <c r="F587">
        <v>10.0</v>
      </c>
      <c r="G587" s="2" t="s">
        <v>64</v>
      </c>
      <c r="H587" s="2">
        <v>0.0</v>
      </c>
      <c r="I587" s="2">
        <v>0.0</v>
      </c>
      <c r="J587" s="37">
        <v>0.0</v>
      </c>
      <c r="K587" s="2">
        <v>0.0</v>
      </c>
      <c r="L587" s="2">
        <v>0.0</v>
      </c>
      <c r="M587" s="37">
        <v>0.0</v>
      </c>
    </row>
    <row r="588" ht="14.25" customHeight="1">
      <c r="A588" t="s">
        <v>670</v>
      </c>
      <c r="B588" t="s">
        <v>638</v>
      </c>
      <c r="C588" t="s">
        <v>62</v>
      </c>
      <c r="D588" t="s">
        <v>63</v>
      </c>
      <c r="E588">
        <v>10.0</v>
      </c>
      <c r="F588">
        <v>11.2</v>
      </c>
      <c r="G588" s="2" t="s">
        <v>67</v>
      </c>
      <c r="H588" s="2">
        <v>62.0</v>
      </c>
      <c r="I588" s="2">
        <v>311.0</v>
      </c>
      <c r="J588" s="37">
        <v>1796.82</v>
      </c>
      <c r="K588" s="2">
        <v>72.0</v>
      </c>
      <c r="L588" s="2">
        <v>505.0</v>
      </c>
      <c r="M588" s="37">
        <v>2273.62</v>
      </c>
    </row>
    <row r="589" ht="14.25" customHeight="1">
      <c r="A589" t="s">
        <v>671</v>
      </c>
      <c r="B589" t="s">
        <v>638</v>
      </c>
      <c r="C589" t="s">
        <v>62</v>
      </c>
      <c r="D589" t="s">
        <v>63</v>
      </c>
      <c r="E589">
        <v>12.5</v>
      </c>
      <c r="F589">
        <v>14.0</v>
      </c>
      <c r="G589" s="2" t="s">
        <v>67</v>
      </c>
      <c r="H589" s="2">
        <v>79.0</v>
      </c>
      <c r="I589" s="2">
        <v>281.0</v>
      </c>
      <c r="J589" s="37">
        <v>2139.6400000000003</v>
      </c>
      <c r="K589" s="2">
        <v>91.0</v>
      </c>
      <c r="L589" s="2">
        <v>523.0</v>
      </c>
      <c r="M589" s="37">
        <v>2723.76</v>
      </c>
    </row>
    <row r="590" ht="14.25" customHeight="1">
      <c r="A590" t="s">
        <v>672</v>
      </c>
      <c r="B590" t="s">
        <v>638</v>
      </c>
      <c r="C590" t="s">
        <v>62</v>
      </c>
      <c r="D590" t="s">
        <v>63</v>
      </c>
      <c r="E590">
        <v>14.0</v>
      </c>
      <c r="F590">
        <v>16.0</v>
      </c>
      <c r="G590" s="2" t="s">
        <v>67</v>
      </c>
      <c r="H590" s="2">
        <v>86.0</v>
      </c>
      <c r="I590" s="2">
        <v>188.0</v>
      </c>
      <c r="J590" s="37">
        <v>2175.96</v>
      </c>
      <c r="K590" s="2">
        <v>100.0</v>
      </c>
      <c r="L590" s="2">
        <v>459.0</v>
      </c>
      <c r="M590" s="37">
        <v>2842.7</v>
      </c>
    </row>
    <row r="591" ht="14.25" customHeight="1">
      <c r="A591" t="s">
        <v>673</v>
      </c>
      <c r="B591" t="s">
        <v>638</v>
      </c>
      <c r="C591" t="s">
        <v>62</v>
      </c>
      <c r="D591" t="s">
        <v>63</v>
      </c>
      <c r="E591">
        <v>8.5</v>
      </c>
      <c r="F591">
        <v>10.0</v>
      </c>
      <c r="G591" s="2" t="s">
        <v>64</v>
      </c>
      <c r="H591" s="2">
        <v>0.0</v>
      </c>
      <c r="I591" s="2">
        <v>0.0</v>
      </c>
      <c r="J591" s="37">
        <v>0.0</v>
      </c>
      <c r="K591" s="2">
        <v>0.0</v>
      </c>
      <c r="L591" s="2">
        <v>0.0</v>
      </c>
      <c r="M591" s="37">
        <v>0.0</v>
      </c>
    </row>
    <row r="592" ht="14.25" customHeight="1">
      <c r="A592" t="s">
        <v>674</v>
      </c>
      <c r="B592" t="s">
        <v>638</v>
      </c>
      <c r="C592" t="s">
        <v>62</v>
      </c>
      <c r="D592" t="s">
        <v>63</v>
      </c>
      <c r="E592">
        <v>10.0</v>
      </c>
      <c r="F592">
        <v>11.2</v>
      </c>
      <c r="G592" s="2" t="s">
        <v>67</v>
      </c>
      <c r="H592" s="2">
        <v>62.0</v>
      </c>
      <c r="I592" s="2">
        <v>311.0</v>
      </c>
      <c r="J592" s="37">
        <v>1796.82</v>
      </c>
      <c r="K592" s="2">
        <v>72.0</v>
      </c>
      <c r="L592" s="2">
        <v>505.0</v>
      </c>
      <c r="M592" s="37">
        <v>2273.62</v>
      </c>
    </row>
    <row r="593" ht="14.25" customHeight="1">
      <c r="A593" t="s">
        <v>675</v>
      </c>
      <c r="B593" t="s">
        <v>638</v>
      </c>
      <c r="C593" t="s">
        <v>62</v>
      </c>
      <c r="D593" t="s">
        <v>63</v>
      </c>
      <c r="E593">
        <v>12.5</v>
      </c>
      <c r="F593">
        <v>14.0</v>
      </c>
      <c r="G593" s="2" t="s">
        <v>67</v>
      </c>
      <c r="H593" s="2">
        <v>79.0</v>
      </c>
      <c r="I593" s="2">
        <v>281.0</v>
      </c>
      <c r="J593" s="37">
        <v>2139.6400000000003</v>
      </c>
      <c r="K593" s="2">
        <v>91.0</v>
      </c>
      <c r="L593" s="2">
        <v>523.0</v>
      </c>
      <c r="M593" s="37">
        <v>2723.76</v>
      </c>
    </row>
    <row r="594" ht="14.25" customHeight="1">
      <c r="A594" t="s">
        <v>676</v>
      </c>
      <c r="B594" t="s">
        <v>638</v>
      </c>
      <c r="C594" t="s">
        <v>62</v>
      </c>
      <c r="D594" t="s">
        <v>63</v>
      </c>
      <c r="E594">
        <v>14.0</v>
      </c>
      <c r="F594">
        <v>16.0</v>
      </c>
      <c r="G594" s="2" t="s">
        <v>67</v>
      </c>
      <c r="H594" s="2">
        <v>86.0</v>
      </c>
      <c r="I594" s="2">
        <v>188.0</v>
      </c>
      <c r="J594" s="37">
        <v>2175.96</v>
      </c>
      <c r="K594" s="2">
        <v>100.0</v>
      </c>
      <c r="L594" s="2">
        <v>459.0</v>
      </c>
      <c r="M594" s="37">
        <v>2842.7</v>
      </c>
    </row>
    <row r="595" ht="14.25" customHeight="1">
      <c r="A595" t="s">
        <v>677</v>
      </c>
      <c r="B595" t="s">
        <v>638</v>
      </c>
      <c r="C595" t="s">
        <v>75</v>
      </c>
      <c r="D595" t="s">
        <v>63</v>
      </c>
      <c r="E595">
        <v>5.0</v>
      </c>
      <c r="F595">
        <v>6.0</v>
      </c>
      <c r="G595" s="2" t="s">
        <v>64</v>
      </c>
      <c r="H595" s="2">
        <v>0.0</v>
      </c>
      <c r="I595" s="2">
        <v>0.0</v>
      </c>
      <c r="J595" s="37">
        <v>0.0</v>
      </c>
      <c r="K595" s="2">
        <v>0.0</v>
      </c>
      <c r="L595" s="2">
        <v>0.0</v>
      </c>
      <c r="M595" s="37">
        <v>0.0</v>
      </c>
    </row>
    <row r="596" ht="14.25" customHeight="1">
      <c r="A596" t="s">
        <v>678</v>
      </c>
      <c r="B596" t="s">
        <v>638</v>
      </c>
      <c r="C596" t="s">
        <v>75</v>
      </c>
      <c r="D596" t="s">
        <v>63</v>
      </c>
      <c r="E596">
        <v>6.0</v>
      </c>
      <c r="F596">
        <v>7.1</v>
      </c>
      <c r="G596" s="2" t="s">
        <v>64</v>
      </c>
      <c r="H596" s="2">
        <v>0.0</v>
      </c>
      <c r="I596" s="2">
        <v>0.0</v>
      </c>
      <c r="J596" s="37">
        <v>0.0</v>
      </c>
      <c r="K596" s="2">
        <v>0.0</v>
      </c>
      <c r="L596" s="2">
        <v>0.0</v>
      </c>
      <c r="M596" s="37">
        <v>0.0</v>
      </c>
    </row>
    <row r="597" ht="14.25" customHeight="1">
      <c r="A597" t="s">
        <v>679</v>
      </c>
      <c r="B597" t="s">
        <v>638</v>
      </c>
      <c r="C597" t="s">
        <v>75</v>
      </c>
      <c r="D597" t="s">
        <v>63</v>
      </c>
      <c r="E597">
        <v>7.1</v>
      </c>
      <c r="F597">
        <v>8.0</v>
      </c>
      <c r="G597" s="2" t="s">
        <v>64</v>
      </c>
      <c r="H597" s="2">
        <v>0.0</v>
      </c>
      <c r="I597" s="2">
        <v>0.0</v>
      </c>
      <c r="J597" s="37">
        <v>0.0</v>
      </c>
      <c r="K597" s="2">
        <v>0.0</v>
      </c>
      <c r="L597" s="2">
        <v>0.0</v>
      </c>
      <c r="M597" s="37">
        <v>0.0</v>
      </c>
    </row>
    <row r="598" ht="14.25" customHeight="1">
      <c r="A598" t="s">
        <v>680</v>
      </c>
      <c r="B598" t="s">
        <v>638</v>
      </c>
      <c r="C598" t="s">
        <v>75</v>
      </c>
      <c r="D598" t="s">
        <v>63</v>
      </c>
      <c r="E598">
        <v>8.5</v>
      </c>
      <c r="F598">
        <v>10.0</v>
      </c>
      <c r="G598" s="2" t="s">
        <v>67</v>
      </c>
      <c r="H598" s="2">
        <v>56.0</v>
      </c>
      <c r="I598" s="2">
        <v>247.0</v>
      </c>
      <c r="J598" s="37">
        <v>1578.8600000000001</v>
      </c>
      <c r="K598" s="2">
        <v>65.0</v>
      </c>
      <c r="L598" s="2">
        <v>412.0</v>
      </c>
      <c r="M598" s="37">
        <v>1995.5</v>
      </c>
    </row>
    <row r="599" ht="14.25" customHeight="1">
      <c r="A599" t="s">
        <v>681</v>
      </c>
      <c r="B599" t="s">
        <v>638</v>
      </c>
      <c r="C599" t="s">
        <v>75</v>
      </c>
      <c r="D599" t="s">
        <v>63</v>
      </c>
      <c r="E599">
        <v>10.0</v>
      </c>
      <c r="F599">
        <v>11.2</v>
      </c>
      <c r="G599" s="2" t="s">
        <v>67</v>
      </c>
      <c r="H599" s="2">
        <v>65.0</v>
      </c>
      <c r="I599" s="2">
        <v>283.0</v>
      </c>
      <c r="J599" s="37">
        <v>1827.8000000000002</v>
      </c>
      <c r="K599" s="2">
        <v>75.0</v>
      </c>
      <c r="L599" s="2">
        <v>477.0</v>
      </c>
      <c r="M599" s="37">
        <v>2304.6</v>
      </c>
    </row>
    <row r="600" ht="14.25" customHeight="1">
      <c r="A600" t="s">
        <v>682</v>
      </c>
      <c r="B600" t="s">
        <v>638</v>
      </c>
      <c r="C600" t="s">
        <v>75</v>
      </c>
      <c r="D600" t="s">
        <v>63</v>
      </c>
      <c r="E600">
        <v>12.5</v>
      </c>
      <c r="F600">
        <v>14.0</v>
      </c>
      <c r="G600" s="2" t="s">
        <v>67</v>
      </c>
      <c r="H600" s="2">
        <v>79.0</v>
      </c>
      <c r="I600" s="2">
        <v>197.0</v>
      </c>
      <c r="J600" s="37">
        <v>2030.44</v>
      </c>
      <c r="K600" s="2">
        <v>91.0</v>
      </c>
      <c r="L600" s="2">
        <v>439.0</v>
      </c>
      <c r="M600" s="37">
        <v>2614.5600000000004</v>
      </c>
    </row>
    <row r="601" ht="14.25" customHeight="1">
      <c r="A601" t="s">
        <v>683</v>
      </c>
      <c r="B601" t="s">
        <v>638</v>
      </c>
      <c r="C601" t="s">
        <v>75</v>
      </c>
      <c r="D601" t="s">
        <v>63</v>
      </c>
      <c r="E601">
        <v>14.0</v>
      </c>
      <c r="F601">
        <v>16.0</v>
      </c>
      <c r="G601" s="2" t="s">
        <v>67</v>
      </c>
      <c r="H601" s="2">
        <v>82.0</v>
      </c>
      <c r="I601" s="2">
        <v>244.0</v>
      </c>
      <c r="J601" s="37">
        <v>2158.92</v>
      </c>
      <c r="K601" s="2">
        <v>96.0</v>
      </c>
      <c r="L601" s="2">
        <v>515.0</v>
      </c>
      <c r="M601" s="37">
        <v>2825.66</v>
      </c>
    </row>
    <row r="602" ht="14.25" customHeight="1">
      <c r="A602" t="s">
        <v>684</v>
      </c>
      <c r="B602" t="s">
        <v>638</v>
      </c>
      <c r="C602" t="s">
        <v>75</v>
      </c>
      <c r="D602" t="s">
        <v>63</v>
      </c>
      <c r="E602">
        <v>7.1</v>
      </c>
      <c r="F602">
        <v>8.0</v>
      </c>
      <c r="G602" s="2" t="s">
        <v>64</v>
      </c>
      <c r="H602" s="2">
        <v>0.0</v>
      </c>
      <c r="I602" s="2">
        <v>0.0</v>
      </c>
      <c r="J602" s="37">
        <v>0.0</v>
      </c>
      <c r="K602" s="2">
        <v>0.0</v>
      </c>
      <c r="L602" s="2">
        <v>0.0</v>
      </c>
      <c r="M602" s="37">
        <v>0.0</v>
      </c>
    </row>
    <row r="603" ht="14.25" customHeight="1">
      <c r="A603" t="s">
        <v>685</v>
      </c>
      <c r="B603" t="s">
        <v>638</v>
      </c>
      <c r="C603" t="s">
        <v>75</v>
      </c>
      <c r="D603" t="s">
        <v>63</v>
      </c>
      <c r="E603">
        <v>8.5</v>
      </c>
      <c r="F603">
        <v>10.0</v>
      </c>
      <c r="G603" s="2" t="s">
        <v>67</v>
      </c>
      <c r="H603" s="2">
        <v>56.0</v>
      </c>
      <c r="I603" s="2">
        <v>247.0</v>
      </c>
      <c r="J603" s="37">
        <v>1578.8600000000001</v>
      </c>
      <c r="K603" s="2">
        <v>65.0</v>
      </c>
      <c r="L603" s="2">
        <v>412.0</v>
      </c>
      <c r="M603" s="37">
        <v>1995.5</v>
      </c>
    </row>
    <row r="604" ht="14.25" customHeight="1">
      <c r="A604" t="s">
        <v>686</v>
      </c>
      <c r="B604" t="s">
        <v>638</v>
      </c>
      <c r="C604" t="s">
        <v>75</v>
      </c>
      <c r="D604" t="s">
        <v>63</v>
      </c>
      <c r="E604">
        <v>10.0</v>
      </c>
      <c r="F604">
        <v>11.2</v>
      </c>
      <c r="G604" s="2" t="s">
        <v>67</v>
      </c>
      <c r="H604" s="2">
        <v>65.0</v>
      </c>
      <c r="I604" s="2">
        <v>283.0</v>
      </c>
      <c r="J604" s="37">
        <v>1827.8000000000002</v>
      </c>
      <c r="K604" s="2">
        <v>75.0</v>
      </c>
      <c r="L604" s="2">
        <v>477.0</v>
      </c>
      <c r="M604" s="37">
        <v>2304.6</v>
      </c>
    </row>
    <row r="605" ht="14.25" customHeight="1">
      <c r="A605" t="s">
        <v>687</v>
      </c>
      <c r="B605" t="s">
        <v>638</v>
      </c>
      <c r="C605" t="s">
        <v>75</v>
      </c>
      <c r="D605" t="s">
        <v>63</v>
      </c>
      <c r="E605">
        <v>12.5</v>
      </c>
      <c r="F605">
        <v>14.0</v>
      </c>
      <c r="G605" s="2" t="s">
        <v>67</v>
      </c>
      <c r="H605" s="2">
        <v>79.0</v>
      </c>
      <c r="I605" s="2">
        <v>197.0</v>
      </c>
      <c r="J605" s="37">
        <v>2030.44</v>
      </c>
      <c r="K605" s="2">
        <v>91.0</v>
      </c>
      <c r="L605" s="2">
        <v>439.0</v>
      </c>
      <c r="M605" s="37">
        <v>2614.5600000000004</v>
      </c>
    </row>
    <row r="606" ht="14.25" customHeight="1">
      <c r="A606" t="s">
        <v>688</v>
      </c>
      <c r="B606" t="s">
        <v>638</v>
      </c>
      <c r="C606" t="s">
        <v>75</v>
      </c>
      <c r="D606" t="s">
        <v>63</v>
      </c>
      <c r="E606">
        <v>14.0</v>
      </c>
      <c r="F606">
        <v>16.0</v>
      </c>
      <c r="G606" s="2" t="s">
        <v>67</v>
      </c>
      <c r="H606" s="2">
        <v>82.0</v>
      </c>
      <c r="I606" s="2">
        <v>244.0</v>
      </c>
      <c r="J606" s="37">
        <v>2158.92</v>
      </c>
      <c r="K606" s="2">
        <v>96.0</v>
      </c>
      <c r="L606" s="2">
        <v>515.0</v>
      </c>
      <c r="M606" s="37">
        <v>2825.66</v>
      </c>
    </row>
    <row r="607" ht="14.25" customHeight="1">
      <c r="A607" t="s">
        <v>689</v>
      </c>
      <c r="B607" t="s">
        <v>638</v>
      </c>
      <c r="C607" t="s">
        <v>75</v>
      </c>
      <c r="D607" t="s">
        <v>63</v>
      </c>
      <c r="E607">
        <v>7.1</v>
      </c>
      <c r="F607">
        <v>8.0</v>
      </c>
      <c r="G607" s="2" t="s">
        <v>64</v>
      </c>
      <c r="H607" s="2">
        <v>0.0</v>
      </c>
      <c r="I607" s="2">
        <v>0.0</v>
      </c>
      <c r="J607" s="37">
        <v>0.0</v>
      </c>
      <c r="K607" s="2">
        <v>0.0</v>
      </c>
      <c r="L607" s="2">
        <v>0.0</v>
      </c>
      <c r="M607" s="37">
        <v>0.0</v>
      </c>
    </row>
    <row r="608" ht="14.25" customHeight="1">
      <c r="A608" t="s">
        <v>690</v>
      </c>
      <c r="B608" t="s">
        <v>638</v>
      </c>
      <c r="C608" t="s">
        <v>75</v>
      </c>
      <c r="D608" t="s">
        <v>63</v>
      </c>
      <c r="E608">
        <v>8.5</v>
      </c>
      <c r="F608">
        <v>10.0</v>
      </c>
      <c r="G608" s="2" t="s">
        <v>64</v>
      </c>
      <c r="H608" s="2">
        <v>0.0</v>
      </c>
      <c r="I608" s="2">
        <v>0.0</v>
      </c>
      <c r="J608" s="37">
        <v>0.0</v>
      </c>
      <c r="K608" s="2">
        <v>0.0</v>
      </c>
      <c r="L608" s="2">
        <v>0.0</v>
      </c>
      <c r="M608" s="37">
        <v>0.0</v>
      </c>
    </row>
    <row r="609" ht="14.25" customHeight="1">
      <c r="A609" t="s">
        <v>691</v>
      </c>
      <c r="B609" t="s">
        <v>638</v>
      </c>
      <c r="C609" t="s">
        <v>75</v>
      </c>
      <c r="D609" t="s">
        <v>63</v>
      </c>
      <c r="E609">
        <v>8.5</v>
      </c>
      <c r="F609">
        <v>10.0</v>
      </c>
      <c r="G609" s="2" t="s">
        <v>64</v>
      </c>
      <c r="H609" s="2">
        <v>0.0</v>
      </c>
      <c r="I609" s="2">
        <v>0.0</v>
      </c>
      <c r="J609" s="37">
        <v>0.0</v>
      </c>
      <c r="K609" s="2">
        <v>0.0</v>
      </c>
      <c r="L609" s="2">
        <v>0.0</v>
      </c>
      <c r="M609" s="37">
        <v>0.0</v>
      </c>
    </row>
    <row r="610" ht="14.25" customHeight="1">
      <c r="A610" t="s">
        <v>692</v>
      </c>
      <c r="B610" t="s">
        <v>638</v>
      </c>
      <c r="C610" t="s">
        <v>62</v>
      </c>
      <c r="D610" t="s">
        <v>63</v>
      </c>
      <c r="E610">
        <v>5.0</v>
      </c>
      <c r="F610">
        <v>6.0</v>
      </c>
      <c r="G610" s="2" t="s">
        <v>64</v>
      </c>
      <c r="H610" s="2">
        <v>0.0</v>
      </c>
      <c r="I610" s="2">
        <v>0.0</v>
      </c>
      <c r="J610" s="37">
        <v>0.0</v>
      </c>
      <c r="K610" s="2">
        <v>0.0</v>
      </c>
      <c r="L610" s="2">
        <v>0.0</v>
      </c>
      <c r="M610" s="37">
        <v>0.0</v>
      </c>
    </row>
    <row r="611" ht="14.25" customHeight="1">
      <c r="A611" t="s">
        <v>693</v>
      </c>
      <c r="B611" t="s">
        <v>638</v>
      </c>
      <c r="C611" t="s">
        <v>62</v>
      </c>
      <c r="D611" t="s">
        <v>63</v>
      </c>
      <c r="E611">
        <v>6.0</v>
      </c>
      <c r="F611">
        <v>7.1</v>
      </c>
      <c r="G611" s="2" t="s">
        <v>64</v>
      </c>
      <c r="H611" s="2">
        <v>0.0</v>
      </c>
      <c r="I611" s="2">
        <v>0.0</v>
      </c>
      <c r="J611" s="37">
        <v>0.0</v>
      </c>
      <c r="K611" s="2">
        <v>0.0</v>
      </c>
      <c r="L611" s="2">
        <v>0.0</v>
      </c>
      <c r="M611" s="37">
        <v>0.0</v>
      </c>
    </row>
    <row r="612" ht="14.25" customHeight="1">
      <c r="A612" t="s">
        <v>694</v>
      </c>
      <c r="B612" t="s">
        <v>638</v>
      </c>
      <c r="C612" t="s">
        <v>62</v>
      </c>
      <c r="D612" t="s">
        <v>63</v>
      </c>
      <c r="E612">
        <v>7.1</v>
      </c>
      <c r="F612">
        <v>8.0</v>
      </c>
      <c r="G612" s="2" t="s">
        <v>64</v>
      </c>
      <c r="H612" s="2">
        <v>0.0</v>
      </c>
      <c r="I612" s="2">
        <v>0.0</v>
      </c>
      <c r="J612" s="37">
        <v>0.0</v>
      </c>
      <c r="K612" s="2">
        <v>0.0</v>
      </c>
      <c r="L612" s="2">
        <v>0.0</v>
      </c>
      <c r="M612" s="37">
        <v>0.0</v>
      </c>
    </row>
    <row r="613" ht="14.25" customHeight="1">
      <c r="A613" t="s">
        <v>695</v>
      </c>
      <c r="B613" t="s">
        <v>638</v>
      </c>
      <c r="C613" t="s">
        <v>62</v>
      </c>
      <c r="D613" t="s">
        <v>63</v>
      </c>
      <c r="E613">
        <v>8.5</v>
      </c>
      <c r="F613">
        <v>10.0</v>
      </c>
      <c r="G613" s="2" t="s">
        <v>64</v>
      </c>
      <c r="H613" s="2">
        <v>0.0</v>
      </c>
      <c r="I613" s="2">
        <v>0.0</v>
      </c>
      <c r="J613" s="37">
        <v>0.0</v>
      </c>
      <c r="K613" s="2">
        <v>0.0</v>
      </c>
      <c r="L613" s="2">
        <v>0.0</v>
      </c>
      <c r="M613" s="37">
        <v>0.0</v>
      </c>
    </row>
    <row r="614" ht="14.25" customHeight="1">
      <c r="A614" t="s">
        <v>696</v>
      </c>
      <c r="B614" t="s">
        <v>638</v>
      </c>
      <c r="C614" t="s">
        <v>62</v>
      </c>
      <c r="D614" t="s">
        <v>63</v>
      </c>
      <c r="E614">
        <v>10.0</v>
      </c>
      <c r="F614">
        <v>11.2</v>
      </c>
      <c r="G614" s="2" t="s">
        <v>67</v>
      </c>
      <c r="H614" s="2">
        <v>64.0</v>
      </c>
      <c r="I614" s="2">
        <v>249.0</v>
      </c>
      <c r="J614" s="37">
        <v>1761.14</v>
      </c>
      <c r="K614" s="2">
        <v>74.0</v>
      </c>
      <c r="L614" s="2">
        <v>443.0</v>
      </c>
      <c r="M614" s="37">
        <v>2237.94</v>
      </c>
    </row>
    <row r="615" ht="14.25" customHeight="1">
      <c r="A615" t="s">
        <v>697</v>
      </c>
      <c r="B615" t="s">
        <v>638</v>
      </c>
      <c r="C615" t="s">
        <v>62</v>
      </c>
      <c r="D615" t="s">
        <v>63</v>
      </c>
      <c r="E615">
        <v>12.5</v>
      </c>
      <c r="F615">
        <v>14.0</v>
      </c>
      <c r="G615" s="2" t="s">
        <v>67</v>
      </c>
      <c r="H615" s="2">
        <v>75.0</v>
      </c>
      <c r="I615" s="2">
        <v>214.0</v>
      </c>
      <c r="J615" s="37">
        <v>1962.7</v>
      </c>
      <c r="K615" s="2">
        <v>88.0</v>
      </c>
      <c r="L615" s="2">
        <v>456.0</v>
      </c>
      <c r="M615" s="37">
        <v>2569.28</v>
      </c>
    </row>
    <row r="616" ht="14.25" customHeight="1">
      <c r="A616" t="s">
        <v>698</v>
      </c>
      <c r="B616" t="s">
        <v>638</v>
      </c>
      <c r="C616" t="s">
        <v>62</v>
      </c>
      <c r="D616" t="s">
        <v>63</v>
      </c>
      <c r="E616">
        <v>7.1</v>
      </c>
      <c r="F616">
        <v>8.0</v>
      </c>
      <c r="G616" s="2" t="s">
        <v>64</v>
      </c>
      <c r="H616" s="2">
        <v>0.0</v>
      </c>
      <c r="I616" s="2">
        <v>0.0</v>
      </c>
      <c r="J616" s="37">
        <v>0.0</v>
      </c>
      <c r="K616" s="2">
        <v>0.0</v>
      </c>
      <c r="L616" s="2">
        <v>0.0</v>
      </c>
      <c r="M616" s="37">
        <v>0.0</v>
      </c>
    </row>
    <row r="617" ht="14.25" customHeight="1">
      <c r="A617" t="s">
        <v>699</v>
      </c>
      <c r="B617" t="s">
        <v>638</v>
      </c>
      <c r="C617" t="s">
        <v>62</v>
      </c>
      <c r="D617" t="s">
        <v>63</v>
      </c>
      <c r="E617">
        <v>8.5</v>
      </c>
      <c r="F617">
        <v>10.0</v>
      </c>
      <c r="G617" s="2" t="s">
        <v>64</v>
      </c>
      <c r="H617" s="2">
        <v>0.0</v>
      </c>
      <c r="I617" s="2">
        <v>0.0</v>
      </c>
      <c r="J617" s="37">
        <v>0.0</v>
      </c>
      <c r="K617" s="2">
        <v>0.0</v>
      </c>
      <c r="L617" s="2">
        <v>0.0</v>
      </c>
      <c r="M617" s="37">
        <v>0.0</v>
      </c>
    </row>
    <row r="618" ht="14.25" customHeight="1">
      <c r="A618" t="s">
        <v>700</v>
      </c>
      <c r="B618" t="s">
        <v>638</v>
      </c>
      <c r="C618" t="s">
        <v>62</v>
      </c>
      <c r="D618" t="s">
        <v>63</v>
      </c>
      <c r="E618">
        <v>10.0</v>
      </c>
      <c r="F618">
        <v>11.2</v>
      </c>
      <c r="G618" s="2" t="s">
        <v>67</v>
      </c>
      <c r="H618" s="2">
        <v>64.0</v>
      </c>
      <c r="I618" s="2">
        <v>249.0</v>
      </c>
      <c r="J618" s="37">
        <v>1761.14</v>
      </c>
      <c r="K618" s="2">
        <v>74.0</v>
      </c>
      <c r="L618" s="2">
        <v>443.0</v>
      </c>
      <c r="M618" s="37">
        <v>2237.94</v>
      </c>
    </row>
    <row r="619" ht="14.25" customHeight="1">
      <c r="A619" t="s">
        <v>701</v>
      </c>
      <c r="B619" t="s">
        <v>638</v>
      </c>
      <c r="C619" t="s">
        <v>62</v>
      </c>
      <c r="D619" t="s">
        <v>63</v>
      </c>
      <c r="E619">
        <v>12.5</v>
      </c>
      <c r="F619">
        <v>14.0</v>
      </c>
      <c r="G619" s="2" t="s">
        <v>67</v>
      </c>
      <c r="H619" s="2">
        <v>75.0</v>
      </c>
      <c r="I619" s="2">
        <v>214.0</v>
      </c>
      <c r="J619" s="37">
        <v>1962.7</v>
      </c>
      <c r="K619" s="2">
        <v>88.0</v>
      </c>
      <c r="L619" s="2">
        <v>456.0</v>
      </c>
      <c r="M619" s="37">
        <v>2569.28</v>
      </c>
    </row>
    <row r="620" ht="14.25" customHeight="1">
      <c r="A620" t="s">
        <v>702</v>
      </c>
      <c r="B620" t="s">
        <v>638</v>
      </c>
      <c r="C620" t="s">
        <v>62</v>
      </c>
      <c r="D620" t="s">
        <v>63</v>
      </c>
      <c r="E620">
        <v>14.0</v>
      </c>
      <c r="F620">
        <v>16.0</v>
      </c>
      <c r="G620" s="2" t="s">
        <v>67</v>
      </c>
      <c r="H620" s="2">
        <v>81.0</v>
      </c>
      <c r="I620" s="2">
        <v>216.0</v>
      </c>
      <c r="J620" s="37">
        <v>2100.06</v>
      </c>
      <c r="K620" s="2">
        <v>95.0</v>
      </c>
      <c r="L620" s="2">
        <v>487.0</v>
      </c>
      <c r="M620" s="37">
        <v>2766.8</v>
      </c>
    </row>
    <row r="621" ht="14.25" customHeight="1">
      <c r="A621" t="s">
        <v>703</v>
      </c>
      <c r="B621" t="s">
        <v>638</v>
      </c>
      <c r="C621" t="s">
        <v>62</v>
      </c>
      <c r="D621" t="s">
        <v>63</v>
      </c>
      <c r="E621">
        <v>5.0</v>
      </c>
      <c r="F621">
        <v>6.0</v>
      </c>
      <c r="G621" s="2" t="s">
        <v>64</v>
      </c>
      <c r="H621" s="2">
        <v>0.0</v>
      </c>
      <c r="I621" s="2">
        <v>0.0</v>
      </c>
      <c r="J621" s="37">
        <v>0.0</v>
      </c>
      <c r="K621" s="2">
        <v>0.0</v>
      </c>
      <c r="L621" s="2">
        <v>0.0</v>
      </c>
      <c r="M621" s="37">
        <v>0.0</v>
      </c>
    </row>
    <row r="622" ht="14.25" customHeight="1">
      <c r="A622" t="s">
        <v>704</v>
      </c>
      <c r="B622" t="s">
        <v>638</v>
      </c>
      <c r="C622" t="s">
        <v>62</v>
      </c>
      <c r="D622" t="s">
        <v>63</v>
      </c>
      <c r="E622">
        <v>6.0</v>
      </c>
      <c r="F622">
        <v>7.1</v>
      </c>
      <c r="G622" s="2" t="s">
        <v>64</v>
      </c>
      <c r="H622" s="2">
        <v>0.0</v>
      </c>
      <c r="I622" s="2">
        <v>0.0</v>
      </c>
      <c r="J622" s="37">
        <v>0.0</v>
      </c>
      <c r="K622" s="2">
        <v>0.0</v>
      </c>
      <c r="L622" s="2">
        <v>0.0</v>
      </c>
      <c r="M622" s="37">
        <v>0.0</v>
      </c>
    </row>
    <row r="623" ht="14.25" customHeight="1">
      <c r="A623" t="s">
        <v>705</v>
      </c>
      <c r="B623" t="s">
        <v>638</v>
      </c>
      <c r="C623" t="s">
        <v>62</v>
      </c>
      <c r="D623" t="s">
        <v>63</v>
      </c>
      <c r="E623">
        <v>7.1</v>
      </c>
      <c r="F623">
        <v>8.0</v>
      </c>
      <c r="G623" s="2" t="s">
        <v>64</v>
      </c>
      <c r="H623" s="2">
        <v>0.0</v>
      </c>
      <c r="I623" s="2">
        <v>0.0</v>
      </c>
      <c r="J623" s="37">
        <v>0.0</v>
      </c>
      <c r="K623" s="2">
        <v>0.0</v>
      </c>
      <c r="L623" s="2">
        <v>0.0</v>
      </c>
      <c r="M623" s="37">
        <v>0.0</v>
      </c>
    </row>
    <row r="624" ht="14.25" customHeight="1">
      <c r="A624" t="s">
        <v>706</v>
      </c>
      <c r="B624" t="s">
        <v>638</v>
      </c>
      <c r="C624" t="s">
        <v>62</v>
      </c>
      <c r="D624" t="s">
        <v>63</v>
      </c>
      <c r="E624">
        <v>8.5</v>
      </c>
      <c r="F624">
        <v>10.0</v>
      </c>
      <c r="G624" s="2" t="s">
        <v>64</v>
      </c>
      <c r="H624" s="2">
        <v>0.0</v>
      </c>
      <c r="I624" s="2">
        <v>0.0</v>
      </c>
      <c r="J624" s="37">
        <v>0.0</v>
      </c>
      <c r="K624" s="2">
        <v>0.0</v>
      </c>
      <c r="L624" s="2">
        <v>0.0</v>
      </c>
      <c r="M624" s="37">
        <v>0.0</v>
      </c>
    </row>
    <row r="625" ht="14.25" customHeight="1">
      <c r="A625" t="s">
        <v>707</v>
      </c>
      <c r="B625" t="s">
        <v>638</v>
      </c>
      <c r="C625" t="s">
        <v>62</v>
      </c>
      <c r="D625" t="s">
        <v>63</v>
      </c>
      <c r="E625">
        <v>10.0</v>
      </c>
      <c r="F625">
        <v>11.2</v>
      </c>
      <c r="G625" s="2" t="s">
        <v>64</v>
      </c>
      <c r="H625" s="2">
        <v>0.0</v>
      </c>
      <c r="I625" s="2">
        <v>0.0</v>
      </c>
      <c r="J625" s="37">
        <v>0.0</v>
      </c>
      <c r="K625" s="2">
        <v>0.0</v>
      </c>
      <c r="L625" s="2">
        <v>0.0</v>
      </c>
      <c r="M625" s="37">
        <v>0.0</v>
      </c>
    </row>
    <row r="626" ht="14.25" customHeight="1">
      <c r="A626" t="s">
        <v>708</v>
      </c>
      <c r="B626" t="s">
        <v>638</v>
      </c>
      <c r="C626" t="s">
        <v>62</v>
      </c>
      <c r="D626" t="s">
        <v>63</v>
      </c>
      <c r="E626">
        <v>5.0</v>
      </c>
      <c r="F626">
        <v>6.0</v>
      </c>
      <c r="G626" s="2" t="s">
        <v>64</v>
      </c>
      <c r="H626" s="2">
        <v>0.0</v>
      </c>
      <c r="I626" s="2">
        <v>0.0</v>
      </c>
      <c r="J626" s="37">
        <v>0.0</v>
      </c>
      <c r="K626" s="2">
        <v>0.0</v>
      </c>
      <c r="L626" s="2">
        <v>0.0</v>
      </c>
      <c r="M626" s="37">
        <v>0.0</v>
      </c>
    </row>
    <row r="627" ht="14.25" customHeight="1">
      <c r="A627" t="s">
        <v>709</v>
      </c>
      <c r="B627" t="s">
        <v>638</v>
      </c>
      <c r="C627" t="s">
        <v>62</v>
      </c>
      <c r="D627" t="s">
        <v>63</v>
      </c>
      <c r="E627">
        <v>6.0</v>
      </c>
      <c r="F627">
        <v>7.1</v>
      </c>
      <c r="G627" s="2" t="s">
        <v>64</v>
      </c>
      <c r="H627" s="2">
        <v>0.0</v>
      </c>
      <c r="I627" s="2">
        <v>0.0</v>
      </c>
      <c r="J627" s="37">
        <v>0.0</v>
      </c>
      <c r="K627" s="2">
        <v>0.0</v>
      </c>
      <c r="L627" s="2">
        <v>0.0</v>
      </c>
      <c r="M627" s="37">
        <v>0.0</v>
      </c>
    </row>
    <row r="628" ht="14.25" customHeight="1">
      <c r="A628" t="s">
        <v>710</v>
      </c>
      <c r="B628" t="s">
        <v>638</v>
      </c>
      <c r="C628" t="s">
        <v>62</v>
      </c>
      <c r="D628" t="s">
        <v>63</v>
      </c>
      <c r="E628">
        <v>7.1</v>
      </c>
      <c r="F628">
        <v>8.0</v>
      </c>
      <c r="G628" s="2" t="s">
        <v>64</v>
      </c>
      <c r="H628" s="2">
        <v>0.0</v>
      </c>
      <c r="I628" s="2">
        <v>0.0</v>
      </c>
      <c r="J628" s="37">
        <v>0.0</v>
      </c>
      <c r="K628" s="2">
        <v>0.0</v>
      </c>
      <c r="L628" s="2">
        <v>0.0</v>
      </c>
      <c r="M628" s="37">
        <v>0.0</v>
      </c>
    </row>
    <row r="629" ht="14.25" customHeight="1">
      <c r="A629" t="s">
        <v>711</v>
      </c>
      <c r="B629" t="s">
        <v>638</v>
      </c>
      <c r="C629" t="s">
        <v>62</v>
      </c>
      <c r="D629" t="s">
        <v>63</v>
      </c>
      <c r="E629">
        <v>8.5</v>
      </c>
      <c r="F629">
        <v>10.0</v>
      </c>
      <c r="G629" s="2" t="s">
        <v>64</v>
      </c>
      <c r="H629" s="2">
        <v>0.0</v>
      </c>
      <c r="I629" s="2">
        <v>0.0</v>
      </c>
      <c r="J629" s="37">
        <v>0.0</v>
      </c>
      <c r="K629" s="2">
        <v>0.0</v>
      </c>
      <c r="L629" s="2">
        <v>0.0</v>
      </c>
      <c r="M629" s="37">
        <v>0.0</v>
      </c>
    </row>
    <row r="630" ht="14.25" customHeight="1">
      <c r="A630" t="s">
        <v>712</v>
      </c>
      <c r="B630" t="s">
        <v>638</v>
      </c>
      <c r="C630" t="s">
        <v>62</v>
      </c>
      <c r="D630" t="s">
        <v>63</v>
      </c>
      <c r="E630">
        <v>10.0</v>
      </c>
      <c r="F630">
        <v>11.2</v>
      </c>
      <c r="G630" s="2" t="s">
        <v>64</v>
      </c>
      <c r="H630" s="2">
        <v>0.0</v>
      </c>
      <c r="I630" s="2">
        <v>0.0</v>
      </c>
      <c r="J630" s="37">
        <v>0.0</v>
      </c>
      <c r="K630" s="2">
        <v>0.0</v>
      </c>
      <c r="L630" s="2">
        <v>0.0</v>
      </c>
      <c r="M630" s="37">
        <v>0.0</v>
      </c>
    </row>
    <row r="631" ht="14.25" customHeight="1">
      <c r="A631" t="s">
        <v>713</v>
      </c>
      <c r="B631" t="s">
        <v>638</v>
      </c>
      <c r="C631" t="s">
        <v>62</v>
      </c>
      <c r="D631" t="s">
        <v>63</v>
      </c>
      <c r="E631">
        <v>7.1</v>
      </c>
      <c r="F631">
        <v>8.0</v>
      </c>
      <c r="G631" s="2" t="s">
        <v>64</v>
      </c>
      <c r="H631" s="2">
        <v>0.0</v>
      </c>
      <c r="I631" s="2">
        <v>0.0</v>
      </c>
      <c r="J631" s="37">
        <v>0.0</v>
      </c>
      <c r="K631" s="2">
        <v>0.0</v>
      </c>
      <c r="L631" s="2">
        <v>0.0</v>
      </c>
      <c r="M631" s="37">
        <v>0.0</v>
      </c>
    </row>
    <row r="632" ht="14.25" customHeight="1">
      <c r="A632" t="s">
        <v>714</v>
      </c>
      <c r="B632" t="s">
        <v>638</v>
      </c>
      <c r="C632" t="s">
        <v>62</v>
      </c>
      <c r="D632" t="s">
        <v>63</v>
      </c>
      <c r="E632">
        <v>8.5</v>
      </c>
      <c r="F632">
        <v>10.0</v>
      </c>
      <c r="G632" s="2" t="s">
        <v>64</v>
      </c>
      <c r="H632" s="2">
        <v>0.0</v>
      </c>
      <c r="I632" s="2">
        <v>0.0</v>
      </c>
      <c r="J632" s="37">
        <v>0.0</v>
      </c>
      <c r="K632" s="2">
        <v>0.0</v>
      </c>
      <c r="L632" s="2">
        <v>0.0</v>
      </c>
      <c r="M632" s="37">
        <v>0.0</v>
      </c>
    </row>
    <row r="633" ht="14.25" customHeight="1">
      <c r="A633" t="s">
        <v>715</v>
      </c>
      <c r="B633" t="s">
        <v>638</v>
      </c>
      <c r="C633" t="s">
        <v>62</v>
      </c>
      <c r="D633" t="s">
        <v>63</v>
      </c>
      <c r="E633">
        <v>10.0</v>
      </c>
      <c r="F633">
        <v>11.2</v>
      </c>
      <c r="G633" s="2" t="s">
        <v>64</v>
      </c>
      <c r="H633" s="2">
        <v>0.0</v>
      </c>
      <c r="I633" s="2">
        <v>0.0</v>
      </c>
      <c r="J633" s="37">
        <v>0.0</v>
      </c>
      <c r="K633" s="2">
        <v>0.0</v>
      </c>
      <c r="L633" s="2">
        <v>0.0</v>
      </c>
      <c r="M633" s="37">
        <v>0.0</v>
      </c>
    </row>
    <row r="634" ht="14.25" customHeight="1">
      <c r="A634" t="s">
        <v>716</v>
      </c>
      <c r="B634" t="s">
        <v>629</v>
      </c>
      <c r="C634" t="s">
        <v>62</v>
      </c>
      <c r="D634" t="s">
        <v>63</v>
      </c>
      <c r="E634">
        <v>2.4</v>
      </c>
      <c r="F634">
        <v>3.4</v>
      </c>
      <c r="G634" s="2" t="s">
        <v>67</v>
      </c>
      <c r="H634" s="2">
        <v>14.0</v>
      </c>
      <c r="I634" s="2">
        <v>66.0</v>
      </c>
      <c r="J634" s="37">
        <v>400.24</v>
      </c>
      <c r="K634" s="2">
        <v>16.0</v>
      </c>
      <c r="L634" s="2">
        <v>103.0</v>
      </c>
      <c r="M634" s="37">
        <v>493.26</v>
      </c>
    </row>
    <row r="635" ht="14.25" customHeight="1">
      <c r="A635" t="s">
        <v>717</v>
      </c>
      <c r="B635" t="s">
        <v>629</v>
      </c>
      <c r="C635" t="s">
        <v>62</v>
      </c>
      <c r="D635" t="s">
        <v>63</v>
      </c>
      <c r="E635">
        <v>3.4</v>
      </c>
      <c r="F635">
        <v>4.5</v>
      </c>
      <c r="G635" s="2" t="s">
        <v>64</v>
      </c>
      <c r="H635" s="2">
        <v>0.0</v>
      </c>
      <c r="I635" s="2">
        <v>0.0</v>
      </c>
      <c r="J635" s="37">
        <v>0.0</v>
      </c>
      <c r="K635" s="2">
        <v>0.0</v>
      </c>
      <c r="L635" s="2">
        <v>0.0</v>
      </c>
      <c r="M635" s="37">
        <v>0.0</v>
      </c>
    </row>
    <row r="636" ht="14.25" customHeight="1">
      <c r="A636" t="s">
        <v>718</v>
      </c>
      <c r="B636" t="s">
        <v>629</v>
      </c>
      <c r="C636" t="s">
        <v>62</v>
      </c>
      <c r="D636" t="s">
        <v>63</v>
      </c>
      <c r="E636">
        <v>5.0</v>
      </c>
      <c r="F636">
        <v>5.8</v>
      </c>
      <c r="G636" s="2" t="s">
        <v>64</v>
      </c>
      <c r="H636" s="2">
        <v>0.0</v>
      </c>
      <c r="I636" s="2">
        <v>0.0</v>
      </c>
      <c r="J636" s="37">
        <v>0.0</v>
      </c>
      <c r="K636" s="2">
        <v>0.0</v>
      </c>
      <c r="L636" s="2">
        <v>0.0</v>
      </c>
      <c r="M636" s="37">
        <v>0.0</v>
      </c>
    </row>
    <row r="637" ht="14.25" customHeight="1">
      <c r="A637" t="s">
        <v>719</v>
      </c>
      <c r="B637" t="s">
        <v>638</v>
      </c>
      <c r="C637" t="s">
        <v>62</v>
      </c>
      <c r="D637" t="s">
        <v>63</v>
      </c>
      <c r="E637">
        <v>14.0</v>
      </c>
      <c r="F637">
        <v>16.0</v>
      </c>
      <c r="G637" s="2" t="s">
        <v>67</v>
      </c>
      <c r="H637" s="2">
        <v>81.0</v>
      </c>
      <c r="I637" s="2">
        <v>216.0</v>
      </c>
      <c r="J637" s="37">
        <v>2100.06</v>
      </c>
      <c r="K637" s="2">
        <v>95.0</v>
      </c>
      <c r="L637" s="2">
        <v>487.0</v>
      </c>
      <c r="M637" s="37">
        <v>2766.8</v>
      </c>
    </row>
    <row r="638" ht="14.25" customHeight="1">
      <c r="A638" t="s">
        <v>720</v>
      </c>
      <c r="B638" t="s">
        <v>638</v>
      </c>
      <c r="C638" t="s">
        <v>62</v>
      </c>
      <c r="D638" t="s">
        <v>63</v>
      </c>
      <c r="E638">
        <v>5.0</v>
      </c>
      <c r="F638">
        <v>6.0</v>
      </c>
      <c r="G638" s="2" t="s">
        <v>64</v>
      </c>
      <c r="H638" s="2">
        <v>0.0</v>
      </c>
      <c r="I638" s="2">
        <v>0.0</v>
      </c>
      <c r="J638" s="37">
        <v>0.0</v>
      </c>
      <c r="K638" s="2">
        <v>0.0</v>
      </c>
      <c r="L638" s="2">
        <v>0.0</v>
      </c>
      <c r="M638" s="37">
        <v>0.0</v>
      </c>
    </row>
    <row r="639" ht="14.25" customHeight="1">
      <c r="A639" t="s">
        <v>721</v>
      </c>
      <c r="B639" t="s">
        <v>629</v>
      </c>
      <c r="C639" t="s">
        <v>62</v>
      </c>
      <c r="D639" t="s">
        <v>63</v>
      </c>
      <c r="E639">
        <v>2.0</v>
      </c>
      <c r="F639">
        <v>2.8</v>
      </c>
      <c r="G639" s="2" t="s">
        <v>67</v>
      </c>
      <c r="H639" s="2">
        <v>13.0</v>
      </c>
      <c r="I639" s="2">
        <v>82.0</v>
      </c>
      <c r="J639" s="37">
        <v>398.58000000000004</v>
      </c>
      <c r="K639" s="2">
        <v>15.0</v>
      </c>
      <c r="L639" s="2">
        <v>112.0</v>
      </c>
      <c r="M639" s="37">
        <v>482.5</v>
      </c>
    </row>
    <row r="640" ht="14.25" customHeight="1">
      <c r="A640" t="s">
        <v>722</v>
      </c>
      <c r="B640" t="s">
        <v>638</v>
      </c>
      <c r="C640" t="s">
        <v>62</v>
      </c>
      <c r="D640" t="s">
        <v>63</v>
      </c>
      <c r="E640">
        <v>8.5</v>
      </c>
      <c r="F640">
        <v>9.0</v>
      </c>
      <c r="G640" s="2" t="s">
        <v>64</v>
      </c>
      <c r="H640" s="2">
        <v>0.0</v>
      </c>
      <c r="I640" s="2">
        <v>0.0</v>
      </c>
      <c r="J640" s="37">
        <v>0.0</v>
      </c>
      <c r="K640" s="2">
        <v>0.0</v>
      </c>
      <c r="L640" s="2">
        <v>0.0</v>
      </c>
      <c r="M640" s="37">
        <v>0.0</v>
      </c>
    </row>
    <row r="641" ht="14.25" customHeight="1">
      <c r="A641" t="s">
        <v>723</v>
      </c>
      <c r="B641" t="s">
        <v>638</v>
      </c>
      <c r="C641" t="s">
        <v>62</v>
      </c>
      <c r="D641" t="s">
        <v>63</v>
      </c>
      <c r="E641">
        <v>9.4</v>
      </c>
      <c r="F641">
        <v>10.3</v>
      </c>
      <c r="G641" s="2" t="s">
        <v>64</v>
      </c>
      <c r="H641" s="2">
        <v>0.0</v>
      </c>
      <c r="I641" s="2">
        <v>0.0</v>
      </c>
      <c r="J641" s="37">
        <v>0.0</v>
      </c>
      <c r="K641" s="2">
        <v>0.0</v>
      </c>
      <c r="L641" s="2">
        <v>0.0</v>
      </c>
      <c r="M641" s="37">
        <v>0.0</v>
      </c>
    </row>
    <row r="642" ht="14.25" customHeight="1">
      <c r="A642" t="s">
        <v>724</v>
      </c>
      <c r="B642" t="s">
        <v>638</v>
      </c>
      <c r="C642" t="s">
        <v>62</v>
      </c>
      <c r="D642" t="s">
        <v>63</v>
      </c>
      <c r="E642">
        <v>8.5</v>
      </c>
      <c r="F642">
        <v>9.0</v>
      </c>
      <c r="G642" s="2" t="s">
        <v>64</v>
      </c>
      <c r="H642" s="2">
        <v>0.0</v>
      </c>
      <c r="I642" s="2">
        <v>0.0</v>
      </c>
      <c r="J642" s="37">
        <v>0.0</v>
      </c>
      <c r="K642" s="2">
        <v>0.0</v>
      </c>
      <c r="L642" s="2">
        <v>0.0</v>
      </c>
      <c r="M642" s="37">
        <v>0.0</v>
      </c>
    </row>
    <row r="643" ht="14.25" customHeight="1">
      <c r="A643" t="s">
        <v>725</v>
      </c>
      <c r="B643" t="s">
        <v>638</v>
      </c>
      <c r="C643" t="s">
        <v>62</v>
      </c>
      <c r="D643" t="s">
        <v>63</v>
      </c>
      <c r="E643">
        <v>9.4</v>
      </c>
      <c r="F643">
        <v>10.3</v>
      </c>
      <c r="G643" s="2" t="s">
        <v>64</v>
      </c>
      <c r="H643" s="2">
        <v>0.0</v>
      </c>
      <c r="I643" s="2">
        <v>0.0</v>
      </c>
      <c r="J643" s="37">
        <v>0.0</v>
      </c>
      <c r="K643" s="2">
        <v>0.0</v>
      </c>
      <c r="L643" s="2">
        <v>0.0</v>
      </c>
      <c r="M643" s="37">
        <v>0.0</v>
      </c>
    </row>
    <row r="644" ht="14.25" customHeight="1">
      <c r="A644" t="s">
        <v>726</v>
      </c>
      <c r="B644" t="s">
        <v>629</v>
      </c>
      <c r="C644" t="s">
        <v>62</v>
      </c>
      <c r="D644" t="s">
        <v>63</v>
      </c>
      <c r="E644">
        <v>2.5</v>
      </c>
      <c r="F644">
        <v>3.3</v>
      </c>
      <c r="G644" s="2" t="s">
        <v>67</v>
      </c>
      <c r="H644" s="2">
        <v>16.0</v>
      </c>
      <c r="I644" s="2">
        <v>108.0</v>
      </c>
      <c r="J644" s="37">
        <v>499.76</v>
      </c>
      <c r="K644" s="2">
        <v>18.0</v>
      </c>
      <c r="L644" s="2">
        <v>146.0</v>
      </c>
      <c r="M644" s="37">
        <v>594.08</v>
      </c>
    </row>
    <row r="645" ht="14.25" customHeight="1">
      <c r="A645" t="s">
        <v>727</v>
      </c>
      <c r="B645" t="s">
        <v>629</v>
      </c>
      <c r="C645" t="s">
        <v>62</v>
      </c>
      <c r="D645" t="s">
        <v>63</v>
      </c>
      <c r="E645">
        <v>3.5</v>
      </c>
      <c r="F645">
        <v>4.0</v>
      </c>
      <c r="G645" s="2" t="s">
        <v>67</v>
      </c>
      <c r="H645" s="2">
        <v>19.0</v>
      </c>
      <c r="I645" s="2">
        <v>82.0</v>
      </c>
      <c r="J645" s="37">
        <v>533.34</v>
      </c>
      <c r="K645" s="2">
        <v>22.0</v>
      </c>
      <c r="L645" s="2">
        <v>135.0</v>
      </c>
      <c r="M645" s="37">
        <v>669.62</v>
      </c>
    </row>
    <row r="646" ht="14.25" customHeight="1">
      <c r="A646" t="s">
        <v>728</v>
      </c>
      <c r="B646" t="s">
        <v>629</v>
      </c>
      <c r="C646" t="s">
        <v>62</v>
      </c>
      <c r="D646" t="s">
        <v>63</v>
      </c>
      <c r="E646">
        <v>4.6</v>
      </c>
      <c r="F646">
        <v>5.4</v>
      </c>
      <c r="G646" s="2" t="s">
        <v>67</v>
      </c>
      <c r="H646" s="2">
        <v>29.0</v>
      </c>
      <c r="I646" s="2">
        <v>128.0</v>
      </c>
      <c r="J646" s="37">
        <v>817.74</v>
      </c>
      <c r="K646" s="2">
        <v>33.0</v>
      </c>
      <c r="L646" s="2">
        <v>207.0</v>
      </c>
      <c r="M646" s="37">
        <v>1010.2800000000001</v>
      </c>
    </row>
    <row r="647" ht="14.25" customHeight="1">
      <c r="A647" t="s">
        <v>729</v>
      </c>
      <c r="B647" t="s">
        <v>629</v>
      </c>
      <c r="C647" t="s">
        <v>62</v>
      </c>
      <c r="D647" t="s">
        <v>63</v>
      </c>
      <c r="E647">
        <v>5.0</v>
      </c>
      <c r="F647">
        <v>6.1</v>
      </c>
      <c r="G647" s="2" t="s">
        <v>67</v>
      </c>
      <c r="H647" s="2">
        <v>36.0</v>
      </c>
      <c r="I647" s="2">
        <v>231.0</v>
      </c>
      <c r="J647" s="37">
        <v>1108.8600000000001</v>
      </c>
      <c r="K647" s="2">
        <v>41.0</v>
      </c>
      <c r="L647" s="2">
        <v>317.0</v>
      </c>
      <c r="M647" s="37">
        <v>1332.96</v>
      </c>
    </row>
    <row r="648" ht="14.25" customHeight="1">
      <c r="A648" t="s">
        <v>730</v>
      </c>
      <c r="B648" t="s">
        <v>629</v>
      </c>
      <c r="C648" t="s">
        <v>62</v>
      </c>
      <c r="D648" t="s">
        <v>63</v>
      </c>
      <c r="E648">
        <v>6.0</v>
      </c>
      <c r="F648">
        <v>7.3</v>
      </c>
      <c r="G648" s="2" t="s">
        <v>67</v>
      </c>
      <c r="H648" s="2">
        <v>41.0</v>
      </c>
      <c r="I648" s="2">
        <v>192.0</v>
      </c>
      <c r="J648" s="37">
        <v>1170.46</v>
      </c>
      <c r="K648" s="2">
        <v>47.0</v>
      </c>
      <c r="L648" s="2">
        <v>295.0</v>
      </c>
      <c r="M648" s="37">
        <v>1439.1200000000001</v>
      </c>
    </row>
    <row r="649" ht="14.25" customHeight="1">
      <c r="A649" t="s">
        <v>731</v>
      </c>
      <c r="B649" t="s">
        <v>629</v>
      </c>
      <c r="C649" t="s">
        <v>62</v>
      </c>
      <c r="D649" t="s">
        <v>63</v>
      </c>
      <c r="E649">
        <v>7.1</v>
      </c>
      <c r="F649">
        <v>8.1</v>
      </c>
      <c r="G649" s="2" t="s">
        <v>67</v>
      </c>
      <c r="H649" s="2">
        <v>44.0</v>
      </c>
      <c r="I649" s="2">
        <v>154.0</v>
      </c>
      <c r="J649" s="37">
        <v>1188.44</v>
      </c>
      <c r="K649" s="2">
        <v>50.0</v>
      </c>
      <c r="L649" s="2">
        <v>276.0</v>
      </c>
      <c r="M649" s="37">
        <v>1481.8</v>
      </c>
    </row>
    <row r="650" ht="14.25" customHeight="1">
      <c r="A650" t="s">
        <v>732</v>
      </c>
      <c r="B650" t="s">
        <v>638</v>
      </c>
      <c r="C650" t="s">
        <v>62</v>
      </c>
      <c r="D650" t="s">
        <v>63</v>
      </c>
      <c r="E650">
        <v>2.5</v>
      </c>
      <c r="F650">
        <v>3.2</v>
      </c>
      <c r="G650" s="2" t="s">
        <v>64</v>
      </c>
      <c r="H650" s="2">
        <v>0.0</v>
      </c>
      <c r="I650" s="2">
        <v>0.0</v>
      </c>
      <c r="J650" s="37">
        <v>0.0</v>
      </c>
      <c r="K650" s="2">
        <v>0.0</v>
      </c>
      <c r="L650" s="2">
        <v>0.0</v>
      </c>
      <c r="M650" s="37">
        <v>0.0</v>
      </c>
    </row>
    <row r="651" ht="14.25" customHeight="1">
      <c r="A651" t="s">
        <v>733</v>
      </c>
      <c r="B651" t="s">
        <v>638</v>
      </c>
      <c r="C651" t="s">
        <v>62</v>
      </c>
      <c r="D651" t="s">
        <v>63</v>
      </c>
      <c r="E651">
        <v>2.5</v>
      </c>
      <c r="F651">
        <v>3.2</v>
      </c>
      <c r="G651" s="2" t="s">
        <v>64</v>
      </c>
      <c r="H651" s="2">
        <v>0.0</v>
      </c>
      <c r="I651" s="2">
        <v>0.0</v>
      </c>
      <c r="J651" s="37">
        <v>0.0</v>
      </c>
      <c r="K651" s="2">
        <v>0.0</v>
      </c>
      <c r="L651" s="2">
        <v>0.0</v>
      </c>
      <c r="M651" s="37">
        <v>0.0</v>
      </c>
    </row>
    <row r="652" ht="14.25" customHeight="1">
      <c r="A652" t="s">
        <v>734</v>
      </c>
      <c r="B652" t="s">
        <v>638</v>
      </c>
      <c r="C652" t="s">
        <v>62</v>
      </c>
      <c r="D652" t="s">
        <v>63</v>
      </c>
      <c r="E652">
        <v>2.5</v>
      </c>
      <c r="F652">
        <v>3.2</v>
      </c>
      <c r="G652" s="2" t="s">
        <v>64</v>
      </c>
      <c r="H652" s="2">
        <v>0.0</v>
      </c>
      <c r="I652" s="2">
        <v>0.0</v>
      </c>
      <c r="J652" s="37">
        <v>0.0</v>
      </c>
      <c r="K652" s="2">
        <v>0.0</v>
      </c>
      <c r="L652" s="2">
        <v>0.0</v>
      </c>
      <c r="M652" s="37">
        <v>0.0</v>
      </c>
    </row>
    <row r="653" ht="14.25" customHeight="1">
      <c r="A653" t="s">
        <v>735</v>
      </c>
      <c r="B653" t="s">
        <v>638</v>
      </c>
      <c r="C653" t="s">
        <v>62</v>
      </c>
      <c r="D653" t="s">
        <v>63</v>
      </c>
      <c r="E653">
        <v>3.5</v>
      </c>
      <c r="F653">
        <v>3.7</v>
      </c>
      <c r="G653" s="2" t="s">
        <v>64</v>
      </c>
      <c r="H653" s="2">
        <v>0.0</v>
      </c>
      <c r="I653" s="2">
        <v>0.0</v>
      </c>
      <c r="J653" s="37">
        <v>0.0</v>
      </c>
      <c r="K653" s="2">
        <v>0.0</v>
      </c>
      <c r="L653" s="2">
        <v>0.0</v>
      </c>
      <c r="M653" s="37">
        <v>0.0</v>
      </c>
    </row>
    <row r="654" ht="14.25" customHeight="1">
      <c r="A654" t="s">
        <v>736</v>
      </c>
      <c r="B654" t="s">
        <v>638</v>
      </c>
      <c r="C654" t="s">
        <v>62</v>
      </c>
      <c r="D654" t="s">
        <v>63</v>
      </c>
      <c r="E654">
        <v>3.5</v>
      </c>
      <c r="F654">
        <v>3.7</v>
      </c>
      <c r="G654" s="2" t="s">
        <v>64</v>
      </c>
      <c r="H654" s="2">
        <v>0.0</v>
      </c>
      <c r="I654" s="2">
        <v>0.0</v>
      </c>
      <c r="J654" s="37">
        <v>0.0</v>
      </c>
      <c r="K654" s="2">
        <v>0.0</v>
      </c>
      <c r="L654" s="2">
        <v>0.0</v>
      </c>
      <c r="M654" s="37">
        <v>0.0</v>
      </c>
    </row>
    <row r="655" ht="14.25" customHeight="1">
      <c r="A655" t="s">
        <v>737</v>
      </c>
      <c r="B655" t="s">
        <v>638</v>
      </c>
      <c r="C655" t="s">
        <v>62</v>
      </c>
      <c r="D655" t="s">
        <v>63</v>
      </c>
      <c r="E655">
        <v>3.5</v>
      </c>
      <c r="F655">
        <v>3.7</v>
      </c>
      <c r="G655" s="2" t="s">
        <v>64</v>
      </c>
      <c r="H655" s="2">
        <v>0.0</v>
      </c>
      <c r="I655" s="2">
        <v>0.0</v>
      </c>
      <c r="J655" s="37">
        <v>0.0</v>
      </c>
      <c r="K655" s="2">
        <v>0.0</v>
      </c>
      <c r="L655" s="2">
        <v>0.0</v>
      </c>
      <c r="M655" s="37">
        <v>0.0</v>
      </c>
    </row>
    <row r="656" ht="14.25" customHeight="1">
      <c r="A656" t="s">
        <v>738</v>
      </c>
      <c r="B656" t="s">
        <v>638</v>
      </c>
      <c r="C656" t="s">
        <v>62</v>
      </c>
      <c r="D656" t="s">
        <v>63</v>
      </c>
      <c r="E656">
        <v>5.0</v>
      </c>
      <c r="F656">
        <v>6.0</v>
      </c>
      <c r="G656" s="2" t="s">
        <v>64</v>
      </c>
      <c r="H656" s="2">
        <v>0.0</v>
      </c>
      <c r="I656" s="2">
        <v>0.0</v>
      </c>
      <c r="J656" s="37">
        <v>0.0</v>
      </c>
      <c r="K656" s="2">
        <v>0.0</v>
      </c>
      <c r="L656" s="2">
        <v>0.0</v>
      </c>
      <c r="M656" s="37">
        <v>0.0</v>
      </c>
    </row>
    <row r="657" ht="14.25" customHeight="1">
      <c r="A657" t="s">
        <v>739</v>
      </c>
      <c r="B657" t="s">
        <v>638</v>
      </c>
      <c r="C657" t="s">
        <v>62</v>
      </c>
      <c r="D657" t="s">
        <v>63</v>
      </c>
      <c r="E657">
        <v>5.0</v>
      </c>
      <c r="F657">
        <v>6.0</v>
      </c>
      <c r="G657" s="2" t="s">
        <v>64</v>
      </c>
      <c r="H657" s="2">
        <v>0.0</v>
      </c>
      <c r="I657" s="2">
        <v>0.0</v>
      </c>
      <c r="J657" s="37">
        <v>0.0</v>
      </c>
      <c r="K657" s="2">
        <v>0.0</v>
      </c>
      <c r="L657" s="2">
        <v>0.0</v>
      </c>
      <c r="M657" s="37">
        <v>0.0</v>
      </c>
    </row>
    <row r="658" ht="14.25" customHeight="1">
      <c r="A658" t="s">
        <v>740</v>
      </c>
      <c r="B658" t="s">
        <v>638</v>
      </c>
      <c r="C658" t="s">
        <v>62</v>
      </c>
      <c r="D658" t="s">
        <v>63</v>
      </c>
      <c r="E658">
        <v>5.0</v>
      </c>
      <c r="F658">
        <v>6.0</v>
      </c>
      <c r="G658" s="2" t="s">
        <v>64</v>
      </c>
      <c r="H658" s="2">
        <v>0.0</v>
      </c>
      <c r="I658" s="2">
        <v>0.0</v>
      </c>
      <c r="J658" s="37">
        <v>0.0</v>
      </c>
      <c r="K658" s="2">
        <v>0.0</v>
      </c>
      <c r="L658" s="2">
        <v>0.0</v>
      </c>
      <c r="M658" s="37">
        <v>0.0</v>
      </c>
    </row>
    <row r="659" ht="14.25" customHeight="1">
      <c r="A659" t="s">
        <v>741</v>
      </c>
      <c r="B659" t="s">
        <v>638</v>
      </c>
      <c r="C659" t="s">
        <v>62</v>
      </c>
      <c r="D659" t="s">
        <v>63</v>
      </c>
      <c r="E659">
        <v>6.0</v>
      </c>
      <c r="F659">
        <v>7.2</v>
      </c>
      <c r="G659" s="2" t="s">
        <v>64</v>
      </c>
      <c r="H659" s="2">
        <v>0.0</v>
      </c>
      <c r="I659" s="2">
        <v>0.0</v>
      </c>
      <c r="J659" s="37">
        <v>0.0</v>
      </c>
      <c r="K659" s="2">
        <v>0.0</v>
      </c>
      <c r="L659" s="2">
        <v>0.0</v>
      </c>
      <c r="M659" s="37">
        <v>0.0</v>
      </c>
    </row>
    <row r="660" ht="14.25" customHeight="1">
      <c r="A660" t="s">
        <v>742</v>
      </c>
      <c r="B660" t="s">
        <v>638</v>
      </c>
      <c r="C660" t="s">
        <v>62</v>
      </c>
      <c r="D660" t="s">
        <v>63</v>
      </c>
      <c r="E660">
        <v>6.0</v>
      </c>
      <c r="F660">
        <v>7.2</v>
      </c>
      <c r="G660" s="2" t="s">
        <v>64</v>
      </c>
      <c r="H660" s="2">
        <v>0.0</v>
      </c>
      <c r="I660" s="2">
        <v>0.0</v>
      </c>
      <c r="J660" s="37">
        <v>0.0</v>
      </c>
      <c r="K660" s="2">
        <v>0.0</v>
      </c>
      <c r="L660" s="2">
        <v>0.0</v>
      </c>
      <c r="M660" s="37">
        <v>0.0</v>
      </c>
    </row>
    <row r="661" ht="14.25" customHeight="1">
      <c r="A661" t="s">
        <v>743</v>
      </c>
      <c r="B661" t="s">
        <v>638</v>
      </c>
      <c r="C661" t="s">
        <v>62</v>
      </c>
      <c r="D661" t="s">
        <v>63</v>
      </c>
      <c r="E661">
        <v>6.0</v>
      </c>
      <c r="F661">
        <v>7.2</v>
      </c>
      <c r="G661" s="2" t="s">
        <v>64</v>
      </c>
      <c r="H661" s="2">
        <v>0.0</v>
      </c>
      <c r="I661" s="2">
        <v>0.0</v>
      </c>
      <c r="J661" s="37">
        <v>0.0</v>
      </c>
      <c r="K661" s="2">
        <v>0.0</v>
      </c>
      <c r="L661" s="2">
        <v>0.0</v>
      </c>
      <c r="M661" s="37">
        <v>0.0</v>
      </c>
    </row>
    <row r="662" ht="14.25" customHeight="1">
      <c r="A662" t="s">
        <v>744</v>
      </c>
      <c r="B662" t="s">
        <v>638</v>
      </c>
      <c r="C662" t="s">
        <v>62</v>
      </c>
      <c r="D662" t="s">
        <v>63</v>
      </c>
      <c r="E662">
        <v>2.0</v>
      </c>
      <c r="F662">
        <v>2.7</v>
      </c>
      <c r="G662" s="2" t="s">
        <v>67</v>
      </c>
      <c r="H662" s="2">
        <v>13.0</v>
      </c>
      <c r="I662" s="2">
        <v>82.0</v>
      </c>
      <c r="J662" s="37">
        <v>398.58000000000004</v>
      </c>
      <c r="K662" s="2">
        <v>15.0</v>
      </c>
      <c r="L662" s="2">
        <v>112.0</v>
      </c>
      <c r="M662" s="37">
        <v>482.5</v>
      </c>
    </row>
    <row r="663" ht="14.25" customHeight="1">
      <c r="A663" t="s">
        <v>745</v>
      </c>
      <c r="B663" t="s">
        <v>638</v>
      </c>
      <c r="C663" t="s">
        <v>62</v>
      </c>
      <c r="D663" t="s">
        <v>63</v>
      </c>
      <c r="E663">
        <v>3.5</v>
      </c>
      <c r="F663">
        <v>3.7</v>
      </c>
      <c r="G663" s="2" t="s">
        <v>67</v>
      </c>
      <c r="H663" s="2">
        <v>18.0</v>
      </c>
      <c r="I663" s="2">
        <v>82.0</v>
      </c>
      <c r="J663" s="37">
        <v>510.88000000000005</v>
      </c>
      <c r="K663" s="2">
        <v>20.0</v>
      </c>
      <c r="L663" s="2">
        <v>135.0</v>
      </c>
      <c r="M663" s="37">
        <v>624.7</v>
      </c>
    </row>
    <row r="664" ht="14.25" customHeight="1">
      <c r="A664" t="s">
        <v>746</v>
      </c>
      <c r="B664" t="s">
        <v>638</v>
      </c>
      <c r="C664" t="s">
        <v>62</v>
      </c>
      <c r="D664" t="s">
        <v>63</v>
      </c>
      <c r="E664">
        <v>4.6</v>
      </c>
      <c r="F664">
        <v>4.7</v>
      </c>
      <c r="G664" s="2" t="s">
        <v>67</v>
      </c>
      <c r="H664" s="2">
        <v>27.0</v>
      </c>
      <c r="I664" s="2">
        <v>128.0</v>
      </c>
      <c r="J664" s="37">
        <v>772.82</v>
      </c>
      <c r="K664" s="2">
        <v>30.0</v>
      </c>
      <c r="L664" s="2">
        <v>207.0</v>
      </c>
      <c r="M664" s="37">
        <v>942.9000000000001</v>
      </c>
    </row>
    <row r="665" ht="14.25" customHeight="1">
      <c r="A665" t="s">
        <v>747</v>
      </c>
      <c r="B665" t="s">
        <v>638</v>
      </c>
      <c r="C665" t="s">
        <v>62</v>
      </c>
      <c r="D665" t="s">
        <v>63</v>
      </c>
      <c r="E665">
        <v>5.0</v>
      </c>
      <c r="F665">
        <v>6.0</v>
      </c>
      <c r="G665" s="2" t="s">
        <v>67</v>
      </c>
      <c r="H665" s="2">
        <v>35.0</v>
      </c>
      <c r="I665" s="2">
        <v>231.0</v>
      </c>
      <c r="J665" s="37">
        <v>1086.4</v>
      </c>
      <c r="K665" s="2">
        <v>40.0</v>
      </c>
      <c r="L665" s="2">
        <v>317.0</v>
      </c>
      <c r="M665" s="37">
        <v>1310.5</v>
      </c>
    </row>
    <row r="666" ht="14.25" customHeight="1">
      <c r="A666" t="s">
        <v>748</v>
      </c>
      <c r="B666" t="s">
        <v>638</v>
      </c>
      <c r="C666" t="s">
        <v>62</v>
      </c>
      <c r="D666" t="s">
        <v>63</v>
      </c>
      <c r="E666">
        <v>6.0</v>
      </c>
      <c r="F666">
        <v>7.2</v>
      </c>
      <c r="G666" s="2" t="s">
        <v>67</v>
      </c>
      <c r="H666" s="2">
        <v>41.0</v>
      </c>
      <c r="I666" s="2">
        <v>192.0</v>
      </c>
      <c r="J666" s="37">
        <v>1170.46</v>
      </c>
      <c r="K666" s="2">
        <v>46.0</v>
      </c>
      <c r="L666" s="2">
        <v>295.0</v>
      </c>
      <c r="M666" s="37">
        <v>1416.66</v>
      </c>
    </row>
    <row r="667" ht="14.25" customHeight="1">
      <c r="A667" t="s">
        <v>749</v>
      </c>
      <c r="B667" t="s">
        <v>638</v>
      </c>
      <c r="C667" t="s">
        <v>62</v>
      </c>
      <c r="D667" t="s">
        <v>63</v>
      </c>
      <c r="E667">
        <v>7.1</v>
      </c>
      <c r="F667">
        <v>8.0</v>
      </c>
      <c r="G667" s="2" t="s">
        <v>67</v>
      </c>
      <c r="H667" s="2">
        <v>44.0</v>
      </c>
      <c r="I667" s="2">
        <v>154.0</v>
      </c>
      <c r="J667" s="37">
        <v>1188.44</v>
      </c>
      <c r="K667" s="2">
        <v>50.0</v>
      </c>
      <c r="L667" s="2">
        <v>276.0</v>
      </c>
      <c r="M667" s="37">
        <v>1481.8</v>
      </c>
    </row>
    <row r="668" ht="14.25" customHeight="1">
      <c r="A668" t="s">
        <v>750</v>
      </c>
      <c r="B668" t="s">
        <v>638</v>
      </c>
      <c r="C668" t="s">
        <v>62</v>
      </c>
      <c r="D668" t="s">
        <v>63</v>
      </c>
      <c r="E668">
        <v>2.2</v>
      </c>
      <c r="F668">
        <v>2.7</v>
      </c>
      <c r="G668" s="2" t="s">
        <v>67</v>
      </c>
      <c r="H668" s="2">
        <v>14.0</v>
      </c>
      <c r="I668" s="2">
        <v>104.0</v>
      </c>
      <c r="J668" s="37">
        <v>449.64</v>
      </c>
      <c r="K668" s="2">
        <v>16.0</v>
      </c>
      <c r="L668" s="2">
        <v>137.0</v>
      </c>
      <c r="M668" s="37">
        <v>537.46</v>
      </c>
    </row>
    <row r="669" ht="14.25" customHeight="1">
      <c r="A669" t="s">
        <v>751</v>
      </c>
      <c r="B669" t="s">
        <v>638</v>
      </c>
      <c r="C669" t="s">
        <v>62</v>
      </c>
      <c r="D669" t="s">
        <v>63</v>
      </c>
      <c r="E669">
        <v>2.5</v>
      </c>
      <c r="F669">
        <v>3.2</v>
      </c>
      <c r="G669" s="2" t="s">
        <v>67</v>
      </c>
      <c r="H669" s="2">
        <v>17.0</v>
      </c>
      <c r="I669" s="2">
        <v>122.0</v>
      </c>
      <c r="J669" s="37">
        <v>540.42</v>
      </c>
      <c r="K669" s="2">
        <v>19.0</v>
      </c>
      <c r="L669" s="2">
        <v>160.0</v>
      </c>
      <c r="M669" s="37">
        <v>634.74</v>
      </c>
    </row>
    <row r="670" ht="14.25" customHeight="1">
      <c r="A670" t="s">
        <v>752</v>
      </c>
      <c r="B670" t="s">
        <v>638</v>
      </c>
      <c r="C670" t="s">
        <v>62</v>
      </c>
      <c r="D670" t="s">
        <v>63</v>
      </c>
      <c r="E670">
        <v>3.5</v>
      </c>
      <c r="F670">
        <v>3.7</v>
      </c>
      <c r="G670" s="2" t="s">
        <v>67</v>
      </c>
      <c r="H670" s="2">
        <v>19.0</v>
      </c>
      <c r="I670" s="2">
        <v>87.0</v>
      </c>
      <c r="J670" s="37">
        <v>539.84</v>
      </c>
      <c r="K670" s="2">
        <v>22.0</v>
      </c>
      <c r="L670" s="2">
        <v>140.0</v>
      </c>
      <c r="M670" s="37">
        <v>676.12</v>
      </c>
    </row>
    <row r="671" ht="14.25" customHeight="1">
      <c r="A671" t="s">
        <v>753</v>
      </c>
      <c r="B671" t="s">
        <v>638</v>
      </c>
      <c r="C671" t="s">
        <v>62</v>
      </c>
      <c r="D671" t="s">
        <v>63</v>
      </c>
      <c r="E671">
        <v>4.6</v>
      </c>
      <c r="F671">
        <v>4.7</v>
      </c>
      <c r="G671" s="2" t="s">
        <v>67</v>
      </c>
      <c r="H671" s="2">
        <v>29.0</v>
      </c>
      <c r="I671" s="2">
        <v>147.0</v>
      </c>
      <c r="J671" s="37">
        <v>842.44</v>
      </c>
      <c r="K671" s="2">
        <v>33.0</v>
      </c>
      <c r="L671" s="2">
        <v>227.0</v>
      </c>
      <c r="M671" s="37">
        <v>1036.2800000000002</v>
      </c>
    </row>
    <row r="672" ht="14.25" customHeight="1">
      <c r="A672" t="s">
        <v>754</v>
      </c>
      <c r="B672" t="s">
        <v>638</v>
      </c>
      <c r="C672" t="s">
        <v>62</v>
      </c>
      <c r="D672" t="s">
        <v>63</v>
      </c>
      <c r="E672">
        <v>5.0</v>
      </c>
      <c r="F672">
        <v>6.0</v>
      </c>
      <c r="G672" s="2" t="s">
        <v>67</v>
      </c>
      <c r="H672" s="2">
        <v>38.0</v>
      </c>
      <c r="I672" s="2">
        <v>237.0</v>
      </c>
      <c r="J672" s="37">
        <v>1161.58</v>
      </c>
      <c r="K672" s="2">
        <v>42.0</v>
      </c>
      <c r="L672" s="2">
        <v>323.0</v>
      </c>
      <c r="M672" s="37">
        <v>1363.22</v>
      </c>
    </row>
    <row r="673" ht="14.25" customHeight="1">
      <c r="A673" t="s">
        <v>755</v>
      </c>
      <c r="B673" t="s">
        <v>638</v>
      </c>
      <c r="C673" t="s">
        <v>62</v>
      </c>
      <c r="D673" t="s">
        <v>63</v>
      </c>
      <c r="E673">
        <v>6.0</v>
      </c>
      <c r="F673">
        <v>7.2</v>
      </c>
      <c r="G673" s="2" t="s">
        <v>67</v>
      </c>
      <c r="H673" s="2">
        <v>43.0</v>
      </c>
      <c r="I673" s="2">
        <v>214.0</v>
      </c>
      <c r="J673" s="37">
        <v>1243.98</v>
      </c>
      <c r="K673" s="2">
        <v>48.0</v>
      </c>
      <c r="L673" s="2">
        <v>318.0</v>
      </c>
      <c r="M673" s="37">
        <v>1491.48</v>
      </c>
    </row>
    <row r="674" ht="14.25" customHeight="1">
      <c r="A674" t="s">
        <v>756</v>
      </c>
      <c r="B674" t="s">
        <v>638</v>
      </c>
      <c r="C674" t="s">
        <v>62</v>
      </c>
      <c r="D674" t="s">
        <v>63</v>
      </c>
      <c r="E674">
        <v>7.1</v>
      </c>
      <c r="F674">
        <v>8.0</v>
      </c>
      <c r="G674" s="2" t="s">
        <v>67</v>
      </c>
      <c r="H674" s="2">
        <v>45.0</v>
      </c>
      <c r="I674" s="2">
        <v>114.0</v>
      </c>
      <c r="J674" s="37">
        <v>1158.9</v>
      </c>
      <c r="K674" s="2">
        <v>51.0</v>
      </c>
      <c r="L674" s="2">
        <v>237.0</v>
      </c>
      <c r="M674" s="37">
        <v>1453.56</v>
      </c>
    </row>
    <row r="675" ht="14.25" customHeight="1">
      <c r="A675" t="s">
        <v>757</v>
      </c>
      <c r="B675" t="s">
        <v>638</v>
      </c>
      <c r="C675" t="s">
        <v>75</v>
      </c>
      <c r="D675" t="s">
        <v>63</v>
      </c>
      <c r="E675">
        <v>10.0</v>
      </c>
      <c r="F675">
        <v>12.0</v>
      </c>
      <c r="G675" s="2" t="s">
        <v>67</v>
      </c>
      <c r="H675" s="2">
        <v>73.0</v>
      </c>
      <c r="I675" s="2">
        <v>244.0</v>
      </c>
      <c r="J675" s="37">
        <v>1956.7800000000002</v>
      </c>
      <c r="K675" s="2">
        <v>83.0</v>
      </c>
      <c r="L675" s="2">
        <v>438.0</v>
      </c>
      <c r="M675" s="37">
        <v>2433.58</v>
      </c>
    </row>
    <row r="676" ht="14.25" customHeight="1">
      <c r="A676" t="s">
        <v>758</v>
      </c>
      <c r="B676" t="s">
        <v>638</v>
      </c>
      <c r="C676" t="s">
        <v>75</v>
      </c>
      <c r="D676" t="s">
        <v>63</v>
      </c>
      <c r="E676">
        <v>10.0</v>
      </c>
      <c r="F676">
        <v>12.0</v>
      </c>
      <c r="G676" s="2" t="s">
        <v>67</v>
      </c>
      <c r="H676" s="2">
        <v>73.0</v>
      </c>
      <c r="I676" s="2">
        <v>244.0</v>
      </c>
      <c r="J676" s="37">
        <v>1956.7800000000002</v>
      </c>
      <c r="K676" s="2">
        <v>83.0</v>
      </c>
      <c r="L676" s="2">
        <v>438.0</v>
      </c>
      <c r="M676" s="37">
        <v>2433.58</v>
      </c>
    </row>
    <row r="677" ht="14.25" customHeight="1">
      <c r="A677" t="s">
        <v>759</v>
      </c>
      <c r="B677" t="s">
        <v>638</v>
      </c>
      <c r="C677" t="s">
        <v>75</v>
      </c>
      <c r="D677" t="s">
        <v>63</v>
      </c>
      <c r="E677">
        <v>12.5</v>
      </c>
      <c r="F677">
        <v>15.0</v>
      </c>
      <c r="G677" s="2" t="s">
        <v>67</v>
      </c>
      <c r="H677" s="2">
        <v>86.0</v>
      </c>
      <c r="I677" s="2">
        <v>199.0</v>
      </c>
      <c r="J677" s="37">
        <v>2190.26</v>
      </c>
      <c r="K677" s="2">
        <v>99.0</v>
      </c>
      <c r="L677" s="2">
        <v>441.0</v>
      </c>
      <c r="M677" s="37">
        <v>2796.84</v>
      </c>
    </row>
    <row r="678" ht="14.25" customHeight="1">
      <c r="A678" t="s">
        <v>760</v>
      </c>
      <c r="B678" t="s">
        <v>638</v>
      </c>
      <c r="C678" t="s">
        <v>75</v>
      </c>
      <c r="D678" t="s">
        <v>63</v>
      </c>
      <c r="E678">
        <v>12.5</v>
      </c>
      <c r="F678">
        <v>15.0</v>
      </c>
      <c r="G678" s="2" t="s">
        <v>67</v>
      </c>
      <c r="H678" s="2">
        <v>86.0</v>
      </c>
      <c r="I678" s="2">
        <v>199.0</v>
      </c>
      <c r="J678" s="37">
        <v>2190.26</v>
      </c>
      <c r="K678" s="2">
        <v>99.0</v>
      </c>
      <c r="L678" s="2">
        <v>441.0</v>
      </c>
      <c r="M678" s="37">
        <v>2796.84</v>
      </c>
    </row>
    <row r="679" ht="14.25" customHeight="1">
      <c r="A679" t="s">
        <v>761</v>
      </c>
      <c r="B679" t="s">
        <v>638</v>
      </c>
      <c r="C679" t="s">
        <v>75</v>
      </c>
      <c r="D679" t="s">
        <v>63</v>
      </c>
      <c r="E679">
        <v>14.0</v>
      </c>
      <c r="F679">
        <v>16.5</v>
      </c>
      <c r="G679" s="2" t="s">
        <v>67</v>
      </c>
      <c r="H679" s="2">
        <v>92.0</v>
      </c>
      <c r="I679" s="2">
        <v>132.0</v>
      </c>
      <c r="J679" s="37">
        <v>2237.92</v>
      </c>
      <c r="K679" s="2">
        <v>107.0</v>
      </c>
      <c r="L679" s="2">
        <v>403.0</v>
      </c>
      <c r="M679" s="37">
        <v>2927.1200000000003</v>
      </c>
    </row>
    <row r="680" ht="14.25" customHeight="1">
      <c r="A680" t="s">
        <v>762</v>
      </c>
      <c r="B680" t="s">
        <v>638</v>
      </c>
      <c r="C680" t="s">
        <v>75</v>
      </c>
      <c r="D680" t="s">
        <v>63</v>
      </c>
      <c r="E680">
        <v>14.0</v>
      </c>
      <c r="F680">
        <v>16.5</v>
      </c>
      <c r="G680" s="2" t="s">
        <v>67</v>
      </c>
      <c r="H680" s="2">
        <v>92.0</v>
      </c>
      <c r="I680" s="2">
        <v>132.0</v>
      </c>
      <c r="J680" s="37">
        <v>2237.92</v>
      </c>
      <c r="K680" s="2">
        <v>107.0</v>
      </c>
      <c r="L680" s="2">
        <v>403.0</v>
      </c>
      <c r="M680" s="37">
        <v>2927.1200000000003</v>
      </c>
    </row>
    <row r="681" ht="14.25" customHeight="1">
      <c r="A681" t="s">
        <v>763</v>
      </c>
      <c r="B681" t="s">
        <v>638</v>
      </c>
      <c r="C681" t="s">
        <v>62</v>
      </c>
      <c r="D681" t="s">
        <v>63</v>
      </c>
      <c r="E681">
        <v>10.0</v>
      </c>
      <c r="F681">
        <v>12.0</v>
      </c>
      <c r="G681" s="2" t="s">
        <v>67</v>
      </c>
      <c r="H681" s="2">
        <v>80.0</v>
      </c>
      <c r="I681" s="2">
        <v>477.0</v>
      </c>
      <c r="J681" s="37">
        <v>2416.9</v>
      </c>
      <c r="K681" s="2">
        <v>90.0</v>
      </c>
      <c r="L681" s="2">
        <v>670.0</v>
      </c>
      <c r="M681" s="37">
        <v>2892.4</v>
      </c>
    </row>
    <row r="682" ht="14.25" customHeight="1">
      <c r="A682" t="s">
        <v>764</v>
      </c>
      <c r="B682" t="s">
        <v>638</v>
      </c>
      <c r="C682" t="s">
        <v>62</v>
      </c>
      <c r="D682" t="s">
        <v>63</v>
      </c>
      <c r="E682">
        <v>10.0</v>
      </c>
      <c r="F682">
        <v>12.0</v>
      </c>
      <c r="G682" s="2" t="s">
        <v>67</v>
      </c>
      <c r="H682" s="2">
        <v>80.0</v>
      </c>
      <c r="I682" s="2">
        <v>477.0</v>
      </c>
      <c r="J682" s="37">
        <v>2416.9</v>
      </c>
      <c r="K682" s="2">
        <v>90.0</v>
      </c>
      <c r="L682" s="2">
        <v>670.0</v>
      </c>
      <c r="M682" s="37">
        <v>2892.4</v>
      </c>
    </row>
    <row r="683" ht="14.25" customHeight="1">
      <c r="A683" t="s">
        <v>765</v>
      </c>
      <c r="B683" t="s">
        <v>638</v>
      </c>
      <c r="C683" t="s">
        <v>62</v>
      </c>
      <c r="D683" t="s">
        <v>63</v>
      </c>
      <c r="E683">
        <v>12.5</v>
      </c>
      <c r="F683">
        <v>15.0</v>
      </c>
      <c r="G683" s="2" t="s">
        <v>67</v>
      </c>
      <c r="H683" s="2">
        <v>94.0</v>
      </c>
      <c r="I683" s="2">
        <v>440.0</v>
      </c>
      <c r="J683" s="37">
        <v>2683.2400000000002</v>
      </c>
      <c r="K683" s="2">
        <v>108.0</v>
      </c>
      <c r="L683" s="2">
        <v>682.0</v>
      </c>
      <c r="M683" s="37">
        <v>3312.28</v>
      </c>
    </row>
    <row r="684" ht="14.25" customHeight="1">
      <c r="A684" t="s">
        <v>766</v>
      </c>
      <c r="B684" t="s">
        <v>638</v>
      </c>
      <c r="C684" t="s">
        <v>62</v>
      </c>
      <c r="D684" t="s">
        <v>63</v>
      </c>
      <c r="E684">
        <v>12.5</v>
      </c>
      <c r="F684">
        <v>15.0</v>
      </c>
      <c r="G684" s="2" t="s">
        <v>67</v>
      </c>
      <c r="H684" s="2">
        <v>94.0</v>
      </c>
      <c r="I684" s="2">
        <v>440.0</v>
      </c>
      <c r="J684" s="37">
        <v>2683.2400000000002</v>
      </c>
      <c r="K684" s="2">
        <v>108.0</v>
      </c>
      <c r="L684" s="2">
        <v>682.0</v>
      </c>
      <c r="M684" s="37">
        <v>3312.28</v>
      </c>
    </row>
    <row r="685" ht="14.25" customHeight="1">
      <c r="A685" t="s">
        <v>767</v>
      </c>
      <c r="B685" t="s">
        <v>638</v>
      </c>
      <c r="C685" t="s">
        <v>62</v>
      </c>
      <c r="D685" t="s">
        <v>63</v>
      </c>
      <c r="E685">
        <v>14.0</v>
      </c>
      <c r="F685">
        <v>16.0</v>
      </c>
      <c r="G685" s="2" t="s">
        <v>67</v>
      </c>
      <c r="H685" s="2">
        <v>93.0</v>
      </c>
      <c r="I685" s="2">
        <v>189.0</v>
      </c>
      <c r="J685" s="37">
        <v>2334.48</v>
      </c>
      <c r="K685" s="2">
        <v>107.0</v>
      </c>
      <c r="L685" s="2">
        <v>460.0</v>
      </c>
      <c r="M685" s="37">
        <v>3001.2200000000003</v>
      </c>
    </row>
    <row r="686" ht="14.25" customHeight="1">
      <c r="A686" t="s">
        <v>768</v>
      </c>
      <c r="B686" t="s">
        <v>638</v>
      </c>
      <c r="C686" t="s">
        <v>62</v>
      </c>
      <c r="D686" t="s">
        <v>63</v>
      </c>
      <c r="E686">
        <v>14.0</v>
      </c>
      <c r="F686">
        <v>16.0</v>
      </c>
      <c r="G686" s="2" t="s">
        <v>67</v>
      </c>
      <c r="H686" s="2">
        <v>93.0</v>
      </c>
      <c r="I686" s="2">
        <v>189.0</v>
      </c>
      <c r="J686" s="37">
        <v>2334.48</v>
      </c>
      <c r="K686" s="2">
        <v>107.0</v>
      </c>
      <c r="L686" s="2">
        <v>460.0</v>
      </c>
      <c r="M686" s="37">
        <v>3001.2200000000003</v>
      </c>
    </row>
    <row r="687" ht="14.25" customHeight="1">
      <c r="A687" t="s">
        <v>769</v>
      </c>
      <c r="B687" t="s">
        <v>638</v>
      </c>
      <c r="C687" t="s">
        <v>62</v>
      </c>
      <c r="D687" t="s">
        <v>63</v>
      </c>
      <c r="E687">
        <v>14.0</v>
      </c>
      <c r="F687">
        <v>16.5</v>
      </c>
      <c r="G687" s="2" t="s">
        <v>67</v>
      </c>
      <c r="H687" s="2">
        <v>102.0</v>
      </c>
      <c r="I687" s="2">
        <v>455.0</v>
      </c>
      <c r="J687" s="37">
        <v>2882.42</v>
      </c>
      <c r="K687" s="2">
        <v>117.0</v>
      </c>
      <c r="L687" s="2">
        <v>726.0</v>
      </c>
      <c r="M687" s="37">
        <v>3571.6200000000003</v>
      </c>
    </row>
    <row r="688" ht="14.25" customHeight="1">
      <c r="A688" t="s">
        <v>770</v>
      </c>
      <c r="B688" t="s">
        <v>638</v>
      </c>
      <c r="C688" t="s">
        <v>62</v>
      </c>
      <c r="D688" t="s">
        <v>63</v>
      </c>
      <c r="E688">
        <v>14.0</v>
      </c>
      <c r="F688">
        <v>16.5</v>
      </c>
      <c r="G688" s="2" t="s">
        <v>67</v>
      </c>
      <c r="H688" s="2">
        <v>102.0</v>
      </c>
      <c r="I688" s="2">
        <v>455.0</v>
      </c>
      <c r="J688" s="37">
        <v>2882.42</v>
      </c>
      <c r="K688" s="2">
        <v>117.0</v>
      </c>
      <c r="L688" s="2">
        <v>726.0</v>
      </c>
      <c r="M688" s="37">
        <v>3571.6200000000003</v>
      </c>
    </row>
    <row r="689" ht="14.25" customHeight="1">
      <c r="A689" t="s">
        <v>771</v>
      </c>
      <c r="B689" t="s">
        <v>638</v>
      </c>
      <c r="C689" t="s">
        <v>62</v>
      </c>
      <c r="D689" t="s">
        <v>63</v>
      </c>
      <c r="E689">
        <v>10.0</v>
      </c>
      <c r="F689">
        <v>12.0</v>
      </c>
      <c r="G689" s="2" t="s">
        <v>67</v>
      </c>
      <c r="H689" s="2">
        <v>72.0</v>
      </c>
      <c r="I689" s="2">
        <v>251.0</v>
      </c>
      <c r="J689" s="37">
        <v>1943.42</v>
      </c>
      <c r="K689" s="2">
        <v>82.0</v>
      </c>
      <c r="L689" s="2">
        <v>444.0</v>
      </c>
      <c r="M689" s="37">
        <v>2418.92</v>
      </c>
    </row>
    <row r="690" ht="14.25" customHeight="1">
      <c r="A690" t="s">
        <v>772</v>
      </c>
      <c r="B690" t="s">
        <v>638</v>
      </c>
      <c r="C690" t="s">
        <v>62</v>
      </c>
      <c r="D690" t="s">
        <v>63</v>
      </c>
      <c r="E690">
        <v>10.0</v>
      </c>
      <c r="F690">
        <v>12.0</v>
      </c>
      <c r="G690" s="2" t="s">
        <v>67</v>
      </c>
      <c r="H690" s="2">
        <v>72.0</v>
      </c>
      <c r="I690" s="2">
        <v>251.0</v>
      </c>
      <c r="J690" s="37">
        <v>1943.42</v>
      </c>
      <c r="K690" s="2">
        <v>82.0</v>
      </c>
      <c r="L690" s="2">
        <v>444.0</v>
      </c>
      <c r="M690" s="37">
        <v>2418.92</v>
      </c>
    </row>
    <row r="691" ht="14.25" customHeight="1">
      <c r="A691" t="s">
        <v>773</v>
      </c>
      <c r="B691" t="s">
        <v>638</v>
      </c>
      <c r="C691" t="s">
        <v>62</v>
      </c>
      <c r="D691" t="s">
        <v>63</v>
      </c>
      <c r="E691">
        <v>12.5</v>
      </c>
      <c r="F691">
        <v>15.0</v>
      </c>
      <c r="G691" s="2" t="s">
        <v>67</v>
      </c>
      <c r="H691" s="2">
        <v>83.0</v>
      </c>
      <c r="I691" s="2">
        <v>211.0</v>
      </c>
      <c r="J691" s="37">
        <v>2138.48</v>
      </c>
      <c r="K691" s="2">
        <v>96.0</v>
      </c>
      <c r="L691" s="2">
        <v>453.0</v>
      </c>
      <c r="M691" s="37">
        <v>2745.06</v>
      </c>
    </row>
    <row r="692" ht="14.25" customHeight="1">
      <c r="A692" t="s">
        <v>774</v>
      </c>
      <c r="B692" t="s">
        <v>638</v>
      </c>
      <c r="C692" t="s">
        <v>62</v>
      </c>
      <c r="D692" t="s">
        <v>63</v>
      </c>
      <c r="E692">
        <v>12.5</v>
      </c>
      <c r="F692">
        <v>15.0</v>
      </c>
      <c r="G692" s="2" t="s">
        <v>67</v>
      </c>
      <c r="H692" s="2">
        <v>83.0</v>
      </c>
      <c r="I692" s="2">
        <v>211.0</v>
      </c>
      <c r="J692" s="37">
        <v>2138.48</v>
      </c>
      <c r="K692" s="2">
        <v>96.0</v>
      </c>
      <c r="L692" s="2">
        <v>453.0</v>
      </c>
      <c r="M692" s="37">
        <v>2745.06</v>
      </c>
    </row>
    <row r="693" ht="14.25" customHeight="1">
      <c r="A693" t="s">
        <v>775</v>
      </c>
      <c r="B693" t="s">
        <v>638</v>
      </c>
      <c r="C693" t="s">
        <v>62</v>
      </c>
      <c r="D693" t="s">
        <v>63</v>
      </c>
      <c r="E693">
        <v>14.0</v>
      </c>
      <c r="F693">
        <v>16.5</v>
      </c>
      <c r="G693" s="2" t="s">
        <v>67</v>
      </c>
      <c r="H693" s="2">
        <v>90.0</v>
      </c>
      <c r="I693" s="2">
        <v>216.0</v>
      </c>
      <c r="J693" s="37">
        <v>2302.2000000000003</v>
      </c>
      <c r="K693" s="2">
        <v>105.0</v>
      </c>
      <c r="L693" s="2">
        <v>487.0</v>
      </c>
      <c r="M693" s="37">
        <v>2991.4</v>
      </c>
    </row>
    <row r="694" ht="14.25" customHeight="1">
      <c r="A694" t="s">
        <v>776</v>
      </c>
      <c r="B694" t="s">
        <v>638</v>
      </c>
      <c r="C694" t="s">
        <v>62</v>
      </c>
      <c r="D694" t="s">
        <v>63</v>
      </c>
      <c r="E694">
        <v>14.0</v>
      </c>
      <c r="F694">
        <v>16.5</v>
      </c>
      <c r="G694" s="2" t="s">
        <v>67</v>
      </c>
      <c r="H694" s="2">
        <v>90.0</v>
      </c>
      <c r="I694" s="2">
        <v>216.0</v>
      </c>
      <c r="J694" s="37">
        <v>2302.2000000000003</v>
      </c>
      <c r="K694" s="2">
        <v>105.0</v>
      </c>
      <c r="L694" s="2">
        <v>487.0</v>
      </c>
      <c r="M694" s="37">
        <v>2991.4</v>
      </c>
    </row>
    <row r="695" ht="14.25" customHeight="1">
      <c r="A695" t="s">
        <v>777</v>
      </c>
      <c r="B695" t="s">
        <v>638</v>
      </c>
      <c r="C695" t="s">
        <v>62</v>
      </c>
      <c r="D695" t="s">
        <v>63</v>
      </c>
      <c r="E695">
        <v>2.46</v>
      </c>
      <c r="F695">
        <v>2.9</v>
      </c>
      <c r="G695" s="2" t="s">
        <v>64</v>
      </c>
      <c r="H695" s="2">
        <v>0.0</v>
      </c>
      <c r="I695" s="2">
        <v>0.0</v>
      </c>
      <c r="J695" s="37">
        <v>0.0</v>
      </c>
      <c r="K695" s="2">
        <v>0.0</v>
      </c>
      <c r="L695" s="2">
        <v>0.0</v>
      </c>
      <c r="M695" s="37">
        <v>0.0</v>
      </c>
    </row>
    <row r="696" ht="14.25" customHeight="1">
      <c r="A696" t="s">
        <v>778</v>
      </c>
      <c r="B696" t="s">
        <v>638</v>
      </c>
      <c r="C696" t="s">
        <v>62</v>
      </c>
      <c r="D696" t="s">
        <v>63</v>
      </c>
      <c r="E696">
        <v>3.5</v>
      </c>
      <c r="F696">
        <v>4.52</v>
      </c>
      <c r="G696" s="2" t="s">
        <v>64</v>
      </c>
      <c r="H696" s="2">
        <v>0.0</v>
      </c>
      <c r="I696" s="2">
        <v>0.0</v>
      </c>
      <c r="J696" s="37">
        <v>0.0</v>
      </c>
      <c r="K696" s="2">
        <v>0.0</v>
      </c>
      <c r="L696" s="2">
        <v>0.0</v>
      </c>
      <c r="M696" s="37">
        <v>0.0</v>
      </c>
    </row>
    <row r="697" ht="14.25" customHeight="1">
      <c r="A697" t="s">
        <v>779</v>
      </c>
      <c r="B697" t="s">
        <v>638</v>
      </c>
      <c r="C697" t="s">
        <v>62</v>
      </c>
      <c r="D697" t="s">
        <v>63</v>
      </c>
      <c r="E697">
        <v>4.5</v>
      </c>
      <c r="F697">
        <v>5.56</v>
      </c>
      <c r="G697" s="2" t="s">
        <v>64</v>
      </c>
      <c r="H697" s="2">
        <v>0.0</v>
      </c>
      <c r="I697" s="2">
        <v>0.0</v>
      </c>
      <c r="J697" s="37">
        <v>0.0</v>
      </c>
      <c r="K697" s="2">
        <v>0.0</v>
      </c>
      <c r="L697" s="2">
        <v>0.0</v>
      </c>
      <c r="M697" s="37">
        <v>0.0</v>
      </c>
    </row>
    <row r="698" ht="14.25" customHeight="1">
      <c r="A698" t="s">
        <v>780</v>
      </c>
      <c r="B698" t="s">
        <v>638</v>
      </c>
      <c r="C698" t="s">
        <v>62</v>
      </c>
      <c r="D698" t="s">
        <v>63</v>
      </c>
      <c r="E698">
        <v>5.0</v>
      </c>
      <c r="F698">
        <v>5.8</v>
      </c>
      <c r="G698" s="2" t="s">
        <v>67</v>
      </c>
      <c r="H698" s="2">
        <v>32.0</v>
      </c>
      <c r="I698" s="2">
        <v>147.0</v>
      </c>
      <c r="J698" s="37">
        <v>909.82</v>
      </c>
      <c r="K698" s="2">
        <v>37.0</v>
      </c>
      <c r="L698" s="2">
        <v>233.0</v>
      </c>
      <c r="M698" s="37">
        <v>1133.92</v>
      </c>
    </row>
    <row r="699" ht="14.25" customHeight="1">
      <c r="A699" t="s">
        <v>781</v>
      </c>
      <c r="B699" t="s">
        <v>638</v>
      </c>
      <c r="C699" t="s">
        <v>62</v>
      </c>
      <c r="D699" t="s">
        <v>63</v>
      </c>
      <c r="E699">
        <v>6.0</v>
      </c>
      <c r="F699">
        <v>7.0</v>
      </c>
      <c r="G699" s="2" t="s">
        <v>64</v>
      </c>
      <c r="H699" s="2">
        <v>0.0</v>
      </c>
      <c r="I699" s="2">
        <v>0.0</v>
      </c>
      <c r="J699" s="37">
        <v>0.0</v>
      </c>
      <c r="K699" s="2">
        <v>0.0</v>
      </c>
      <c r="L699" s="2">
        <v>0.0</v>
      </c>
      <c r="M699" s="37">
        <v>0.0</v>
      </c>
    </row>
    <row r="700" ht="14.25" customHeight="1">
      <c r="A700" t="s">
        <v>782</v>
      </c>
      <c r="B700" t="s">
        <v>638</v>
      </c>
      <c r="C700" t="s">
        <v>62</v>
      </c>
      <c r="D700" t="s">
        <v>63</v>
      </c>
      <c r="E700">
        <v>7.1</v>
      </c>
      <c r="F700">
        <v>7.65</v>
      </c>
      <c r="G700" s="2" t="s">
        <v>64</v>
      </c>
      <c r="H700" s="2">
        <v>0.0</v>
      </c>
      <c r="I700" s="2">
        <v>0.0</v>
      </c>
      <c r="J700" s="37">
        <v>0.0</v>
      </c>
      <c r="K700" s="2">
        <v>0.0</v>
      </c>
      <c r="L700" s="2">
        <v>0.0</v>
      </c>
      <c r="M700" s="37">
        <v>0.0</v>
      </c>
    </row>
    <row r="701" ht="14.25" customHeight="1">
      <c r="A701" t="s">
        <v>783</v>
      </c>
      <c r="B701" t="s">
        <v>629</v>
      </c>
      <c r="C701" t="s">
        <v>75</v>
      </c>
      <c r="D701" t="s">
        <v>63</v>
      </c>
      <c r="E701">
        <v>10.0</v>
      </c>
      <c r="F701">
        <v>12.0</v>
      </c>
      <c r="G701" s="2" t="s">
        <v>67</v>
      </c>
      <c r="H701" s="2">
        <v>70.0</v>
      </c>
      <c r="I701" s="2">
        <v>244.0</v>
      </c>
      <c r="J701" s="37">
        <v>1889.4</v>
      </c>
      <c r="K701" s="2">
        <v>81.0</v>
      </c>
      <c r="L701" s="2">
        <v>438.0</v>
      </c>
      <c r="M701" s="37">
        <v>2388.66</v>
      </c>
    </row>
    <row r="702" ht="14.25" customHeight="1">
      <c r="A702" t="s">
        <v>784</v>
      </c>
      <c r="B702" t="s">
        <v>629</v>
      </c>
      <c r="C702" t="s">
        <v>75</v>
      </c>
      <c r="D702" t="s">
        <v>63</v>
      </c>
      <c r="E702">
        <v>10.0</v>
      </c>
      <c r="F702">
        <v>12.0</v>
      </c>
      <c r="G702" s="2" t="s">
        <v>67</v>
      </c>
      <c r="H702" s="2">
        <v>70.0</v>
      </c>
      <c r="I702" s="2">
        <v>244.0</v>
      </c>
      <c r="J702" s="37">
        <v>1889.4</v>
      </c>
      <c r="K702" s="2">
        <v>81.0</v>
      </c>
      <c r="L702" s="2">
        <v>438.0</v>
      </c>
      <c r="M702" s="37">
        <v>2388.66</v>
      </c>
    </row>
    <row r="703" ht="14.25" customHeight="1">
      <c r="A703" t="s">
        <v>785</v>
      </c>
      <c r="B703" t="s">
        <v>629</v>
      </c>
      <c r="C703" t="s">
        <v>75</v>
      </c>
      <c r="D703" t="s">
        <v>63</v>
      </c>
      <c r="E703">
        <v>12.5</v>
      </c>
      <c r="F703">
        <v>15.0</v>
      </c>
      <c r="G703" s="2" t="s">
        <v>67</v>
      </c>
      <c r="H703" s="2">
        <v>85.0</v>
      </c>
      <c r="I703" s="2">
        <v>147.0</v>
      </c>
      <c r="J703" s="37">
        <v>2100.2000000000003</v>
      </c>
      <c r="K703" s="2">
        <v>98.0</v>
      </c>
      <c r="L703" s="2">
        <v>389.0</v>
      </c>
      <c r="M703" s="37">
        <v>2706.7799999999997</v>
      </c>
    </row>
    <row r="704" ht="14.25" customHeight="1">
      <c r="A704" t="s">
        <v>786</v>
      </c>
      <c r="B704" t="s">
        <v>629</v>
      </c>
      <c r="C704" t="s">
        <v>75</v>
      </c>
      <c r="D704" t="s">
        <v>63</v>
      </c>
      <c r="E704">
        <v>12.5</v>
      </c>
      <c r="F704">
        <v>15.0</v>
      </c>
      <c r="G704" s="2" t="s">
        <v>67</v>
      </c>
      <c r="H704" s="2">
        <v>85.0</v>
      </c>
      <c r="I704" s="2">
        <v>147.0</v>
      </c>
      <c r="J704" s="37">
        <v>2100.2000000000003</v>
      </c>
      <c r="K704" s="2">
        <v>98.0</v>
      </c>
      <c r="L704" s="2">
        <v>389.0</v>
      </c>
      <c r="M704" s="37">
        <v>2706.7799999999997</v>
      </c>
    </row>
    <row r="705" ht="14.25" customHeight="1">
      <c r="A705" t="s">
        <v>787</v>
      </c>
      <c r="B705" t="s">
        <v>629</v>
      </c>
      <c r="C705" t="s">
        <v>75</v>
      </c>
      <c r="D705" t="s">
        <v>63</v>
      </c>
      <c r="E705">
        <v>14.0</v>
      </c>
      <c r="F705">
        <v>16.5</v>
      </c>
      <c r="G705" s="2" t="s">
        <v>67</v>
      </c>
      <c r="H705" s="2">
        <v>90.0</v>
      </c>
      <c r="I705" s="2">
        <v>31.0</v>
      </c>
      <c r="J705" s="37">
        <v>2061.7000000000003</v>
      </c>
      <c r="K705" s="2">
        <v>105.0</v>
      </c>
      <c r="L705" s="2">
        <v>302.0</v>
      </c>
      <c r="M705" s="37">
        <v>2750.9</v>
      </c>
    </row>
    <row r="706" ht="14.25" customHeight="1">
      <c r="A706" t="s">
        <v>788</v>
      </c>
      <c r="B706" t="s">
        <v>629</v>
      </c>
      <c r="C706" t="s">
        <v>75</v>
      </c>
      <c r="D706" t="s">
        <v>63</v>
      </c>
      <c r="E706">
        <v>14.0</v>
      </c>
      <c r="F706">
        <v>16.5</v>
      </c>
      <c r="G706" s="2" t="s">
        <v>67</v>
      </c>
      <c r="H706" s="2">
        <v>90.0</v>
      </c>
      <c r="I706" s="2">
        <v>31.0</v>
      </c>
      <c r="J706" s="37">
        <v>2061.7000000000003</v>
      </c>
      <c r="K706" s="2">
        <v>105.0</v>
      </c>
      <c r="L706" s="2">
        <v>302.0</v>
      </c>
      <c r="M706" s="37">
        <v>2750.9</v>
      </c>
    </row>
    <row r="707" ht="14.25" customHeight="1">
      <c r="A707" t="s">
        <v>789</v>
      </c>
      <c r="B707" t="s">
        <v>638</v>
      </c>
      <c r="C707" t="s">
        <v>75</v>
      </c>
      <c r="D707" t="s">
        <v>63</v>
      </c>
      <c r="E707">
        <v>2.5</v>
      </c>
      <c r="F707">
        <v>3.5</v>
      </c>
      <c r="G707" s="2" t="s">
        <v>64</v>
      </c>
      <c r="H707" s="2">
        <v>0.0</v>
      </c>
      <c r="I707" s="2">
        <v>0.0</v>
      </c>
      <c r="J707" s="37">
        <v>0.0</v>
      </c>
      <c r="K707" s="2">
        <v>0.0</v>
      </c>
      <c r="L707" s="2">
        <v>0.0</v>
      </c>
      <c r="M707" s="37">
        <v>0.0</v>
      </c>
    </row>
    <row r="708" ht="14.25" customHeight="1">
      <c r="A708" t="s">
        <v>790</v>
      </c>
      <c r="B708" t="s">
        <v>638</v>
      </c>
      <c r="C708" t="s">
        <v>75</v>
      </c>
      <c r="D708" t="s">
        <v>63</v>
      </c>
      <c r="E708">
        <v>3.5</v>
      </c>
      <c r="F708">
        <v>4.0</v>
      </c>
      <c r="G708" s="2" t="s">
        <v>64</v>
      </c>
      <c r="H708" s="2">
        <v>0.0</v>
      </c>
      <c r="I708" s="2">
        <v>0.0</v>
      </c>
      <c r="J708" s="37">
        <v>0.0</v>
      </c>
      <c r="K708" s="2">
        <v>0.0</v>
      </c>
      <c r="L708" s="2">
        <v>0.0</v>
      </c>
      <c r="M708" s="37">
        <v>0.0</v>
      </c>
    </row>
    <row r="709" ht="14.25" customHeight="1">
      <c r="A709" t="s">
        <v>791</v>
      </c>
      <c r="B709" t="s">
        <v>638</v>
      </c>
      <c r="C709" t="s">
        <v>75</v>
      </c>
      <c r="D709" t="s">
        <v>63</v>
      </c>
      <c r="E709">
        <v>5.0</v>
      </c>
      <c r="F709">
        <v>6.0</v>
      </c>
      <c r="G709" s="2" t="s">
        <v>67</v>
      </c>
      <c r="H709" s="2">
        <v>31.0</v>
      </c>
      <c r="I709" s="2">
        <v>136.0</v>
      </c>
      <c r="J709" s="37">
        <v>873.06</v>
      </c>
      <c r="K709" s="2">
        <v>37.0</v>
      </c>
      <c r="L709" s="2">
        <v>233.0</v>
      </c>
      <c r="M709" s="37">
        <v>1133.92</v>
      </c>
    </row>
    <row r="710" ht="14.25" customHeight="1">
      <c r="A710" t="s">
        <v>792</v>
      </c>
      <c r="B710" t="s">
        <v>638</v>
      </c>
      <c r="C710" t="s">
        <v>75</v>
      </c>
      <c r="D710" t="s">
        <v>63</v>
      </c>
      <c r="E710">
        <v>6.0</v>
      </c>
      <c r="F710">
        <v>7.0</v>
      </c>
      <c r="G710" s="2" t="s">
        <v>67</v>
      </c>
      <c r="H710" s="2">
        <v>40.0</v>
      </c>
      <c r="I710" s="2">
        <v>132.0</v>
      </c>
      <c r="J710" s="37">
        <v>1070.0</v>
      </c>
      <c r="K710" s="2">
        <v>47.0</v>
      </c>
      <c r="L710" s="2">
        <v>248.0</v>
      </c>
      <c r="M710" s="37">
        <v>1378.0200000000002</v>
      </c>
    </row>
    <row r="711" ht="14.25" customHeight="1">
      <c r="A711" t="s">
        <v>793</v>
      </c>
      <c r="B711" t="s">
        <v>638</v>
      </c>
      <c r="C711" t="s">
        <v>75</v>
      </c>
      <c r="D711" t="s">
        <v>63</v>
      </c>
      <c r="E711">
        <v>7.1</v>
      </c>
      <c r="F711">
        <v>8.0</v>
      </c>
      <c r="G711" s="2" t="s">
        <v>64</v>
      </c>
      <c r="H711" s="2">
        <v>0.0</v>
      </c>
      <c r="I711" s="2">
        <v>0.0</v>
      </c>
      <c r="J711" s="37">
        <v>0.0</v>
      </c>
      <c r="K711" s="2">
        <v>0.0</v>
      </c>
      <c r="L711" s="2">
        <v>0.0</v>
      </c>
      <c r="M711" s="37">
        <v>0.0</v>
      </c>
    </row>
    <row r="712" ht="14.25" customHeight="1">
      <c r="A712" t="s">
        <v>794</v>
      </c>
      <c r="B712" t="s">
        <v>638</v>
      </c>
      <c r="C712" t="s">
        <v>62</v>
      </c>
      <c r="D712" t="s">
        <v>63</v>
      </c>
      <c r="E712">
        <v>5.0</v>
      </c>
      <c r="F712">
        <v>6.0</v>
      </c>
      <c r="G712" s="2" t="s">
        <v>64</v>
      </c>
      <c r="H712" s="2">
        <v>0.0</v>
      </c>
      <c r="I712" s="2">
        <v>0.0</v>
      </c>
      <c r="J712" s="37">
        <v>0.0</v>
      </c>
      <c r="K712" s="2">
        <v>0.0</v>
      </c>
      <c r="L712" s="2">
        <v>0.0</v>
      </c>
      <c r="M712" s="37">
        <v>0.0</v>
      </c>
    </row>
    <row r="713" ht="14.25" customHeight="1">
      <c r="A713" t="s">
        <v>795</v>
      </c>
      <c r="B713" t="s">
        <v>638</v>
      </c>
      <c r="C713" t="s">
        <v>62</v>
      </c>
      <c r="D713" t="s">
        <v>63</v>
      </c>
      <c r="E713">
        <v>6.0</v>
      </c>
      <c r="F713">
        <v>7.1</v>
      </c>
      <c r="G713" s="2" t="s">
        <v>64</v>
      </c>
      <c r="H713" s="2">
        <v>0.0</v>
      </c>
      <c r="I713" s="2">
        <v>0.0</v>
      </c>
      <c r="J713" s="37">
        <v>0.0</v>
      </c>
      <c r="K713" s="2">
        <v>0.0</v>
      </c>
      <c r="L713" s="2">
        <v>0.0</v>
      </c>
      <c r="M713" s="37">
        <v>0.0</v>
      </c>
    </row>
    <row r="714" ht="14.25" customHeight="1">
      <c r="A714" t="s">
        <v>796</v>
      </c>
      <c r="B714" t="s">
        <v>638</v>
      </c>
      <c r="C714" t="s">
        <v>62</v>
      </c>
      <c r="D714" t="s">
        <v>63</v>
      </c>
      <c r="E714">
        <v>7.1</v>
      </c>
      <c r="F714">
        <v>8.0</v>
      </c>
      <c r="G714" s="2" t="s">
        <v>64</v>
      </c>
      <c r="H714" s="2">
        <v>0.0</v>
      </c>
      <c r="I714" s="2">
        <v>0.0</v>
      </c>
      <c r="J714" s="37">
        <v>0.0</v>
      </c>
      <c r="K714" s="2">
        <v>0.0</v>
      </c>
      <c r="L714" s="2">
        <v>0.0</v>
      </c>
      <c r="M714" s="37">
        <v>0.0</v>
      </c>
    </row>
    <row r="715" ht="14.25" customHeight="1">
      <c r="A715" t="s">
        <v>797</v>
      </c>
      <c r="B715" t="s">
        <v>638</v>
      </c>
      <c r="C715" t="s">
        <v>62</v>
      </c>
      <c r="D715" t="s">
        <v>63</v>
      </c>
      <c r="E715">
        <v>8.5</v>
      </c>
      <c r="F715">
        <v>10.0</v>
      </c>
      <c r="G715" s="2" t="s">
        <v>64</v>
      </c>
      <c r="H715" s="2">
        <v>0.0</v>
      </c>
      <c r="I715" s="2">
        <v>0.0</v>
      </c>
      <c r="J715" s="37">
        <v>0.0</v>
      </c>
      <c r="K715" s="2">
        <v>0.0</v>
      </c>
      <c r="L715" s="2">
        <v>0.0</v>
      </c>
      <c r="M715" s="37">
        <v>0.0</v>
      </c>
    </row>
    <row r="716" ht="14.25" customHeight="1">
      <c r="A716" t="s">
        <v>798</v>
      </c>
      <c r="B716" t="s">
        <v>638</v>
      </c>
      <c r="C716" t="s">
        <v>62</v>
      </c>
      <c r="D716" t="s">
        <v>63</v>
      </c>
      <c r="E716">
        <v>10.0</v>
      </c>
      <c r="F716">
        <v>11.2</v>
      </c>
      <c r="G716" s="2" t="s">
        <v>64</v>
      </c>
      <c r="H716" s="2">
        <v>0.0</v>
      </c>
      <c r="I716" s="2">
        <v>0.0</v>
      </c>
      <c r="J716" s="37">
        <v>0.0</v>
      </c>
      <c r="K716" s="2">
        <v>0.0</v>
      </c>
      <c r="L716" s="2">
        <v>0.0</v>
      </c>
      <c r="M716" s="37">
        <v>0.0</v>
      </c>
    </row>
    <row r="717" ht="14.25" customHeight="1">
      <c r="A717" t="s">
        <v>799</v>
      </c>
      <c r="B717" t="s">
        <v>638</v>
      </c>
      <c r="C717" t="s">
        <v>62</v>
      </c>
      <c r="D717" t="s">
        <v>63</v>
      </c>
      <c r="E717">
        <v>7.1</v>
      </c>
      <c r="F717">
        <v>8.0</v>
      </c>
      <c r="G717" s="2" t="s">
        <v>64</v>
      </c>
      <c r="H717" s="2">
        <v>0.0</v>
      </c>
      <c r="I717" s="2">
        <v>0.0</v>
      </c>
      <c r="J717" s="37">
        <v>0.0</v>
      </c>
      <c r="K717" s="2">
        <v>0.0</v>
      </c>
      <c r="L717" s="2">
        <v>0.0</v>
      </c>
      <c r="M717" s="37">
        <v>0.0</v>
      </c>
    </row>
    <row r="718" ht="14.25" customHeight="1">
      <c r="A718" t="s">
        <v>800</v>
      </c>
      <c r="B718" t="s">
        <v>638</v>
      </c>
      <c r="C718" t="s">
        <v>62</v>
      </c>
      <c r="D718" t="s">
        <v>63</v>
      </c>
      <c r="E718">
        <v>8.5</v>
      </c>
      <c r="F718">
        <v>10.0</v>
      </c>
      <c r="G718" s="2" t="s">
        <v>64</v>
      </c>
      <c r="H718" s="2">
        <v>0.0</v>
      </c>
      <c r="I718" s="2">
        <v>0.0</v>
      </c>
      <c r="J718" s="37">
        <v>0.0</v>
      </c>
      <c r="K718" s="2">
        <v>0.0</v>
      </c>
      <c r="L718" s="2">
        <v>0.0</v>
      </c>
      <c r="M718" s="37">
        <v>0.0</v>
      </c>
    </row>
    <row r="719" ht="14.25" customHeight="1">
      <c r="A719" t="s">
        <v>801</v>
      </c>
      <c r="B719" t="s">
        <v>638</v>
      </c>
      <c r="C719" t="s">
        <v>62</v>
      </c>
      <c r="D719" t="s">
        <v>63</v>
      </c>
      <c r="E719">
        <v>10.0</v>
      </c>
      <c r="F719">
        <v>11.2</v>
      </c>
      <c r="G719" s="2" t="s">
        <v>64</v>
      </c>
      <c r="H719" s="2">
        <v>0.0</v>
      </c>
      <c r="I719" s="2">
        <v>0.0</v>
      </c>
      <c r="J719" s="37">
        <v>0.0</v>
      </c>
      <c r="K719" s="2">
        <v>0.0</v>
      </c>
      <c r="L719" s="2">
        <v>0.0</v>
      </c>
      <c r="M719" s="37">
        <v>0.0</v>
      </c>
    </row>
    <row r="720" ht="14.25" customHeight="1">
      <c r="A720" t="s">
        <v>802</v>
      </c>
      <c r="B720" t="s">
        <v>638</v>
      </c>
      <c r="C720" t="s">
        <v>62</v>
      </c>
      <c r="D720" t="s">
        <v>63</v>
      </c>
      <c r="E720">
        <v>2.2</v>
      </c>
      <c r="F720">
        <v>2.7</v>
      </c>
      <c r="G720" s="2" t="s">
        <v>67</v>
      </c>
      <c r="H720" s="2">
        <v>14.0</v>
      </c>
      <c r="I720" s="2">
        <v>104.0</v>
      </c>
      <c r="J720" s="37">
        <v>449.64</v>
      </c>
      <c r="K720" s="2">
        <v>16.0</v>
      </c>
      <c r="L720" s="2">
        <v>137.0</v>
      </c>
      <c r="M720" s="37">
        <v>537.46</v>
      </c>
    </row>
    <row r="721" ht="14.25" customHeight="1">
      <c r="A721" t="s">
        <v>803</v>
      </c>
      <c r="B721" t="s">
        <v>638</v>
      </c>
      <c r="C721" t="s">
        <v>62</v>
      </c>
      <c r="D721" t="s">
        <v>63</v>
      </c>
      <c r="E721">
        <v>2.5</v>
      </c>
      <c r="F721">
        <v>3.2</v>
      </c>
      <c r="G721" s="2" t="s">
        <v>67</v>
      </c>
      <c r="H721" s="2">
        <v>17.0</v>
      </c>
      <c r="I721" s="2">
        <v>122.0</v>
      </c>
      <c r="J721" s="37">
        <v>540.42</v>
      </c>
      <c r="K721" s="2">
        <v>19.0</v>
      </c>
      <c r="L721" s="2">
        <v>160.0</v>
      </c>
      <c r="M721" s="37">
        <v>634.74</v>
      </c>
    </row>
    <row r="722" ht="14.25" customHeight="1">
      <c r="A722" t="s">
        <v>804</v>
      </c>
      <c r="B722" t="s">
        <v>638</v>
      </c>
      <c r="C722" t="s">
        <v>62</v>
      </c>
      <c r="D722" t="s">
        <v>63</v>
      </c>
      <c r="E722">
        <v>3.5</v>
      </c>
      <c r="F722">
        <v>3.7</v>
      </c>
      <c r="G722" s="2" t="s">
        <v>67</v>
      </c>
      <c r="H722" s="2">
        <v>19.0</v>
      </c>
      <c r="I722" s="2">
        <v>87.0</v>
      </c>
      <c r="J722" s="37">
        <v>539.84</v>
      </c>
      <c r="K722" s="2">
        <v>22.0</v>
      </c>
      <c r="L722" s="2">
        <v>140.0</v>
      </c>
      <c r="M722" s="37">
        <v>676.12</v>
      </c>
    </row>
    <row r="723" ht="14.25" customHeight="1">
      <c r="A723" t="s">
        <v>805</v>
      </c>
      <c r="B723" t="s">
        <v>638</v>
      </c>
      <c r="C723" t="s">
        <v>62</v>
      </c>
      <c r="D723" t="s">
        <v>63</v>
      </c>
      <c r="E723">
        <v>4.6</v>
      </c>
      <c r="F723">
        <v>4.7</v>
      </c>
      <c r="G723" s="2" t="s">
        <v>67</v>
      </c>
      <c r="H723" s="2">
        <v>29.0</v>
      </c>
      <c r="I723" s="2">
        <v>147.0</v>
      </c>
      <c r="J723" s="37">
        <v>842.44</v>
      </c>
      <c r="K723" s="2">
        <v>33.0</v>
      </c>
      <c r="L723" s="2">
        <v>227.0</v>
      </c>
      <c r="M723" s="37">
        <v>1036.2800000000002</v>
      </c>
    </row>
    <row r="724" ht="14.25" customHeight="1">
      <c r="A724" t="s">
        <v>806</v>
      </c>
      <c r="B724" t="s">
        <v>638</v>
      </c>
      <c r="C724" t="s">
        <v>62</v>
      </c>
      <c r="D724" t="s">
        <v>63</v>
      </c>
      <c r="E724">
        <v>5.0</v>
      </c>
      <c r="F724">
        <v>6.0</v>
      </c>
      <c r="G724" s="2" t="s">
        <v>67</v>
      </c>
      <c r="H724" s="2">
        <v>37.0</v>
      </c>
      <c r="I724" s="2">
        <v>237.0</v>
      </c>
      <c r="J724" s="37">
        <v>1139.12</v>
      </c>
      <c r="K724" s="2">
        <v>42.0</v>
      </c>
      <c r="L724" s="2">
        <v>323.0</v>
      </c>
      <c r="M724" s="37">
        <v>1363.22</v>
      </c>
    </row>
    <row r="725" ht="14.25" customHeight="1">
      <c r="A725" t="s">
        <v>807</v>
      </c>
      <c r="B725" t="s">
        <v>638</v>
      </c>
      <c r="C725" t="s">
        <v>62</v>
      </c>
      <c r="D725" t="s">
        <v>63</v>
      </c>
      <c r="E725">
        <v>6.0</v>
      </c>
      <c r="F725">
        <v>7.2</v>
      </c>
      <c r="G725" s="2" t="s">
        <v>67</v>
      </c>
      <c r="H725" s="2">
        <v>43.0</v>
      </c>
      <c r="I725" s="2">
        <v>214.0</v>
      </c>
      <c r="J725" s="37">
        <v>1243.98</v>
      </c>
      <c r="K725" s="2">
        <v>48.0</v>
      </c>
      <c r="L725" s="2">
        <v>318.0</v>
      </c>
      <c r="M725" s="37">
        <v>1491.48</v>
      </c>
    </row>
    <row r="726" ht="14.25" customHeight="1">
      <c r="A726" t="s">
        <v>808</v>
      </c>
      <c r="B726" t="s">
        <v>638</v>
      </c>
      <c r="C726" t="s">
        <v>62</v>
      </c>
      <c r="D726" t="s">
        <v>63</v>
      </c>
      <c r="E726">
        <v>7.1</v>
      </c>
      <c r="F726">
        <v>8.0</v>
      </c>
      <c r="G726" s="2" t="s">
        <v>67</v>
      </c>
      <c r="H726" s="2">
        <v>44.0</v>
      </c>
      <c r="I726" s="2">
        <v>114.0</v>
      </c>
      <c r="J726" s="37">
        <v>1136.44</v>
      </c>
      <c r="K726" s="2">
        <v>51.0</v>
      </c>
      <c r="L726" s="2">
        <v>237.0</v>
      </c>
      <c r="M726" s="37">
        <v>1453.56</v>
      </c>
    </row>
    <row r="727" ht="14.25" customHeight="1">
      <c r="A727" t="s">
        <v>809</v>
      </c>
      <c r="B727" t="s">
        <v>638</v>
      </c>
      <c r="C727" t="s">
        <v>62</v>
      </c>
      <c r="D727" t="s">
        <v>63</v>
      </c>
      <c r="E727">
        <v>5.0</v>
      </c>
      <c r="F727">
        <v>6.0</v>
      </c>
      <c r="G727" s="2" t="s">
        <v>64</v>
      </c>
      <c r="H727" s="2">
        <v>0.0</v>
      </c>
      <c r="I727" s="2">
        <v>0.0</v>
      </c>
      <c r="J727" s="37">
        <v>0.0</v>
      </c>
      <c r="K727" s="2">
        <v>0.0</v>
      </c>
      <c r="L727" s="2">
        <v>0.0</v>
      </c>
      <c r="M727" s="37">
        <v>0.0</v>
      </c>
    </row>
    <row r="728" ht="14.25" customHeight="1">
      <c r="A728" t="s">
        <v>810</v>
      </c>
      <c r="B728" t="s">
        <v>638</v>
      </c>
      <c r="C728" t="s">
        <v>62</v>
      </c>
      <c r="D728" t="s">
        <v>63</v>
      </c>
      <c r="E728">
        <v>6.0</v>
      </c>
      <c r="F728">
        <v>7.1</v>
      </c>
      <c r="G728" s="2" t="s">
        <v>67</v>
      </c>
      <c r="H728" s="2">
        <v>42.0</v>
      </c>
      <c r="I728" s="2">
        <v>242.0</v>
      </c>
      <c r="J728" s="37">
        <v>1257.92</v>
      </c>
      <c r="K728" s="2">
        <v>48.0</v>
      </c>
      <c r="L728" s="2">
        <v>346.0</v>
      </c>
      <c r="M728" s="37">
        <v>1527.8799999999999</v>
      </c>
    </row>
    <row r="729" ht="14.25" customHeight="1">
      <c r="A729" t="s">
        <v>811</v>
      </c>
      <c r="B729" t="s">
        <v>638</v>
      </c>
      <c r="C729" t="s">
        <v>62</v>
      </c>
      <c r="D729" t="s">
        <v>63</v>
      </c>
      <c r="E729">
        <v>7.1</v>
      </c>
      <c r="F729">
        <v>8.0</v>
      </c>
      <c r="G729" s="2" t="s">
        <v>64</v>
      </c>
      <c r="H729" s="2">
        <v>0.0</v>
      </c>
      <c r="I729" s="2">
        <v>0.0</v>
      </c>
      <c r="J729" s="37">
        <v>0.0</v>
      </c>
      <c r="K729" s="2">
        <v>0.0</v>
      </c>
      <c r="L729" s="2">
        <v>0.0</v>
      </c>
      <c r="M729" s="37">
        <v>0.0</v>
      </c>
    </row>
    <row r="730" ht="14.25" customHeight="1">
      <c r="A730" t="s">
        <v>812</v>
      </c>
      <c r="B730" t="s">
        <v>638</v>
      </c>
      <c r="C730" t="s">
        <v>62</v>
      </c>
      <c r="D730" t="s">
        <v>63</v>
      </c>
      <c r="E730">
        <v>8.5</v>
      </c>
      <c r="F730">
        <v>10.0</v>
      </c>
      <c r="G730" s="2" t="s">
        <v>64</v>
      </c>
      <c r="H730" s="2">
        <v>0.0</v>
      </c>
      <c r="I730" s="2">
        <v>0.0</v>
      </c>
      <c r="J730" s="37">
        <v>0.0</v>
      </c>
      <c r="K730" s="2">
        <v>0.0</v>
      </c>
      <c r="L730" s="2">
        <v>0.0</v>
      </c>
      <c r="M730" s="37">
        <v>0.0</v>
      </c>
    </row>
    <row r="731" ht="14.25" customHeight="1">
      <c r="A731" t="s">
        <v>813</v>
      </c>
      <c r="B731" t="s">
        <v>638</v>
      </c>
      <c r="C731" t="s">
        <v>62</v>
      </c>
      <c r="D731" t="s">
        <v>63</v>
      </c>
      <c r="E731">
        <v>10.0</v>
      </c>
      <c r="F731">
        <v>12.0</v>
      </c>
      <c r="G731" s="2" t="s">
        <v>67</v>
      </c>
      <c r="H731" s="2">
        <v>79.0</v>
      </c>
      <c r="I731" s="2">
        <v>477.0</v>
      </c>
      <c r="J731" s="37">
        <v>2394.44</v>
      </c>
      <c r="K731" s="2">
        <v>90.0</v>
      </c>
      <c r="L731" s="2">
        <v>670.0</v>
      </c>
      <c r="M731" s="37">
        <v>2892.4</v>
      </c>
    </row>
    <row r="732" ht="14.25" customHeight="1">
      <c r="A732" t="s">
        <v>814</v>
      </c>
      <c r="B732" t="s">
        <v>638</v>
      </c>
      <c r="C732" t="s">
        <v>62</v>
      </c>
      <c r="D732" t="s">
        <v>63</v>
      </c>
      <c r="E732">
        <v>12.5</v>
      </c>
      <c r="F732">
        <v>15.0</v>
      </c>
      <c r="G732" s="2" t="s">
        <v>67</v>
      </c>
      <c r="H732" s="2">
        <v>94.0</v>
      </c>
      <c r="I732" s="2">
        <v>440.0</v>
      </c>
      <c r="J732" s="37">
        <v>2683.2400000000002</v>
      </c>
      <c r="K732" s="2">
        <v>107.0</v>
      </c>
      <c r="L732" s="2">
        <v>682.0</v>
      </c>
      <c r="M732" s="37">
        <v>3289.82</v>
      </c>
    </row>
    <row r="733" ht="14.25" customHeight="1">
      <c r="A733" t="s">
        <v>815</v>
      </c>
      <c r="B733" t="s">
        <v>638</v>
      </c>
      <c r="C733" t="s">
        <v>62</v>
      </c>
      <c r="D733" t="s">
        <v>63</v>
      </c>
      <c r="E733">
        <v>14.0</v>
      </c>
      <c r="F733">
        <v>16.5</v>
      </c>
      <c r="G733" s="2" t="s">
        <v>67</v>
      </c>
      <c r="H733" s="2">
        <v>102.0</v>
      </c>
      <c r="I733" s="2">
        <v>455.0</v>
      </c>
      <c r="J733" s="37">
        <v>2882.42</v>
      </c>
      <c r="K733" s="2">
        <v>117.0</v>
      </c>
      <c r="L733" s="2">
        <v>726.0</v>
      </c>
      <c r="M733" s="37">
        <v>3571.6200000000003</v>
      </c>
    </row>
    <row r="734" ht="14.25" customHeight="1">
      <c r="A734" t="s">
        <v>816</v>
      </c>
      <c r="B734" t="s">
        <v>638</v>
      </c>
      <c r="C734" t="s">
        <v>62</v>
      </c>
      <c r="D734" t="s">
        <v>63</v>
      </c>
      <c r="E734">
        <v>7.1</v>
      </c>
      <c r="F734">
        <v>8.0</v>
      </c>
      <c r="G734" s="2" t="s">
        <v>64</v>
      </c>
      <c r="H734" s="2">
        <v>0.0</v>
      </c>
      <c r="I734" s="2">
        <v>0.0</v>
      </c>
      <c r="J734" s="37">
        <v>0.0</v>
      </c>
      <c r="K734" s="2">
        <v>0.0</v>
      </c>
      <c r="L734" s="2">
        <v>0.0</v>
      </c>
      <c r="M734" s="37">
        <v>0.0</v>
      </c>
    </row>
    <row r="735" ht="14.25" customHeight="1">
      <c r="A735" t="s">
        <v>817</v>
      </c>
      <c r="B735" t="s">
        <v>638</v>
      </c>
      <c r="C735" t="s">
        <v>62</v>
      </c>
      <c r="D735" t="s">
        <v>63</v>
      </c>
      <c r="E735">
        <v>8.5</v>
      </c>
      <c r="F735">
        <v>10.0</v>
      </c>
      <c r="G735" s="2" t="s">
        <v>67</v>
      </c>
      <c r="H735" s="2">
        <v>57.0</v>
      </c>
      <c r="I735" s="2">
        <v>358.0</v>
      </c>
      <c r="J735" s="37">
        <v>1745.6200000000001</v>
      </c>
      <c r="K735" s="2">
        <v>65.0</v>
      </c>
      <c r="L735" s="2">
        <v>505.0</v>
      </c>
      <c r="M735" s="37">
        <v>2116.4</v>
      </c>
    </row>
    <row r="736" ht="14.25" customHeight="1">
      <c r="A736" t="s">
        <v>818</v>
      </c>
      <c r="B736" t="s">
        <v>638</v>
      </c>
      <c r="C736" t="s">
        <v>62</v>
      </c>
      <c r="D736" t="s">
        <v>63</v>
      </c>
      <c r="E736">
        <v>10.0</v>
      </c>
      <c r="F736">
        <v>12.0</v>
      </c>
      <c r="G736" s="2" t="s">
        <v>67</v>
      </c>
      <c r="H736" s="2">
        <v>79.0</v>
      </c>
      <c r="I736" s="2">
        <v>477.0</v>
      </c>
      <c r="J736" s="37">
        <v>2394.44</v>
      </c>
      <c r="K736" s="2">
        <v>90.0</v>
      </c>
      <c r="L736" s="2">
        <v>670.0</v>
      </c>
      <c r="M736" s="37">
        <v>2892.4</v>
      </c>
    </row>
    <row r="737" ht="14.25" customHeight="1">
      <c r="A737" t="s">
        <v>819</v>
      </c>
      <c r="B737" t="s">
        <v>638</v>
      </c>
      <c r="C737" t="s">
        <v>62</v>
      </c>
      <c r="D737" t="s">
        <v>63</v>
      </c>
      <c r="E737">
        <v>12.5</v>
      </c>
      <c r="F737">
        <v>15.0</v>
      </c>
      <c r="G737" s="2" t="s">
        <v>67</v>
      </c>
      <c r="H737" s="2">
        <v>94.0</v>
      </c>
      <c r="I737" s="2">
        <v>440.0</v>
      </c>
      <c r="J737" s="37">
        <v>2683.2400000000002</v>
      </c>
      <c r="K737" s="2">
        <v>107.0</v>
      </c>
      <c r="L737" s="2">
        <v>682.0</v>
      </c>
      <c r="M737" s="37">
        <v>3289.82</v>
      </c>
    </row>
    <row r="738" ht="14.25" customHeight="1">
      <c r="A738" t="s">
        <v>820</v>
      </c>
      <c r="B738" t="s">
        <v>638</v>
      </c>
      <c r="C738" t="s">
        <v>62</v>
      </c>
      <c r="D738" t="s">
        <v>63</v>
      </c>
      <c r="E738">
        <v>14.0</v>
      </c>
      <c r="F738">
        <v>16.5</v>
      </c>
      <c r="G738" s="2" t="s">
        <v>67</v>
      </c>
      <c r="H738" s="2">
        <v>102.0</v>
      </c>
      <c r="I738" s="2">
        <v>455.0</v>
      </c>
      <c r="J738" s="37">
        <v>2882.42</v>
      </c>
      <c r="K738" s="2">
        <v>117.0</v>
      </c>
      <c r="L738" s="2">
        <v>726.0</v>
      </c>
      <c r="M738" s="37">
        <v>3571.6200000000003</v>
      </c>
    </row>
    <row r="739" ht="14.25" customHeight="1">
      <c r="A739" t="s">
        <v>821</v>
      </c>
      <c r="B739" t="s">
        <v>638</v>
      </c>
      <c r="C739" t="s">
        <v>62</v>
      </c>
      <c r="D739" t="s">
        <v>63</v>
      </c>
      <c r="E739">
        <v>7.1</v>
      </c>
      <c r="F739">
        <v>8.0</v>
      </c>
      <c r="G739" s="2" t="s">
        <v>64</v>
      </c>
      <c r="H739" s="2">
        <v>0.0</v>
      </c>
      <c r="I739" s="2">
        <v>0.0</v>
      </c>
      <c r="J739" s="37">
        <v>0.0</v>
      </c>
      <c r="K739" s="2">
        <v>0.0</v>
      </c>
      <c r="L739" s="2">
        <v>0.0</v>
      </c>
      <c r="M739" s="37">
        <v>0.0</v>
      </c>
    </row>
    <row r="740" ht="14.25" customHeight="1">
      <c r="A740" t="s">
        <v>822</v>
      </c>
      <c r="B740" t="s">
        <v>638</v>
      </c>
      <c r="C740" t="s">
        <v>62</v>
      </c>
      <c r="D740" t="s">
        <v>63</v>
      </c>
      <c r="E740">
        <v>8.5</v>
      </c>
      <c r="F740">
        <v>10.0</v>
      </c>
      <c r="G740" s="2" t="s">
        <v>64</v>
      </c>
      <c r="H740" s="2">
        <v>0.0</v>
      </c>
      <c r="I740" s="2">
        <v>0.0</v>
      </c>
      <c r="J740" s="37">
        <v>0.0</v>
      </c>
      <c r="K740" s="2">
        <v>0.0</v>
      </c>
      <c r="L740" s="2">
        <v>0.0</v>
      </c>
      <c r="M740" s="37">
        <v>0.0</v>
      </c>
    </row>
    <row r="741" ht="14.25" customHeight="1">
      <c r="A741" t="s">
        <v>823</v>
      </c>
      <c r="B741" t="s">
        <v>638</v>
      </c>
      <c r="C741" t="s">
        <v>62</v>
      </c>
      <c r="D741" t="s">
        <v>63</v>
      </c>
      <c r="E741">
        <v>10.0</v>
      </c>
      <c r="F741">
        <v>11.2</v>
      </c>
      <c r="G741" s="2" t="s">
        <v>67</v>
      </c>
      <c r="H741" s="2">
        <v>62.0</v>
      </c>
      <c r="I741" s="2">
        <v>311.0</v>
      </c>
      <c r="J741" s="37">
        <v>1796.82</v>
      </c>
      <c r="K741" s="2">
        <v>72.0</v>
      </c>
      <c r="L741" s="2">
        <v>505.0</v>
      </c>
      <c r="M741" s="37">
        <v>2273.62</v>
      </c>
    </row>
    <row r="742" ht="14.25" customHeight="1">
      <c r="A742" t="s">
        <v>824</v>
      </c>
      <c r="B742" t="s">
        <v>638</v>
      </c>
      <c r="C742" t="s">
        <v>62</v>
      </c>
      <c r="D742" t="s">
        <v>63</v>
      </c>
      <c r="E742">
        <v>12.5</v>
      </c>
      <c r="F742">
        <v>14.0</v>
      </c>
      <c r="G742" s="2" t="s">
        <v>67</v>
      </c>
      <c r="H742" s="2">
        <v>79.0</v>
      </c>
      <c r="I742" s="2">
        <v>281.0</v>
      </c>
      <c r="J742" s="37">
        <v>2139.6400000000003</v>
      </c>
      <c r="K742" s="2">
        <v>91.0</v>
      </c>
      <c r="L742" s="2">
        <v>523.0</v>
      </c>
      <c r="M742" s="37">
        <v>2723.76</v>
      </c>
    </row>
    <row r="743" ht="14.25" customHeight="1">
      <c r="A743" t="s">
        <v>825</v>
      </c>
      <c r="B743" t="s">
        <v>638</v>
      </c>
      <c r="C743" t="s">
        <v>62</v>
      </c>
      <c r="D743" t="s">
        <v>63</v>
      </c>
      <c r="E743">
        <v>14.0</v>
      </c>
      <c r="F743">
        <v>16.0</v>
      </c>
      <c r="G743" s="2" t="s">
        <v>67</v>
      </c>
      <c r="H743" s="2">
        <v>93.0</v>
      </c>
      <c r="I743" s="2">
        <v>189.0</v>
      </c>
      <c r="J743" s="37">
        <v>2334.48</v>
      </c>
      <c r="K743" s="2">
        <v>107.0</v>
      </c>
      <c r="L743" s="2">
        <v>460.0</v>
      </c>
      <c r="M743" s="37">
        <v>3001.2200000000003</v>
      </c>
    </row>
    <row r="744" ht="14.25" customHeight="1">
      <c r="A744" t="s">
        <v>826</v>
      </c>
      <c r="B744" t="s">
        <v>638</v>
      </c>
      <c r="C744" t="s">
        <v>62</v>
      </c>
      <c r="D744" t="s">
        <v>63</v>
      </c>
      <c r="E744">
        <v>8.5</v>
      </c>
      <c r="F744">
        <v>10.0</v>
      </c>
      <c r="G744" s="2" t="s">
        <v>64</v>
      </c>
      <c r="H744" s="2">
        <v>0.0</v>
      </c>
      <c r="I744" s="2">
        <v>0.0</v>
      </c>
      <c r="J744" s="37">
        <v>0.0</v>
      </c>
      <c r="K744" s="2">
        <v>0.0</v>
      </c>
      <c r="L744" s="2">
        <v>0.0</v>
      </c>
      <c r="M744" s="37">
        <v>0.0</v>
      </c>
    </row>
    <row r="745" ht="14.25" customHeight="1">
      <c r="A745" t="s">
        <v>827</v>
      </c>
      <c r="B745" t="s">
        <v>638</v>
      </c>
      <c r="C745" t="s">
        <v>62</v>
      </c>
      <c r="D745" t="s">
        <v>63</v>
      </c>
      <c r="E745">
        <v>10.0</v>
      </c>
      <c r="F745">
        <v>11.2</v>
      </c>
      <c r="G745" s="2" t="s">
        <v>67</v>
      </c>
      <c r="H745" s="2">
        <v>107.0</v>
      </c>
      <c r="I745" s="2">
        <v>311.0</v>
      </c>
      <c r="J745" s="37">
        <v>2807.5200000000004</v>
      </c>
      <c r="K745" s="2">
        <v>117.0</v>
      </c>
      <c r="L745" s="2">
        <v>505.0</v>
      </c>
      <c r="M745" s="37">
        <v>3284.32</v>
      </c>
    </row>
    <row r="746" ht="14.25" customHeight="1">
      <c r="A746" t="s">
        <v>828</v>
      </c>
      <c r="B746" t="s">
        <v>638</v>
      </c>
      <c r="C746" t="s">
        <v>62</v>
      </c>
      <c r="D746" t="s">
        <v>63</v>
      </c>
      <c r="E746">
        <v>12.5</v>
      </c>
      <c r="F746">
        <v>14.0</v>
      </c>
      <c r="G746" s="2" t="s">
        <v>67</v>
      </c>
      <c r="H746" s="2">
        <v>79.0</v>
      </c>
      <c r="I746" s="2">
        <v>281.0</v>
      </c>
      <c r="J746" s="37">
        <v>2139.6400000000003</v>
      </c>
      <c r="K746" s="2">
        <v>91.0</v>
      </c>
      <c r="L746" s="2">
        <v>523.0</v>
      </c>
      <c r="M746" s="37">
        <v>2723.76</v>
      </c>
    </row>
    <row r="747" ht="14.25" customHeight="1">
      <c r="A747" t="s">
        <v>829</v>
      </c>
      <c r="B747" t="s">
        <v>638</v>
      </c>
      <c r="C747" t="s">
        <v>62</v>
      </c>
      <c r="D747" t="s">
        <v>63</v>
      </c>
      <c r="E747">
        <v>14.0</v>
      </c>
      <c r="F747">
        <v>16.0</v>
      </c>
      <c r="G747" s="2" t="s">
        <v>67</v>
      </c>
      <c r="H747" s="2">
        <v>93.0</v>
      </c>
      <c r="I747" s="2">
        <v>189.0</v>
      </c>
      <c r="J747" s="37">
        <v>2334.48</v>
      </c>
      <c r="K747" s="2">
        <v>107.0</v>
      </c>
      <c r="L747" s="2">
        <v>460.0</v>
      </c>
      <c r="M747" s="37">
        <v>3001.2200000000003</v>
      </c>
    </row>
    <row r="748" ht="14.25" customHeight="1">
      <c r="A748" t="s">
        <v>830</v>
      </c>
      <c r="B748" t="s">
        <v>638</v>
      </c>
      <c r="C748" t="s">
        <v>62</v>
      </c>
      <c r="D748" t="s">
        <v>63</v>
      </c>
      <c r="E748">
        <v>2.0</v>
      </c>
      <c r="F748">
        <v>2.7</v>
      </c>
      <c r="G748" s="2" t="s">
        <v>67</v>
      </c>
      <c r="H748" s="2">
        <v>13.0</v>
      </c>
      <c r="I748" s="2">
        <v>82.0</v>
      </c>
      <c r="J748" s="37">
        <v>398.58000000000004</v>
      </c>
      <c r="K748" s="2">
        <v>15.0</v>
      </c>
      <c r="L748" s="2">
        <v>112.0</v>
      </c>
      <c r="M748" s="37">
        <v>482.5</v>
      </c>
    </row>
    <row r="749" ht="14.25" customHeight="1">
      <c r="A749" t="s">
        <v>831</v>
      </c>
      <c r="B749" t="s">
        <v>638</v>
      </c>
      <c r="C749" t="s">
        <v>62</v>
      </c>
      <c r="D749" t="s">
        <v>63</v>
      </c>
      <c r="E749">
        <v>2.5</v>
      </c>
      <c r="F749">
        <v>3.2</v>
      </c>
      <c r="G749" s="2" t="s">
        <v>67</v>
      </c>
      <c r="H749" s="2">
        <v>16.0</v>
      </c>
      <c r="I749" s="2">
        <v>108.0</v>
      </c>
      <c r="J749" s="37">
        <v>499.76</v>
      </c>
      <c r="K749" s="2">
        <v>19.0</v>
      </c>
      <c r="L749" s="2">
        <v>146.0</v>
      </c>
      <c r="M749" s="37">
        <v>616.54</v>
      </c>
    </row>
    <row r="750" ht="14.25" customHeight="1">
      <c r="A750" t="s">
        <v>832</v>
      </c>
      <c r="B750" t="s">
        <v>638</v>
      </c>
      <c r="C750" t="s">
        <v>62</v>
      </c>
      <c r="D750" t="s">
        <v>63</v>
      </c>
      <c r="E750">
        <v>3.5</v>
      </c>
      <c r="F750">
        <v>3.7</v>
      </c>
      <c r="G750" s="2" t="s">
        <v>67</v>
      </c>
      <c r="H750" s="2">
        <v>18.0</v>
      </c>
      <c r="I750" s="2">
        <v>82.0</v>
      </c>
      <c r="J750" s="37">
        <v>510.88000000000005</v>
      </c>
      <c r="K750" s="2">
        <v>20.0</v>
      </c>
      <c r="L750" s="2">
        <v>135.0</v>
      </c>
      <c r="M750" s="37">
        <v>624.7</v>
      </c>
    </row>
    <row r="751" ht="14.25" customHeight="1">
      <c r="A751" t="s">
        <v>833</v>
      </c>
      <c r="B751" t="s">
        <v>638</v>
      </c>
      <c r="C751" t="s">
        <v>62</v>
      </c>
      <c r="D751" t="s">
        <v>63</v>
      </c>
      <c r="E751">
        <v>4.6</v>
      </c>
      <c r="F751">
        <v>4.7</v>
      </c>
      <c r="G751" s="2" t="s">
        <v>67</v>
      </c>
      <c r="H751" s="2">
        <v>27.0</v>
      </c>
      <c r="I751" s="2">
        <v>128.0</v>
      </c>
      <c r="J751" s="37">
        <v>772.82</v>
      </c>
      <c r="K751" s="2">
        <v>30.0</v>
      </c>
      <c r="L751" s="2">
        <v>207.0</v>
      </c>
      <c r="M751" s="37">
        <v>942.9000000000001</v>
      </c>
    </row>
    <row r="752" ht="14.25" customHeight="1">
      <c r="A752" t="s">
        <v>834</v>
      </c>
      <c r="B752" t="s">
        <v>638</v>
      </c>
      <c r="C752" t="s">
        <v>62</v>
      </c>
      <c r="D752" t="s">
        <v>63</v>
      </c>
      <c r="E752">
        <v>5.0</v>
      </c>
      <c r="F752">
        <v>6.0</v>
      </c>
      <c r="G752" s="2" t="s">
        <v>67</v>
      </c>
      <c r="H752" s="2">
        <v>35.0</v>
      </c>
      <c r="I752" s="2">
        <v>231.0</v>
      </c>
      <c r="J752" s="37">
        <v>1086.4</v>
      </c>
      <c r="K752" s="2">
        <v>40.0</v>
      </c>
      <c r="L752" s="2">
        <v>317.0</v>
      </c>
      <c r="M752" s="37">
        <v>1310.5</v>
      </c>
    </row>
    <row r="753" ht="14.25" customHeight="1">
      <c r="A753" t="s">
        <v>835</v>
      </c>
      <c r="B753" t="s">
        <v>638</v>
      </c>
      <c r="C753" t="s">
        <v>62</v>
      </c>
      <c r="D753" t="s">
        <v>63</v>
      </c>
      <c r="E753">
        <v>6.0</v>
      </c>
      <c r="F753">
        <v>7.2</v>
      </c>
      <c r="G753" s="2" t="s">
        <v>67</v>
      </c>
      <c r="H753" s="2">
        <v>41.0</v>
      </c>
      <c r="I753" s="2">
        <v>192.0</v>
      </c>
      <c r="J753" s="37">
        <v>1170.46</v>
      </c>
      <c r="K753" s="2">
        <v>46.0</v>
      </c>
      <c r="L753" s="2">
        <v>295.0</v>
      </c>
      <c r="M753" s="37">
        <v>1416.66</v>
      </c>
    </row>
    <row r="754" ht="14.25" customHeight="1">
      <c r="A754" t="s">
        <v>836</v>
      </c>
      <c r="B754" t="s">
        <v>638</v>
      </c>
      <c r="C754" t="s">
        <v>62</v>
      </c>
      <c r="D754" t="s">
        <v>63</v>
      </c>
      <c r="E754">
        <v>7.1</v>
      </c>
      <c r="F754">
        <v>8.0</v>
      </c>
      <c r="G754" s="2" t="s">
        <v>67</v>
      </c>
      <c r="H754" s="2">
        <v>44.0</v>
      </c>
      <c r="I754" s="2">
        <v>154.0</v>
      </c>
      <c r="J754" s="37">
        <v>1188.44</v>
      </c>
      <c r="K754" s="2">
        <v>50.0</v>
      </c>
      <c r="L754" s="2">
        <v>276.0</v>
      </c>
      <c r="M754" s="37">
        <v>1481.8</v>
      </c>
    </row>
    <row r="755" ht="14.25" customHeight="1">
      <c r="A755" t="s">
        <v>837</v>
      </c>
      <c r="B755" t="s">
        <v>638</v>
      </c>
      <c r="C755" t="s">
        <v>62</v>
      </c>
      <c r="D755" t="s">
        <v>63</v>
      </c>
      <c r="E755">
        <v>5.0</v>
      </c>
      <c r="F755">
        <v>6.0</v>
      </c>
      <c r="G755" s="2" t="s">
        <v>64</v>
      </c>
      <c r="H755" s="2">
        <v>0.0</v>
      </c>
      <c r="I755" s="2">
        <v>0.0</v>
      </c>
      <c r="J755" s="37">
        <v>0.0</v>
      </c>
      <c r="K755" s="2">
        <v>0.0</v>
      </c>
      <c r="L755" s="2">
        <v>0.0</v>
      </c>
      <c r="M755" s="37">
        <v>0.0</v>
      </c>
    </row>
    <row r="756" ht="14.25" customHeight="1">
      <c r="A756" t="s">
        <v>838</v>
      </c>
      <c r="B756" t="s">
        <v>638</v>
      </c>
      <c r="C756" t="s">
        <v>62</v>
      </c>
      <c r="D756" t="s">
        <v>63</v>
      </c>
      <c r="E756">
        <v>6.0</v>
      </c>
      <c r="F756">
        <v>7.1</v>
      </c>
      <c r="G756" s="2" t="s">
        <v>64</v>
      </c>
      <c r="H756" s="2">
        <v>0.0</v>
      </c>
      <c r="I756" s="2">
        <v>0.0</v>
      </c>
      <c r="J756" s="37">
        <v>0.0</v>
      </c>
      <c r="K756" s="2">
        <v>0.0</v>
      </c>
      <c r="L756" s="2">
        <v>0.0</v>
      </c>
      <c r="M756" s="37">
        <v>0.0</v>
      </c>
    </row>
    <row r="757" ht="14.25" customHeight="1">
      <c r="A757" t="s">
        <v>839</v>
      </c>
      <c r="B757" t="s">
        <v>638</v>
      </c>
      <c r="C757" t="s">
        <v>62</v>
      </c>
      <c r="D757" t="s">
        <v>63</v>
      </c>
      <c r="E757">
        <v>7.1</v>
      </c>
      <c r="F757">
        <v>8.0</v>
      </c>
      <c r="G757" s="2" t="s">
        <v>64</v>
      </c>
      <c r="H757" s="2">
        <v>0.0</v>
      </c>
      <c r="I757" s="2">
        <v>0.0</v>
      </c>
      <c r="J757" s="37">
        <v>0.0</v>
      </c>
      <c r="K757" s="2">
        <v>0.0</v>
      </c>
      <c r="L757" s="2">
        <v>0.0</v>
      </c>
      <c r="M757" s="37">
        <v>0.0</v>
      </c>
    </row>
    <row r="758" ht="14.25" customHeight="1">
      <c r="A758" t="s">
        <v>840</v>
      </c>
      <c r="B758" t="s">
        <v>638</v>
      </c>
      <c r="C758" t="s">
        <v>62</v>
      </c>
      <c r="D758" t="s">
        <v>63</v>
      </c>
      <c r="E758">
        <v>8.5</v>
      </c>
      <c r="F758">
        <v>10.0</v>
      </c>
      <c r="G758" s="2" t="s">
        <v>64</v>
      </c>
      <c r="H758" s="2">
        <v>0.0</v>
      </c>
      <c r="I758" s="2">
        <v>0.0</v>
      </c>
      <c r="J758" s="37">
        <v>0.0</v>
      </c>
      <c r="K758" s="2">
        <v>0.0</v>
      </c>
      <c r="L758" s="2">
        <v>0.0</v>
      </c>
      <c r="M758" s="37">
        <v>0.0</v>
      </c>
    </row>
    <row r="759" ht="14.25" customHeight="1">
      <c r="A759" t="s">
        <v>841</v>
      </c>
      <c r="B759" t="s">
        <v>638</v>
      </c>
      <c r="C759" t="s">
        <v>62</v>
      </c>
      <c r="D759" t="s">
        <v>63</v>
      </c>
      <c r="E759">
        <v>10.0</v>
      </c>
      <c r="F759">
        <v>12.0</v>
      </c>
      <c r="G759" s="2" t="s">
        <v>67</v>
      </c>
      <c r="H759" s="2">
        <v>72.0</v>
      </c>
      <c r="I759" s="2">
        <v>251.0</v>
      </c>
      <c r="J759" s="37">
        <v>1943.42</v>
      </c>
      <c r="K759" s="2">
        <v>82.0</v>
      </c>
      <c r="L759" s="2">
        <v>444.0</v>
      </c>
      <c r="M759" s="37">
        <v>2418.92</v>
      </c>
    </row>
    <row r="760" ht="14.25" customHeight="1">
      <c r="A760" t="s">
        <v>842</v>
      </c>
      <c r="B760" t="s">
        <v>638</v>
      </c>
      <c r="C760" t="s">
        <v>62</v>
      </c>
      <c r="D760" t="s">
        <v>63</v>
      </c>
      <c r="E760">
        <v>12.5</v>
      </c>
      <c r="F760">
        <v>15.0</v>
      </c>
      <c r="G760" s="2" t="s">
        <v>67</v>
      </c>
      <c r="H760" s="2">
        <v>83.0</v>
      </c>
      <c r="I760" s="2">
        <v>211.0</v>
      </c>
      <c r="J760" s="37">
        <v>2138.48</v>
      </c>
      <c r="K760" s="2">
        <v>96.0</v>
      </c>
      <c r="L760" s="2">
        <v>453.0</v>
      </c>
      <c r="M760" s="37">
        <v>2745.06</v>
      </c>
    </row>
    <row r="761" ht="14.25" customHeight="1">
      <c r="A761" t="s">
        <v>843</v>
      </c>
      <c r="B761" t="s">
        <v>638</v>
      </c>
      <c r="C761" t="s">
        <v>62</v>
      </c>
      <c r="D761" t="s">
        <v>63</v>
      </c>
      <c r="E761">
        <v>14.0</v>
      </c>
      <c r="F761">
        <v>16.5</v>
      </c>
      <c r="G761" s="2" t="s">
        <v>67</v>
      </c>
      <c r="H761" s="2">
        <v>90.0</v>
      </c>
      <c r="I761" s="2">
        <v>216.0</v>
      </c>
      <c r="J761" s="37">
        <v>2302.2000000000003</v>
      </c>
      <c r="K761" s="2">
        <v>105.0</v>
      </c>
      <c r="L761" s="2">
        <v>487.0</v>
      </c>
      <c r="M761" s="37">
        <v>2991.4</v>
      </c>
    </row>
    <row r="762" ht="14.25" customHeight="1">
      <c r="A762" t="s">
        <v>844</v>
      </c>
      <c r="B762" t="s">
        <v>638</v>
      </c>
      <c r="C762" t="s">
        <v>62</v>
      </c>
      <c r="D762" t="s">
        <v>63</v>
      </c>
      <c r="E762">
        <v>7.1</v>
      </c>
      <c r="F762">
        <v>8.0</v>
      </c>
      <c r="G762" s="2" t="s">
        <v>64</v>
      </c>
      <c r="H762" s="2">
        <v>0.0</v>
      </c>
      <c r="I762" s="2">
        <v>0.0</v>
      </c>
      <c r="J762" s="37">
        <v>0.0</v>
      </c>
      <c r="K762" s="2">
        <v>0.0</v>
      </c>
      <c r="L762" s="2">
        <v>0.0</v>
      </c>
      <c r="M762" s="37">
        <v>0.0</v>
      </c>
    </row>
    <row r="763" ht="14.25" customHeight="1">
      <c r="A763" t="s">
        <v>845</v>
      </c>
      <c r="B763" t="s">
        <v>638</v>
      </c>
      <c r="C763" t="s">
        <v>62</v>
      </c>
      <c r="D763" t="s">
        <v>63</v>
      </c>
      <c r="E763">
        <v>8.5</v>
      </c>
      <c r="F763">
        <v>10.0</v>
      </c>
      <c r="G763" s="2" t="s">
        <v>64</v>
      </c>
      <c r="H763" s="2">
        <v>0.0</v>
      </c>
      <c r="I763" s="2">
        <v>0.0</v>
      </c>
      <c r="J763" s="37">
        <v>0.0</v>
      </c>
      <c r="K763" s="2">
        <v>0.0</v>
      </c>
      <c r="L763" s="2">
        <v>0.0</v>
      </c>
      <c r="M763" s="37">
        <v>0.0</v>
      </c>
    </row>
    <row r="764" ht="14.25" customHeight="1">
      <c r="A764" t="s">
        <v>846</v>
      </c>
      <c r="B764" t="s">
        <v>638</v>
      </c>
      <c r="C764" t="s">
        <v>62</v>
      </c>
      <c r="D764" t="s">
        <v>63</v>
      </c>
      <c r="E764">
        <v>10.0</v>
      </c>
      <c r="F764">
        <v>12.0</v>
      </c>
      <c r="G764" s="2" t="s">
        <v>67</v>
      </c>
      <c r="H764" s="2">
        <v>72.0</v>
      </c>
      <c r="I764" s="2">
        <v>251.0</v>
      </c>
      <c r="J764" s="37">
        <v>1943.42</v>
      </c>
      <c r="K764" s="2">
        <v>82.0</v>
      </c>
      <c r="L764" s="2">
        <v>444.0</v>
      </c>
      <c r="M764" s="37">
        <v>2418.92</v>
      </c>
    </row>
    <row r="765" ht="14.25" customHeight="1">
      <c r="A765" t="s">
        <v>847</v>
      </c>
      <c r="B765" t="s">
        <v>638</v>
      </c>
      <c r="C765" t="s">
        <v>62</v>
      </c>
      <c r="D765" t="s">
        <v>63</v>
      </c>
      <c r="E765">
        <v>12.5</v>
      </c>
      <c r="F765">
        <v>15.0</v>
      </c>
      <c r="G765" s="2" t="s">
        <v>67</v>
      </c>
      <c r="H765" s="2">
        <v>83.0</v>
      </c>
      <c r="I765" s="2">
        <v>211.0</v>
      </c>
      <c r="J765" s="37">
        <v>2138.48</v>
      </c>
      <c r="K765" s="2">
        <v>96.0</v>
      </c>
      <c r="L765" s="2">
        <v>453.0</v>
      </c>
      <c r="M765" s="37">
        <v>2745.06</v>
      </c>
    </row>
    <row r="766" ht="14.25" customHeight="1">
      <c r="A766" t="s">
        <v>848</v>
      </c>
      <c r="B766" t="s">
        <v>638</v>
      </c>
      <c r="C766" t="s">
        <v>62</v>
      </c>
      <c r="D766" t="s">
        <v>63</v>
      </c>
      <c r="E766">
        <v>14.0</v>
      </c>
      <c r="F766">
        <v>16.5</v>
      </c>
      <c r="G766" s="2" t="s">
        <v>67</v>
      </c>
      <c r="H766" s="2">
        <v>90.0</v>
      </c>
      <c r="I766" s="2">
        <v>216.0</v>
      </c>
      <c r="J766" s="37">
        <v>2302.2000000000003</v>
      </c>
      <c r="K766" s="2">
        <v>105.0</v>
      </c>
      <c r="L766" s="2">
        <v>487.0</v>
      </c>
      <c r="M766" s="37">
        <v>2991.4</v>
      </c>
    </row>
    <row r="767" ht="14.25" customHeight="1">
      <c r="A767" t="s">
        <v>849</v>
      </c>
      <c r="B767" t="s">
        <v>638</v>
      </c>
      <c r="C767" t="s">
        <v>62</v>
      </c>
      <c r="D767" t="s">
        <v>63</v>
      </c>
      <c r="E767">
        <v>2.0</v>
      </c>
      <c r="F767">
        <v>2.5</v>
      </c>
      <c r="G767" s="2" t="s">
        <v>64</v>
      </c>
      <c r="H767" s="2">
        <v>0.0</v>
      </c>
      <c r="I767" s="2">
        <v>0.0</v>
      </c>
      <c r="J767" s="37">
        <v>0.0</v>
      </c>
      <c r="K767" s="2">
        <v>0.0</v>
      </c>
      <c r="L767" s="2">
        <v>0.0</v>
      </c>
      <c r="M767" s="37">
        <v>0.0</v>
      </c>
    </row>
    <row r="768" ht="14.25" customHeight="1">
      <c r="A768" t="s">
        <v>850</v>
      </c>
      <c r="B768" t="s">
        <v>638</v>
      </c>
      <c r="C768" t="s">
        <v>62</v>
      </c>
      <c r="D768" t="s">
        <v>63</v>
      </c>
      <c r="E768">
        <v>2.5</v>
      </c>
      <c r="F768">
        <v>3.0</v>
      </c>
      <c r="G768" s="2" t="s">
        <v>64</v>
      </c>
      <c r="H768" s="2">
        <v>0.0</v>
      </c>
      <c r="I768" s="2">
        <v>0.0</v>
      </c>
      <c r="J768" s="37">
        <v>0.0</v>
      </c>
      <c r="K768" s="2">
        <v>0.0</v>
      </c>
      <c r="L768" s="2">
        <v>0.0</v>
      </c>
      <c r="M768" s="37">
        <v>0.0</v>
      </c>
    </row>
    <row r="769" ht="14.25" customHeight="1">
      <c r="A769" t="s">
        <v>851</v>
      </c>
      <c r="B769" t="s">
        <v>638</v>
      </c>
      <c r="C769" t="s">
        <v>62</v>
      </c>
      <c r="D769" t="s">
        <v>63</v>
      </c>
      <c r="E769">
        <v>3.5</v>
      </c>
      <c r="F769">
        <v>3.7</v>
      </c>
      <c r="G769" s="2" t="s">
        <v>64</v>
      </c>
      <c r="H769" s="2">
        <v>0.0</v>
      </c>
      <c r="I769" s="2">
        <v>0.0</v>
      </c>
      <c r="J769" s="37">
        <v>0.0</v>
      </c>
      <c r="K769" s="2">
        <v>0.0</v>
      </c>
      <c r="L769" s="2">
        <v>0.0</v>
      </c>
      <c r="M769" s="37">
        <v>0.0</v>
      </c>
    </row>
    <row r="770" ht="14.25" customHeight="1">
      <c r="A770" t="s">
        <v>852</v>
      </c>
      <c r="B770" t="s">
        <v>638</v>
      </c>
      <c r="C770" t="s">
        <v>62</v>
      </c>
      <c r="D770" t="s">
        <v>63</v>
      </c>
      <c r="E770">
        <v>4.6</v>
      </c>
      <c r="F770">
        <v>4.7</v>
      </c>
      <c r="G770" s="2" t="s">
        <v>64</v>
      </c>
      <c r="H770" s="2">
        <v>0.0</v>
      </c>
      <c r="I770" s="2">
        <v>0.0</v>
      </c>
      <c r="J770" s="37">
        <v>0.0</v>
      </c>
      <c r="K770" s="2">
        <v>0.0</v>
      </c>
      <c r="L770" s="2">
        <v>0.0</v>
      </c>
      <c r="M770" s="37">
        <v>0.0</v>
      </c>
    </row>
    <row r="771" ht="14.25" customHeight="1">
      <c r="A771" t="s">
        <v>853</v>
      </c>
      <c r="B771" t="s">
        <v>638</v>
      </c>
      <c r="C771" t="s">
        <v>62</v>
      </c>
      <c r="D771" t="s">
        <v>63</v>
      </c>
      <c r="E771">
        <v>5.0</v>
      </c>
      <c r="F771">
        <v>5.2</v>
      </c>
      <c r="G771" s="2" t="s">
        <v>64</v>
      </c>
      <c r="H771" s="2">
        <v>0.0</v>
      </c>
      <c r="I771" s="2">
        <v>0.0</v>
      </c>
      <c r="J771" s="37">
        <v>0.0</v>
      </c>
      <c r="K771" s="2">
        <v>0.0</v>
      </c>
      <c r="L771" s="2">
        <v>0.0</v>
      </c>
      <c r="M771" s="37">
        <v>0.0</v>
      </c>
    </row>
    <row r="772" ht="14.25" customHeight="1">
      <c r="A772" t="s">
        <v>854</v>
      </c>
      <c r="B772" t="s">
        <v>638</v>
      </c>
      <c r="C772" t="s">
        <v>62</v>
      </c>
      <c r="D772" t="s">
        <v>63</v>
      </c>
      <c r="E772">
        <v>6.0</v>
      </c>
      <c r="F772">
        <v>6.5</v>
      </c>
      <c r="G772" s="2" t="s">
        <v>64</v>
      </c>
      <c r="H772" s="2">
        <v>0.0</v>
      </c>
      <c r="I772" s="2">
        <v>0.0</v>
      </c>
      <c r="J772" s="37">
        <v>0.0</v>
      </c>
      <c r="K772" s="2">
        <v>0.0</v>
      </c>
      <c r="L772" s="2">
        <v>0.0</v>
      </c>
      <c r="M772" s="37">
        <v>0.0</v>
      </c>
    </row>
    <row r="773" ht="14.25" customHeight="1">
      <c r="A773" t="s">
        <v>855</v>
      </c>
      <c r="B773" t="s">
        <v>638</v>
      </c>
      <c r="C773" t="s">
        <v>62</v>
      </c>
      <c r="D773" t="s">
        <v>63</v>
      </c>
      <c r="E773">
        <v>7.1</v>
      </c>
      <c r="F773">
        <v>8.0</v>
      </c>
      <c r="G773" s="2" t="s">
        <v>64</v>
      </c>
      <c r="H773" s="2">
        <v>0.0</v>
      </c>
      <c r="I773" s="2">
        <v>0.0</v>
      </c>
      <c r="J773" s="37">
        <v>0.0</v>
      </c>
      <c r="K773" s="2">
        <v>0.0</v>
      </c>
      <c r="L773" s="2">
        <v>0.0</v>
      </c>
      <c r="M773" s="37">
        <v>0.0</v>
      </c>
    </row>
    <row r="774" ht="14.25" customHeight="1">
      <c r="A774" t="s">
        <v>856</v>
      </c>
      <c r="B774" t="s">
        <v>638</v>
      </c>
      <c r="C774" t="s">
        <v>75</v>
      </c>
      <c r="D774" t="s">
        <v>63</v>
      </c>
      <c r="E774">
        <v>5.0</v>
      </c>
      <c r="F774">
        <v>6.0</v>
      </c>
      <c r="G774" s="2" t="s">
        <v>64</v>
      </c>
      <c r="H774" s="2">
        <v>0.0</v>
      </c>
      <c r="I774" s="2">
        <v>0.0</v>
      </c>
      <c r="J774" s="37">
        <v>0.0</v>
      </c>
      <c r="K774" s="2">
        <v>0.0</v>
      </c>
      <c r="L774" s="2">
        <v>0.0</v>
      </c>
      <c r="M774" s="37">
        <v>0.0</v>
      </c>
    </row>
    <row r="775" ht="14.25" customHeight="1">
      <c r="A775" t="s">
        <v>857</v>
      </c>
      <c r="B775" t="s">
        <v>638</v>
      </c>
      <c r="C775" t="s">
        <v>75</v>
      </c>
      <c r="D775" t="s">
        <v>63</v>
      </c>
      <c r="E775">
        <v>6.0</v>
      </c>
      <c r="F775">
        <v>7.1</v>
      </c>
      <c r="G775" s="2" t="s">
        <v>64</v>
      </c>
      <c r="H775" s="2">
        <v>0.0</v>
      </c>
      <c r="I775" s="2">
        <v>0.0</v>
      </c>
      <c r="J775" s="37">
        <v>0.0</v>
      </c>
      <c r="K775" s="2">
        <v>0.0</v>
      </c>
      <c r="L775" s="2">
        <v>0.0</v>
      </c>
      <c r="M775" s="37">
        <v>0.0</v>
      </c>
    </row>
    <row r="776" ht="14.25" customHeight="1">
      <c r="A776" t="s">
        <v>858</v>
      </c>
      <c r="B776" t="s">
        <v>638</v>
      </c>
      <c r="C776" t="s">
        <v>75</v>
      </c>
      <c r="D776" t="s">
        <v>63</v>
      </c>
      <c r="E776">
        <v>7.1</v>
      </c>
      <c r="F776">
        <v>8.0</v>
      </c>
      <c r="G776" s="2" t="s">
        <v>64</v>
      </c>
      <c r="H776" s="2">
        <v>0.0</v>
      </c>
      <c r="I776" s="2">
        <v>0.0</v>
      </c>
      <c r="J776" s="37">
        <v>0.0</v>
      </c>
      <c r="K776" s="2">
        <v>0.0</v>
      </c>
      <c r="L776" s="2">
        <v>0.0</v>
      </c>
      <c r="M776" s="37">
        <v>0.0</v>
      </c>
    </row>
    <row r="777" ht="14.25" customHeight="1">
      <c r="A777" t="s">
        <v>859</v>
      </c>
      <c r="B777" t="s">
        <v>638</v>
      </c>
      <c r="C777" t="s">
        <v>75</v>
      </c>
      <c r="D777" t="s">
        <v>63</v>
      </c>
      <c r="E777">
        <v>8.5</v>
      </c>
      <c r="F777">
        <v>10.0</v>
      </c>
      <c r="G777" s="2" t="s">
        <v>67</v>
      </c>
      <c r="H777" s="2">
        <v>56.0</v>
      </c>
      <c r="I777" s="2">
        <v>247.0</v>
      </c>
      <c r="J777" s="37">
        <v>1578.8600000000001</v>
      </c>
      <c r="K777" s="2">
        <v>65.0</v>
      </c>
      <c r="L777" s="2">
        <v>412.0</v>
      </c>
      <c r="M777" s="37">
        <v>1995.5</v>
      </c>
    </row>
    <row r="778" ht="14.25" customHeight="1">
      <c r="A778" t="s">
        <v>860</v>
      </c>
      <c r="B778" t="s">
        <v>638</v>
      </c>
      <c r="C778" t="s">
        <v>75</v>
      </c>
      <c r="D778" t="s">
        <v>63</v>
      </c>
      <c r="E778">
        <v>10.0</v>
      </c>
      <c r="F778">
        <v>12.0</v>
      </c>
      <c r="G778" s="2" t="s">
        <v>67</v>
      </c>
      <c r="H778" s="2">
        <v>73.0</v>
      </c>
      <c r="I778" s="2">
        <v>244.0</v>
      </c>
      <c r="J778" s="37">
        <v>1956.7800000000002</v>
      </c>
      <c r="K778" s="2">
        <v>83.0</v>
      </c>
      <c r="L778" s="2">
        <v>438.0</v>
      </c>
      <c r="M778" s="37">
        <v>2433.58</v>
      </c>
    </row>
    <row r="779" ht="14.25" customHeight="1">
      <c r="A779" t="s">
        <v>861</v>
      </c>
      <c r="B779" t="s">
        <v>638</v>
      </c>
      <c r="C779" t="s">
        <v>75</v>
      </c>
      <c r="D779" t="s">
        <v>63</v>
      </c>
      <c r="E779">
        <v>12.5</v>
      </c>
      <c r="F779">
        <v>15.0</v>
      </c>
      <c r="G779" s="2" t="s">
        <v>67</v>
      </c>
      <c r="H779" s="2">
        <v>86.0</v>
      </c>
      <c r="I779" s="2">
        <v>199.0</v>
      </c>
      <c r="J779" s="37">
        <v>2190.26</v>
      </c>
      <c r="K779" s="2">
        <v>99.0</v>
      </c>
      <c r="L779" s="2">
        <v>441.0</v>
      </c>
      <c r="M779" s="37">
        <v>2796.84</v>
      </c>
    </row>
    <row r="780" ht="14.25" customHeight="1">
      <c r="A780" t="s">
        <v>862</v>
      </c>
      <c r="B780" t="s">
        <v>638</v>
      </c>
      <c r="C780" t="s">
        <v>75</v>
      </c>
      <c r="D780" t="s">
        <v>63</v>
      </c>
      <c r="E780">
        <v>14.0</v>
      </c>
      <c r="F780">
        <v>16.5</v>
      </c>
      <c r="G780" s="2" t="s">
        <v>67</v>
      </c>
      <c r="H780" s="2">
        <v>92.0</v>
      </c>
      <c r="I780" s="2">
        <v>132.0</v>
      </c>
      <c r="J780" s="37">
        <v>2237.92</v>
      </c>
      <c r="K780" s="2">
        <v>107.0</v>
      </c>
      <c r="L780" s="2">
        <v>403.0</v>
      </c>
      <c r="M780" s="37">
        <v>2927.1200000000003</v>
      </c>
    </row>
    <row r="781" ht="14.25" customHeight="1">
      <c r="A781" t="s">
        <v>863</v>
      </c>
      <c r="B781" t="s">
        <v>638</v>
      </c>
      <c r="C781" t="s">
        <v>75</v>
      </c>
      <c r="D781" t="s">
        <v>63</v>
      </c>
      <c r="E781">
        <v>7.1</v>
      </c>
      <c r="F781">
        <v>8.0</v>
      </c>
      <c r="G781" s="2" t="s">
        <v>64</v>
      </c>
      <c r="H781" s="2">
        <v>0.0</v>
      </c>
      <c r="I781" s="2">
        <v>0.0</v>
      </c>
      <c r="J781" s="37">
        <v>0.0</v>
      </c>
      <c r="K781" s="2">
        <v>0.0</v>
      </c>
      <c r="L781" s="2">
        <v>0.0</v>
      </c>
      <c r="M781" s="37">
        <v>0.0</v>
      </c>
    </row>
    <row r="782" ht="14.25" customHeight="1">
      <c r="A782" t="s">
        <v>864</v>
      </c>
      <c r="B782" t="s">
        <v>638</v>
      </c>
      <c r="C782" t="s">
        <v>75</v>
      </c>
      <c r="D782" t="s">
        <v>63</v>
      </c>
      <c r="E782">
        <v>8.5</v>
      </c>
      <c r="F782">
        <v>10.0</v>
      </c>
      <c r="G782" s="2" t="s">
        <v>67</v>
      </c>
      <c r="H782" s="2">
        <v>56.0</v>
      </c>
      <c r="I782" s="2">
        <v>247.0</v>
      </c>
      <c r="J782" s="37">
        <v>1578.8600000000001</v>
      </c>
      <c r="K782" s="2">
        <v>65.0</v>
      </c>
      <c r="L782" s="2">
        <v>412.0</v>
      </c>
      <c r="M782" s="37">
        <v>1995.5</v>
      </c>
    </row>
    <row r="783" ht="14.25" customHeight="1">
      <c r="A783" t="s">
        <v>865</v>
      </c>
      <c r="B783" t="s">
        <v>638</v>
      </c>
      <c r="C783" t="s">
        <v>75</v>
      </c>
      <c r="D783" t="s">
        <v>63</v>
      </c>
      <c r="E783">
        <v>10.0</v>
      </c>
      <c r="F783">
        <v>12.0</v>
      </c>
      <c r="G783" s="2" t="s">
        <v>67</v>
      </c>
      <c r="H783" s="2">
        <v>73.0</v>
      </c>
      <c r="I783" s="2">
        <v>244.0</v>
      </c>
      <c r="J783" s="37">
        <v>1956.7800000000002</v>
      </c>
      <c r="K783" s="2">
        <v>83.0</v>
      </c>
      <c r="L783" s="2">
        <v>438.0</v>
      </c>
      <c r="M783" s="37">
        <v>2433.58</v>
      </c>
    </row>
    <row r="784" ht="14.25" customHeight="1">
      <c r="A784" t="s">
        <v>866</v>
      </c>
      <c r="B784" t="s">
        <v>638</v>
      </c>
      <c r="C784" t="s">
        <v>75</v>
      </c>
      <c r="D784" t="s">
        <v>63</v>
      </c>
      <c r="E784">
        <v>12.5</v>
      </c>
      <c r="F784">
        <v>15.0</v>
      </c>
      <c r="G784" s="2" t="s">
        <v>67</v>
      </c>
      <c r="H784" s="2">
        <v>86.0</v>
      </c>
      <c r="I784" s="2">
        <v>199.0</v>
      </c>
      <c r="J784" s="37">
        <v>2190.26</v>
      </c>
      <c r="K784" s="2">
        <v>99.0</v>
      </c>
      <c r="L784" s="2">
        <v>441.0</v>
      </c>
      <c r="M784" s="37">
        <v>2796.84</v>
      </c>
    </row>
    <row r="785" ht="14.25" customHeight="1">
      <c r="A785" t="s">
        <v>867</v>
      </c>
      <c r="B785" t="s">
        <v>638</v>
      </c>
      <c r="C785" t="s">
        <v>75</v>
      </c>
      <c r="D785" t="s">
        <v>63</v>
      </c>
      <c r="E785">
        <v>14.0</v>
      </c>
      <c r="F785">
        <v>16.5</v>
      </c>
      <c r="G785" s="2" t="s">
        <v>67</v>
      </c>
      <c r="H785" s="2">
        <v>92.0</v>
      </c>
      <c r="I785" s="2">
        <v>132.0</v>
      </c>
      <c r="J785" s="37">
        <v>2237.92</v>
      </c>
      <c r="K785" s="2">
        <v>107.0</v>
      </c>
      <c r="L785" s="2">
        <v>403.0</v>
      </c>
      <c r="M785" s="37">
        <v>2927.1200000000003</v>
      </c>
    </row>
    <row r="786" ht="14.25" customHeight="1">
      <c r="A786" t="s">
        <v>868</v>
      </c>
      <c r="B786" t="s">
        <v>638</v>
      </c>
      <c r="C786" t="s">
        <v>75</v>
      </c>
      <c r="D786" t="s">
        <v>63</v>
      </c>
      <c r="E786">
        <v>7.1</v>
      </c>
      <c r="F786">
        <v>8.0</v>
      </c>
      <c r="G786" s="2" t="s">
        <v>64</v>
      </c>
      <c r="H786" s="2">
        <v>0.0</v>
      </c>
      <c r="I786" s="2">
        <v>0.0</v>
      </c>
      <c r="J786" s="37">
        <v>0.0</v>
      </c>
      <c r="K786" s="2">
        <v>0.0</v>
      </c>
      <c r="L786" s="2">
        <v>0.0</v>
      </c>
      <c r="M786" s="37">
        <v>0.0</v>
      </c>
    </row>
    <row r="787" ht="14.25" customHeight="1">
      <c r="A787" t="s">
        <v>869</v>
      </c>
      <c r="B787" t="s">
        <v>638</v>
      </c>
      <c r="C787" t="s">
        <v>75</v>
      </c>
      <c r="D787" t="s">
        <v>63</v>
      </c>
      <c r="E787">
        <v>8.5</v>
      </c>
      <c r="F787">
        <v>10.0</v>
      </c>
      <c r="G787" s="2" t="s">
        <v>64</v>
      </c>
      <c r="H787" s="2">
        <v>0.0</v>
      </c>
      <c r="I787" s="2">
        <v>0.0</v>
      </c>
      <c r="J787" s="37">
        <v>0.0</v>
      </c>
      <c r="K787" s="2">
        <v>0.0</v>
      </c>
      <c r="L787" s="2">
        <v>0.0</v>
      </c>
      <c r="M787" s="37">
        <v>0.0</v>
      </c>
    </row>
    <row r="788" ht="14.25" customHeight="1">
      <c r="A788" t="s">
        <v>870</v>
      </c>
      <c r="B788" t="s">
        <v>638</v>
      </c>
      <c r="C788" t="s">
        <v>75</v>
      </c>
      <c r="D788" t="s">
        <v>63</v>
      </c>
      <c r="E788">
        <v>8.5</v>
      </c>
      <c r="F788">
        <v>10.0</v>
      </c>
      <c r="G788" s="2" t="s">
        <v>64</v>
      </c>
      <c r="H788" s="2">
        <v>0.0</v>
      </c>
      <c r="I788" s="2">
        <v>0.0</v>
      </c>
      <c r="J788" s="37">
        <v>0.0</v>
      </c>
      <c r="K788" s="2">
        <v>0.0</v>
      </c>
      <c r="L788" s="2">
        <v>0.0</v>
      </c>
      <c r="M788" s="37">
        <v>0.0</v>
      </c>
    </row>
    <row r="789" ht="14.25" customHeight="1">
      <c r="A789" t="s">
        <v>871</v>
      </c>
      <c r="B789" t="s">
        <v>638</v>
      </c>
      <c r="C789" t="s">
        <v>62</v>
      </c>
      <c r="D789" t="s">
        <v>63</v>
      </c>
      <c r="E789">
        <v>8.5</v>
      </c>
      <c r="F789">
        <v>9.0</v>
      </c>
      <c r="G789" s="2" t="s">
        <v>64</v>
      </c>
      <c r="H789" s="2">
        <v>0.0</v>
      </c>
      <c r="I789" s="2">
        <v>0.0</v>
      </c>
      <c r="J789" s="37">
        <v>0.0</v>
      </c>
      <c r="K789" s="2">
        <v>0.0</v>
      </c>
      <c r="L789" s="2">
        <v>0.0</v>
      </c>
      <c r="M789" s="37">
        <v>0.0</v>
      </c>
    </row>
    <row r="790" ht="14.25" customHeight="1">
      <c r="A790" t="s">
        <v>872</v>
      </c>
      <c r="B790" t="s">
        <v>638</v>
      </c>
      <c r="C790" t="s">
        <v>62</v>
      </c>
      <c r="D790" t="s">
        <v>63</v>
      </c>
      <c r="E790">
        <v>9.4</v>
      </c>
      <c r="F790">
        <v>10.3</v>
      </c>
      <c r="G790" s="2" t="s">
        <v>64</v>
      </c>
      <c r="H790" s="2">
        <v>0.0</v>
      </c>
      <c r="I790" s="2">
        <v>0.0</v>
      </c>
      <c r="J790" s="37">
        <v>0.0</v>
      </c>
      <c r="K790" s="2">
        <v>0.0</v>
      </c>
      <c r="L790" s="2">
        <v>0.0</v>
      </c>
      <c r="M790" s="37">
        <v>0.0</v>
      </c>
    </row>
    <row r="791" ht="14.25" customHeight="1">
      <c r="A791" t="s">
        <v>873</v>
      </c>
      <c r="B791" t="s">
        <v>638</v>
      </c>
      <c r="C791" t="s">
        <v>62</v>
      </c>
      <c r="D791" t="s">
        <v>63</v>
      </c>
      <c r="E791">
        <v>8.5</v>
      </c>
      <c r="F791">
        <v>9.0</v>
      </c>
      <c r="G791" s="2" t="s">
        <v>64</v>
      </c>
      <c r="H791" s="2">
        <v>0.0</v>
      </c>
      <c r="I791" s="2">
        <v>0.0</v>
      </c>
      <c r="J791" s="37">
        <v>0.0</v>
      </c>
      <c r="K791" s="2">
        <v>0.0</v>
      </c>
      <c r="L791" s="2">
        <v>0.0</v>
      </c>
      <c r="M791" s="37">
        <v>0.0</v>
      </c>
    </row>
    <row r="792" ht="14.25" customHeight="1">
      <c r="A792" t="s">
        <v>874</v>
      </c>
      <c r="B792" t="s">
        <v>638</v>
      </c>
      <c r="C792" t="s">
        <v>62</v>
      </c>
      <c r="D792" t="s">
        <v>63</v>
      </c>
      <c r="E792">
        <v>9.4</v>
      </c>
      <c r="F792">
        <v>10.3</v>
      </c>
      <c r="G792" s="2" t="s">
        <v>64</v>
      </c>
      <c r="H792" s="2">
        <v>0.0</v>
      </c>
      <c r="I792" s="2">
        <v>0.0</v>
      </c>
      <c r="J792" s="37">
        <v>0.0</v>
      </c>
      <c r="K792" s="2">
        <v>0.0</v>
      </c>
      <c r="L792" s="2">
        <v>0.0</v>
      </c>
      <c r="M792" s="37">
        <v>0.0</v>
      </c>
    </row>
    <row r="793" ht="14.25" customHeight="1">
      <c r="A793" t="s">
        <v>875</v>
      </c>
      <c r="B793" t="s">
        <v>638</v>
      </c>
      <c r="C793" t="s">
        <v>75</v>
      </c>
      <c r="D793" t="s">
        <v>82</v>
      </c>
      <c r="E793">
        <v>37.18</v>
      </c>
      <c r="F793">
        <v>34.32</v>
      </c>
      <c r="G793" s="2" t="s">
        <v>64</v>
      </c>
      <c r="H793" s="2">
        <v>0.0</v>
      </c>
      <c r="I793" s="2">
        <v>0.0</v>
      </c>
      <c r="J793" s="37">
        <v>0.0</v>
      </c>
      <c r="K793" s="2">
        <v>0.0</v>
      </c>
      <c r="L793" s="2">
        <v>0.0</v>
      </c>
      <c r="M793" s="37">
        <v>0.0</v>
      </c>
    </row>
    <row r="794" ht="14.25" customHeight="1">
      <c r="A794" t="s">
        <v>876</v>
      </c>
      <c r="B794" t="s">
        <v>638</v>
      </c>
      <c r="C794" t="s">
        <v>75</v>
      </c>
      <c r="D794" t="s">
        <v>63</v>
      </c>
      <c r="E794">
        <v>18.0</v>
      </c>
      <c r="F794">
        <v>20.0</v>
      </c>
      <c r="G794" s="2" t="s">
        <v>64</v>
      </c>
      <c r="H794" s="2">
        <v>0.0</v>
      </c>
      <c r="I794" s="2">
        <v>0.0</v>
      </c>
      <c r="J794" s="37">
        <v>0.0</v>
      </c>
      <c r="K794" s="2">
        <v>0.0</v>
      </c>
      <c r="L794" s="2">
        <v>0.0</v>
      </c>
      <c r="M794" s="37">
        <v>0.0</v>
      </c>
    </row>
    <row r="795" ht="14.25" customHeight="1">
      <c r="A795" t="s">
        <v>877</v>
      </c>
      <c r="B795" t="s">
        <v>638</v>
      </c>
      <c r="C795" t="s">
        <v>75</v>
      </c>
      <c r="D795" t="s">
        <v>63</v>
      </c>
      <c r="E795">
        <v>7.1</v>
      </c>
      <c r="F795">
        <v>7.5</v>
      </c>
      <c r="G795" s="2" t="s">
        <v>67</v>
      </c>
      <c r="H795" s="2">
        <v>39.0</v>
      </c>
      <c r="I795" s="2">
        <v>218.0</v>
      </c>
      <c r="J795" s="37">
        <v>1159.3400000000001</v>
      </c>
      <c r="K795" s="2">
        <v>46.0</v>
      </c>
      <c r="L795" s="2">
        <v>356.0</v>
      </c>
      <c r="M795" s="37">
        <v>1495.96</v>
      </c>
    </row>
    <row r="796" ht="14.25" customHeight="1">
      <c r="A796" t="s">
        <v>878</v>
      </c>
      <c r="B796" t="s">
        <v>638</v>
      </c>
      <c r="C796" t="s">
        <v>75</v>
      </c>
      <c r="D796" t="s">
        <v>63</v>
      </c>
      <c r="E796">
        <v>8.5</v>
      </c>
      <c r="F796">
        <v>10.0</v>
      </c>
      <c r="G796" s="2" t="s">
        <v>67</v>
      </c>
      <c r="H796" s="2">
        <v>52.0</v>
      </c>
      <c r="I796" s="2">
        <v>219.0</v>
      </c>
      <c r="J796" s="37">
        <v>1452.6200000000001</v>
      </c>
      <c r="K796" s="2">
        <v>61.0</v>
      </c>
      <c r="L796" s="2">
        <v>384.0</v>
      </c>
      <c r="M796" s="37">
        <v>1869.26</v>
      </c>
    </row>
    <row r="797" ht="14.25" customHeight="1">
      <c r="A797" t="s">
        <v>879</v>
      </c>
      <c r="B797" t="s">
        <v>638</v>
      </c>
      <c r="C797" t="s">
        <v>75</v>
      </c>
      <c r="D797" t="s">
        <v>63</v>
      </c>
      <c r="E797">
        <v>10.0</v>
      </c>
      <c r="F797">
        <v>12.5</v>
      </c>
      <c r="G797" s="2" t="s">
        <v>67</v>
      </c>
      <c r="H797" s="2">
        <v>66.0</v>
      </c>
      <c r="I797" s="2">
        <v>345.0</v>
      </c>
      <c r="J797" s="37">
        <v>1930.8600000000001</v>
      </c>
      <c r="K797" s="2">
        <v>77.0</v>
      </c>
      <c r="L797" s="2">
        <v>539.0</v>
      </c>
      <c r="M797" s="37">
        <v>2430.12</v>
      </c>
    </row>
    <row r="798" ht="14.25" customHeight="1">
      <c r="A798" t="s">
        <v>880</v>
      </c>
      <c r="B798" t="s">
        <v>638</v>
      </c>
      <c r="C798" t="s">
        <v>75</v>
      </c>
      <c r="D798" t="s">
        <v>63</v>
      </c>
      <c r="E798">
        <v>12.5</v>
      </c>
      <c r="F798">
        <v>15.0</v>
      </c>
      <c r="G798" s="2" t="s">
        <v>64</v>
      </c>
      <c r="H798" s="2">
        <v>0.0</v>
      </c>
      <c r="I798" s="2">
        <v>0.0</v>
      </c>
      <c r="J798" s="37">
        <v>0.0</v>
      </c>
      <c r="K798" s="2">
        <v>0.0</v>
      </c>
      <c r="L798" s="2">
        <v>0.0</v>
      </c>
      <c r="M798" s="37">
        <v>0.0</v>
      </c>
    </row>
    <row r="799" ht="14.25" customHeight="1">
      <c r="A799" t="s">
        <v>881</v>
      </c>
      <c r="B799" t="s">
        <v>638</v>
      </c>
      <c r="C799" t="s">
        <v>75</v>
      </c>
      <c r="D799" t="s">
        <v>63</v>
      </c>
      <c r="E799">
        <v>14.0</v>
      </c>
      <c r="F799">
        <v>16.5</v>
      </c>
      <c r="G799" s="2" t="s">
        <v>67</v>
      </c>
      <c r="H799" s="2">
        <v>78.0</v>
      </c>
      <c r="I799" s="2">
        <v>328.0</v>
      </c>
      <c r="J799" s="37">
        <v>2178.28</v>
      </c>
      <c r="K799" s="2">
        <v>92.0</v>
      </c>
      <c r="L799" s="2">
        <v>599.0</v>
      </c>
      <c r="M799" s="37">
        <v>2845.0200000000004</v>
      </c>
    </row>
    <row r="800" ht="14.25" customHeight="1">
      <c r="A800" t="s">
        <v>882</v>
      </c>
      <c r="B800" t="s">
        <v>638</v>
      </c>
      <c r="C800" t="s">
        <v>75</v>
      </c>
      <c r="D800" t="s">
        <v>63</v>
      </c>
      <c r="E800">
        <v>16.0</v>
      </c>
      <c r="F800">
        <v>18.0</v>
      </c>
      <c r="G800" s="2" t="s">
        <v>67</v>
      </c>
      <c r="H800" s="2">
        <v>86.0</v>
      </c>
      <c r="I800" s="2">
        <v>174.0</v>
      </c>
      <c r="J800" s="37">
        <v>2157.76</v>
      </c>
      <c r="K800" s="2">
        <v>102.0</v>
      </c>
      <c r="L800" s="2">
        <v>484.0</v>
      </c>
      <c r="M800" s="37">
        <v>2920.12</v>
      </c>
    </row>
    <row r="801" ht="14.25" customHeight="1">
      <c r="A801" t="s">
        <v>883</v>
      </c>
      <c r="B801" t="s">
        <v>638</v>
      </c>
      <c r="C801" t="s">
        <v>75</v>
      </c>
      <c r="D801" t="s">
        <v>63</v>
      </c>
      <c r="E801">
        <v>5.0</v>
      </c>
      <c r="F801">
        <v>6.0</v>
      </c>
      <c r="G801" s="2" t="s">
        <v>64</v>
      </c>
      <c r="H801" s="2">
        <v>0.0</v>
      </c>
      <c r="I801" s="2">
        <v>0.0</v>
      </c>
      <c r="J801" s="37">
        <v>0.0</v>
      </c>
      <c r="K801" s="2">
        <v>0.0</v>
      </c>
      <c r="L801" s="2">
        <v>0.0</v>
      </c>
      <c r="M801" s="37">
        <v>0.0</v>
      </c>
    </row>
    <row r="802" ht="14.25" customHeight="1">
      <c r="A802" t="s">
        <v>884</v>
      </c>
      <c r="B802" t="s">
        <v>638</v>
      </c>
      <c r="C802" t="s">
        <v>75</v>
      </c>
      <c r="D802" t="s">
        <v>63</v>
      </c>
      <c r="E802">
        <v>6.0</v>
      </c>
      <c r="F802">
        <v>7.0</v>
      </c>
      <c r="G802" s="2" t="s">
        <v>64</v>
      </c>
      <c r="H802" s="2">
        <v>0.0</v>
      </c>
      <c r="I802" s="2">
        <v>0.0</v>
      </c>
      <c r="J802" s="37">
        <v>0.0</v>
      </c>
      <c r="K802" s="2">
        <v>0.0</v>
      </c>
      <c r="L802" s="2">
        <v>0.0</v>
      </c>
      <c r="M802" s="37">
        <v>0.0</v>
      </c>
    </row>
    <row r="803" ht="14.25" customHeight="1">
      <c r="A803" t="s">
        <v>885</v>
      </c>
      <c r="B803" t="s">
        <v>638</v>
      </c>
      <c r="C803" t="s">
        <v>75</v>
      </c>
      <c r="D803" t="s">
        <v>63</v>
      </c>
      <c r="E803">
        <v>7.1</v>
      </c>
      <c r="F803">
        <v>7.5</v>
      </c>
      <c r="G803" s="2" t="s">
        <v>64</v>
      </c>
      <c r="H803" s="2">
        <v>0.0</v>
      </c>
      <c r="I803" s="2">
        <v>0.0</v>
      </c>
      <c r="J803" s="37">
        <v>0.0</v>
      </c>
      <c r="K803" s="2">
        <v>0.0</v>
      </c>
      <c r="L803" s="2">
        <v>0.0</v>
      </c>
      <c r="M803" s="37">
        <v>0.0</v>
      </c>
    </row>
    <row r="804" ht="14.25" customHeight="1">
      <c r="A804" t="s">
        <v>886</v>
      </c>
      <c r="B804" t="s">
        <v>638</v>
      </c>
      <c r="C804" t="s">
        <v>75</v>
      </c>
      <c r="D804" t="s">
        <v>63</v>
      </c>
      <c r="E804">
        <v>8.5</v>
      </c>
      <c r="F804">
        <v>10.0</v>
      </c>
      <c r="G804" s="2" t="s">
        <v>64</v>
      </c>
      <c r="H804" s="2">
        <v>0.0</v>
      </c>
      <c r="I804" s="2">
        <v>0.0</v>
      </c>
      <c r="J804" s="37">
        <v>0.0</v>
      </c>
      <c r="K804" s="2">
        <v>0.0</v>
      </c>
      <c r="L804" s="2">
        <v>0.0</v>
      </c>
      <c r="M804" s="37">
        <v>0.0</v>
      </c>
    </row>
    <row r="805" ht="14.25" customHeight="1">
      <c r="A805" t="s">
        <v>887</v>
      </c>
      <c r="B805" t="s">
        <v>638</v>
      </c>
      <c r="C805" t="s">
        <v>75</v>
      </c>
      <c r="D805" t="s">
        <v>63</v>
      </c>
      <c r="E805">
        <v>10.0</v>
      </c>
      <c r="F805">
        <v>12.5</v>
      </c>
      <c r="G805" s="2" t="s">
        <v>64</v>
      </c>
      <c r="H805" s="2">
        <v>0.0</v>
      </c>
      <c r="I805" s="2">
        <v>0.0</v>
      </c>
      <c r="J805" s="37">
        <v>0.0</v>
      </c>
      <c r="K805" s="2">
        <v>0.0</v>
      </c>
      <c r="L805" s="2">
        <v>0.0</v>
      </c>
      <c r="M805" s="37">
        <v>0.0</v>
      </c>
    </row>
    <row r="806" ht="14.25" customHeight="1">
      <c r="A806" t="s">
        <v>888</v>
      </c>
      <c r="B806" t="s">
        <v>638</v>
      </c>
      <c r="C806" t="s">
        <v>75</v>
      </c>
      <c r="D806" t="s">
        <v>63</v>
      </c>
      <c r="E806">
        <v>12.5</v>
      </c>
      <c r="F806">
        <v>15.0</v>
      </c>
      <c r="G806" s="2" t="s">
        <v>64</v>
      </c>
      <c r="H806" s="2">
        <v>0.0</v>
      </c>
      <c r="I806" s="2">
        <v>0.0</v>
      </c>
      <c r="J806" s="37">
        <v>0.0</v>
      </c>
      <c r="K806" s="2">
        <v>0.0</v>
      </c>
      <c r="L806" s="2">
        <v>0.0</v>
      </c>
      <c r="M806" s="37">
        <v>0.0</v>
      </c>
    </row>
    <row r="807" ht="14.25" customHeight="1">
      <c r="A807" t="s">
        <v>889</v>
      </c>
      <c r="B807" t="s">
        <v>638</v>
      </c>
      <c r="C807" t="s">
        <v>75</v>
      </c>
      <c r="D807" t="s">
        <v>63</v>
      </c>
      <c r="E807">
        <v>14.0</v>
      </c>
      <c r="F807">
        <v>16.5</v>
      </c>
      <c r="G807" s="2" t="s">
        <v>64</v>
      </c>
      <c r="H807" s="2">
        <v>0.0</v>
      </c>
      <c r="I807" s="2">
        <v>0.0</v>
      </c>
      <c r="J807" s="37">
        <v>0.0</v>
      </c>
      <c r="K807" s="2">
        <v>0.0</v>
      </c>
      <c r="L807" s="2">
        <v>0.0</v>
      </c>
      <c r="M807" s="37">
        <v>0.0</v>
      </c>
    </row>
    <row r="808" ht="14.25" customHeight="1">
      <c r="A808" t="s">
        <v>890</v>
      </c>
      <c r="B808" t="s">
        <v>638</v>
      </c>
      <c r="C808" t="s">
        <v>75</v>
      </c>
      <c r="D808" t="s">
        <v>63</v>
      </c>
      <c r="E808">
        <v>15.5</v>
      </c>
      <c r="F808">
        <v>18.0</v>
      </c>
      <c r="G808" s="2" t="s">
        <v>64</v>
      </c>
      <c r="H808" s="2">
        <v>0.0</v>
      </c>
      <c r="I808" s="2">
        <v>0.0</v>
      </c>
      <c r="J808" s="37">
        <v>0.0</v>
      </c>
      <c r="K808" s="2">
        <v>0.0</v>
      </c>
      <c r="L808" s="2">
        <v>0.0</v>
      </c>
      <c r="M808" s="37">
        <v>0.0</v>
      </c>
    </row>
    <row r="809" ht="14.25" customHeight="1">
      <c r="A809" t="s">
        <v>891</v>
      </c>
      <c r="B809" t="s">
        <v>638</v>
      </c>
      <c r="C809" t="s">
        <v>75</v>
      </c>
      <c r="D809" t="s">
        <v>63</v>
      </c>
      <c r="E809">
        <v>7.1</v>
      </c>
      <c r="F809">
        <v>7.5</v>
      </c>
      <c r="G809" s="2" t="s">
        <v>64</v>
      </c>
      <c r="H809" s="2">
        <v>0.0</v>
      </c>
      <c r="I809" s="2">
        <v>0.0</v>
      </c>
      <c r="J809" s="37">
        <v>0.0</v>
      </c>
      <c r="K809" s="2">
        <v>0.0</v>
      </c>
      <c r="L809" s="2">
        <v>0.0</v>
      </c>
      <c r="M809" s="37">
        <v>0.0</v>
      </c>
    </row>
    <row r="810" ht="14.25" customHeight="1">
      <c r="A810" t="s">
        <v>892</v>
      </c>
      <c r="B810" t="s">
        <v>638</v>
      </c>
      <c r="C810" t="s">
        <v>75</v>
      </c>
      <c r="D810" t="s">
        <v>63</v>
      </c>
      <c r="E810">
        <v>8.5</v>
      </c>
      <c r="F810">
        <v>10.0</v>
      </c>
      <c r="G810" s="2" t="s">
        <v>64</v>
      </c>
      <c r="H810" s="2">
        <v>0.0</v>
      </c>
      <c r="I810" s="2">
        <v>0.0</v>
      </c>
      <c r="J810" s="37">
        <v>0.0</v>
      </c>
      <c r="K810" s="2">
        <v>0.0</v>
      </c>
      <c r="L810" s="2">
        <v>0.0</v>
      </c>
      <c r="M810" s="37">
        <v>0.0</v>
      </c>
    </row>
    <row r="811" ht="14.25" customHeight="1">
      <c r="A811" t="s">
        <v>893</v>
      </c>
      <c r="B811" t="s">
        <v>638</v>
      </c>
      <c r="C811" t="s">
        <v>75</v>
      </c>
      <c r="D811" t="s">
        <v>63</v>
      </c>
      <c r="E811">
        <v>10.0</v>
      </c>
      <c r="F811">
        <v>12.5</v>
      </c>
      <c r="G811" s="2" t="s">
        <v>64</v>
      </c>
      <c r="H811" s="2">
        <v>0.0</v>
      </c>
      <c r="I811" s="2">
        <v>0.0</v>
      </c>
      <c r="J811" s="37">
        <v>0.0</v>
      </c>
      <c r="K811" s="2">
        <v>0.0</v>
      </c>
      <c r="L811" s="2">
        <v>0.0</v>
      </c>
      <c r="M811" s="37">
        <v>0.0</v>
      </c>
    </row>
    <row r="812" ht="14.25" customHeight="1">
      <c r="A812" t="s">
        <v>894</v>
      </c>
      <c r="B812" t="s">
        <v>638</v>
      </c>
      <c r="C812" t="s">
        <v>75</v>
      </c>
      <c r="D812" t="s">
        <v>63</v>
      </c>
      <c r="E812">
        <v>12.5</v>
      </c>
      <c r="F812">
        <v>15.0</v>
      </c>
      <c r="G812" s="2" t="s">
        <v>64</v>
      </c>
      <c r="H812" s="2">
        <v>0.0</v>
      </c>
      <c r="I812" s="2">
        <v>0.0</v>
      </c>
      <c r="J812" s="37">
        <v>0.0</v>
      </c>
      <c r="K812" s="2">
        <v>0.0</v>
      </c>
      <c r="L812" s="2">
        <v>0.0</v>
      </c>
      <c r="M812" s="37">
        <v>0.0</v>
      </c>
    </row>
    <row r="813" ht="14.25" customHeight="1">
      <c r="A813" t="s">
        <v>895</v>
      </c>
      <c r="B813" t="s">
        <v>638</v>
      </c>
      <c r="C813" t="s">
        <v>75</v>
      </c>
      <c r="D813" t="s">
        <v>63</v>
      </c>
      <c r="E813">
        <v>14.0</v>
      </c>
      <c r="F813">
        <v>16.5</v>
      </c>
      <c r="G813" s="2" t="s">
        <v>64</v>
      </c>
      <c r="H813" s="2">
        <v>0.0</v>
      </c>
      <c r="I813" s="2">
        <v>0.0</v>
      </c>
      <c r="J813" s="37">
        <v>0.0</v>
      </c>
      <c r="K813" s="2">
        <v>0.0</v>
      </c>
      <c r="L813" s="2">
        <v>0.0</v>
      </c>
      <c r="M813" s="37">
        <v>0.0</v>
      </c>
    </row>
    <row r="814" ht="14.25" customHeight="1">
      <c r="A814" t="s">
        <v>896</v>
      </c>
      <c r="B814" t="s">
        <v>638</v>
      </c>
      <c r="C814" t="s">
        <v>75</v>
      </c>
      <c r="D814" t="s">
        <v>63</v>
      </c>
      <c r="E814">
        <v>15.5</v>
      </c>
      <c r="F814">
        <v>18.0</v>
      </c>
      <c r="G814" s="2" t="s">
        <v>64</v>
      </c>
      <c r="H814" s="2">
        <v>0.0</v>
      </c>
      <c r="I814" s="2">
        <v>0.0</v>
      </c>
      <c r="J814" s="37">
        <v>0.0</v>
      </c>
      <c r="K814" s="2">
        <v>0.0</v>
      </c>
      <c r="L814" s="2">
        <v>0.0</v>
      </c>
      <c r="M814" s="37">
        <v>0.0</v>
      </c>
    </row>
    <row r="815" ht="14.25" customHeight="1">
      <c r="A815" t="s">
        <v>897</v>
      </c>
      <c r="B815" t="s">
        <v>638</v>
      </c>
      <c r="C815" t="s">
        <v>75</v>
      </c>
      <c r="D815" t="s">
        <v>82</v>
      </c>
      <c r="E815">
        <v>40.82</v>
      </c>
      <c r="F815">
        <v>37.56</v>
      </c>
      <c r="G815" s="2" t="s">
        <v>64</v>
      </c>
      <c r="H815" s="2">
        <v>0.0</v>
      </c>
      <c r="I815" s="2">
        <v>0.0</v>
      </c>
      <c r="J815" s="37">
        <v>0.0</v>
      </c>
      <c r="K815" s="2">
        <v>0.0</v>
      </c>
      <c r="L815" s="2">
        <v>0.0</v>
      </c>
      <c r="M815" s="37">
        <v>0.0</v>
      </c>
    </row>
    <row r="816" ht="14.25" customHeight="1">
      <c r="A816" t="s">
        <v>898</v>
      </c>
      <c r="B816" t="s">
        <v>638</v>
      </c>
      <c r="C816" t="s">
        <v>75</v>
      </c>
      <c r="D816" t="s">
        <v>82</v>
      </c>
      <c r="E816">
        <v>45.8</v>
      </c>
      <c r="F816">
        <v>44.13</v>
      </c>
      <c r="G816" s="2" t="s">
        <v>64</v>
      </c>
      <c r="H816" s="2">
        <v>0.0</v>
      </c>
      <c r="I816" s="2">
        <v>0.0</v>
      </c>
      <c r="J816" s="37">
        <v>0.0</v>
      </c>
      <c r="K816" s="2">
        <v>0.0</v>
      </c>
      <c r="L816" s="2">
        <v>0.0</v>
      </c>
      <c r="M816" s="37">
        <v>0.0</v>
      </c>
    </row>
    <row r="817" ht="14.25" customHeight="1">
      <c r="A817" t="s">
        <v>899</v>
      </c>
      <c r="B817" t="s">
        <v>638</v>
      </c>
      <c r="C817" t="s">
        <v>75</v>
      </c>
      <c r="D817" t="s">
        <v>82</v>
      </c>
      <c r="E817">
        <v>53.43</v>
      </c>
      <c r="F817">
        <v>54.34</v>
      </c>
      <c r="G817" s="2" t="s">
        <v>64</v>
      </c>
      <c r="H817" s="2">
        <v>0.0</v>
      </c>
      <c r="I817" s="2">
        <v>0.0</v>
      </c>
      <c r="J817" s="37">
        <v>0.0</v>
      </c>
      <c r="K817" s="2">
        <v>0.0</v>
      </c>
      <c r="L817" s="2">
        <v>0.0</v>
      </c>
      <c r="M817" s="37">
        <v>0.0</v>
      </c>
    </row>
    <row r="818" ht="14.25" customHeight="1">
      <c r="A818" t="s">
        <v>900</v>
      </c>
      <c r="B818" t="s">
        <v>638</v>
      </c>
      <c r="C818" t="s">
        <v>62</v>
      </c>
      <c r="D818" t="s">
        <v>63</v>
      </c>
      <c r="E818">
        <v>2.0</v>
      </c>
      <c r="F818">
        <v>2.7</v>
      </c>
      <c r="G818" s="2" t="s">
        <v>67</v>
      </c>
      <c r="H818" s="2">
        <v>13.0</v>
      </c>
      <c r="I818" s="2">
        <v>82.0</v>
      </c>
      <c r="J818" s="37">
        <v>398.58000000000004</v>
      </c>
      <c r="K818" s="2">
        <v>15.0</v>
      </c>
      <c r="L818" s="2">
        <v>112.0</v>
      </c>
      <c r="M818" s="37">
        <v>482.5</v>
      </c>
    </row>
    <row r="819" ht="14.25" customHeight="1">
      <c r="A819" t="s">
        <v>901</v>
      </c>
      <c r="B819" t="s">
        <v>638</v>
      </c>
      <c r="C819" t="s">
        <v>62</v>
      </c>
      <c r="D819" t="s">
        <v>63</v>
      </c>
      <c r="E819">
        <v>2.5</v>
      </c>
      <c r="F819">
        <v>3.2</v>
      </c>
      <c r="G819" s="2" t="s">
        <v>67</v>
      </c>
      <c r="H819" s="2">
        <v>16.0</v>
      </c>
      <c r="I819" s="2">
        <v>108.0</v>
      </c>
      <c r="J819" s="37">
        <v>499.76</v>
      </c>
      <c r="K819" s="2">
        <v>19.0</v>
      </c>
      <c r="L819" s="2">
        <v>146.0</v>
      </c>
      <c r="M819" s="37">
        <v>616.54</v>
      </c>
    </row>
    <row r="820" ht="14.25" customHeight="1">
      <c r="A820" t="s">
        <v>902</v>
      </c>
      <c r="B820" t="s">
        <v>638</v>
      </c>
      <c r="C820" t="s">
        <v>62</v>
      </c>
      <c r="D820" t="s">
        <v>63</v>
      </c>
      <c r="E820">
        <v>3.5</v>
      </c>
      <c r="F820">
        <v>3.7</v>
      </c>
      <c r="G820" s="2" t="s">
        <v>67</v>
      </c>
      <c r="H820" s="2">
        <v>18.0</v>
      </c>
      <c r="I820" s="2">
        <v>82.0</v>
      </c>
      <c r="J820" s="37">
        <v>510.88000000000005</v>
      </c>
      <c r="K820" s="2">
        <v>20.0</v>
      </c>
      <c r="L820" s="2">
        <v>135.0</v>
      </c>
      <c r="M820" s="37">
        <v>624.7</v>
      </c>
    </row>
    <row r="821" ht="14.25" customHeight="1">
      <c r="A821" t="s">
        <v>903</v>
      </c>
      <c r="B821" t="s">
        <v>638</v>
      </c>
      <c r="C821" t="s">
        <v>62</v>
      </c>
      <c r="D821" t="s">
        <v>63</v>
      </c>
      <c r="E821">
        <v>4.6</v>
      </c>
      <c r="F821">
        <v>4.7</v>
      </c>
      <c r="G821" s="2" t="s">
        <v>67</v>
      </c>
      <c r="H821" s="2">
        <v>27.0</v>
      </c>
      <c r="I821" s="2">
        <v>128.0</v>
      </c>
      <c r="J821" s="37">
        <v>772.82</v>
      </c>
      <c r="K821" s="2">
        <v>30.0</v>
      </c>
      <c r="L821" s="2">
        <v>207.0</v>
      </c>
      <c r="M821" s="37">
        <v>942.9000000000001</v>
      </c>
    </row>
    <row r="822" ht="14.25" customHeight="1">
      <c r="A822" t="s">
        <v>904</v>
      </c>
      <c r="B822" t="s">
        <v>638</v>
      </c>
      <c r="C822" t="s">
        <v>62</v>
      </c>
      <c r="D822" t="s">
        <v>63</v>
      </c>
      <c r="E822">
        <v>5.0</v>
      </c>
      <c r="F822">
        <v>6.0</v>
      </c>
      <c r="G822" s="2" t="s">
        <v>67</v>
      </c>
      <c r="H822" s="2">
        <v>35.0</v>
      </c>
      <c r="I822" s="2">
        <v>231.0</v>
      </c>
      <c r="J822" s="37">
        <v>1086.4</v>
      </c>
      <c r="K822" s="2">
        <v>40.0</v>
      </c>
      <c r="L822" s="2">
        <v>317.0</v>
      </c>
      <c r="M822" s="37">
        <v>1310.5</v>
      </c>
    </row>
    <row r="823" ht="14.25" customHeight="1">
      <c r="A823" t="s">
        <v>905</v>
      </c>
      <c r="B823" t="s">
        <v>638</v>
      </c>
      <c r="C823" t="s">
        <v>62</v>
      </c>
      <c r="D823" t="s">
        <v>63</v>
      </c>
      <c r="E823">
        <v>6.0</v>
      </c>
      <c r="F823">
        <v>7.2</v>
      </c>
      <c r="G823" s="2" t="s">
        <v>67</v>
      </c>
      <c r="H823" s="2">
        <v>41.0</v>
      </c>
      <c r="I823" s="2">
        <v>192.0</v>
      </c>
      <c r="J823" s="37">
        <v>1170.46</v>
      </c>
      <c r="K823" s="2">
        <v>46.0</v>
      </c>
      <c r="L823" s="2">
        <v>295.0</v>
      </c>
      <c r="M823" s="37">
        <v>1416.66</v>
      </c>
    </row>
    <row r="824" ht="14.25" customHeight="1">
      <c r="A824" t="s">
        <v>906</v>
      </c>
      <c r="B824" t="s">
        <v>638</v>
      </c>
      <c r="C824" t="s">
        <v>62</v>
      </c>
      <c r="D824" t="s">
        <v>63</v>
      </c>
      <c r="E824">
        <v>7.1</v>
      </c>
      <c r="F824">
        <v>8.0</v>
      </c>
      <c r="G824" s="2" t="s">
        <v>67</v>
      </c>
      <c r="H824" s="2">
        <v>44.0</v>
      </c>
      <c r="I824" s="2">
        <v>154.0</v>
      </c>
      <c r="J824" s="37">
        <v>1188.44</v>
      </c>
      <c r="K824" s="2">
        <v>50.0</v>
      </c>
      <c r="L824" s="2">
        <v>276.0</v>
      </c>
      <c r="M824" s="37">
        <v>1481.8</v>
      </c>
    </row>
    <row r="825" ht="14.25" customHeight="1">
      <c r="A825" t="s">
        <v>907</v>
      </c>
      <c r="B825" t="s">
        <v>638</v>
      </c>
      <c r="C825" t="s">
        <v>62</v>
      </c>
      <c r="D825" t="s">
        <v>63</v>
      </c>
      <c r="E825">
        <v>2.2</v>
      </c>
      <c r="F825">
        <v>2.7</v>
      </c>
      <c r="G825" s="2" t="s">
        <v>67</v>
      </c>
      <c r="H825" s="2">
        <v>14.0</v>
      </c>
      <c r="I825" s="2">
        <v>104.0</v>
      </c>
      <c r="J825" s="37">
        <v>449.64</v>
      </c>
      <c r="K825" s="2">
        <v>16.0</v>
      </c>
      <c r="L825" s="2">
        <v>137.0</v>
      </c>
      <c r="M825" s="37">
        <v>537.46</v>
      </c>
    </row>
    <row r="826" ht="14.25" customHeight="1">
      <c r="A826" t="s">
        <v>908</v>
      </c>
      <c r="B826" t="s">
        <v>638</v>
      </c>
      <c r="C826" t="s">
        <v>62</v>
      </c>
      <c r="D826" t="s">
        <v>63</v>
      </c>
      <c r="E826">
        <v>2.5</v>
      </c>
      <c r="F826">
        <v>3.2</v>
      </c>
      <c r="G826" s="2" t="s">
        <v>67</v>
      </c>
      <c r="H826" s="2">
        <v>17.0</v>
      </c>
      <c r="I826" s="2">
        <v>122.0</v>
      </c>
      <c r="J826" s="37">
        <v>540.42</v>
      </c>
      <c r="K826" s="2">
        <v>19.0</v>
      </c>
      <c r="L826" s="2">
        <v>160.0</v>
      </c>
      <c r="M826" s="37">
        <v>634.74</v>
      </c>
    </row>
    <row r="827" ht="14.25" customHeight="1">
      <c r="A827" t="s">
        <v>909</v>
      </c>
      <c r="B827" t="s">
        <v>638</v>
      </c>
      <c r="C827" t="s">
        <v>62</v>
      </c>
      <c r="D827" t="s">
        <v>63</v>
      </c>
      <c r="E827">
        <v>3.5</v>
      </c>
      <c r="F827">
        <v>3.7</v>
      </c>
      <c r="G827" s="2" t="s">
        <v>67</v>
      </c>
      <c r="H827" s="2">
        <v>19.0</v>
      </c>
      <c r="I827" s="2">
        <v>87.0</v>
      </c>
      <c r="J827" s="37">
        <v>539.84</v>
      </c>
      <c r="K827" s="2">
        <v>22.0</v>
      </c>
      <c r="L827" s="2">
        <v>140.0</v>
      </c>
      <c r="M827" s="37">
        <v>676.12</v>
      </c>
    </row>
    <row r="828" ht="14.25" customHeight="1">
      <c r="A828" t="s">
        <v>910</v>
      </c>
      <c r="B828" t="s">
        <v>638</v>
      </c>
      <c r="C828" t="s">
        <v>62</v>
      </c>
      <c r="D828" t="s">
        <v>63</v>
      </c>
      <c r="E828">
        <v>4.6</v>
      </c>
      <c r="F828">
        <v>4.7</v>
      </c>
      <c r="G828" s="2" t="s">
        <v>67</v>
      </c>
      <c r="H828" s="2">
        <v>29.0</v>
      </c>
      <c r="I828" s="2">
        <v>147.0</v>
      </c>
      <c r="J828" s="37">
        <v>842.44</v>
      </c>
      <c r="K828" s="2">
        <v>33.0</v>
      </c>
      <c r="L828" s="2">
        <v>227.0</v>
      </c>
      <c r="M828" s="37">
        <v>1036.2800000000002</v>
      </c>
    </row>
    <row r="829" ht="14.25" customHeight="1">
      <c r="A829" t="s">
        <v>911</v>
      </c>
      <c r="B829" t="s">
        <v>638</v>
      </c>
      <c r="C829" t="s">
        <v>62</v>
      </c>
      <c r="D829" t="s">
        <v>63</v>
      </c>
      <c r="E829">
        <v>5.0</v>
      </c>
      <c r="F829">
        <v>6.0</v>
      </c>
      <c r="G829" s="2" t="s">
        <v>67</v>
      </c>
      <c r="H829" s="2">
        <v>37.0</v>
      </c>
      <c r="I829" s="2">
        <v>237.0</v>
      </c>
      <c r="J829" s="37">
        <v>1139.12</v>
      </c>
      <c r="K829" s="2">
        <v>42.0</v>
      </c>
      <c r="L829" s="2">
        <v>323.0</v>
      </c>
      <c r="M829" s="37">
        <v>1363.22</v>
      </c>
    </row>
    <row r="830" ht="14.25" customHeight="1">
      <c r="A830" t="s">
        <v>912</v>
      </c>
      <c r="B830" t="s">
        <v>638</v>
      </c>
      <c r="C830" t="s">
        <v>62</v>
      </c>
      <c r="D830" t="s">
        <v>63</v>
      </c>
      <c r="E830">
        <v>6.0</v>
      </c>
      <c r="F830">
        <v>7.2</v>
      </c>
      <c r="G830" s="2" t="s">
        <v>67</v>
      </c>
      <c r="H830" s="2">
        <v>43.0</v>
      </c>
      <c r="I830" s="2">
        <v>214.0</v>
      </c>
      <c r="J830" s="37">
        <v>1243.98</v>
      </c>
      <c r="K830" s="2">
        <v>48.0</v>
      </c>
      <c r="L830" s="2">
        <v>318.0</v>
      </c>
      <c r="M830" s="37">
        <v>1491.48</v>
      </c>
    </row>
    <row r="831" ht="14.25" customHeight="1">
      <c r="A831" t="s">
        <v>913</v>
      </c>
      <c r="B831" t="s">
        <v>638</v>
      </c>
      <c r="C831" t="s">
        <v>62</v>
      </c>
      <c r="D831" t="s">
        <v>63</v>
      </c>
      <c r="E831">
        <v>7.1</v>
      </c>
      <c r="F831">
        <v>8.0</v>
      </c>
      <c r="G831" s="2" t="s">
        <v>67</v>
      </c>
      <c r="H831" s="2">
        <v>44.0</v>
      </c>
      <c r="I831" s="2">
        <v>114.0</v>
      </c>
      <c r="J831" s="37">
        <v>1136.44</v>
      </c>
      <c r="K831" s="2">
        <v>51.0</v>
      </c>
      <c r="L831" s="2">
        <v>237.0</v>
      </c>
      <c r="M831" s="37">
        <v>1453.56</v>
      </c>
    </row>
    <row r="832" ht="14.25" customHeight="1">
      <c r="A832" t="s">
        <v>914</v>
      </c>
      <c r="B832" t="s">
        <v>638</v>
      </c>
      <c r="C832" t="s">
        <v>62</v>
      </c>
      <c r="D832" t="s">
        <v>63</v>
      </c>
      <c r="E832">
        <v>2.0</v>
      </c>
      <c r="F832">
        <v>2.5</v>
      </c>
      <c r="G832" s="2" t="s">
        <v>64</v>
      </c>
      <c r="H832" s="2">
        <v>0.0</v>
      </c>
      <c r="I832" s="2">
        <v>0.0</v>
      </c>
      <c r="J832" s="37">
        <v>0.0</v>
      </c>
      <c r="K832" s="2">
        <v>0.0</v>
      </c>
      <c r="L832" s="2">
        <v>0.0</v>
      </c>
      <c r="M832" s="37">
        <v>0.0</v>
      </c>
    </row>
    <row r="833" ht="14.25" customHeight="1">
      <c r="A833" t="s">
        <v>915</v>
      </c>
      <c r="B833" t="s">
        <v>638</v>
      </c>
      <c r="C833" t="s">
        <v>62</v>
      </c>
      <c r="D833" t="s">
        <v>63</v>
      </c>
      <c r="E833">
        <v>2.5</v>
      </c>
      <c r="F833">
        <v>3.0</v>
      </c>
      <c r="G833" s="2" t="s">
        <v>64</v>
      </c>
      <c r="H833" s="2">
        <v>0.0</v>
      </c>
      <c r="I833" s="2">
        <v>0.0</v>
      </c>
      <c r="J833" s="37">
        <v>0.0</v>
      </c>
      <c r="K833" s="2">
        <v>0.0</v>
      </c>
      <c r="L833" s="2">
        <v>0.0</v>
      </c>
      <c r="M833" s="37">
        <v>0.0</v>
      </c>
    </row>
    <row r="834" ht="14.25" customHeight="1">
      <c r="A834" t="s">
        <v>916</v>
      </c>
      <c r="B834" t="s">
        <v>638</v>
      </c>
      <c r="C834" t="s">
        <v>62</v>
      </c>
      <c r="D834" t="s">
        <v>63</v>
      </c>
      <c r="E834">
        <v>3.5</v>
      </c>
      <c r="F834">
        <v>3.7</v>
      </c>
      <c r="G834" s="2" t="s">
        <v>64</v>
      </c>
      <c r="H834" s="2">
        <v>0.0</v>
      </c>
      <c r="I834" s="2">
        <v>0.0</v>
      </c>
      <c r="J834" s="37">
        <v>0.0</v>
      </c>
      <c r="K834" s="2">
        <v>0.0</v>
      </c>
      <c r="L834" s="2">
        <v>0.0</v>
      </c>
      <c r="M834" s="37">
        <v>0.0</v>
      </c>
    </row>
    <row r="835" ht="14.25" customHeight="1">
      <c r="A835" t="s">
        <v>917</v>
      </c>
      <c r="B835" t="s">
        <v>638</v>
      </c>
      <c r="C835" t="s">
        <v>62</v>
      </c>
      <c r="D835" t="s">
        <v>63</v>
      </c>
      <c r="E835">
        <v>4.6</v>
      </c>
      <c r="F835">
        <v>4.7</v>
      </c>
      <c r="G835" s="2" t="s">
        <v>64</v>
      </c>
      <c r="H835" s="2">
        <v>0.0</v>
      </c>
      <c r="I835" s="2">
        <v>0.0</v>
      </c>
      <c r="J835" s="37">
        <v>0.0</v>
      </c>
      <c r="K835" s="2">
        <v>0.0</v>
      </c>
      <c r="L835" s="2">
        <v>0.0</v>
      </c>
      <c r="M835" s="37">
        <v>0.0</v>
      </c>
    </row>
    <row r="836" ht="14.25" customHeight="1">
      <c r="A836" t="s">
        <v>918</v>
      </c>
      <c r="B836" t="s">
        <v>638</v>
      </c>
      <c r="C836" t="s">
        <v>62</v>
      </c>
      <c r="D836" t="s">
        <v>63</v>
      </c>
      <c r="E836">
        <v>5.0</v>
      </c>
      <c r="F836">
        <v>5.2</v>
      </c>
      <c r="G836" s="2" t="s">
        <v>64</v>
      </c>
      <c r="H836" s="2">
        <v>0.0</v>
      </c>
      <c r="I836" s="2">
        <v>0.0</v>
      </c>
      <c r="J836" s="37">
        <v>0.0</v>
      </c>
      <c r="K836" s="2">
        <v>0.0</v>
      </c>
      <c r="L836" s="2">
        <v>0.0</v>
      </c>
      <c r="M836" s="37">
        <v>0.0</v>
      </c>
    </row>
    <row r="837" ht="14.25" customHeight="1">
      <c r="A837" t="s">
        <v>919</v>
      </c>
      <c r="B837" t="s">
        <v>638</v>
      </c>
      <c r="C837" t="s">
        <v>62</v>
      </c>
      <c r="D837" t="s">
        <v>63</v>
      </c>
      <c r="E837">
        <v>6.0</v>
      </c>
      <c r="F837">
        <v>6.5</v>
      </c>
      <c r="G837" s="2" t="s">
        <v>64</v>
      </c>
      <c r="H837" s="2">
        <v>0.0</v>
      </c>
      <c r="I837" s="2">
        <v>0.0</v>
      </c>
      <c r="J837" s="37">
        <v>0.0</v>
      </c>
      <c r="K837" s="2">
        <v>0.0</v>
      </c>
      <c r="L837" s="2">
        <v>0.0</v>
      </c>
      <c r="M837" s="37">
        <v>0.0</v>
      </c>
    </row>
    <row r="838" ht="14.25" customHeight="1">
      <c r="A838" t="s">
        <v>920</v>
      </c>
      <c r="B838" t="s">
        <v>638</v>
      </c>
      <c r="C838" t="s">
        <v>62</v>
      </c>
      <c r="D838" t="s">
        <v>63</v>
      </c>
      <c r="E838">
        <v>7.1</v>
      </c>
      <c r="F838">
        <v>8.0</v>
      </c>
      <c r="G838" s="2" t="s">
        <v>64</v>
      </c>
      <c r="H838" s="2">
        <v>0.0</v>
      </c>
      <c r="I838" s="2">
        <v>0.0</v>
      </c>
      <c r="J838" s="37">
        <v>0.0</v>
      </c>
      <c r="K838" s="2">
        <v>0.0</v>
      </c>
      <c r="L838" s="2">
        <v>0.0</v>
      </c>
      <c r="M838" s="37">
        <v>0.0</v>
      </c>
    </row>
    <row r="839" ht="14.25" customHeight="1">
      <c r="A839" t="s">
        <v>921</v>
      </c>
      <c r="B839" t="s">
        <v>638</v>
      </c>
      <c r="C839" t="s">
        <v>62</v>
      </c>
      <c r="D839" t="s">
        <v>63</v>
      </c>
      <c r="E839">
        <v>8.5</v>
      </c>
      <c r="F839">
        <v>9.0</v>
      </c>
      <c r="G839" s="2" t="s">
        <v>67</v>
      </c>
      <c r="H839" s="2">
        <v>45.0</v>
      </c>
      <c r="I839" s="2">
        <v>162.0</v>
      </c>
      <c r="J839" s="37">
        <v>1221.3</v>
      </c>
      <c r="K839" s="2">
        <v>52.0</v>
      </c>
      <c r="L839" s="2">
        <v>308.0</v>
      </c>
      <c r="M839" s="37">
        <v>1568.3200000000002</v>
      </c>
    </row>
    <row r="840" ht="14.25" customHeight="1">
      <c r="A840" t="s">
        <v>922</v>
      </c>
      <c r="B840" t="s">
        <v>638</v>
      </c>
      <c r="C840" t="s">
        <v>62</v>
      </c>
      <c r="D840" t="s">
        <v>63</v>
      </c>
      <c r="E840">
        <v>9.5</v>
      </c>
      <c r="F840">
        <v>10.3</v>
      </c>
      <c r="G840" s="2" t="s">
        <v>64</v>
      </c>
      <c r="H840" s="2">
        <v>0.0</v>
      </c>
      <c r="I840" s="2">
        <v>0.0</v>
      </c>
      <c r="J840" s="37">
        <v>0.0</v>
      </c>
      <c r="K840" s="2">
        <v>0.0</v>
      </c>
      <c r="L840" s="2">
        <v>0.0</v>
      </c>
      <c r="M840" s="37">
        <v>0.0</v>
      </c>
    </row>
    <row r="841" ht="14.25" customHeight="1">
      <c r="A841" t="s">
        <v>923</v>
      </c>
      <c r="B841" t="s">
        <v>638</v>
      </c>
      <c r="C841" t="s">
        <v>62</v>
      </c>
      <c r="D841" t="s">
        <v>63</v>
      </c>
      <c r="E841">
        <v>8.0</v>
      </c>
      <c r="F841">
        <v>9.0</v>
      </c>
      <c r="G841" s="2" t="s">
        <v>64</v>
      </c>
      <c r="H841" s="2">
        <v>0.0</v>
      </c>
      <c r="I841" s="2">
        <v>0.0</v>
      </c>
      <c r="J841" s="37">
        <v>0.0</v>
      </c>
      <c r="K841" s="2">
        <v>0.0</v>
      </c>
      <c r="L841" s="2">
        <v>0.0</v>
      </c>
      <c r="M841" s="37">
        <v>0.0</v>
      </c>
    </row>
    <row r="842" ht="14.25" customHeight="1">
      <c r="A842" t="s">
        <v>924</v>
      </c>
      <c r="B842" t="s">
        <v>638</v>
      </c>
      <c r="C842" t="s">
        <v>62</v>
      </c>
      <c r="D842" t="s">
        <v>63</v>
      </c>
      <c r="E842">
        <v>9.0</v>
      </c>
      <c r="F842">
        <v>10.3</v>
      </c>
      <c r="G842" s="2" t="s">
        <v>64</v>
      </c>
      <c r="H842" s="2">
        <v>0.0</v>
      </c>
      <c r="I842" s="2">
        <v>0.0</v>
      </c>
      <c r="J842" s="37">
        <v>0.0</v>
      </c>
      <c r="K842" s="2">
        <v>0.0</v>
      </c>
      <c r="L842" s="2">
        <v>0.0</v>
      </c>
      <c r="M842" s="37">
        <v>0.0</v>
      </c>
    </row>
    <row r="843" ht="14.25" customHeight="1">
      <c r="A843" t="s">
        <v>925</v>
      </c>
      <c r="B843" t="s">
        <v>638</v>
      </c>
      <c r="C843" t="s">
        <v>75</v>
      </c>
      <c r="D843" t="s">
        <v>63</v>
      </c>
      <c r="E843">
        <v>7.1</v>
      </c>
      <c r="F843">
        <v>7.5</v>
      </c>
      <c r="G843" s="2" t="s">
        <v>64</v>
      </c>
      <c r="H843" s="2">
        <v>0.0</v>
      </c>
      <c r="I843" s="2">
        <v>0.0</v>
      </c>
      <c r="J843" s="37">
        <v>0.0</v>
      </c>
      <c r="K843" s="2">
        <v>0.0</v>
      </c>
      <c r="L843" s="2">
        <v>0.0</v>
      </c>
      <c r="M843" s="37">
        <v>0.0</v>
      </c>
    </row>
    <row r="844" ht="14.25" customHeight="1">
      <c r="A844" t="s">
        <v>926</v>
      </c>
      <c r="B844" t="s">
        <v>638</v>
      </c>
      <c r="C844" t="s">
        <v>75</v>
      </c>
      <c r="D844" t="s">
        <v>63</v>
      </c>
      <c r="E844">
        <v>12.5</v>
      </c>
      <c r="F844">
        <v>15.0</v>
      </c>
      <c r="G844" s="2" t="s">
        <v>64</v>
      </c>
      <c r="H844" s="2">
        <v>0.0</v>
      </c>
      <c r="I844" s="2">
        <v>0.0</v>
      </c>
      <c r="J844" s="37">
        <v>0.0</v>
      </c>
      <c r="K844" s="2">
        <v>0.0</v>
      </c>
      <c r="L844" s="2">
        <v>0.0</v>
      </c>
      <c r="M844" s="37">
        <v>0.0</v>
      </c>
    </row>
    <row r="845" ht="14.25" customHeight="1">
      <c r="A845" t="s">
        <v>927</v>
      </c>
      <c r="B845" t="s">
        <v>638</v>
      </c>
      <c r="C845" t="s">
        <v>75</v>
      </c>
      <c r="D845" t="s">
        <v>63</v>
      </c>
      <c r="E845">
        <v>15.5</v>
      </c>
      <c r="F845">
        <v>18.0</v>
      </c>
      <c r="G845" s="2" t="s">
        <v>64</v>
      </c>
      <c r="H845" s="2">
        <v>0.0</v>
      </c>
      <c r="I845" s="2">
        <v>0.0</v>
      </c>
      <c r="J845" s="37">
        <v>0.0</v>
      </c>
      <c r="K845" s="2">
        <v>0.0</v>
      </c>
      <c r="L845" s="2">
        <v>0.0</v>
      </c>
      <c r="M845" s="37">
        <v>0.0</v>
      </c>
    </row>
    <row r="846" ht="14.25" customHeight="1">
      <c r="A846" t="s">
        <v>928</v>
      </c>
      <c r="B846" t="s">
        <v>638</v>
      </c>
      <c r="C846" t="s">
        <v>75</v>
      </c>
      <c r="D846" t="s">
        <v>63</v>
      </c>
      <c r="E846">
        <v>7.1</v>
      </c>
      <c r="F846">
        <v>7.5</v>
      </c>
      <c r="G846" s="2" t="s">
        <v>64</v>
      </c>
      <c r="H846" s="2">
        <v>0.0</v>
      </c>
      <c r="I846" s="2">
        <v>0.0</v>
      </c>
      <c r="J846" s="37">
        <v>0.0</v>
      </c>
      <c r="K846" s="2">
        <v>0.0</v>
      </c>
      <c r="L846" s="2">
        <v>0.0</v>
      </c>
      <c r="M846" s="37">
        <v>0.0</v>
      </c>
    </row>
    <row r="847" ht="14.25" customHeight="1">
      <c r="A847" t="s">
        <v>929</v>
      </c>
      <c r="B847" t="s">
        <v>638</v>
      </c>
      <c r="C847" t="s">
        <v>75</v>
      </c>
      <c r="D847" t="s">
        <v>63</v>
      </c>
      <c r="E847">
        <v>12.5</v>
      </c>
      <c r="F847">
        <v>15.0</v>
      </c>
      <c r="G847" s="2" t="s">
        <v>64</v>
      </c>
      <c r="H847" s="2">
        <v>0.0</v>
      </c>
      <c r="I847" s="2">
        <v>0.0</v>
      </c>
      <c r="J847" s="37">
        <v>0.0</v>
      </c>
      <c r="K847" s="2">
        <v>0.0</v>
      </c>
      <c r="L847" s="2">
        <v>0.0</v>
      </c>
      <c r="M847" s="37">
        <v>0.0</v>
      </c>
    </row>
    <row r="848" ht="14.25" customHeight="1">
      <c r="A848" t="s">
        <v>930</v>
      </c>
      <c r="B848" t="s">
        <v>638</v>
      </c>
      <c r="C848" t="s">
        <v>75</v>
      </c>
      <c r="D848" t="s">
        <v>63</v>
      </c>
      <c r="E848">
        <v>15.5</v>
      </c>
      <c r="F848">
        <v>18.0</v>
      </c>
      <c r="G848" s="2" t="s">
        <v>64</v>
      </c>
      <c r="H848" s="2">
        <v>0.0</v>
      </c>
      <c r="I848" s="2">
        <v>0.0</v>
      </c>
      <c r="J848" s="37">
        <v>0.0</v>
      </c>
      <c r="K848" s="2">
        <v>0.0</v>
      </c>
      <c r="L848" s="2">
        <v>0.0</v>
      </c>
      <c r="M848" s="37">
        <v>0.0</v>
      </c>
    </row>
    <row r="849" ht="14.25" customHeight="1">
      <c r="A849" t="s">
        <v>931</v>
      </c>
      <c r="B849" t="s">
        <v>638</v>
      </c>
      <c r="C849" t="s">
        <v>75</v>
      </c>
      <c r="D849" t="s">
        <v>63</v>
      </c>
      <c r="E849">
        <v>5.0</v>
      </c>
      <c r="F849">
        <v>6.0</v>
      </c>
      <c r="G849" s="2" t="s">
        <v>64</v>
      </c>
      <c r="H849" s="2">
        <v>0.0</v>
      </c>
      <c r="I849" s="2">
        <v>0.0</v>
      </c>
      <c r="J849" s="37">
        <v>0.0</v>
      </c>
      <c r="K849" s="2">
        <v>0.0</v>
      </c>
      <c r="L849" s="2">
        <v>0.0</v>
      </c>
      <c r="M849" s="37">
        <v>0.0</v>
      </c>
    </row>
    <row r="850" ht="14.25" customHeight="1">
      <c r="A850" t="s">
        <v>932</v>
      </c>
      <c r="B850" t="s">
        <v>638</v>
      </c>
      <c r="C850" t="s">
        <v>75</v>
      </c>
      <c r="D850" t="s">
        <v>63</v>
      </c>
      <c r="E850">
        <v>6.0</v>
      </c>
      <c r="F850">
        <v>7.0</v>
      </c>
      <c r="G850" s="2" t="s">
        <v>64</v>
      </c>
      <c r="H850" s="2">
        <v>0.0</v>
      </c>
      <c r="I850" s="2">
        <v>0.0</v>
      </c>
      <c r="J850" s="37">
        <v>0.0</v>
      </c>
      <c r="K850" s="2">
        <v>0.0</v>
      </c>
      <c r="L850" s="2">
        <v>0.0</v>
      </c>
      <c r="M850" s="37">
        <v>0.0</v>
      </c>
    </row>
    <row r="851" ht="14.25" customHeight="1">
      <c r="A851" t="s">
        <v>933</v>
      </c>
      <c r="B851" t="s">
        <v>638</v>
      </c>
      <c r="C851" t="s">
        <v>75</v>
      </c>
      <c r="D851" t="s">
        <v>63</v>
      </c>
      <c r="E851">
        <v>7.1</v>
      </c>
      <c r="F851">
        <v>7.5</v>
      </c>
      <c r="G851" s="2" t="s">
        <v>64</v>
      </c>
      <c r="H851" s="2">
        <v>0.0</v>
      </c>
      <c r="I851" s="2">
        <v>0.0</v>
      </c>
      <c r="J851" s="37">
        <v>0.0</v>
      </c>
      <c r="K851" s="2">
        <v>0.0</v>
      </c>
      <c r="L851" s="2">
        <v>0.0</v>
      </c>
      <c r="M851" s="37">
        <v>0.0</v>
      </c>
    </row>
    <row r="852" ht="14.25" customHeight="1">
      <c r="A852" t="s">
        <v>934</v>
      </c>
      <c r="B852" t="s">
        <v>638</v>
      </c>
      <c r="C852" t="s">
        <v>62</v>
      </c>
      <c r="D852" t="s">
        <v>63</v>
      </c>
      <c r="E852">
        <v>5.0</v>
      </c>
      <c r="F852">
        <v>6.0</v>
      </c>
      <c r="G852" s="2" t="s">
        <v>64</v>
      </c>
      <c r="H852" s="2">
        <v>0.0</v>
      </c>
      <c r="I852" s="2">
        <v>0.0</v>
      </c>
      <c r="J852" s="37">
        <v>0.0</v>
      </c>
      <c r="K852" s="2">
        <v>0.0</v>
      </c>
      <c r="L852" s="2">
        <v>0.0</v>
      </c>
      <c r="M852" s="37">
        <v>0.0</v>
      </c>
    </row>
    <row r="853" ht="14.25" customHeight="1">
      <c r="A853" t="s">
        <v>935</v>
      </c>
      <c r="B853" t="s">
        <v>638</v>
      </c>
      <c r="C853" t="s">
        <v>62</v>
      </c>
      <c r="D853" t="s">
        <v>63</v>
      </c>
      <c r="E853">
        <v>6.0</v>
      </c>
      <c r="F853">
        <v>7.1</v>
      </c>
      <c r="G853" s="2" t="s">
        <v>64</v>
      </c>
      <c r="H853" s="2">
        <v>0.0</v>
      </c>
      <c r="I853" s="2">
        <v>0.0</v>
      </c>
      <c r="J853" s="37">
        <v>0.0</v>
      </c>
      <c r="K853" s="2">
        <v>0.0</v>
      </c>
      <c r="L853" s="2">
        <v>0.0</v>
      </c>
      <c r="M853" s="37">
        <v>0.0</v>
      </c>
    </row>
    <row r="854" ht="14.25" customHeight="1">
      <c r="A854" t="s">
        <v>936</v>
      </c>
      <c r="B854" t="s">
        <v>638</v>
      </c>
      <c r="C854" t="s">
        <v>62</v>
      </c>
      <c r="D854" t="s">
        <v>63</v>
      </c>
      <c r="E854">
        <v>5.0</v>
      </c>
      <c r="F854">
        <v>6.0</v>
      </c>
      <c r="G854" s="2" t="s">
        <v>64</v>
      </c>
      <c r="H854" s="2">
        <v>0.0</v>
      </c>
      <c r="I854" s="2">
        <v>0.0</v>
      </c>
      <c r="J854" s="37">
        <v>0.0</v>
      </c>
      <c r="K854" s="2">
        <v>0.0</v>
      </c>
      <c r="L854" s="2">
        <v>0.0</v>
      </c>
      <c r="M854" s="37">
        <v>0.0</v>
      </c>
    </row>
    <row r="855" ht="14.25" customHeight="1">
      <c r="A855" t="s">
        <v>937</v>
      </c>
      <c r="B855" t="s">
        <v>638</v>
      </c>
      <c r="C855" t="s">
        <v>62</v>
      </c>
      <c r="D855" t="s">
        <v>63</v>
      </c>
      <c r="E855">
        <v>6.0</v>
      </c>
      <c r="F855">
        <v>7.1</v>
      </c>
      <c r="G855" s="2" t="s">
        <v>67</v>
      </c>
      <c r="H855" s="2">
        <v>42.0</v>
      </c>
      <c r="I855" s="2">
        <v>242.0</v>
      </c>
      <c r="J855" s="37">
        <v>1257.92</v>
      </c>
      <c r="K855" s="2">
        <v>48.0</v>
      </c>
      <c r="L855" s="2">
        <v>346.0</v>
      </c>
      <c r="M855" s="37">
        <v>1527.8799999999999</v>
      </c>
    </row>
    <row r="856" ht="14.25" customHeight="1">
      <c r="A856" t="s">
        <v>938</v>
      </c>
      <c r="B856" t="s">
        <v>638</v>
      </c>
      <c r="C856" t="s">
        <v>62</v>
      </c>
      <c r="D856" t="s">
        <v>63</v>
      </c>
      <c r="E856">
        <v>7.1</v>
      </c>
      <c r="F856">
        <v>8.0</v>
      </c>
      <c r="G856" s="2" t="s">
        <v>64</v>
      </c>
      <c r="H856" s="2">
        <v>0.0</v>
      </c>
      <c r="I856" s="2">
        <v>0.0</v>
      </c>
      <c r="J856" s="37">
        <v>0.0</v>
      </c>
      <c r="K856" s="2">
        <v>0.0</v>
      </c>
      <c r="L856" s="2">
        <v>0.0</v>
      </c>
      <c r="M856" s="37">
        <v>0.0</v>
      </c>
    </row>
    <row r="857" ht="14.25" customHeight="1">
      <c r="A857" t="s">
        <v>939</v>
      </c>
      <c r="B857" t="s">
        <v>638</v>
      </c>
      <c r="C857" t="s">
        <v>75</v>
      </c>
      <c r="D857" t="s">
        <v>63</v>
      </c>
      <c r="E857">
        <v>2.5</v>
      </c>
      <c r="F857">
        <v>3.5</v>
      </c>
      <c r="G857" s="2" t="s">
        <v>64</v>
      </c>
      <c r="H857" s="2">
        <v>0.0</v>
      </c>
      <c r="I857" s="2">
        <v>0.0</v>
      </c>
      <c r="J857" s="37">
        <v>0.0</v>
      </c>
      <c r="K857" s="2">
        <v>0.0</v>
      </c>
      <c r="L857" s="2">
        <v>0.0</v>
      </c>
      <c r="M857" s="37">
        <v>0.0</v>
      </c>
    </row>
    <row r="858" ht="14.25" customHeight="1">
      <c r="A858" t="s">
        <v>940</v>
      </c>
      <c r="B858" t="s">
        <v>638</v>
      </c>
      <c r="C858" t="s">
        <v>75</v>
      </c>
      <c r="D858" t="s">
        <v>63</v>
      </c>
      <c r="E858">
        <v>3.5</v>
      </c>
      <c r="F858">
        <v>4.0</v>
      </c>
      <c r="G858" s="2" t="s">
        <v>64</v>
      </c>
      <c r="H858" s="2">
        <v>0.0</v>
      </c>
      <c r="I858" s="2">
        <v>0.0</v>
      </c>
      <c r="J858" s="37">
        <v>0.0</v>
      </c>
      <c r="K858" s="2">
        <v>0.0</v>
      </c>
      <c r="L858" s="2">
        <v>0.0</v>
      </c>
      <c r="M858" s="37">
        <v>0.0</v>
      </c>
    </row>
    <row r="859" ht="14.25" customHeight="1">
      <c r="A859" t="s">
        <v>941</v>
      </c>
      <c r="B859" t="s">
        <v>638</v>
      </c>
      <c r="C859" t="s">
        <v>75</v>
      </c>
      <c r="D859" t="s">
        <v>63</v>
      </c>
      <c r="E859">
        <v>5.0</v>
      </c>
      <c r="F859">
        <v>6.0</v>
      </c>
      <c r="G859" s="2" t="s">
        <v>67</v>
      </c>
      <c r="H859" s="2">
        <v>31.0</v>
      </c>
      <c r="I859" s="2">
        <v>136.0</v>
      </c>
      <c r="J859" s="37">
        <v>873.06</v>
      </c>
      <c r="K859" s="2">
        <v>37.0</v>
      </c>
      <c r="L859" s="2">
        <v>233.0</v>
      </c>
      <c r="M859" s="37">
        <v>1133.92</v>
      </c>
    </row>
    <row r="860" ht="14.25" customHeight="1">
      <c r="A860" t="s">
        <v>942</v>
      </c>
      <c r="B860" t="s">
        <v>638</v>
      </c>
      <c r="C860" t="s">
        <v>75</v>
      </c>
      <c r="D860" t="s">
        <v>63</v>
      </c>
      <c r="E860">
        <v>6.0</v>
      </c>
      <c r="F860">
        <v>7.0</v>
      </c>
      <c r="G860" s="2" t="s">
        <v>67</v>
      </c>
      <c r="H860" s="2">
        <v>40.0</v>
      </c>
      <c r="I860" s="2">
        <v>132.0</v>
      </c>
      <c r="J860" s="37">
        <v>1070.0</v>
      </c>
      <c r="K860" s="2">
        <v>46.0</v>
      </c>
      <c r="L860" s="2">
        <v>248.0</v>
      </c>
      <c r="M860" s="37">
        <v>1355.5600000000002</v>
      </c>
    </row>
    <row r="861" ht="14.25" customHeight="1">
      <c r="A861" t="s">
        <v>943</v>
      </c>
      <c r="B861" t="s">
        <v>638</v>
      </c>
      <c r="C861" t="s">
        <v>75</v>
      </c>
      <c r="D861" t="s">
        <v>63</v>
      </c>
      <c r="E861">
        <v>7.1</v>
      </c>
      <c r="F861">
        <v>8.0</v>
      </c>
      <c r="G861" s="2" t="s">
        <v>64</v>
      </c>
      <c r="H861" s="2">
        <v>0.0</v>
      </c>
      <c r="I861" s="2">
        <v>0.0</v>
      </c>
      <c r="J861" s="37">
        <v>0.0</v>
      </c>
      <c r="K861" s="2">
        <v>0.0</v>
      </c>
      <c r="L861" s="2">
        <v>0.0</v>
      </c>
      <c r="M861" s="37">
        <v>0.0</v>
      </c>
    </row>
    <row r="862" ht="14.25" customHeight="1">
      <c r="A862" t="s">
        <v>944</v>
      </c>
      <c r="B862" t="s">
        <v>638</v>
      </c>
      <c r="C862" t="s">
        <v>62</v>
      </c>
      <c r="D862" t="s">
        <v>63</v>
      </c>
      <c r="E862">
        <v>5.0</v>
      </c>
      <c r="F862">
        <v>6.0</v>
      </c>
      <c r="G862" s="2" t="s">
        <v>64</v>
      </c>
      <c r="H862" s="2">
        <v>0.0</v>
      </c>
      <c r="I862" s="2">
        <v>0.0</v>
      </c>
      <c r="J862" s="37">
        <v>0.0</v>
      </c>
      <c r="K862" s="2">
        <v>0.0</v>
      </c>
      <c r="L862" s="2">
        <v>0.0</v>
      </c>
      <c r="M862" s="37">
        <v>0.0</v>
      </c>
    </row>
    <row r="863" ht="14.25" customHeight="1">
      <c r="A863" t="s">
        <v>945</v>
      </c>
      <c r="B863" t="s">
        <v>638</v>
      </c>
      <c r="C863" t="s">
        <v>62</v>
      </c>
      <c r="D863" t="s">
        <v>63</v>
      </c>
      <c r="E863">
        <v>6.0</v>
      </c>
      <c r="F863">
        <v>7.1</v>
      </c>
      <c r="G863" s="2" t="s">
        <v>64</v>
      </c>
      <c r="H863" s="2">
        <v>0.0</v>
      </c>
      <c r="I863" s="2">
        <v>0.0</v>
      </c>
      <c r="J863" s="37">
        <v>0.0</v>
      </c>
      <c r="K863" s="2">
        <v>0.0</v>
      </c>
      <c r="L863" s="2">
        <v>0.0</v>
      </c>
      <c r="M863" s="37">
        <v>0.0</v>
      </c>
    </row>
    <row r="864" ht="14.25" customHeight="1">
      <c r="A864" t="s">
        <v>946</v>
      </c>
      <c r="B864" t="s">
        <v>638</v>
      </c>
      <c r="C864" t="s">
        <v>75</v>
      </c>
      <c r="D864" t="s">
        <v>63</v>
      </c>
      <c r="E864">
        <v>5.0</v>
      </c>
      <c r="F864">
        <v>6.0</v>
      </c>
      <c r="G864" s="2" t="s">
        <v>64</v>
      </c>
      <c r="H864" s="2">
        <v>0.0</v>
      </c>
      <c r="I864" s="2">
        <v>0.0</v>
      </c>
      <c r="J864" s="37">
        <v>0.0</v>
      </c>
      <c r="K864" s="2">
        <v>0.0</v>
      </c>
      <c r="L864" s="2">
        <v>0.0</v>
      </c>
      <c r="M864" s="37">
        <v>0.0</v>
      </c>
    </row>
    <row r="865" ht="14.25" customHeight="1">
      <c r="A865" t="s">
        <v>947</v>
      </c>
      <c r="B865" t="s">
        <v>638</v>
      </c>
      <c r="C865" t="s">
        <v>75</v>
      </c>
      <c r="D865" t="s">
        <v>63</v>
      </c>
      <c r="E865">
        <v>6.0</v>
      </c>
      <c r="F865">
        <v>7.1</v>
      </c>
      <c r="G865" s="2" t="s">
        <v>64</v>
      </c>
      <c r="H865" s="2">
        <v>0.0</v>
      </c>
      <c r="I865" s="2">
        <v>0.0</v>
      </c>
      <c r="J865" s="37">
        <v>0.0</v>
      </c>
      <c r="K865" s="2">
        <v>0.0</v>
      </c>
      <c r="L865" s="2">
        <v>0.0</v>
      </c>
      <c r="M865" s="37">
        <v>0.0</v>
      </c>
    </row>
    <row r="866" ht="14.25" customHeight="1">
      <c r="A866" t="s">
        <v>948</v>
      </c>
      <c r="B866" t="s">
        <v>638</v>
      </c>
      <c r="C866" t="s">
        <v>75</v>
      </c>
      <c r="D866" t="s">
        <v>63</v>
      </c>
      <c r="E866">
        <v>7.1</v>
      </c>
      <c r="F866">
        <v>8.0</v>
      </c>
      <c r="G866" s="2" t="s">
        <v>64</v>
      </c>
      <c r="H866" s="2">
        <v>0.0</v>
      </c>
      <c r="I866" s="2">
        <v>0.0</v>
      </c>
      <c r="J866" s="37">
        <v>0.0</v>
      </c>
      <c r="K866" s="2">
        <v>0.0</v>
      </c>
      <c r="L866" s="2">
        <v>0.0</v>
      </c>
      <c r="M866" s="37">
        <v>0.0</v>
      </c>
    </row>
    <row r="867" ht="14.25" customHeight="1">
      <c r="A867" t="s">
        <v>949</v>
      </c>
      <c r="B867" t="s">
        <v>638</v>
      </c>
      <c r="C867" t="s">
        <v>62</v>
      </c>
      <c r="D867" t="s">
        <v>63</v>
      </c>
      <c r="E867">
        <v>7.1</v>
      </c>
      <c r="F867">
        <v>8.0</v>
      </c>
      <c r="G867" s="2" t="s">
        <v>67</v>
      </c>
      <c r="H867" s="2">
        <v>40.0</v>
      </c>
      <c r="I867" s="2">
        <v>114.0</v>
      </c>
      <c r="J867" s="37">
        <v>1046.6000000000001</v>
      </c>
      <c r="K867" s="2">
        <v>46.0</v>
      </c>
      <c r="L867" s="2">
        <v>237.0</v>
      </c>
      <c r="M867" s="37">
        <v>1341.2600000000002</v>
      </c>
    </row>
    <row r="868" ht="14.25" customHeight="1">
      <c r="A868" t="s">
        <v>950</v>
      </c>
      <c r="B868" t="s">
        <v>638</v>
      </c>
      <c r="C868" t="s">
        <v>62</v>
      </c>
      <c r="D868" t="s">
        <v>63</v>
      </c>
      <c r="E868">
        <v>2.5</v>
      </c>
      <c r="F868">
        <v>3.2</v>
      </c>
      <c r="G868" s="2" t="s">
        <v>64</v>
      </c>
      <c r="H868" s="2">
        <v>0.0</v>
      </c>
      <c r="I868" s="2">
        <v>0.0</v>
      </c>
      <c r="J868" s="37">
        <v>0.0</v>
      </c>
      <c r="K868" s="2">
        <v>0.0</v>
      </c>
      <c r="L868" s="2">
        <v>0.0</v>
      </c>
      <c r="M868" s="37">
        <v>0.0</v>
      </c>
    </row>
    <row r="869" ht="14.25" customHeight="1">
      <c r="A869" t="s">
        <v>951</v>
      </c>
      <c r="B869" t="s">
        <v>638</v>
      </c>
      <c r="C869" t="s">
        <v>62</v>
      </c>
      <c r="D869" t="s">
        <v>63</v>
      </c>
      <c r="E869">
        <v>3.5</v>
      </c>
      <c r="F869">
        <v>4.2</v>
      </c>
      <c r="G869" s="2" t="s">
        <v>64</v>
      </c>
      <c r="H869" s="2">
        <v>0.0</v>
      </c>
      <c r="I869" s="2">
        <v>0.0</v>
      </c>
      <c r="J869" s="37">
        <v>0.0</v>
      </c>
      <c r="K869" s="2">
        <v>0.0</v>
      </c>
      <c r="L869" s="2">
        <v>0.0</v>
      </c>
      <c r="M869" s="37">
        <v>0.0</v>
      </c>
    </row>
    <row r="870" ht="14.25" customHeight="1">
      <c r="A870" t="s">
        <v>952</v>
      </c>
      <c r="B870" t="s">
        <v>638</v>
      </c>
      <c r="C870" t="s">
        <v>62</v>
      </c>
      <c r="D870" t="s">
        <v>63</v>
      </c>
      <c r="E870">
        <v>5.0</v>
      </c>
      <c r="F870">
        <v>6.0</v>
      </c>
      <c r="G870" s="2" t="s">
        <v>67</v>
      </c>
      <c r="H870" s="2">
        <v>32.0</v>
      </c>
      <c r="I870" s="2">
        <v>248.0</v>
      </c>
      <c r="J870" s="37">
        <v>1041.1200000000001</v>
      </c>
      <c r="K870" s="2">
        <v>37.0</v>
      </c>
      <c r="L870" s="2">
        <v>334.0</v>
      </c>
      <c r="M870" s="37">
        <v>1265.22</v>
      </c>
    </row>
    <row r="871" ht="14.25" customHeight="1">
      <c r="A871" t="s">
        <v>953</v>
      </c>
      <c r="B871" t="s">
        <v>638</v>
      </c>
      <c r="C871" t="s">
        <v>62</v>
      </c>
      <c r="D871" t="s">
        <v>63</v>
      </c>
      <c r="E871">
        <v>6.0</v>
      </c>
      <c r="F871">
        <v>7.1</v>
      </c>
      <c r="G871" s="2" t="s">
        <v>67</v>
      </c>
      <c r="H871" s="2">
        <v>37.0</v>
      </c>
      <c r="I871" s="2">
        <v>203.0</v>
      </c>
      <c r="J871" s="37">
        <v>1094.92</v>
      </c>
      <c r="K871" s="2">
        <v>42.0</v>
      </c>
      <c r="L871" s="2">
        <v>307.0</v>
      </c>
      <c r="M871" s="37">
        <v>1342.42</v>
      </c>
    </row>
    <row r="872" ht="14.25" customHeight="1">
      <c r="A872" t="s">
        <v>954</v>
      </c>
      <c r="B872" t="s">
        <v>638</v>
      </c>
      <c r="C872" t="s">
        <v>62</v>
      </c>
      <c r="D872" t="s">
        <v>63</v>
      </c>
      <c r="E872">
        <v>2.5</v>
      </c>
      <c r="F872">
        <v>3.0</v>
      </c>
      <c r="G872" s="2" t="s">
        <v>64</v>
      </c>
      <c r="H872" s="2">
        <v>0.0</v>
      </c>
      <c r="I872" s="2">
        <v>0.0</v>
      </c>
      <c r="J872" s="37">
        <v>0.0</v>
      </c>
      <c r="K872" s="2">
        <v>0.0</v>
      </c>
      <c r="L872" s="2">
        <v>0.0</v>
      </c>
      <c r="M872" s="37">
        <v>0.0</v>
      </c>
    </row>
    <row r="873" ht="14.25" customHeight="1">
      <c r="A873" t="s">
        <v>955</v>
      </c>
      <c r="B873" t="s">
        <v>638</v>
      </c>
      <c r="C873" t="s">
        <v>62</v>
      </c>
      <c r="D873" t="s">
        <v>63</v>
      </c>
      <c r="E873">
        <v>3.5</v>
      </c>
      <c r="F873">
        <v>3.7</v>
      </c>
      <c r="G873" s="2" t="s">
        <v>64</v>
      </c>
      <c r="H873" s="2">
        <v>0.0</v>
      </c>
      <c r="I873" s="2">
        <v>0.0</v>
      </c>
      <c r="J873" s="37">
        <v>0.0</v>
      </c>
      <c r="K873" s="2">
        <v>0.0</v>
      </c>
      <c r="L873" s="2">
        <v>0.0</v>
      </c>
      <c r="M873" s="37">
        <v>0.0</v>
      </c>
    </row>
    <row r="874" ht="14.25" customHeight="1">
      <c r="A874" t="s">
        <v>956</v>
      </c>
      <c r="B874" t="s">
        <v>638</v>
      </c>
      <c r="C874" t="s">
        <v>62</v>
      </c>
      <c r="D874" t="s">
        <v>63</v>
      </c>
      <c r="E874">
        <v>5.0</v>
      </c>
      <c r="F874">
        <v>5.2</v>
      </c>
      <c r="G874" s="2" t="s">
        <v>64</v>
      </c>
      <c r="H874" s="2">
        <v>0.0</v>
      </c>
      <c r="I874" s="2">
        <v>0.0</v>
      </c>
      <c r="J874" s="37">
        <v>0.0</v>
      </c>
      <c r="K874" s="2">
        <v>0.0</v>
      </c>
      <c r="L874" s="2">
        <v>0.0</v>
      </c>
      <c r="M874" s="37">
        <v>0.0</v>
      </c>
    </row>
    <row r="875" ht="14.25" customHeight="1">
      <c r="A875" t="s">
        <v>957</v>
      </c>
      <c r="B875" t="s">
        <v>638</v>
      </c>
      <c r="C875" t="s">
        <v>62</v>
      </c>
      <c r="D875" t="s">
        <v>63</v>
      </c>
      <c r="E875">
        <v>6.0</v>
      </c>
      <c r="F875">
        <v>6.5</v>
      </c>
      <c r="G875" s="2" t="s">
        <v>64</v>
      </c>
      <c r="H875" s="2">
        <v>0.0</v>
      </c>
      <c r="I875" s="2">
        <v>0.0</v>
      </c>
      <c r="J875" s="37">
        <v>0.0</v>
      </c>
      <c r="K875" s="2">
        <v>0.0</v>
      </c>
      <c r="L875" s="2">
        <v>0.0</v>
      </c>
      <c r="M875" s="37">
        <v>0.0</v>
      </c>
    </row>
    <row r="876" ht="14.25" customHeight="1">
      <c r="A876" t="s">
        <v>958</v>
      </c>
      <c r="B876" t="s">
        <v>638</v>
      </c>
      <c r="C876" t="s">
        <v>62</v>
      </c>
      <c r="D876" t="s">
        <v>63</v>
      </c>
      <c r="E876">
        <v>7.1</v>
      </c>
      <c r="F876">
        <v>8.0</v>
      </c>
      <c r="G876" s="2" t="s">
        <v>64</v>
      </c>
      <c r="H876" s="2">
        <v>0.0</v>
      </c>
      <c r="I876" s="2">
        <v>0.0</v>
      </c>
      <c r="J876" s="37">
        <v>0.0</v>
      </c>
      <c r="K876" s="2">
        <v>0.0</v>
      </c>
      <c r="L876" s="2">
        <v>0.0</v>
      </c>
      <c r="M876" s="37">
        <v>0.0</v>
      </c>
    </row>
    <row r="877" ht="14.25" customHeight="1">
      <c r="A877" t="s">
        <v>959</v>
      </c>
      <c r="B877" t="s">
        <v>638</v>
      </c>
      <c r="C877" t="s">
        <v>62</v>
      </c>
      <c r="D877" t="s">
        <v>63</v>
      </c>
      <c r="E877">
        <v>2.5</v>
      </c>
      <c r="F877">
        <v>3.2</v>
      </c>
      <c r="G877" s="2" t="s">
        <v>64</v>
      </c>
      <c r="H877" s="2">
        <v>0.0</v>
      </c>
      <c r="I877" s="2">
        <v>0.0</v>
      </c>
      <c r="J877" s="37">
        <v>0.0</v>
      </c>
      <c r="K877" s="2">
        <v>0.0</v>
      </c>
      <c r="L877" s="2">
        <v>0.0</v>
      </c>
      <c r="M877" s="37">
        <v>0.0</v>
      </c>
    </row>
    <row r="878" ht="14.25" customHeight="1">
      <c r="A878" t="s">
        <v>960</v>
      </c>
      <c r="B878" t="s">
        <v>638</v>
      </c>
      <c r="C878" t="s">
        <v>62</v>
      </c>
      <c r="D878" t="s">
        <v>63</v>
      </c>
      <c r="E878">
        <v>2.5</v>
      </c>
      <c r="F878">
        <v>3.2</v>
      </c>
      <c r="G878" s="2" t="s">
        <v>64</v>
      </c>
      <c r="H878" s="2">
        <v>0.0</v>
      </c>
      <c r="I878" s="2">
        <v>0.0</v>
      </c>
      <c r="J878" s="37">
        <v>0.0</v>
      </c>
      <c r="K878" s="2">
        <v>0.0</v>
      </c>
      <c r="L878" s="2">
        <v>0.0</v>
      </c>
      <c r="M878" s="37">
        <v>0.0</v>
      </c>
    </row>
    <row r="879" ht="14.25" customHeight="1">
      <c r="A879" t="s">
        <v>961</v>
      </c>
      <c r="B879" t="s">
        <v>638</v>
      </c>
      <c r="C879" t="s">
        <v>62</v>
      </c>
      <c r="D879" t="s">
        <v>63</v>
      </c>
      <c r="E879">
        <v>2.5</v>
      </c>
      <c r="F879">
        <v>3.2</v>
      </c>
      <c r="G879" s="2" t="s">
        <v>64</v>
      </c>
      <c r="H879" s="2">
        <v>0.0</v>
      </c>
      <c r="I879" s="2">
        <v>0.0</v>
      </c>
      <c r="J879" s="37">
        <v>0.0</v>
      </c>
      <c r="K879" s="2">
        <v>0.0</v>
      </c>
      <c r="L879" s="2">
        <v>0.0</v>
      </c>
      <c r="M879" s="37">
        <v>0.0</v>
      </c>
    </row>
    <row r="880" ht="14.25" customHeight="1">
      <c r="A880" t="s">
        <v>962</v>
      </c>
      <c r="B880" t="s">
        <v>638</v>
      </c>
      <c r="C880" t="s">
        <v>62</v>
      </c>
      <c r="D880" t="s">
        <v>63</v>
      </c>
      <c r="E880">
        <v>3.5</v>
      </c>
      <c r="F880">
        <v>3.7</v>
      </c>
      <c r="G880" s="2" t="s">
        <v>64</v>
      </c>
      <c r="H880" s="2">
        <v>0.0</v>
      </c>
      <c r="I880" s="2">
        <v>0.0</v>
      </c>
      <c r="J880" s="37">
        <v>0.0</v>
      </c>
      <c r="K880" s="2">
        <v>0.0</v>
      </c>
      <c r="L880" s="2">
        <v>0.0</v>
      </c>
      <c r="M880" s="37">
        <v>0.0</v>
      </c>
    </row>
    <row r="881" ht="14.25" customHeight="1">
      <c r="A881" t="s">
        <v>963</v>
      </c>
      <c r="B881" t="s">
        <v>638</v>
      </c>
      <c r="C881" t="s">
        <v>62</v>
      </c>
      <c r="D881" t="s">
        <v>63</v>
      </c>
      <c r="E881">
        <v>3.5</v>
      </c>
      <c r="F881">
        <v>3.7</v>
      </c>
      <c r="G881" s="2" t="s">
        <v>64</v>
      </c>
      <c r="H881" s="2">
        <v>0.0</v>
      </c>
      <c r="I881" s="2">
        <v>0.0</v>
      </c>
      <c r="J881" s="37">
        <v>0.0</v>
      </c>
      <c r="K881" s="2">
        <v>0.0</v>
      </c>
      <c r="L881" s="2">
        <v>0.0</v>
      </c>
      <c r="M881" s="37">
        <v>0.0</v>
      </c>
    </row>
    <row r="882" ht="14.25" customHeight="1">
      <c r="A882" t="s">
        <v>964</v>
      </c>
      <c r="B882" t="s">
        <v>638</v>
      </c>
      <c r="C882" t="s">
        <v>62</v>
      </c>
      <c r="D882" t="s">
        <v>63</v>
      </c>
      <c r="E882">
        <v>3.5</v>
      </c>
      <c r="F882">
        <v>3.7</v>
      </c>
      <c r="G882" s="2" t="s">
        <v>64</v>
      </c>
      <c r="H882" s="2">
        <v>0.0</v>
      </c>
      <c r="I882" s="2">
        <v>0.0</v>
      </c>
      <c r="J882" s="37">
        <v>0.0</v>
      </c>
      <c r="K882" s="2">
        <v>0.0</v>
      </c>
      <c r="L882" s="2">
        <v>0.0</v>
      </c>
      <c r="M882" s="37">
        <v>0.0</v>
      </c>
    </row>
    <row r="883" ht="14.25" customHeight="1">
      <c r="A883" t="s">
        <v>965</v>
      </c>
      <c r="B883" t="s">
        <v>638</v>
      </c>
      <c r="C883" t="s">
        <v>62</v>
      </c>
      <c r="D883" t="s">
        <v>63</v>
      </c>
      <c r="E883">
        <v>5.0</v>
      </c>
      <c r="F883">
        <v>6.0</v>
      </c>
      <c r="G883" s="2" t="s">
        <v>64</v>
      </c>
      <c r="H883" s="2">
        <v>0.0</v>
      </c>
      <c r="I883" s="2">
        <v>0.0</v>
      </c>
      <c r="J883" s="37">
        <v>0.0</v>
      </c>
      <c r="K883" s="2">
        <v>0.0</v>
      </c>
      <c r="L883" s="2">
        <v>0.0</v>
      </c>
      <c r="M883" s="37">
        <v>0.0</v>
      </c>
    </row>
    <row r="884" ht="14.25" customHeight="1">
      <c r="A884" t="s">
        <v>966</v>
      </c>
      <c r="B884" t="s">
        <v>638</v>
      </c>
      <c r="C884" t="s">
        <v>62</v>
      </c>
      <c r="D884" t="s">
        <v>63</v>
      </c>
      <c r="E884">
        <v>5.0</v>
      </c>
      <c r="F884">
        <v>6.0</v>
      </c>
      <c r="G884" s="2" t="s">
        <v>64</v>
      </c>
      <c r="H884" s="2">
        <v>0.0</v>
      </c>
      <c r="I884" s="2">
        <v>0.0</v>
      </c>
      <c r="J884" s="37">
        <v>0.0</v>
      </c>
      <c r="K884" s="2">
        <v>0.0</v>
      </c>
      <c r="L884" s="2">
        <v>0.0</v>
      </c>
      <c r="M884" s="37">
        <v>0.0</v>
      </c>
    </row>
    <row r="885" ht="14.25" customHeight="1">
      <c r="A885" t="s">
        <v>967</v>
      </c>
      <c r="B885" t="s">
        <v>638</v>
      </c>
      <c r="C885" t="s">
        <v>62</v>
      </c>
      <c r="D885" t="s">
        <v>63</v>
      </c>
      <c r="E885">
        <v>5.0</v>
      </c>
      <c r="F885">
        <v>6.0</v>
      </c>
      <c r="G885" s="2" t="s">
        <v>64</v>
      </c>
      <c r="H885" s="2">
        <v>0.0</v>
      </c>
      <c r="I885" s="2">
        <v>0.0</v>
      </c>
      <c r="J885" s="37">
        <v>0.0</v>
      </c>
      <c r="K885" s="2">
        <v>0.0</v>
      </c>
      <c r="L885" s="2">
        <v>0.0</v>
      </c>
      <c r="M885" s="37">
        <v>0.0</v>
      </c>
    </row>
    <row r="886" ht="14.25" customHeight="1">
      <c r="A886" t="s">
        <v>968</v>
      </c>
      <c r="B886" t="s">
        <v>638</v>
      </c>
      <c r="C886" t="s">
        <v>62</v>
      </c>
      <c r="D886" t="s">
        <v>63</v>
      </c>
      <c r="E886">
        <v>6.0</v>
      </c>
      <c r="F886">
        <v>7.2</v>
      </c>
      <c r="G886" s="2" t="s">
        <v>64</v>
      </c>
      <c r="H886" s="2">
        <v>0.0</v>
      </c>
      <c r="I886" s="2">
        <v>0.0</v>
      </c>
      <c r="J886" s="37">
        <v>0.0</v>
      </c>
      <c r="K886" s="2">
        <v>0.0</v>
      </c>
      <c r="L886" s="2">
        <v>0.0</v>
      </c>
      <c r="M886" s="37">
        <v>0.0</v>
      </c>
    </row>
    <row r="887" ht="14.25" customHeight="1">
      <c r="A887" t="s">
        <v>969</v>
      </c>
      <c r="B887" t="s">
        <v>638</v>
      </c>
      <c r="C887" t="s">
        <v>62</v>
      </c>
      <c r="D887" t="s">
        <v>63</v>
      </c>
      <c r="E887">
        <v>6.0</v>
      </c>
      <c r="F887">
        <v>7.2</v>
      </c>
      <c r="G887" s="2" t="s">
        <v>64</v>
      </c>
      <c r="H887" s="2">
        <v>0.0</v>
      </c>
      <c r="I887" s="2">
        <v>0.0</v>
      </c>
      <c r="J887" s="37">
        <v>0.0</v>
      </c>
      <c r="K887" s="2">
        <v>0.0</v>
      </c>
      <c r="L887" s="2">
        <v>0.0</v>
      </c>
      <c r="M887" s="37">
        <v>0.0</v>
      </c>
    </row>
    <row r="888" ht="14.25" customHeight="1">
      <c r="A888" t="s">
        <v>970</v>
      </c>
      <c r="B888" t="s">
        <v>638</v>
      </c>
      <c r="C888" t="s">
        <v>62</v>
      </c>
      <c r="D888" t="s">
        <v>63</v>
      </c>
      <c r="E888">
        <v>6.0</v>
      </c>
      <c r="F888">
        <v>7.2</v>
      </c>
      <c r="G888" s="2" t="s">
        <v>64</v>
      </c>
      <c r="H888" s="2">
        <v>0.0</v>
      </c>
      <c r="I888" s="2">
        <v>0.0</v>
      </c>
      <c r="J888" s="37">
        <v>0.0</v>
      </c>
      <c r="K888" s="2">
        <v>0.0</v>
      </c>
      <c r="L888" s="2">
        <v>0.0</v>
      </c>
      <c r="M888" s="37">
        <v>0.0</v>
      </c>
    </row>
    <row r="889" ht="14.25" customHeight="1">
      <c r="A889" t="s">
        <v>971</v>
      </c>
      <c r="B889" t="s">
        <v>638</v>
      </c>
      <c r="C889" t="s">
        <v>62</v>
      </c>
      <c r="D889" t="s">
        <v>63</v>
      </c>
      <c r="E889">
        <v>2.46</v>
      </c>
      <c r="F889">
        <v>2.9</v>
      </c>
      <c r="G889" s="2" t="s">
        <v>64</v>
      </c>
      <c r="H889" s="2">
        <v>0.0</v>
      </c>
      <c r="I889" s="2">
        <v>0.0</v>
      </c>
      <c r="J889" s="37">
        <v>0.0</v>
      </c>
      <c r="K889" s="2">
        <v>0.0</v>
      </c>
      <c r="L889" s="2">
        <v>0.0</v>
      </c>
      <c r="M889" s="37">
        <v>0.0</v>
      </c>
    </row>
    <row r="890" ht="14.25" customHeight="1">
      <c r="A890" t="s">
        <v>972</v>
      </c>
      <c r="B890" t="s">
        <v>638</v>
      </c>
      <c r="C890" t="s">
        <v>62</v>
      </c>
      <c r="D890" t="s">
        <v>63</v>
      </c>
      <c r="E890">
        <v>3.5</v>
      </c>
      <c r="F890">
        <v>4.52</v>
      </c>
      <c r="G890" s="2" t="s">
        <v>64</v>
      </c>
      <c r="H890" s="2">
        <v>0.0</v>
      </c>
      <c r="I890" s="2">
        <v>0.0</v>
      </c>
      <c r="J890" s="37">
        <v>0.0</v>
      </c>
      <c r="K890" s="2">
        <v>0.0</v>
      </c>
      <c r="L890" s="2">
        <v>0.0</v>
      </c>
      <c r="M890" s="37">
        <v>0.0</v>
      </c>
    </row>
    <row r="891" ht="14.25" customHeight="1">
      <c r="A891" t="s">
        <v>973</v>
      </c>
      <c r="B891" t="s">
        <v>638</v>
      </c>
      <c r="C891" t="s">
        <v>62</v>
      </c>
      <c r="D891" t="s">
        <v>63</v>
      </c>
      <c r="E891">
        <v>4.5</v>
      </c>
      <c r="F891">
        <v>5.56</v>
      </c>
      <c r="G891" s="2" t="s">
        <v>64</v>
      </c>
      <c r="H891" s="2">
        <v>0.0</v>
      </c>
      <c r="I891" s="2">
        <v>0.0</v>
      </c>
      <c r="J891" s="37">
        <v>0.0</v>
      </c>
      <c r="K891" s="2">
        <v>0.0</v>
      </c>
      <c r="L891" s="2">
        <v>0.0</v>
      </c>
      <c r="M891" s="37">
        <v>0.0</v>
      </c>
    </row>
    <row r="892" ht="14.25" customHeight="1">
      <c r="A892" t="s">
        <v>974</v>
      </c>
      <c r="B892" t="s">
        <v>638</v>
      </c>
      <c r="C892" t="s">
        <v>62</v>
      </c>
      <c r="D892" t="s">
        <v>63</v>
      </c>
      <c r="E892">
        <v>5.0</v>
      </c>
      <c r="F892">
        <v>5.8</v>
      </c>
      <c r="G892" s="2" t="s">
        <v>67</v>
      </c>
      <c r="H892" s="2">
        <v>32.0</v>
      </c>
      <c r="I892" s="2">
        <v>147.0</v>
      </c>
      <c r="J892" s="37">
        <v>909.82</v>
      </c>
      <c r="K892" s="2">
        <v>37.0</v>
      </c>
      <c r="L892" s="2">
        <v>233.0</v>
      </c>
      <c r="M892" s="37">
        <v>1133.92</v>
      </c>
    </row>
    <row r="893" ht="14.25" customHeight="1">
      <c r="A893" t="s">
        <v>975</v>
      </c>
      <c r="B893" t="s">
        <v>638</v>
      </c>
      <c r="C893" t="s">
        <v>62</v>
      </c>
      <c r="D893" t="s">
        <v>63</v>
      </c>
      <c r="E893">
        <v>6.0</v>
      </c>
      <c r="F893">
        <v>7.0</v>
      </c>
      <c r="G893" s="2" t="s">
        <v>64</v>
      </c>
      <c r="H893" s="2">
        <v>0.0</v>
      </c>
      <c r="I893" s="2">
        <v>0.0</v>
      </c>
      <c r="J893" s="37">
        <v>0.0</v>
      </c>
      <c r="K893" s="2">
        <v>0.0</v>
      </c>
      <c r="L893" s="2">
        <v>0.0</v>
      </c>
      <c r="M893" s="37">
        <v>0.0</v>
      </c>
    </row>
    <row r="894" ht="14.25" customHeight="1">
      <c r="A894" t="s">
        <v>976</v>
      </c>
      <c r="B894" t="s">
        <v>638</v>
      </c>
      <c r="C894" t="s">
        <v>62</v>
      </c>
      <c r="D894" t="s">
        <v>63</v>
      </c>
      <c r="E894">
        <v>7.1</v>
      </c>
      <c r="F894">
        <v>7.65</v>
      </c>
      <c r="G894" s="2" t="s">
        <v>64</v>
      </c>
      <c r="H894" s="2">
        <v>0.0</v>
      </c>
      <c r="I894" s="2">
        <v>0.0</v>
      </c>
      <c r="J894" s="37">
        <v>0.0</v>
      </c>
      <c r="K894" s="2">
        <v>0.0</v>
      </c>
      <c r="L894" s="2">
        <v>0.0</v>
      </c>
      <c r="M894" s="37">
        <v>0.0</v>
      </c>
    </row>
    <row r="895" ht="14.25" customHeight="1">
      <c r="A895" t="s">
        <v>977</v>
      </c>
      <c r="B895" t="s">
        <v>638</v>
      </c>
      <c r="C895" t="s">
        <v>62</v>
      </c>
      <c r="D895" t="s">
        <v>63</v>
      </c>
      <c r="E895">
        <v>5.0</v>
      </c>
      <c r="F895">
        <v>6.0</v>
      </c>
      <c r="G895" s="2" t="s">
        <v>64</v>
      </c>
      <c r="H895" s="2">
        <v>0.0</v>
      </c>
      <c r="I895" s="2">
        <v>0.0</v>
      </c>
      <c r="J895" s="37">
        <v>0.0</v>
      </c>
      <c r="K895" s="2">
        <v>0.0</v>
      </c>
      <c r="L895" s="2">
        <v>0.0</v>
      </c>
      <c r="M895" s="37">
        <v>0.0</v>
      </c>
    </row>
    <row r="896" ht="14.25" customHeight="1">
      <c r="A896" t="s">
        <v>978</v>
      </c>
      <c r="B896" t="s">
        <v>638</v>
      </c>
      <c r="C896" t="s">
        <v>62</v>
      </c>
      <c r="D896" t="s">
        <v>63</v>
      </c>
      <c r="E896">
        <v>6.0</v>
      </c>
      <c r="F896">
        <v>7.1</v>
      </c>
      <c r="G896" s="2" t="s">
        <v>67</v>
      </c>
      <c r="H896" s="2">
        <v>42.0</v>
      </c>
      <c r="I896" s="2">
        <v>242.0</v>
      </c>
      <c r="J896" s="37">
        <v>1257.92</v>
      </c>
      <c r="K896" s="2">
        <v>48.0</v>
      </c>
      <c r="L896" s="2">
        <v>346.0</v>
      </c>
      <c r="M896" s="37">
        <v>1527.8799999999999</v>
      </c>
    </row>
    <row r="897" ht="14.25" customHeight="1">
      <c r="A897" t="s">
        <v>979</v>
      </c>
      <c r="B897" t="s">
        <v>638</v>
      </c>
      <c r="C897" t="s">
        <v>62</v>
      </c>
      <c r="D897" t="s">
        <v>63</v>
      </c>
      <c r="E897">
        <v>7.1</v>
      </c>
      <c r="F897">
        <v>8.0</v>
      </c>
      <c r="G897" s="2" t="s">
        <v>64</v>
      </c>
      <c r="H897" s="2">
        <v>0.0</v>
      </c>
      <c r="I897" s="2">
        <v>0.0</v>
      </c>
      <c r="J897" s="37">
        <v>0.0</v>
      </c>
      <c r="K897" s="2">
        <v>0.0</v>
      </c>
      <c r="L897" s="2">
        <v>0.0</v>
      </c>
      <c r="M897" s="37">
        <v>0.0</v>
      </c>
    </row>
    <row r="898" ht="14.25" customHeight="1">
      <c r="A898" t="s">
        <v>980</v>
      </c>
      <c r="B898" t="s">
        <v>638</v>
      </c>
      <c r="C898" t="s">
        <v>62</v>
      </c>
      <c r="D898" t="s">
        <v>63</v>
      </c>
      <c r="E898">
        <v>7.1</v>
      </c>
      <c r="F898">
        <v>8.0</v>
      </c>
      <c r="G898" s="2" t="s">
        <v>64</v>
      </c>
      <c r="H898" s="2">
        <v>0.0</v>
      </c>
      <c r="I898" s="2">
        <v>0.0</v>
      </c>
      <c r="J898" s="37">
        <v>0.0</v>
      </c>
      <c r="K898" s="2">
        <v>0.0</v>
      </c>
      <c r="L898" s="2">
        <v>0.0</v>
      </c>
      <c r="M898" s="37">
        <v>0.0</v>
      </c>
    </row>
    <row r="899" ht="14.25" customHeight="1">
      <c r="A899" t="s">
        <v>981</v>
      </c>
      <c r="B899" t="s">
        <v>638</v>
      </c>
      <c r="C899" t="s">
        <v>62</v>
      </c>
      <c r="D899" t="s">
        <v>63</v>
      </c>
      <c r="E899">
        <v>8.5</v>
      </c>
      <c r="F899">
        <v>10.0</v>
      </c>
      <c r="G899" s="2" t="s">
        <v>67</v>
      </c>
      <c r="H899" s="2">
        <v>57.0</v>
      </c>
      <c r="I899" s="2">
        <v>358.0</v>
      </c>
      <c r="J899" s="37">
        <v>1745.6200000000001</v>
      </c>
      <c r="K899" s="2">
        <v>65.0</v>
      </c>
      <c r="L899" s="2">
        <v>505.0</v>
      </c>
      <c r="M899" s="37">
        <v>2116.4</v>
      </c>
    </row>
    <row r="900" ht="14.25" customHeight="1">
      <c r="A900" t="s">
        <v>982</v>
      </c>
      <c r="B900" t="s">
        <v>638</v>
      </c>
      <c r="C900" t="s">
        <v>62</v>
      </c>
      <c r="D900" t="s">
        <v>63</v>
      </c>
      <c r="E900">
        <v>8.5</v>
      </c>
      <c r="F900">
        <v>10.0</v>
      </c>
      <c r="G900" s="2" t="s">
        <v>67</v>
      </c>
      <c r="H900" s="2">
        <v>57.0</v>
      </c>
      <c r="I900" s="2">
        <v>358.0</v>
      </c>
      <c r="J900" s="37">
        <v>1745.6200000000001</v>
      </c>
      <c r="K900" s="2">
        <v>65.0</v>
      </c>
      <c r="L900" s="2">
        <v>505.0</v>
      </c>
      <c r="M900" s="37">
        <v>2116.4</v>
      </c>
    </row>
    <row r="901" ht="14.25" customHeight="1">
      <c r="A901" t="s">
        <v>983</v>
      </c>
      <c r="B901" t="s">
        <v>638</v>
      </c>
      <c r="C901" t="s">
        <v>62</v>
      </c>
      <c r="D901" t="s">
        <v>63</v>
      </c>
      <c r="E901">
        <v>10.0</v>
      </c>
      <c r="F901">
        <v>12.0</v>
      </c>
      <c r="G901" s="2" t="s">
        <v>67</v>
      </c>
      <c r="H901" s="2">
        <v>79.0</v>
      </c>
      <c r="I901" s="2">
        <v>477.0</v>
      </c>
      <c r="J901" s="37">
        <v>2394.44</v>
      </c>
      <c r="K901" s="2">
        <v>90.0</v>
      </c>
      <c r="L901" s="2">
        <v>670.0</v>
      </c>
      <c r="M901" s="37">
        <v>2892.4</v>
      </c>
    </row>
    <row r="902" ht="14.25" customHeight="1">
      <c r="A902" t="s">
        <v>984</v>
      </c>
      <c r="B902" t="s">
        <v>638</v>
      </c>
      <c r="C902" t="s">
        <v>62</v>
      </c>
      <c r="D902" t="s">
        <v>63</v>
      </c>
      <c r="E902">
        <v>10.0</v>
      </c>
      <c r="F902">
        <v>12.0</v>
      </c>
      <c r="G902" s="2" t="s">
        <v>67</v>
      </c>
      <c r="H902" s="2">
        <v>79.0</v>
      </c>
      <c r="I902" s="2">
        <v>477.0</v>
      </c>
      <c r="J902" s="37">
        <v>2394.44</v>
      </c>
      <c r="K902" s="2">
        <v>90.0</v>
      </c>
      <c r="L902" s="2">
        <v>670.0</v>
      </c>
      <c r="M902" s="37">
        <v>2892.4</v>
      </c>
    </row>
    <row r="903" ht="14.25" customHeight="1">
      <c r="A903" t="s">
        <v>985</v>
      </c>
      <c r="B903" t="s">
        <v>638</v>
      </c>
      <c r="C903" t="s">
        <v>62</v>
      </c>
      <c r="D903" t="s">
        <v>63</v>
      </c>
      <c r="E903">
        <v>12.5</v>
      </c>
      <c r="F903">
        <v>15.0</v>
      </c>
      <c r="G903" s="2" t="s">
        <v>67</v>
      </c>
      <c r="H903" s="2">
        <v>94.0</v>
      </c>
      <c r="I903" s="2">
        <v>440.0</v>
      </c>
      <c r="J903" s="37">
        <v>2683.2400000000002</v>
      </c>
      <c r="K903" s="2">
        <v>107.0</v>
      </c>
      <c r="L903" s="2">
        <v>682.0</v>
      </c>
      <c r="M903" s="37">
        <v>3289.82</v>
      </c>
    </row>
    <row r="904" ht="14.25" customHeight="1">
      <c r="A904" t="s">
        <v>986</v>
      </c>
      <c r="B904" t="s">
        <v>638</v>
      </c>
      <c r="C904" t="s">
        <v>62</v>
      </c>
      <c r="D904" t="s">
        <v>63</v>
      </c>
      <c r="E904">
        <v>12.5</v>
      </c>
      <c r="F904">
        <v>15.0</v>
      </c>
      <c r="G904" s="2" t="s">
        <v>67</v>
      </c>
      <c r="H904" s="2">
        <v>94.0</v>
      </c>
      <c r="I904" s="2">
        <v>440.0</v>
      </c>
      <c r="J904" s="37">
        <v>2683.2400000000002</v>
      </c>
      <c r="K904" s="2">
        <v>107.0</v>
      </c>
      <c r="L904" s="2">
        <v>682.0</v>
      </c>
      <c r="M904" s="37">
        <v>3289.82</v>
      </c>
    </row>
    <row r="905" ht="14.25" customHeight="1">
      <c r="A905" t="s">
        <v>987</v>
      </c>
      <c r="B905" t="s">
        <v>638</v>
      </c>
      <c r="C905" t="s">
        <v>62</v>
      </c>
      <c r="D905" t="s">
        <v>63</v>
      </c>
      <c r="E905">
        <v>14.0</v>
      </c>
      <c r="F905">
        <v>16.5</v>
      </c>
      <c r="G905" s="2" t="s">
        <v>67</v>
      </c>
      <c r="H905" s="2">
        <v>102.0</v>
      </c>
      <c r="I905" s="2">
        <v>455.0</v>
      </c>
      <c r="J905" s="37">
        <v>2882.42</v>
      </c>
      <c r="K905" s="2">
        <v>116.0</v>
      </c>
      <c r="L905" s="2">
        <v>726.0</v>
      </c>
      <c r="M905" s="37">
        <v>3549.1600000000003</v>
      </c>
    </row>
    <row r="906" ht="14.25" customHeight="1">
      <c r="A906" t="s">
        <v>988</v>
      </c>
      <c r="B906" t="s">
        <v>638</v>
      </c>
      <c r="C906" t="s">
        <v>62</v>
      </c>
      <c r="D906" t="s">
        <v>63</v>
      </c>
      <c r="E906">
        <v>14.0</v>
      </c>
      <c r="F906">
        <v>16.5</v>
      </c>
      <c r="G906" s="2" t="s">
        <v>67</v>
      </c>
      <c r="H906" s="2">
        <v>102.0</v>
      </c>
      <c r="I906" s="2">
        <v>455.0</v>
      </c>
      <c r="J906" s="37">
        <v>2882.42</v>
      </c>
      <c r="K906" s="2">
        <v>116.0</v>
      </c>
      <c r="L906" s="2">
        <v>726.0</v>
      </c>
      <c r="M906" s="37">
        <v>3549.1600000000003</v>
      </c>
    </row>
    <row r="907" ht="14.25" customHeight="1">
      <c r="A907" t="s">
        <v>989</v>
      </c>
      <c r="B907" t="s">
        <v>638</v>
      </c>
      <c r="C907" t="s">
        <v>62</v>
      </c>
      <c r="D907" t="s">
        <v>63</v>
      </c>
      <c r="E907">
        <v>7.1</v>
      </c>
      <c r="F907">
        <v>8.0</v>
      </c>
      <c r="G907" s="2" t="s">
        <v>64</v>
      </c>
      <c r="H907" s="2">
        <v>0.0</v>
      </c>
      <c r="I907" s="2">
        <v>0.0</v>
      </c>
      <c r="J907" s="37">
        <v>0.0</v>
      </c>
      <c r="K907" s="2">
        <v>0.0</v>
      </c>
      <c r="L907" s="2">
        <v>0.0</v>
      </c>
      <c r="M907" s="37">
        <v>0.0</v>
      </c>
    </row>
    <row r="908" ht="14.25" customHeight="1">
      <c r="A908" t="s">
        <v>990</v>
      </c>
      <c r="B908" t="s">
        <v>638</v>
      </c>
      <c r="C908" t="s">
        <v>62</v>
      </c>
      <c r="D908" t="s">
        <v>63</v>
      </c>
      <c r="E908">
        <v>7.1</v>
      </c>
      <c r="F908">
        <v>8.0</v>
      </c>
      <c r="G908" s="2" t="s">
        <v>64</v>
      </c>
      <c r="H908" s="2">
        <v>0.0</v>
      </c>
      <c r="I908" s="2">
        <v>0.0</v>
      </c>
      <c r="J908" s="37">
        <v>0.0</v>
      </c>
      <c r="K908" s="2">
        <v>0.0</v>
      </c>
      <c r="L908" s="2">
        <v>0.0</v>
      </c>
      <c r="M908" s="37">
        <v>0.0</v>
      </c>
    </row>
    <row r="909" ht="14.25" customHeight="1">
      <c r="A909" t="s">
        <v>991</v>
      </c>
      <c r="B909" t="s">
        <v>638</v>
      </c>
      <c r="C909" t="s">
        <v>62</v>
      </c>
      <c r="D909" t="s">
        <v>63</v>
      </c>
      <c r="E909">
        <v>8.5</v>
      </c>
      <c r="F909">
        <v>10.0</v>
      </c>
      <c r="G909" s="2" t="s">
        <v>64</v>
      </c>
      <c r="H909" s="2">
        <v>0.0</v>
      </c>
      <c r="I909" s="2">
        <v>0.0</v>
      </c>
      <c r="J909" s="37">
        <v>0.0</v>
      </c>
      <c r="K909" s="2">
        <v>0.0</v>
      </c>
      <c r="L909" s="2">
        <v>0.0</v>
      </c>
      <c r="M909" s="37">
        <v>0.0</v>
      </c>
    </row>
    <row r="910" ht="14.25" customHeight="1">
      <c r="A910" t="s">
        <v>992</v>
      </c>
      <c r="B910" t="s">
        <v>638</v>
      </c>
      <c r="C910" t="s">
        <v>62</v>
      </c>
      <c r="D910" t="s">
        <v>63</v>
      </c>
      <c r="E910">
        <v>8.5</v>
      </c>
      <c r="F910">
        <v>10.0</v>
      </c>
      <c r="G910" s="2" t="s">
        <v>64</v>
      </c>
      <c r="H910" s="2">
        <v>0.0</v>
      </c>
      <c r="I910" s="2">
        <v>0.0</v>
      </c>
      <c r="J910" s="37">
        <v>0.0</v>
      </c>
      <c r="K910" s="2">
        <v>0.0</v>
      </c>
      <c r="L910" s="2">
        <v>0.0</v>
      </c>
      <c r="M910" s="37">
        <v>0.0</v>
      </c>
    </row>
    <row r="911" ht="14.25" customHeight="1">
      <c r="A911" t="s">
        <v>993</v>
      </c>
      <c r="B911" t="s">
        <v>638</v>
      </c>
      <c r="C911" t="s">
        <v>62</v>
      </c>
      <c r="D911" t="s">
        <v>63</v>
      </c>
      <c r="E911">
        <v>10.0</v>
      </c>
      <c r="F911">
        <v>12.0</v>
      </c>
      <c r="G911" s="2" t="s">
        <v>67</v>
      </c>
      <c r="H911" s="2">
        <v>72.0</v>
      </c>
      <c r="I911" s="2">
        <v>251.0</v>
      </c>
      <c r="J911" s="37">
        <v>1943.42</v>
      </c>
      <c r="K911" s="2">
        <v>82.0</v>
      </c>
      <c r="L911" s="2">
        <v>444.0</v>
      </c>
      <c r="M911" s="37">
        <v>2418.92</v>
      </c>
    </row>
    <row r="912" ht="14.25" customHeight="1">
      <c r="A912" t="s">
        <v>994</v>
      </c>
      <c r="B912" t="s">
        <v>638</v>
      </c>
      <c r="C912" t="s">
        <v>62</v>
      </c>
      <c r="D912" t="s">
        <v>63</v>
      </c>
      <c r="E912">
        <v>10.0</v>
      </c>
      <c r="F912">
        <v>12.0</v>
      </c>
      <c r="G912" s="2" t="s">
        <v>67</v>
      </c>
      <c r="H912" s="2">
        <v>72.0</v>
      </c>
      <c r="I912" s="2">
        <v>251.0</v>
      </c>
      <c r="J912" s="37">
        <v>1943.42</v>
      </c>
      <c r="K912" s="2">
        <v>82.0</v>
      </c>
      <c r="L912" s="2">
        <v>444.0</v>
      </c>
      <c r="M912" s="37">
        <v>2418.92</v>
      </c>
    </row>
    <row r="913" ht="14.25" customHeight="1">
      <c r="A913" t="s">
        <v>995</v>
      </c>
      <c r="B913" t="s">
        <v>638</v>
      </c>
      <c r="C913" t="s">
        <v>62</v>
      </c>
      <c r="D913" t="s">
        <v>63</v>
      </c>
      <c r="E913">
        <v>12.5</v>
      </c>
      <c r="F913">
        <v>15.0</v>
      </c>
      <c r="G913" s="2" t="s">
        <v>67</v>
      </c>
      <c r="H913" s="2">
        <v>83.0</v>
      </c>
      <c r="I913" s="2">
        <v>211.0</v>
      </c>
      <c r="J913" s="37">
        <v>2138.48</v>
      </c>
      <c r="K913" s="2">
        <v>96.0</v>
      </c>
      <c r="L913" s="2">
        <v>453.0</v>
      </c>
      <c r="M913" s="37">
        <v>2745.06</v>
      </c>
    </row>
    <row r="914" ht="14.25" customHeight="1">
      <c r="A914" t="s">
        <v>996</v>
      </c>
      <c r="B914" t="s">
        <v>638</v>
      </c>
      <c r="C914" t="s">
        <v>62</v>
      </c>
      <c r="D914" t="s">
        <v>63</v>
      </c>
      <c r="E914">
        <v>12.5</v>
      </c>
      <c r="F914">
        <v>15.0</v>
      </c>
      <c r="G914" s="2" t="s">
        <v>67</v>
      </c>
      <c r="H914" s="2">
        <v>83.0</v>
      </c>
      <c r="I914" s="2">
        <v>211.0</v>
      </c>
      <c r="J914" s="37">
        <v>2138.48</v>
      </c>
      <c r="K914" s="2">
        <v>96.0</v>
      </c>
      <c r="L914" s="2">
        <v>453.0</v>
      </c>
      <c r="M914" s="37">
        <v>2745.06</v>
      </c>
    </row>
    <row r="915" ht="14.25" customHeight="1">
      <c r="A915" t="s">
        <v>997</v>
      </c>
      <c r="B915" t="s">
        <v>638</v>
      </c>
      <c r="C915" t="s">
        <v>62</v>
      </c>
      <c r="D915" t="s">
        <v>63</v>
      </c>
      <c r="E915">
        <v>14.0</v>
      </c>
      <c r="F915">
        <v>16.5</v>
      </c>
      <c r="G915" s="2" t="s">
        <v>67</v>
      </c>
      <c r="H915" s="2">
        <v>90.0</v>
      </c>
      <c r="I915" s="2">
        <v>216.0</v>
      </c>
      <c r="J915" s="37">
        <v>2302.2000000000003</v>
      </c>
      <c r="K915" s="2">
        <v>105.0</v>
      </c>
      <c r="L915" s="2">
        <v>487.0</v>
      </c>
      <c r="M915" s="37">
        <v>2991.4</v>
      </c>
    </row>
    <row r="916" ht="14.25" customHeight="1">
      <c r="A916" t="s">
        <v>998</v>
      </c>
      <c r="B916" t="s">
        <v>638</v>
      </c>
      <c r="C916" t="s">
        <v>62</v>
      </c>
      <c r="D916" t="s">
        <v>63</v>
      </c>
      <c r="E916">
        <v>14.0</v>
      </c>
      <c r="F916">
        <v>16.5</v>
      </c>
      <c r="G916" s="2" t="s">
        <v>67</v>
      </c>
      <c r="H916" s="2">
        <v>90.0</v>
      </c>
      <c r="I916" s="2">
        <v>216.0</v>
      </c>
      <c r="J916" s="37">
        <v>2302.2000000000003</v>
      </c>
      <c r="K916" s="2">
        <v>105.0</v>
      </c>
      <c r="L916" s="2">
        <v>487.0</v>
      </c>
      <c r="M916" s="37">
        <v>2991.4</v>
      </c>
    </row>
    <row r="917" ht="14.25" customHeight="1">
      <c r="A917" t="s">
        <v>999</v>
      </c>
      <c r="B917" t="s">
        <v>638</v>
      </c>
      <c r="C917" t="s">
        <v>75</v>
      </c>
      <c r="D917" t="s">
        <v>63</v>
      </c>
      <c r="E917">
        <v>7.1</v>
      </c>
      <c r="F917">
        <v>7.5</v>
      </c>
      <c r="G917" s="2" t="s">
        <v>64</v>
      </c>
      <c r="H917" s="2">
        <v>0.0</v>
      </c>
      <c r="I917" s="2">
        <v>0.0</v>
      </c>
      <c r="J917" s="37">
        <v>0.0</v>
      </c>
      <c r="K917" s="2">
        <v>0.0</v>
      </c>
      <c r="L917" s="2">
        <v>0.0</v>
      </c>
      <c r="M917" s="37">
        <v>0.0</v>
      </c>
    </row>
    <row r="918" ht="14.25" customHeight="1">
      <c r="A918" t="s">
        <v>1000</v>
      </c>
      <c r="B918" t="s">
        <v>638</v>
      </c>
      <c r="C918" t="s">
        <v>75</v>
      </c>
      <c r="D918" t="s">
        <v>63</v>
      </c>
      <c r="E918">
        <v>7.1</v>
      </c>
      <c r="F918">
        <v>7.5</v>
      </c>
      <c r="G918" s="2" t="s">
        <v>64</v>
      </c>
      <c r="H918" s="2">
        <v>0.0</v>
      </c>
      <c r="I918" s="2">
        <v>0.0</v>
      </c>
      <c r="J918" s="37">
        <v>0.0</v>
      </c>
      <c r="K918" s="2">
        <v>0.0</v>
      </c>
      <c r="L918" s="2">
        <v>0.0</v>
      </c>
      <c r="M918" s="37">
        <v>0.0</v>
      </c>
    </row>
    <row r="919" ht="14.25" customHeight="1">
      <c r="A919" t="s">
        <v>1001</v>
      </c>
      <c r="B919" t="s">
        <v>638</v>
      </c>
      <c r="C919" t="s">
        <v>75</v>
      </c>
      <c r="D919" t="s">
        <v>63</v>
      </c>
      <c r="E919">
        <v>12.5</v>
      </c>
      <c r="F919">
        <v>15.0</v>
      </c>
      <c r="G919" s="2" t="s">
        <v>64</v>
      </c>
      <c r="H919" s="2">
        <v>0.0</v>
      </c>
      <c r="I919" s="2">
        <v>0.0</v>
      </c>
      <c r="J919" s="37">
        <v>0.0</v>
      </c>
      <c r="K919" s="2">
        <v>0.0</v>
      </c>
      <c r="L919" s="2">
        <v>0.0</v>
      </c>
      <c r="M919" s="37">
        <v>0.0</v>
      </c>
    </row>
    <row r="920" ht="14.25" customHeight="1">
      <c r="A920" t="s">
        <v>1002</v>
      </c>
      <c r="B920" t="s">
        <v>638</v>
      </c>
      <c r="C920" t="s">
        <v>75</v>
      </c>
      <c r="D920" t="s">
        <v>63</v>
      </c>
      <c r="E920">
        <v>12.5</v>
      </c>
      <c r="F920">
        <v>15.0</v>
      </c>
      <c r="G920" s="2" t="s">
        <v>64</v>
      </c>
      <c r="H920" s="2">
        <v>0.0</v>
      </c>
      <c r="I920" s="2">
        <v>0.0</v>
      </c>
      <c r="J920" s="37">
        <v>0.0</v>
      </c>
      <c r="K920" s="2">
        <v>0.0</v>
      </c>
      <c r="L920" s="2">
        <v>0.0</v>
      </c>
      <c r="M920" s="37">
        <v>0.0</v>
      </c>
    </row>
    <row r="921" ht="14.25" customHeight="1">
      <c r="A921" t="s">
        <v>1003</v>
      </c>
      <c r="B921" t="s">
        <v>638</v>
      </c>
      <c r="C921" t="s">
        <v>75</v>
      </c>
      <c r="D921" t="s">
        <v>63</v>
      </c>
      <c r="E921">
        <v>15.5</v>
      </c>
      <c r="F921">
        <v>18.0</v>
      </c>
      <c r="G921" s="2" t="s">
        <v>64</v>
      </c>
      <c r="H921" s="2">
        <v>0.0</v>
      </c>
      <c r="I921" s="2">
        <v>0.0</v>
      </c>
      <c r="J921" s="37">
        <v>0.0</v>
      </c>
      <c r="K921" s="2">
        <v>0.0</v>
      </c>
      <c r="L921" s="2">
        <v>0.0</v>
      </c>
      <c r="M921" s="37">
        <v>0.0</v>
      </c>
    </row>
    <row r="922" ht="14.25" customHeight="1">
      <c r="A922" t="s">
        <v>1004</v>
      </c>
      <c r="B922" t="s">
        <v>638</v>
      </c>
      <c r="C922" t="s">
        <v>75</v>
      </c>
      <c r="D922" t="s">
        <v>63</v>
      </c>
      <c r="E922">
        <v>15.5</v>
      </c>
      <c r="F922">
        <v>18.0</v>
      </c>
      <c r="G922" s="2" t="s">
        <v>64</v>
      </c>
      <c r="H922" s="2">
        <v>0.0</v>
      </c>
      <c r="I922" s="2">
        <v>0.0</v>
      </c>
      <c r="J922" s="37">
        <v>0.0</v>
      </c>
      <c r="K922" s="2">
        <v>0.0</v>
      </c>
      <c r="L922" s="2">
        <v>0.0</v>
      </c>
      <c r="M922" s="37">
        <v>0.0</v>
      </c>
    </row>
    <row r="923" ht="14.25" customHeight="1">
      <c r="A923" t="s">
        <v>1005</v>
      </c>
      <c r="B923" t="s">
        <v>638</v>
      </c>
      <c r="C923" t="s">
        <v>75</v>
      </c>
      <c r="D923" t="s">
        <v>63</v>
      </c>
      <c r="E923">
        <v>7.1</v>
      </c>
      <c r="F923">
        <v>7.5</v>
      </c>
      <c r="G923" s="2" t="s">
        <v>67</v>
      </c>
      <c r="H923" s="2">
        <v>39.0</v>
      </c>
      <c r="I923" s="2">
        <v>218.0</v>
      </c>
      <c r="J923" s="37">
        <v>1159.3400000000001</v>
      </c>
      <c r="K923" s="2">
        <v>46.0</v>
      </c>
      <c r="L923" s="2">
        <v>356.0</v>
      </c>
      <c r="M923" s="37">
        <v>1495.96</v>
      </c>
    </row>
    <row r="924" ht="14.25" customHeight="1">
      <c r="A924" t="s">
        <v>1006</v>
      </c>
      <c r="B924" t="s">
        <v>638</v>
      </c>
      <c r="C924" t="s">
        <v>75</v>
      </c>
      <c r="D924" t="s">
        <v>63</v>
      </c>
      <c r="E924">
        <v>12.5</v>
      </c>
      <c r="F924">
        <v>15.0</v>
      </c>
      <c r="G924" s="2" t="s">
        <v>64</v>
      </c>
      <c r="H924" s="2">
        <v>0.0</v>
      </c>
      <c r="I924" s="2">
        <v>0.0</v>
      </c>
      <c r="J924" s="37">
        <v>0.0</v>
      </c>
      <c r="K924" s="2">
        <v>0.0</v>
      </c>
      <c r="L924" s="2">
        <v>0.0</v>
      </c>
      <c r="M924" s="37">
        <v>0.0</v>
      </c>
    </row>
    <row r="925" ht="14.25" customHeight="1">
      <c r="A925" t="s">
        <v>1007</v>
      </c>
      <c r="B925" t="s">
        <v>638</v>
      </c>
      <c r="C925" t="s">
        <v>75</v>
      </c>
      <c r="D925" t="s">
        <v>63</v>
      </c>
      <c r="E925">
        <v>16.0</v>
      </c>
      <c r="F925">
        <v>18.0</v>
      </c>
      <c r="G925" s="2" t="s">
        <v>67</v>
      </c>
      <c r="H925" s="2">
        <v>86.0</v>
      </c>
      <c r="I925" s="2">
        <v>174.0</v>
      </c>
      <c r="J925" s="37">
        <v>2157.76</v>
      </c>
      <c r="K925" s="2">
        <v>102.0</v>
      </c>
      <c r="L925" s="2">
        <v>484.0</v>
      </c>
      <c r="M925" s="37">
        <v>2920.12</v>
      </c>
    </row>
    <row r="926" ht="14.25" customHeight="1">
      <c r="A926" t="s">
        <v>1008</v>
      </c>
      <c r="B926" t="s">
        <v>638</v>
      </c>
      <c r="C926" t="s">
        <v>62</v>
      </c>
      <c r="D926" t="s">
        <v>63</v>
      </c>
      <c r="E926">
        <v>5.0</v>
      </c>
      <c r="F926">
        <v>5.8</v>
      </c>
      <c r="G926" s="2" t="s">
        <v>64</v>
      </c>
      <c r="H926" s="2">
        <v>0.0</v>
      </c>
      <c r="I926" s="2">
        <v>0.0</v>
      </c>
      <c r="J926" s="37">
        <v>0.0</v>
      </c>
      <c r="K926" s="2">
        <v>0.0</v>
      </c>
      <c r="L926" s="2">
        <v>0.0</v>
      </c>
      <c r="M926" s="37">
        <v>0.0</v>
      </c>
    </row>
    <row r="927" ht="14.25" customHeight="1">
      <c r="A927" t="s">
        <v>1009</v>
      </c>
      <c r="B927" t="s">
        <v>638</v>
      </c>
      <c r="C927" t="s">
        <v>62</v>
      </c>
      <c r="D927" t="s">
        <v>63</v>
      </c>
      <c r="E927">
        <v>5.0</v>
      </c>
      <c r="F927">
        <v>5.8</v>
      </c>
      <c r="G927" s="2" t="s">
        <v>64</v>
      </c>
      <c r="H927" s="2">
        <v>0.0</v>
      </c>
      <c r="I927" s="2">
        <v>0.0</v>
      </c>
      <c r="J927" s="37">
        <v>0.0</v>
      </c>
      <c r="K927" s="2">
        <v>0.0</v>
      </c>
      <c r="L927" s="2">
        <v>0.0</v>
      </c>
      <c r="M927" s="37">
        <v>0.0</v>
      </c>
    </row>
    <row r="928" ht="14.25" customHeight="1">
      <c r="A928" t="s">
        <v>1010</v>
      </c>
      <c r="B928" t="s">
        <v>638</v>
      </c>
      <c r="C928" t="s">
        <v>62</v>
      </c>
      <c r="D928" t="s">
        <v>63</v>
      </c>
      <c r="E928">
        <v>5.0</v>
      </c>
      <c r="F928">
        <v>5.8</v>
      </c>
      <c r="G928" s="2" t="s">
        <v>64</v>
      </c>
      <c r="H928" s="2">
        <v>0.0</v>
      </c>
      <c r="I928" s="2">
        <v>0.0</v>
      </c>
      <c r="J928" s="37">
        <v>0.0</v>
      </c>
      <c r="K928" s="2">
        <v>0.0</v>
      </c>
      <c r="L928" s="2">
        <v>0.0</v>
      </c>
      <c r="M928" s="37">
        <v>0.0</v>
      </c>
    </row>
    <row r="929" ht="14.25" customHeight="1">
      <c r="A929" t="s">
        <v>1011</v>
      </c>
      <c r="B929" t="s">
        <v>638</v>
      </c>
      <c r="C929" t="s">
        <v>62</v>
      </c>
      <c r="D929" t="s">
        <v>63</v>
      </c>
      <c r="E929">
        <v>5.0</v>
      </c>
      <c r="F929">
        <v>5.8</v>
      </c>
      <c r="G929" s="2" t="s">
        <v>64</v>
      </c>
      <c r="H929" s="2">
        <v>0.0</v>
      </c>
      <c r="I929" s="2">
        <v>0.0</v>
      </c>
      <c r="J929" s="37">
        <v>0.0</v>
      </c>
      <c r="K929" s="2">
        <v>0.0</v>
      </c>
      <c r="L929" s="2">
        <v>0.0</v>
      </c>
      <c r="M929" s="37">
        <v>0.0</v>
      </c>
    </row>
    <row r="930" ht="14.25" customHeight="1">
      <c r="A930" t="s">
        <v>1012</v>
      </c>
      <c r="B930" t="s">
        <v>638</v>
      </c>
      <c r="C930" t="s">
        <v>62</v>
      </c>
      <c r="D930" t="s">
        <v>63</v>
      </c>
      <c r="E930">
        <v>5.0</v>
      </c>
      <c r="F930">
        <v>5.8</v>
      </c>
      <c r="G930" s="2" t="s">
        <v>64</v>
      </c>
      <c r="H930" s="2">
        <v>0.0</v>
      </c>
      <c r="I930" s="2">
        <v>0.0</v>
      </c>
      <c r="J930" s="37">
        <v>0.0</v>
      </c>
      <c r="K930" s="2">
        <v>0.0</v>
      </c>
      <c r="L930" s="2">
        <v>0.0</v>
      </c>
      <c r="M930" s="37">
        <v>0.0</v>
      </c>
    </row>
    <row r="931" ht="14.25" customHeight="1">
      <c r="A931" t="s">
        <v>1013</v>
      </c>
      <c r="B931" t="s">
        <v>638</v>
      </c>
      <c r="C931" t="s">
        <v>62</v>
      </c>
      <c r="D931" t="s">
        <v>63</v>
      </c>
      <c r="E931">
        <v>5.0</v>
      </c>
      <c r="F931">
        <v>5.8</v>
      </c>
      <c r="G931" s="2" t="s">
        <v>64</v>
      </c>
      <c r="H931" s="2">
        <v>0.0</v>
      </c>
      <c r="I931" s="2">
        <v>0.0</v>
      </c>
      <c r="J931" s="37">
        <v>0.0</v>
      </c>
      <c r="K931" s="2">
        <v>0.0</v>
      </c>
      <c r="L931" s="2">
        <v>0.0</v>
      </c>
      <c r="M931" s="37">
        <v>0.0</v>
      </c>
    </row>
    <row r="932" ht="14.25" customHeight="1">
      <c r="A932" t="s">
        <v>1014</v>
      </c>
      <c r="B932" t="s">
        <v>638</v>
      </c>
      <c r="C932" t="s">
        <v>62</v>
      </c>
      <c r="D932" t="s">
        <v>63</v>
      </c>
      <c r="E932">
        <v>3.4</v>
      </c>
      <c r="F932">
        <v>4.5</v>
      </c>
      <c r="G932" s="2" t="s">
        <v>64</v>
      </c>
      <c r="H932" s="2">
        <v>0.0</v>
      </c>
      <c r="I932" s="2">
        <v>0.0</v>
      </c>
      <c r="J932" s="37">
        <v>0.0</v>
      </c>
      <c r="K932" s="2">
        <v>0.0</v>
      </c>
      <c r="L932" s="2">
        <v>0.0</v>
      </c>
      <c r="M932" s="37">
        <v>0.0</v>
      </c>
    </row>
    <row r="933" ht="14.25" customHeight="1">
      <c r="A933" t="s">
        <v>1015</v>
      </c>
      <c r="B933" t="s">
        <v>638</v>
      </c>
      <c r="C933" t="s">
        <v>62</v>
      </c>
      <c r="D933" t="s">
        <v>63</v>
      </c>
      <c r="E933">
        <v>3.4</v>
      </c>
      <c r="F933">
        <v>4.5</v>
      </c>
      <c r="G933" s="2" t="s">
        <v>64</v>
      </c>
      <c r="H933" s="2">
        <v>0.0</v>
      </c>
      <c r="I933" s="2">
        <v>0.0</v>
      </c>
      <c r="J933" s="37">
        <v>0.0</v>
      </c>
      <c r="K933" s="2">
        <v>0.0</v>
      </c>
      <c r="L933" s="2">
        <v>0.0</v>
      </c>
      <c r="M933" s="37">
        <v>0.0</v>
      </c>
    </row>
    <row r="934" ht="14.25" customHeight="1">
      <c r="A934" t="s">
        <v>1016</v>
      </c>
      <c r="B934" t="s">
        <v>638</v>
      </c>
      <c r="C934" t="s">
        <v>62</v>
      </c>
      <c r="D934" t="s">
        <v>63</v>
      </c>
      <c r="E934">
        <v>3.4</v>
      </c>
      <c r="F934">
        <v>4.5</v>
      </c>
      <c r="G934" s="2" t="s">
        <v>64</v>
      </c>
      <c r="H934" s="2">
        <v>0.0</v>
      </c>
      <c r="I934" s="2">
        <v>0.0</v>
      </c>
      <c r="J934" s="37">
        <v>0.0</v>
      </c>
      <c r="K934" s="2">
        <v>0.0</v>
      </c>
      <c r="L934" s="2">
        <v>0.0</v>
      </c>
      <c r="M934" s="37">
        <v>0.0</v>
      </c>
    </row>
    <row r="935" ht="14.25" customHeight="1">
      <c r="A935" t="s">
        <v>1017</v>
      </c>
      <c r="B935" t="s">
        <v>638</v>
      </c>
      <c r="C935" t="s">
        <v>62</v>
      </c>
      <c r="D935" t="s">
        <v>63</v>
      </c>
      <c r="E935">
        <v>3.4</v>
      </c>
      <c r="F935">
        <v>4.5</v>
      </c>
      <c r="G935" s="2" t="s">
        <v>64</v>
      </c>
      <c r="H935" s="2">
        <v>0.0</v>
      </c>
      <c r="I935" s="2">
        <v>0.0</v>
      </c>
      <c r="J935" s="37">
        <v>0.0</v>
      </c>
      <c r="K935" s="2">
        <v>0.0</v>
      </c>
      <c r="L935" s="2">
        <v>0.0</v>
      </c>
      <c r="M935" s="37">
        <v>0.0</v>
      </c>
    </row>
    <row r="936" ht="14.25" customHeight="1">
      <c r="A936" t="s">
        <v>1018</v>
      </c>
      <c r="B936" t="s">
        <v>638</v>
      </c>
      <c r="C936" t="s">
        <v>62</v>
      </c>
      <c r="D936" t="s">
        <v>63</v>
      </c>
      <c r="E936">
        <v>3.4</v>
      </c>
      <c r="F936">
        <v>4.5</v>
      </c>
      <c r="G936" s="2" t="s">
        <v>64</v>
      </c>
      <c r="H936" s="2">
        <v>0.0</v>
      </c>
      <c r="I936" s="2">
        <v>0.0</v>
      </c>
      <c r="J936" s="37">
        <v>0.0</v>
      </c>
      <c r="K936" s="2">
        <v>0.0</v>
      </c>
      <c r="L936" s="2">
        <v>0.0</v>
      </c>
      <c r="M936" s="37">
        <v>0.0</v>
      </c>
    </row>
    <row r="937" ht="14.25" customHeight="1">
      <c r="A937" t="s">
        <v>1019</v>
      </c>
      <c r="B937" t="s">
        <v>638</v>
      </c>
      <c r="C937" t="s">
        <v>62</v>
      </c>
      <c r="D937" t="s">
        <v>63</v>
      </c>
      <c r="E937">
        <v>2.4</v>
      </c>
      <c r="F937">
        <v>3.4</v>
      </c>
      <c r="G937" s="2" t="s">
        <v>64</v>
      </c>
      <c r="H937" s="2">
        <v>0.0</v>
      </c>
      <c r="I937" s="2">
        <v>0.0</v>
      </c>
      <c r="J937" s="37">
        <v>0.0</v>
      </c>
      <c r="K937" s="2">
        <v>0.0</v>
      </c>
      <c r="L937" s="2">
        <v>0.0</v>
      </c>
      <c r="M937" s="37">
        <v>0.0</v>
      </c>
    </row>
    <row r="938" ht="14.25" customHeight="1">
      <c r="A938" t="s">
        <v>1020</v>
      </c>
      <c r="B938" t="s">
        <v>638</v>
      </c>
      <c r="C938" t="s">
        <v>62</v>
      </c>
      <c r="D938" t="s">
        <v>63</v>
      </c>
      <c r="E938">
        <v>2.4</v>
      </c>
      <c r="F938">
        <v>3.4</v>
      </c>
      <c r="G938" s="2" t="s">
        <v>64</v>
      </c>
      <c r="H938" s="2">
        <v>0.0</v>
      </c>
      <c r="I938" s="2">
        <v>0.0</v>
      </c>
      <c r="J938" s="37">
        <v>0.0</v>
      </c>
      <c r="K938" s="2">
        <v>0.0</v>
      </c>
      <c r="L938" s="2">
        <v>0.0</v>
      </c>
      <c r="M938" s="37">
        <v>0.0</v>
      </c>
    </row>
    <row r="939" ht="14.25" customHeight="1">
      <c r="A939" t="s">
        <v>1021</v>
      </c>
      <c r="B939" t="s">
        <v>638</v>
      </c>
      <c r="C939" t="s">
        <v>62</v>
      </c>
      <c r="D939" t="s">
        <v>63</v>
      </c>
      <c r="E939">
        <v>2.4</v>
      </c>
      <c r="F939">
        <v>3.4</v>
      </c>
      <c r="G939" s="2" t="s">
        <v>64</v>
      </c>
      <c r="H939" s="2">
        <v>0.0</v>
      </c>
      <c r="I939" s="2">
        <v>0.0</v>
      </c>
      <c r="J939" s="37">
        <v>0.0</v>
      </c>
      <c r="K939" s="2">
        <v>0.0</v>
      </c>
      <c r="L939" s="2">
        <v>0.0</v>
      </c>
      <c r="M939" s="37">
        <v>0.0</v>
      </c>
    </row>
    <row r="940" ht="14.25" customHeight="1">
      <c r="A940" t="s">
        <v>1022</v>
      </c>
      <c r="B940" t="s">
        <v>638</v>
      </c>
      <c r="C940" t="s">
        <v>62</v>
      </c>
      <c r="D940" t="s">
        <v>63</v>
      </c>
      <c r="E940">
        <v>2.4</v>
      </c>
      <c r="F940">
        <v>3.4</v>
      </c>
      <c r="G940" s="2" t="s">
        <v>64</v>
      </c>
      <c r="H940" s="2">
        <v>0.0</v>
      </c>
      <c r="I940" s="2">
        <v>0.0</v>
      </c>
      <c r="J940" s="37">
        <v>0.0</v>
      </c>
      <c r="K940" s="2">
        <v>0.0</v>
      </c>
      <c r="L940" s="2">
        <v>0.0</v>
      </c>
      <c r="M940" s="37">
        <v>0.0</v>
      </c>
    </row>
    <row r="941" ht="14.25" customHeight="1">
      <c r="A941" t="s">
        <v>1023</v>
      </c>
      <c r="B941" t="s">
        <v>638</v>
      </c>
      <c r="C941" t="s">
        <v>62</v>
      </c>
      <c r="D941" t="s">
        <v>63</v>
      </c>
      <c r="E941">
        <v>2.4</v>
      </c>
      <c r="F941">
        <v>3.4</v>
      </c>
      <c r="G941" s="2" t="s">
        <v>64</v>
      </c>
      <c r="H941" s="2">
        <v>0.0</v>
      </c>
      <c r="I941" s="2">
        <v>0.0</v>
      </c>
      <c r="J941" s="37">
        <v>0.0</v>
      </c>
      <c r="K941" s="2">
        <v>0.0</v>
      </c>
      <c r="L941" s="2">
        <v>0.0</v>
      </c>
      <c r="M941" s="37">
        <v>0.0</v>
      </c>
    </row>
    <row r="942" ht="14.25" customHeight="1">
      <c r="A942" t="s">
        <v>1024</v>
      </c>
      <c r="B942" t="s">
        <v>638</v>
      </c>
      <c r="C942" t="s">
        <v>62</v>
      </c>
      <c r="D942" t="s">
        <v>63</v>
      </c>
      <c r="E942">
        <v>2.4</v>
      </c>
      <c r="F942">
        <v>3.4</v>
      </c>
      <c r="G942" s="2" t="s">
        <v>64</v>
      </c>
      <c r="H942" s="2">
        <v>0.0</v>
      </c>
      <c r="I942" s="2">
        <v>0.0</v>
      </c>
      <c r="J942" s="37">
        <v>0.0</v>
      </c>
      <c r="K942" s="2">
        <v>0.0</v>
      </c>
      <c r="L942" s="2">
        <v>0.0</v>
      </c>
      <c r="M942" s="37">
        <v>0.0</v>
      </c>
    </row>
    <row r="943" ht="14.25" customHeight="1">
      <c r="A943" t="s">
        <v>1025</v>
      </c>
      <c r="B943" t="s">
        <v>638</v>
      </c>
      <c r="C943" t="s">
        <v>75</v>
      </c>
      <c r="D943" t="s">
        <v>63</v>
      </c>
      <c r="E943">
        <v>18.0</v>
      </c>
      <c r="F943">
        <v>20.0</v>
      </c>
      <c r="G943" s="2" t="s">
        <v>64</v>
      </c>
      <c r="H943" s="2">
        <v>0.0</v>
      </c>
      <c r="I943" s="2">
        <v>0.0</v>
      </c>
      <c r="J943" s="37">
        <v>0.0</v>
      </c>
      <c r="K943" s="2">
        <v>0.0</v>
      </c>
      <c r="L943" s="2">
        <v>0.0</v>
      </c>
      <c r="M943" s="37">
        <v>0.0</v>
      </c>
    </row>
    <row r="944" ht="14.25" customHeight="1">
      <c r="A944" t="s">
        <v>1026</v>
      </c>
      <c r="B944" t="s">
        <v>638</v>
      </c>
      <c r="C944" t="s">
        <v>75</v>
      </c>
      <c r="D944" t="s">
        <v>63</v>
      </c>
      <c r="E944">
        <v>18.0</v>
      </c>
      <c r="F944">
        <v>20.0</v>
      </c>
      <c r="G944" s="2" t="s">
        <v>64</v>
      </c>
      <c r="H944" s="2">
        <v>0.0</v>
      </c>
      <c r="I944" s="2">
        <v>0.0</v>
      </c>
      <c r="J944" s="37">
        <v>0.0</v>
      </c>
      <c r="K944" s="2">
        <v>0.0</v>
      </c>
      <c r="L944" s="2">
        <v>0.0</v>
      </c>
      <c r="M944" s="37">
        <v>0.0</v>
      </c>
    </row>
    <row r="945" ht="14.25" customHeight="1">
      <c r="A945" t="s">
        <v>1027</v>
      </c>
      <c r="B945" t="s">
        <v>638</v>
      </c>
      <c r="C945" t="s">
        <v>62</v>
      </c>
      <c r="D945" t="s">
        <v>63</v>
      </c>
      <c r="E945">
        <v>5.0</v>
      </c>
      <c r="F945">
        <v>6.0</v>
      </c>
      <c r="G945" s="2" t="s">
        <v>64</v>
      </c>
      <c r="H945" s="2">
        <v>0.0</v>
      </c>
      <c r="I945" s="2">
        <v>0.0</v>
      </c>
      <c r="J945" s="37">
        <v>0.0</v>
      </c>
      <c r="K945" s="2">
        <v>0.0</v>
      </c>
      <c r="L945" s="2">
        <v>0.0</v>
      </c>
      <c r="M945" s="37">
        <v>0.0</v>
      </c>
    </row>
    <row r="946" ht="14.25" customHeight="1">
      <c r="A946" t="s">
        <v>1028</v>
      </c>
      <c r="B946" t="s">
        <v>638</v>
      </c>
      <c r="C946" t="s">
        <v>62</v>
      </c>
      <c r="D946" t="s">
        <v>63</v>
      </c>
      <c r="E946">
        <v>6.0</v>
      </c>
      <c r="F946">
        <v>7.1</v>
      </c>
      <c r="G946" s="2" t="s">
        <v>67</v>
      </c>
      <c r="H946" s="2">
        <v>45.0</v>
      </c>
      <c r="I946" s="2">
        <v>242.0</v>
      </c>
      <c r="J946" s="37">
        <v>1325.3000000000002</v>
      </c>
      <c r="K946" s="2">
        <v>51.0</v>
      </c>
      <c r="L946" s="2">
        <v>346.0</v>
      </c>
      <c r="M946" s="37">
        <v>1595.26</v>
      </c>
    </row>
    <row r="947" ht="14.25" customHeight="1">
      <c r="A947" t="s">
        <v>1029</v>
      </c>
      <c r="B947" t="s">
        <v>638</v>
      </c>
      <c r="C947" t="s">
        <v>62</v>
      </c>
      <c r="D947" t="s">
        <v>63</v>
      </c>
      <c r="E947">
        <v>7.1</v>
      </c>
      <c r="F947">
        <v>8.0</v>
      </c>
      <c r="G947" s="2" t="s">
        <v>64</v>
      </c>
      <c r="H947" s="2">
        <v>0.0</v>
      </c>
      <c r="I947" s="2">
        <v>0.0</v>
      </c>
      <c r="J947" s="37">
        <v>0.0</v>
      </c>
      <c r="K947" s="2">
        <v>0.0</v>
      </c>
      <c r="L947" s="2">
        <v>0.0</v>
      </c>
      <c r="M947" s="37">
        <v>0.0</v>
      </c>
    </row>
    <row r="948" ht="14.25" customHeight="1">
      <c r="A948" t="s">
        <v>1030</v>
      </c>
      <c r="B948" t="s">
        <v>638</v>
      </c>
      <c r="C948" t="s">
        <v>62</v>
      </c>
      <c r="D948" t="s">
        <v>63</v>
      </c>
      <c r="E948">
        <v>7.1</v>
      </c>
      <c r="F948">
        <v>8.0</v>
      </c>
      <c r="G948" s="2" t="s">
        <v>64</v>
      </c>
      <c r="H948" s="2">
        <v>0.0</v>
      </c>
      <c r="I948" s="2">
        <v>0.0</v>
      </c>
      <c r="J948" s="37">
        <v>0.0</v>
      </c>
      <c r="K948" s="2">
        <v>0.0</v>
      </c>
      <c r="L948" s="2">
        <v>0.0</v>
      </c>
      <c r="M948" s="37">
        <v>0.0</v>
      </c>
    </row>
    <row r="949" ht="14.25" customHeight="1">
      <c r="A949" t="s">
        <v>1031</v>
      </c>
      <c r="B949" t="s">
        <v>638</v>
      </c>
      <c r="C949" t="s">
        <v>62</v>
      </c>
      <c r="D949" t="s">
        <v>63</v>
      </c>
      <c r="E949">
        <v>8.5</v>
      </c>
      <c r="F949">
        <v>10.0</v>
      </c>
      <c r="G949" s="2" t="s">
        <v>64</v>
      </c>
      <c r="H949" s="2">
        <v>0.0</v>
      </c>
      <c r="I949" s="2">
        <v>0.0</v>
      </c>
      <c r="J949" s="37">
        <v>0.0</v>
      </c>
      <c r="K949" s="2">
        <v>0.0</v>
      </c>
      <c r="L949" s="2">
        <v>0.0</v>
      </c>
      <c r="M949" s="37">
        <v>0.0</v>
      </c>
    </row>
    <row r="950" ht="14.25" customHeight="1">
      <c r="A950" t="s">
        <v>1032</v>
      </c>
      <c r="B950" t="s">
        <v>638</v>
      </c>
      <c r="C950" t="s">
        <v>62</v>
      </c>
      <c r="D950" t="s">
        <v>63</v>
      </c>
      <c r="E950">
        <v>8.5</v>
      </c>
      <c r="F950">
        <v>10.0</v>
      </c>
      <c r="G950" s="2" t="s">
        <v>67</v>
      </c>
      <c r="H950" s="2">
        <v>57.0</v>
      </c>
      <c r="I950" s="2">
        <v>358.0</v>
      </c>
      <c r="J950" s="37">
        <v>1745.6200000000001</v>
      </c>
      <c r="K950" s="2">
        <v>65.0</v>
      </c>
      <c r="L950" s="2">
        <v>505.0</v>
      </c>
      <c r="M950" s="37">
        <v>2116.4</v>
      </c>
    </row>
    <row r="951" ht="14.25" customHeight="1">
      <c r="A951" t="s">
        <v>1033</v>
      </c>
      <c r="B951" t="s">
        <v>638</v>
      </c>
      <c r="C951" t="s">
        <v>62</v>
      </c>
      <c r="D951" t="s">
        <v>63</v>
      </c>
      <c r="E951">
        <v>10.0</v>
      </c>
      <c r="F951">
        <v>12.0</v>
      </c>
      <c r="G951" s="2" t="s">
        <v>67</v>
      </c>
      <c r="H951" s="2">
        <v>60.0</v>
      </c>
      <c r="I951" s="2">
        <v>477.0</v>
      </c>
      <c r="J951" s="37">
        <v>1967.7000000000003</v>
      </c>
      <c r="K951" s="2">
        <v>71.0</v>
      </c>
      <c r="L951" s="2">
        <v>670.0</v>
      </c>
      <c r="M951" s="37">
        <v>2465.66</v>
      </c>
    </row>
    <row r="952" ht="14.25" customHeight="1">
      <c r="A952" t="s">
        <v>1034</v>
      </c>
      <c r="B952" t="s">
        <v>638</v>
      </c>
      <c r="C952" t="s">
        <v>62</v>
      </c>
      <c r="D952" t="s">
        <v>63</v>
      </c>
      <c r="E952">
        <v>10.0</v>
      </c>
      <c r="F952">
        <v>12.0</v>
      </c>
      <c r="G952" s="2" t="s">
        <v>64</v>
      </c>
      <c r="H952" s="2">
        <v>0.0</v>
      </c>
      <c r="I952" s="2">
        <v>0.0</v>
      </c>
      <c r="J952" s="37">
        <v>0.0</v>
      </c>
      <c r="K952" s="2">
        <v>0.0</v>
      </c>
      <c r="L952" s="2">
        <v>0.0</v>
      </c>
      <c r="M952" s="37">
        <v>0.0</v>
      </c>
    </row>
    <row r="953" ht="14.25" customHeight="1">
      <c r="A953" t="s">
        <v>1035</v>
      </c>
      <c r="B953" t="s">
        <v>638</v>
      </c>
      <c r="C953" t="s">
        <v>62</v>
      </c>
      <c r="D953" t="s">
        <v>63</v>
      </c>
      <c r="E953">
        <v>12.5</v>
      </c>
      <c r="F953">
        <v>15.0</v>
      </c>
      <c r="G953" s="2" t="s">
        <v>67</v>
      </c>
      <c r="H953" s="2">
        <v>96.0</v>
      </c>
      <c r="I953" s="2">
        <v>440.0</v>
      </c>
      <c r="J953" s="37">
        <v>2728.16</v>
      </c>
      <c r="K953" s="2">
        <v>109.0</v>
      </c>
      <c r="L953" s="2">
        <v>682.0</v>
      </c>
      <c r="M953" s="37">
        <v>3334.74</v>
      </c>
    </row>
    <row r="954" ht="14.25" customHeight="1">
      <c r="A954" t="s">
        <v>1036</v>
      </c>
      <c r="B954" t="s">
        <v>638</v>
      </c>
      <c r="C954" t="s">
        <v>62</v>
      </c>
      <c r="D954" t="s">
        <v>63</v>
      </c>
      <c r="E954">
        <v>12.5</v>
      </c>
      <c r="F954">
        <v>15.0</v>
      </c>
      <c r="G954" s="2" t="s">
        <v>67</v>
      </c>
      <c r="H954" s="2">
        <v>94.0</v>
      </c>
      <c r="I954" s="2">
        <v>440.0</v>
      </c>
      <c r="J954" s="37">
        <v>2683.2400000000002</v>
      </c>
      <c r="K954" s="2">
        <v>107.0</v>
      </c>
      <c r="L954" s="2">
        <v>682.0</v>
      </c>
      <c r="M954" s="37">
        <v>3289.82</v>
      </c>
    </row>
    <row r="955" ht="14.25" customHeight="1">
      <c r="A955" t="s">
        <v>1037</v>
      </c>
      <c r="B955" t="s">
        <v>638</v>
      </c>
      <c r="C955" t="s">
        <v>62</v>
      </c>
      <c r="D955" t="s">
        <v>63</v>
      </c>
      <c r="E955">
        <v>14.0</v>
      </c>
      <c r="F955">
        <v>16.5</v>
      </c>
      <c r="G955" s="2" t="s">
        <v>67</v>
      </c>
      <c r="H955" s="2">
        <v>102.0</v>
      </c>
      <c r="I955" s="2">
        <v>455.0</v>
      </c>
      <c r="J955" s="37">
        <v>2882.42</v>
      </c>
      <c r="K955" s="2">
        <v>116.0</v>
      </c>
      <c r="L955" s="2">
        <v>726.0</v>
      </c>
      <c r="M955" s="37">
        <v>3549.1600000000003</v>
      </c>
    </row>
    <row r="956" ht="14.25" customHeight="1">
      <c r="A956" t="s">
        <v>1038</v>
      </c>
      <c r="B956" t="s">
        <v>638</v>
      </c>
      <c r="C956" t="s">
        <v>62</v>
      </c>
      <c r="D956" t="s">
        <v>63</v>
      </c>
      <c r="E956">
        <v>14.0</v>
      </c>
      <c r="F956">
        <v>16.5</v>
      </c>
      <c r="G956" s="2" t="s">
        <v>67</v>
      </c>
      <c r="H956" s="2">
        <v>102.0</v>
      </c>
      <c r="I956" s="2">
        <v>455.0</v>
      </c>
      <c r="J956" s="37">
        <v>2882.42</v>
      </c>
      <c r="K956" s="2">
        <v>116.0</v>
      </c>
      <c r="L956" s="2">
        <v>726.0</v>
      </c>
      <c r="M956" s="37">
        <v>3549.1600000000003</v>
      </c>
    </row>
    <row r="957" ht="14.25" customHeight="1">
      <c r="A957" t="s">
        <v>1039</v>
      </c>
      <c r="B957" t="s">
        <v>638</v>
      </c>
      <c r="C957" t="s">
        <v>75</v>
      </c>
      <c r="D957" t="s">
        <v>63</v>
      </c>
      <c r="E957">
        <v>18.0</v>
      </c>
      <c r="F957">
        <v>20.0</v>
      </c>
      <c r="G957" s="2" t="s">
        <v>64</v>
      </c>
      <c r="H957" s="2">
        <v>0.0</v>
      </c>
      <c r="I957" s="2">
        <v>0.0</v>
      </c>
      <c r="J957" s="37">
        <v>0.0</v>
      </c>
      <c r="K957" s="2">
        <v>0.0</v>
      </c>
      <c r="L957" s="2">
        <v>0.0</v>
      </c>
      <c r="M957" s="37">
        <v>0.0</v>
      </c>
    </row>
    <row r="958" ht="14.25" customHeight="1">
      <c r="A958" t="s">
        <v>1040</v>
      </c>
      <c r="B958" t="s">
        <v>638</v>
      </c>
      <c r="C958" t="s">
        <v>75</v>
      </c>
      <c r="D958" t="s">
        <v>63</v>
      </c>
      <c r="E958">
        <v>20.0</v>
      </c>
      <c r="F958">
        <v>22.4</v>
      </c>
      <c r="G958" s="2" t="s">
        <v>64</v>
      </c>
      <c r="H958" s="2">
        <v>0.0</v>
      </c>
      <c r="I958" s="2">
        <v>0.0</v>
      </c>
      <c r="J958" s="37">
        <v>0.0</v>
      </c>
      <c r="K958" s="2">
        <v>0.0</v>
      </c>
      <c r="L958" s="2">
        <v>0.0</v>
      </c>
      <c r="M958" s="37">
        <v>0.0</v>
      </c>
    </row>
    <row r="959" ht="14.25" customHeight="1">
      <c r="A959" t="s">
        <v>1041</v>
      </c>
      <c r="B959" t="s">
        <v>638</v>
      </c>
      <c r="C959" t="s">
        <v>75</v>
      </c>
      <c r="D959" t="s">
        <v>63</v>
      </c>
      <c r="E959">
        <v>24.0</v>
      </c>
      <c r="F959">
        <v>26.8</v>
      </c>
      <c r="G959" s="2" t="s">
        <v>64</v>
      </c>
      <c r="H959" s="2">
        <v>0.0</v>
      </c>
      <c r="I959" s="2">
        <v>0.0</v>
      </c>
      <c r="J959" s="37">
        <v>0.0</v>
      </c>
      <c r="K959" s="2">
        <v>0.0</v>
      </c>
      <c r="L959" s="2">
        <v>0.0</v>
      </c>
      <c r="M959" s="37">
        <v>0.0</v>
      </c>
    </row>
    <row r="960" ht="14.25" customHeight="1">
      <c r="A960" t="s">
        <v>1042</v>
      </c>
      <c r="B960" t="s">
        <v>638</v>
      </c>
      <c r="C960" t="s">
        <v>62</v>
      </c>
      <c r="D960" t="s">
        <v>63</v>
      </c>
      <c r="E960">
        <v>2.2</v>
      </c>
      <c r="F960">
        <v>2.7</v>
      </c>
      <c r="G960" s="2" t="s">
        <v>67</v>
      </c>
      <c r="H960" s="2">
        <v>14.0</v>
      </c>
      <c r="I960" s="2">
        <v>103.0</v>
      </c>
      <c r="J960" s="37">
        <v>448.34000000000003</v>
      </c>
      <c r="K960" s="2">
        <v>16.0</v>
      </c>
      <c r="L960" s="2">
        <v>137.0</v>
      </c>
      <c r="M960" s="37">
        <v>537.46</v>
      </c>
    </row>
    <row r="961" ht="14.25" customHeight="1">
      <c r="A961" t="s">
        <v>1043</v>
      </c>
      <c r="B961" t="s">
        <v>638</v>
      </c>
      <c r="C961" t="s">
        <v>62</v>
      </c>
      <c r="D961" t="s">
        <v>63</v>
      </c>
      <c r="E961">
        <v>2.5</v>
      </c>
      <c r="F961">
        <v>3.2</v>
      </c>
      <c r="G961" s="2" t="s">
        <v>67</v>
      </c>
      <c r="H961" s="2">
        <v>17.0</v>
      </c>
      <c r="I961" s="2">
        <v>122.0</v>
      </c>
      <c r="J961" s="37">
        <v>540.42</v>
      </c>
      <c r="K961" s="2">
        <v>19.0</v>
      </c>
      <c r="L961" s="2">
        <v>160.0</v>
      </c>
      <c r="M961" s="37">
        <v>634.74</v>
      </c>
    </row>
    <row r="962" ht="14.25" customHeight="1">
      <c r="A962" t="s">
        <v>1044</v>
      </c>
      <c r="B962" t="s">
        <v>638</v>
      </c>
      <c r="C962" t="s">
        <v>62</v>
      </c>
      <c r="D962" t="s">
        <v>63</v>
      </c>
      <c r="E962">
        <v>3.5</v>
      </c>
      <c r="F962">
        <v>3.7</v>
      </c>
      <c r="G962" s="2" t="s">
        <v>67</v>
      </c>
      <c r="H962" s="2">
        <v>19.0</v>
      </c>
      <c r="I962" s="2">
        <v>87.0</v>
      </c>
      <c r="J962" s="37">
        <v>539.84</v>
      </c>
      <c r="K962" s="2">
        <v>22.0</v>
      </c>
      <c r="L962" s="2">
        <v>140.0</v>
      </c>
      <c r="M962" s="37">
        <v>676.12</v>
      </c>
    </row>
    <row r="963" ht="14.25" customHeight="1">
      <c r="A963" t="s">
        <v>1045</v>
      </c>
      <c r="B963" t="s">
        <v>638</v>
      </c>
      <c r="C963" t="s">
        <v>75</v>
      </c>
      <c r="D963" t="s">
        <v>63</v>
      </c>
      <c r="E963">
        <v>7.1</v>
      </c>
      <c r="F963">
        <v>7.5</v>
      </c>
      <c r="G963" s="2" t="s">
        <v>67</v>
      </c>
      <c r="H963" s="2">
        <v>43.0</v>
      </c>
      <c r="I963" s="2">
        <v>218.0</v>
      </c>
      <c r="J963" s="37">
        <v>1249.18</v>
      </c>
      <c r="K963" s="2">
        <v>49.0</v>
      </c>
      <c r="L963" s="2">
        <v>356.0</v>
      </c>
      <c r="M963" s="37">
        <v>1563.34</v>
      </c>
    </row>
    <row r="964" ht="14.25" customHeight="1">
      <c r="A964" t="s">
        <v>1046</v>
      </c>
      <c r="B964" t="s">
        <v>638</v>
      </c>
      <c r="C964" t="s">
        <v>75</v>
      </c>
      <c r="D964" t="s">
        <v>63</v>
      </c>
      <c r="E964">
        <v>8.5</v>
      </c>
      <c r="F964">
        <v>10.0</v>
      </c>
      <c r="G964" s="2" t="s">
        <v>67</v>
      </c>
      <c r="H964" s="2">
        <v>53.0</v>
      </c>
      <c r="I964" s="2">
        <v>219.0</v>
      </c>
      <c r="J964" s="37">
        <v>1475.0800000000002</v>
      </c>
      <c r="K964" s="2">
        <v>62.0</v>
      </c>
      <c r="L964" s="2">
        <v>384.0</v>
      </c>
      <c r="M964" s="37">
        <v>1891.72</v>
      </c>
    </row>
    <row r="965" ht="14.25" customHeight="1">
      <c r="A965" t="s">
        <v>1047</v>
      </c>
      <c r="B965" t="s">
        <v>638</v>
      </c>
      <c r="C965" t="s">
        <v>75</v>
      </c>
      <c r="D965" t="s">
        <v>63</v>
      </c>
      <c r="E965">
        <v>12.5</v>
      </c>
      <c r="F965">
        <v>15.0</v>
      </c>
      <c r="G965" s="2" t="s">
        <v>64</v>
      </c>
      <c r="H965" s="2">
        <v>0.0</v>
      </c>
      <c r="I965" s="2">
        <v>0.0</v>
      </c>
      <c r="J965" s="37">
        <v>0.0</v>
      </c>
      <c r="K965" s="2">
        <v>0.0</v>
      </c>
      <c r="L965" s="2">
        <v>0.0</v>
      </c>
      <c r="M965" s="37">
        <v>0.0</v>
      </c>
    </row>
    <row r="966" ht="14.25" customHeight="1">
      <c r="A966" t="s">
        <v>1048</v>
      </c>
      <c r="B966" t="s">
        <v>638</v>
      </c>
      <c r="C966" t="s">
        <v>75</v>
      </c>
      <c r="D966" t="s">
        <v>63</v>
      </c>
      <c r="E966">
        <v>16.0</v>
      </c>
      <c r="F966">
        <v>18.0</v>
      </c>
      <c r="G966" s="2" t="s">
        <v>67</v>
      </c>
      <c r="H966" s="2">
        <v>92.0</v>
      </c>
      <c r="I966" s="2">
        <v>174.0</v>
      </c>
      <c r="J966" s="37">
        <v>2292.52</v>
      </c>
      <c r="K966" s="2">
        <v>108.0</v>
      </c>
      <c r="L966" s="2">
        <v>484.0</v>
      </c>
      <c r="M966" s="37">
        <v>3054.88</v>
      </c>
    </row>
    <row r="967" ht="14.25" customHeight="1">
      <c r="A967" t="s">
        <v>1049</v>
      </c>
      <c r="B967" t="s">
        <v>638</v>
      </c>
      <c r="C967" t="s">
        <v>75</v>
      </c>
      <c r="D967" t="s">
        <v>63</v>
      </c>
      <c r="E967">
        <v>14.0</v>
      </c>
      <c r="F967">
        <v>16.5</v>
      </c>
      <c r="G967" s="2" t="s">
        <v>67</v>
      </c>
      <c r="H967" s="2">
        <v>84.0</v>
      </c>
      <c r="I967" s="2">
        <v>328.0</v>
      </c>
      <c r="J967" s="37">
        <v>2313.04</v>
      </c>
      <c r="K967" s="2">
        <v>99.0</v>
      </c>
      <c r="L967" s="2">
        <v>599.0</v>
      </c>
      <c r="M967" s="37">
        <v>3002.24</v>
      </c>
    </row>
    <row r="968" ht="14.25" customHeight="1">
      <c r="A968" t="s">
        <v>1050</v>
      </c>
      <c r="B968" t="s">
        <v>638</v>
      </c>
      <c r="C968" t="s">
        <v>75</v>
      </c>
      <c r="D968" t="s">
        <v>82</v>
      </c>
      <c r="E968">
        <v>16.27</v>
      </c>
      <c r="F968">
        <v>15.24</v>
      </c>
      <c r="G968" s="2" t="s">
        <v>64</v>
      </c>
      <c r="H968" s="2">
        <v>0.0</v>
      </c>
      <c r="I968" s="2">
        <v>0.0</v>
      </c>
      <c r="J968" s="37">
        <v>0.0</v>
      </c>
      <c r="K968" s="2">
        <v>0.0</v>
      </c>
      <c r="L968" s="2">
        <v>0.0</v>
      </c>
      <c r="M968" s="37">
        <v>0.0</v>
      </c>
    </row>
    <row r="969" ht="14.25" customHeight="1">
      <c r="A969" t="s">
        <v>1051</v>
      </c>
      <c r="B969" t="s">
        <v>638</v>
      </c>
      <c r="C969" t="s">
        <v>75</v>
      </c>
      <c r="D969" t="s">
        <v>63</v>
      </c>
      <c r="E969">
        <v>10.0</v>
      </c>
      <c r="F969">
        <v>12.5</v>
      </c>
      <c r="G969" s="2" t="s">
        <v>67</v>
      </c>
      <c r="H969" s="2">
        <v>66.0</v>
      </c>
      <c r="I969" s="2">
        <v>345.0</v>
      </c>
      <c r="J969" s="37">
        <v>1930.8600000000001</v>
      </c>
      <c r="K969" s="2">
        <v>77.0</v>
      </c>
      <c r="L969" s="2">
        <v>539.0</v>
      </c>
      <c r="M969" s="37">
        <v>2430.12</v>
      </c>
    </row>
    <row r="970" ht="14.25" customHeight="1">
      <c r="A970" t="s">
        <v>1052</v>
      </c>
      <c r="B970" t="s">
        <v>638</v>
      </c>
      <c r="C970" t="s">
        <v>75</v>
      </c>
      <c r="D970" t="s">
        <v>82</v>
      </c>
      <c r="E970">
        <v>26.54</v>
      </c>
      <c r="F970">
        <v>25.68</v>
      </c>
      <c r="G970" s="2" t="s">
        <v>64</v>
      </c>
      <c r="H970" s="2">
        <v>0.0</v>
      </c>
      <c r="I970" s="2">
        <v>0.0</v>
      </c>
      <c r="J970" s="37">
        <v>0.0</v>
      </c>
      <c r="K970" s="2">
        <v>0.0</v>
      </c>
      <c r="L970" s="2">
        <v>0.0</v>
      </c>
      <c r="M970" s="37">
        <v>0.0</v>
      </c>
    </row>
    <row r="971" ht="14.25" customHeight="1">
      <c r="A971" t="s">
        <v>1053</v>
      </c>
      <c r="B971" t="s">
        <v>638</v>
      </c>
      <c r="C971" t="s">
        <v>75</v>
      </c>
      <c r="D971" t="s">
        <v>82</v>
      </c>
      <c r="E971">
        <v>29.64</v>
      </c>
      <c r="F971">
        <v>28.55</v>
      </c>
      <c r="G971" s="2" t="s">
        <v>64</v>
      </c>
      <c r="H971" s="2">
        <v>0.0</v>
      </c>
      <c r="I971" s="2">
        <v>0.0</v>
      </c>
      <c r="J971" s="37">
        <v>0.0</v>
      </c>
      <c r="K971" s="2">
        <v>0.0</v>
      </c>
      <c r="L971" s="2">
        <v>0.0</v>
      </c>
      <c r="M971" s="37">
        <v>0.0</v>
      </c>
    </row>
    <row r="972" ht="14.25" customHeight="1">
      <c r="A972" t="s">
        <v>1054</v>
      </c>
      <c r="B972" t="s">
        <v>638</v>
      </c>
      <c r="C972" t="s">
        <v>75</v>
      </c>
      <c r="D972" t="s">
        <v>82</v>
      </c>
      <c r="E972">
        <v>42.81</v>
      </c>
      <c r="F972">
        <v>43.1</v>
      </c>
      <c r="G972" s="2" t="s">
        <v>64</v>
      </c>
      <c r="H972" s="2">
        <v>0.0</v>
      </c>
      <c r="I972" s="2">
        <v>0.0</v>
      </c>
      <c r="J972" s="37">
        <v>0.0</v>
      </c>
      <c r="K972" s="2">
        <v>0.0</v>
      </c>
      <c r="L972" s="2">
        <v>0.0</v>
      </c>
      <c r="M972" s="37">
        <v>0.0</v>
      </c>
    </row>
    <row r="973" ht="14.25" customHeight="1">
      <c r="A973" t="s">
        <v>1055</v>
      </c>
      <c r="B973" t="s">
        <v>638</v>
      </c>
      <c r="C973" t="s">
        <v>75</v>
      </c>
      <c r="D973" t="s">
        <v>82</v>
      </c>
      <c r="E973">
        <v>53.11</v>
      </c>
      <c r="F973">
        <v>56.1</v>
      </c>
      <c r="G973" s="2" t="s">
        <v>64</v>
      </c>
      <c r="H973" s="2">
        <v>0.0</v>
      </c>
      <c r="I973" s="2">
        <v>0.0</v>
      </c>
      <c r="J973" s="37">
        <v>0.0</v>
      </c>
      <c r="K973" s="2">
        <v>0.0</v>
      </c>
      <c r="L973" s="2">
        <v>0.0</v>
      </c>
      <c r="M973" s="37">
        <v>0.0</v>
      </c>
    </row>
    <row r="974" ht="14.25" customHeight="1">
      <c r="A974" t="s">
        <v>1056</v>
      </c>
      <c r="B974" t="s">
        <v>638</v>
      </c>
      <c r="C974" t="s">
        <v>75</v>
      </c>
      <c r="D974" t="s">
        <v>82</v>
      </c>
      <c r="E974">
        <v>63.69</v>
      </c>
      <c r="F974">
        <v>63.95</v>
      </c>
      <c r="G974" s="2" t="s">
        <v>64</v>
      </c>
      <c r="H974" s="2">
        <v>0.0</v>
      </c>
      <c r="I974" s="2">
        <v>0.0</v>
      </c>
      <c r="J974" s="37">
        <v>0.0</v>
      </c>
      <c r="K974" s="2">
        <v>0.0</v>
      </c>
      <c r="L974" s="2">
        <v>0.0</v>
      </c>
      <c r="M974" s="37">
        <v>0.0</v>
      </c>
    </row>
    <row r="975" ht="14.25" customHeight="1">
      <c r="A975" t="s">
        <v>1057</v>
      </c>
      <c r="B975" t="s">
        <v>638</v>
      </c>
      <c r="C975" t="s">
        <v>75</v>
      </c>
      <c r="D975" t="s">
        <v>63</v>
      </c>
      <c r="E975">
        <v>7.1</v>
      </c>
      <c r="F975">
        <v>7.5</v>
      </c>
      <c r="G975" s="2" t="s">
        <v>67</v>
      </c>
      <c r="H975" s="2">
        <v>43.0</v>
      </c>
      <c r="I975" s="2">
        <v>218.0</v>
      </c>
      <c r="J975" s="37">
        <v>1249.18</v>
      </c>
      <c r="K975" s="2">
        <v>49.0</v>
      </c>
      <c r="L975" s="2">
        <v>356.0</v>
      </c>
      <c r="M975" s="37">
        <v>1563.34</v>
      </c>
    </row>
    <row r="976" ht="14.25" customHeight="1">
      <c r="A976" t="s">
        <v>1058</v>
      </c>
      <c r="B976" t="s">
        <v>638</v>
      </c>
      <c r="C976" t="s">
        <v>75</v>
      </c>
      <c r="D976" t="s">
        <v>63</v>
      </c>
      <c r="E976">
        <v>12.5</v>
      </c>
      <c r="F976">
        <v>15.0</v>
      </c>
      <c r="G976" s="2" t="s">
        <v>64</v>
      </c>
      <c r="H976" s="2">
        <v>0.0</v>
      </c>
      <c r="I976" s="2">
        <v>0.0</v>
      </c>
      <c r="J976" s="37">
        <v>0.0</v>
      </c>
      <c r="K976" s="2">
        <v>0.0</v>
      </c>
      <c r="L976" s="2">
        <v>0.0</v>
      </c>
      <c r="M976" s="37">
        <v>0.0</v>
      </c>
    </row>
    <row r="977" ht="14.25" customHeight="1">
      <c r="A977" t="s">
        <v>1059</v>
      </c>
      <c r="B977" t="s">
        <v>638</v>
      </c>
      <c r="C977" t="s">
        <v>75</v>
      </c>
      <c r="D977" t="s">
        <v>63</v>
      </c>
      <c r="E977">
        <v>16.0</v>
      </c>
      <c r="F977">
        <v>18.0</v>
      </c>
      <c r="G977" s="2" t="s">
        <v>67</v>
      </c>
      <c r="H977" s="2">
        <v>92.0</v>
      </c>
      <c r="I977" s="2">
        <v>174.0</v>
      </c>
      <c r="J977" s="37">
        <v>2292.52</v>
      </c>
      <c r="K977" s="2">
        <v>108.0</v>
      </c>
      <c r="L977" s="2">
        <v>484.0</v>
      </c>
      <c r="M977" s="37">
        <v>3054.88</v>
      </c>
    </row>
    <row r="978" ht="14.25" customHeight="1">
      <c r="A978" t="s">
        <v>1060</v>
      </c>
      <c r="B978" t="s">
        <v>638</v>
      </c>
      <c r="C978" t="s">
        <v>75</v>
      </c>
      <c r="D978" t="s">
        <v>63</v>
      </c>
      <c r="E978">
        <v>12.5</v>
      </c>
      <c r="F978">
        <v>15.0</v>
      </c>
      <c r="G978" s="2" t="s">
        <v>64</v>
      </c>
      <c r="H978" s="2">
        <v>0.0</v>
      </c>
      <c r="I978" s="2">
        <v>0.0</v>
      </c>
      <c r="J978" s="37">
        <v>0.0</v>
      </c>
      <c r="K978" s="2">
        <v>0.0</v>
      </c>
      <c r="L978" s="2">
        <v>0.0</v>
      </c>
      <c r="M978" s="37">
        <v>0.0</v>
      </c>
    </row>
    <row r="979" ht="14.25" customHeight="1">
      <c r="A979" t="s">
        <v>1061</v>
      </c>
      <c r="B979" t="s">
        <v>638</v>
      </c>
      <c r="C979" t="s">
        <v>75</v>
      </c>
      <c r="D979" t="s">
        <v>63</v>
      </c>
      <c r="E979">
        <v>12.5</v>
      </c>
      <c r="F979">
        <v>15.0</v>
      </c>
      <c r="G979" s="2" t="s">
        <v>64</v>
      </c>
      <c r="H979" s="2">
        <v>0.0</v>
      </c>
      <c r="I979" s="2">
        <v>0.0</v>
      </c>
      <c r="J979" s="37">
        <v>0.0</v>
      </c>
      <c r="K979" s="2">
        <v>0.0</v>
      </c>
      <c r="L979" s="2">
        <v>0.0</v>
      </c>
      <c r="M979" s="37">
        <v>0.0</v>
      </c>
    </row>
    <row r="980" ht="14.25" customHeight="1">
      <c r="A980" t="s">
        <v>1062</v>
      </c>
      <c r="B980" t="s">
        <v>638</v>
      </c>
      <c r="C980" t="s">
        <v>75</v>
      </c>
      <c r="D980" t="s">
        <v>82</v>
      </c>
      <c r="E980">
        <v>34.4244</v>
      </c>
      <c r="F980">
        <v>35.78</v>
      </c>
      <c r="G980" s="2" t="s">
        <v>64</v>
      </c>
      <c r="H980" s="2">
        <v>0.0</v>
      </c>
      <c r="I980" s="2">
        <v>0.0</v>
      </c>
      <c r="J980" s="37">
        <v>0.0</v>
      </c>
      <c r="K980" s="2">
        <v>0.0</v>
      </c>
      <c r="L980" s="2">
        <v>0.0</v>
      </c>
      <c r="M980" s="37">
        <v>0.0</v>
      </c>
    </row>
    <row r="981" ht="14.25" customHeight="1">
      <c r="A981" t="s">
        <v>1063</v>
      </c>
      <c r="B981" t="s">
        <v>638</v>
      </c>
      <c r="C981" t="s">
        <v>62</v>
      </c>
      <c r="D981" t="s">
        <v>63</v>
      </c>
      <c r="E981">
        <v>4.5</v>
      </c>
      <c r="F981">
        <v>5.4</v>
      </c>
      <c r="G981" s="2" t="s">
        <v>64</v>
      </c>
      <c r="H981" s="2">
        <v>0.0</v>
      </c>
      <c r="I981" s="2">
        <v>0.0</v>
      </c>
      <c r="J981" s="37">
        <v>0.0</v>
      </c>
      <c r="K981" s="2">
        <v>0.0</v>
      </c>
      <c r="L981" s="2">
        <v>0.0</v>
      </c>
      <c r="M981" s="37">
        <v>0.0</v>
      </c>
    </row>
    <row r="982" ht="14.25" customHeight="1">
      <c r="A982" t="s">
        <v>1064</v>
      </c>
      <c r="B982" t="s">
        <v>638</v>
      </c>
      <c r="C982" t="s">
        <v>75</v>
      </c>
      <c r="D982" t="s">
        <v>63</v>
      </c>
      <c r="E982">
        <v>7.1</v>
      </c>
      <c r="F982">
        <v>7.5</v>
      </c>
      <c r="G982" s="2" t="s">
        <v>67</v>
      </c>
      <c r="H982" s="2">
        <v>39.0</v>
      </c>
      <c r="I982" s="2">
        <v>218.0</v>
      </c>
      <c r="J982" s="37">
        <v>1159.3400000000001</v>
      </c>
      <c r="K982" s="2">
        <v>46.0</v>
      </c>
      <c r="L982" s="2">
        <v>356.0</v>
      </c>
      <c r="M982" s="37">
        <v>1495.96</v>
      </c>
    </row>
    <row r="983" ht="14.25" customHeight="1">
      <c r="A983" t="s">
        <v>1065</v>
      </c>
      <c r="B983" t="s">
        <v>638</v>
      </c>
      <c r="C983" t="s">
        <v>75</v>
      </c>
      <c r="D983" t="s">
        <v>63</v>
      </c>
      <c r="E983">
        <v>7.1</v>
      </c>
      <c r="F983">
        <v>7.5</v>
      </c>
      <c r="G983" s="2" t="s">
        <v>67</v>
      </c>
      <c r="H983" s="2">
        <v>39.0</v>
      </c>
      <c r="I983" s="2">
        <v>218.0</v>
      </c>
      <c r="J983" s="37">
        <v>1159.3400000000001</v>
      </c>
      <c r="K983" s="2">
        <v>46.0</v>
      </c>
      <c r="L983" s="2">
        <v>356.0</v>
      </c>
      <c r="M983" s="37">
        <v>1495.96</v>
      </c>
    </row>
    <row r="984" ht="14.25" customHeight="1">
      <c r="A984" t="s">
        <v>1066</v>
      </c>
      <c r="B984" t="s">
        <v>638</v>
      </c>
      <c r="C984" t="s">
        <v>75</v>
      </c>
      <c r="D984" t="s">
        <v>63</v>
      </c>
      <c r="E984">
        <v>16.0</v>
      </c>
      <c r="F984">
        <v>18.0</v>
      </c>
      <c r="G984" s="2" t="s">
        <v>67</v>
      </c>
      <c r="H984" s="2">
        <v>86.0</v>
      </c>
      <c r="I984" s="2">
        <v>174.0</v>
      </c>
      <c r="J984" s="37">
        <v>2157.76</v>
      </c>
      <c r="K984" s="2">
        <v>102.0</v>
      </c>
      <c r="L984" s="2">
        <v>484.0</v>
      </c>
      <c r="M984" s="37">
        <v>2920.12</v>
      </c>
    </row>
    <row r="985" ht="14.25" customHeight="1">
      <c r="A985" t="s">
        <v>1067</v>
      </c>
      <c r="B985" t="s">
        <v>638</v>
      </c>
      <c r="C985" t="s">
        <v>75</v>
      </c>
      <c r="D985" t="s">
        <v>63</v>
      </c>
      <c r="E985">
        <v>16.0</v>
      </c>
      <c r="F985">
        <v>18.0</v>
      </c>
      <c r="G985" s="2" t="s">
        <v>67</v>
      </c>
      <c r="H985" s="2">
        <v>86.0</v>
      </c>
      <c r="I985" s="2">
        <v>174.0</v>
      </c>
      <c r="J985" s="37">
        <v>2157.76</v>
      </c>
      <c r="K985" s="2">
        <v>102.0</v>
      </c>
      <c r="L985" s="2">
        <v>484.0</v>
      </c>
      <c r="M985" s="37">
        <v>2920.12</v>
      </c>
    </row>
    <row r="986" ht="14.25" customHeight="1">
      <c r="A986" t="s">
        <v>1068</v>
      </c>
      <c r="B986" t="s">
        <v>638</v>
      </c>
      <c r="C986" t="s">
        <v>62</v>
      </c>
      <c r="D986" t="s">
        <v>63</v>
      </c>
      <c r="E986">
        <v>5.0</v>
      </c>
      <c r="F986">
        <v>6.0</v>
      </c>
      <c r="G986" s="2" t="s">
        <v>67</v>
      </c>
      <c r="H986" s="2">
        <v>34.0</v>
      </c>
      <c r="I986" s="2">
        <v>209.0</v>
      </c>
      <c r="J986" s="37">
        <v>1035.34</v>
      </c>
      <c r="K986" s="2">
        <v>39.0</v>
      </c>
      <c r="L986" s="2">
        <v>295.0</v>
      </c>
      <c r="M986" s="37">
        <v>1259.44</v>
      </c>
    </row>
    <row r="987" ht="14.25" customHeight="1">
      <c r="A987" t="s">
        <v>1069</v>
      </c>
      <c r="B987" t="s">
        <v>638</v>
      </c>
      <c r="C987" t="s">
        <v>62</v>
      </c>
      <c r="D987" t="s">
        <v>63</v>
      </c>
      <c r="E987">
        <v>6.0</v>
      </c>
      <c r="F987">
        <v>7.0</v>
      </c>
      <c r="G987" s="2" t="s">
        <v>67</v>
      </c>
      <c r="H987" s="2">
        <v>36.0</v>
      </c>
      <c r="I987" s="2">
        <v>114.0</v>
      </c>
      <c r="J987" s="37">
        <v>956.7600000000001</v>
      </c>
      <c r="K987" s="2">
        <v>42.0</v>
      </c>
      <c r="L987" s="2">
        <v>217.0</v>
      </c>
      <c r="M987" s="37">
        <v>1225.42</v>
      </c>
    </row>
    <row r="988" ht="14.25" customHeight="1">
      <c r="A988" t="s">
        <v>1070</v>
      </c>
      <c r="B988" t="s">
        <v>638</v>
      </c>
      <c r="C988" t="s">
        <v>62</v>
      </c>
      <c r="D988" t="s">
        <v>63</v>
      </c>
      <c r="E988">
        <v>6.7</v>
      </c>
      <c r="F988">
        <v>8.0</v>
      </c>
      <c r="G988" s="2" t="s">
        <v>67</v>
      </c>
      <c r="H988" s="2">
        <v>40.0</v>
      </c>
      <c r="I988" s="2">
        <v>62.0</v>
      </c>
      <c r="J988" s="37">
        <v>979.0000000000001</v>
      </c>
      <c r="K988" s="2">
        <v>46.0</v>
      </c>
      <c r="L988" s="2">
        <v>177.0</v>
      </c>
      <c r="M988" s="37">
        <v>1263.26</v>
      </c>
    </row>
    <row r="989" ht="14.25" customHeight="1">
      <c r="A989" t="s">
        <v>1071</v>
      </c>
      <c r="B989" t="s">
        <v>638</v>
      </c>
      <c r="C989" t="s">
        <v>62</v>
      </c>
      <c r="D989" t="s">
        <v>63</v>
      </c>
      <c r="E989">
        <v>2.5</v>
      </c>
      <c r="F989">
        <v>3.5</v>
      </c>
      <c r="G989" s="2" t="s">
        <v>64</v>
      </c>
      <c r="H989" s="2">
        <v>0.0</v>
      </c>
      <c r="I989" s="2">
        <v>0.0</v>
      </c>
      <c r="J989" s="37">
        <v>0.0</v>
      </c>
      <c r="K989" s="2">
        <v>0.0</v>
      </c>
      <c r="L989" s="2">
        <v>0.0</v>
      </c>
      <c r="M989" s="37">
        <v>0.0</v>
      </c>
    </row>
    <row r="990" ht="14.25" customHeight="1">
      <c r="A990" t="s">
        <v>1072</v>
      </c>
      <c r="B990" t="s">
        <v>638</v>
      </c>
      <c r="C990" t="s">
        <v>62</v>
      </c>
      <c r="D990" t="s">
        <v>63</v>
      </c>
      <c r="E990">
        <v>3.5</v>
      </c>
      <c r="F990">
        <v>4.5</v>
      </c>
      <c r="G990" s="2" t="s">
        <v>64</v>
      </c>
      <c r="H990" s="2">
        <v>0.0</v>
      </c>
      <c r="I990" s="2">
        <v>0.0</v>
      </c>
      <c r="J990" s="37">
        <v>0.0</v>
      </c>
      <c r="K990" s="2">
        <v>0.0</v>
      </c>
      <c r="L990" s="2">
        <v>0.0</v>
      </c>
      <c r="M990" s="37">
        <v>0.0</v>
      </c>
    </row>
    <row r="991" ht="14.25" customHeight="1">
      <c r="A991" t="s">
        <v>1073</v>
      </c>
      <c r="B991" t="s">
        <v>638</v>
      </c>
      <c r="C991" t="s">
        <v>75</v>
      </c>
      <c r="D991" t="s">
        <v>63</v>
      </c>
      <c r="E991">
        <v>12.5</v>
      </c>
      <c r="F991">
        <v>15.0</v>
      </c>
      <c r="G991" s="2" t="s">
        <v>64</v>
      </c>
      <c r="H991" s="2">
        <v>0.0</v>
      </c>
      <c r="I991" s="2">
        <v>0.0</v>
      </c>
      <c r="J991" s="37">
        <v>0.0</v>
      </c>
      <c r="K991" s="2">
        <v>0.0</v>
      </c>
      <c r="L991" s="2">
        <v>0.0</v>
      </c>
      <c r="M991" s="37">
        <v>0.0</v>
      </c>
    </row>
    <row r="992" ht="14.25" customHeight="1">
      <c r="A992" t="s">
        <v>1074</v>
      </c>
      <c r="B992" t="s">
        <v>638</v>
      </c>
      <c r="C992" t="s">
        <v>75</v>
      </c>
      <c r="D992" t="s">
        <v>63</v>
      </c>
      <c r="E992">
        <v>12.5</v>
      </c>
      <c r="F992">
        <v>15.0</v>
      </c>
      <c r="G992" s="2" t="s">
        <v>64</v>
      </c>
      <c r="H992" s="2">
        <v>0.0</v>
      </c>
      <c r="I992" s="2">
        <v>0.0</v>
      </c>
      <c r="J992" s="37">
        <v>0.0</v>
      </c>
      <c r="K992" s="2">
        <v>0.0</v>
      </c>
      <c r="L992" s="2">
        <v>0.0</v>
      </c>
      <c r="M992" s="37">
        <v>0.0</v>
      </c>
    </row>
    <row r="993" ht="14.25" customHeight="1">
      <c r="A993" t="s">
        <v>1075</v>
      </c>
      <c r="B993" t="s">
        <v>638</v>
      </c>
      <c r="C993" t="s">
        <v>62</v>
      </c>
      <c r="D993" t="s">
        <v>63</v>
      </c>
      <c r="E993">
        <v>11.2</v>
      </c>
      <c r="F993">
        <v>12.5</v>
      </c>
      <c r="G993" s="2" t="s">
        <v>64</v>
      </c>
      <c r="H993" s="2">
        <v>0.0</v>
      </c>
      <c r="I993" s="2">
        <v>0.0</v>
      </c>
      <c r="J993" s="37">
        <v>0.0</v>
      </c>
      <c r="K993" s="2">
        <v>0.0</v>
      </c>
      <c r="L993" s="2">
        <v>0.0</v>
      </c>
      <c r="M993" s="37">
        <v>0.0</v>
      </c>
    </row>
    <row r="994" ht="14.25" customHeight="1">
      <c r="A994" t="s">
        <v>1076</v>
      </c>
      <c r="B994" t="s">
        <v>638</v>
      </c>
      <c r="C994" t="s">
        <v>62</v>
      </c>
      <c r="D994" t="s">
        <v>63</v>
      </c>
      <c r="E994">
        <v>14.0</v>
      </c>
      <c r="F994">
        <v>16.0</v>
      </c>
      <c r="G994" s="2" t="s">
        <v>64</v>
      </c>
      <c r="H994" s="2">
        <v>0.0</v>
      </c>
      <c r="I994" s="2">
        <v>0.0</v>
      </c>
      <c r="J994" s="37">
        <v>0.0</v>
      </c>
      <c r="K994" s="2">
        <v>0.0</v>
      </c>
      <c r="L994" s="2">
        <v>0.0</v>
      </c>
      <c r="M994" s="37">
        <v>0.0</v>
      </c>
    </row>
    <row r="995" ht="14.25" customHeight="1">
      <c r="A995" t="s">
        <v>1077</v>
      </c>
      <c r="B995" t="s">
        <v>638</v>
      </c>
      <c r="C995" t="s">
        <v>62</v>
      </c>
      <c r="D995" t="s">
        <v>63</v>
      </c>
      <c r="E995">
        <v>8.0</v>
      </c>
      <c r="F995">
        <v>9.0</v>
      </c>
      <c r="G995" s="2" t="s">
        <v>64</v>
      </c>
      <c r="H995" s="2">
        <v>0.0</v>
      </c>
      <c r="I995" s="2">
        <v>0.0</v>
      </c>
      <c r="J995" s="37">
        <v>0.0</v>
      </c>
      <c r="K995" s="2">
        <v>0.0</v>
      </c>
      <c r="L995" s="2">
        <v>0.0</v>
      </c>
      <c r="M995" s="37">
        <v>0.0</v>
      </c>
    </row>
    <row r="996" ht="14.25" customHeight="1">
      <c r="A996" t="s">
        <v>1078</v>
      </c>
      <c r="B996" t="s">
        <v>638</v>
      </c>
      <c r="C996" t="s">
        <v>62</v>
      </c>
      <c r="D996" t="s">
        <v>63</v>
      </c>
      <c r="E996">
        <v>5.0</v>
      </c>
      <c r="F996">
        <v>6.0</v>
      </c>
      <c r="G996" s="2" t="s">
        <v>64</v>
      </c>
      <c r="H996" s="2">
        <v>0.0</v>
      </c>
      <c r="I996" s="2">
        <v>0.0</v>
      </c>
      <c r="J996" s="37">
        <v>0.0</v>
      </c>
      <c r="K996" s="2">
        <v>0.0</v>
      </c>
      <c r="L996" s="2">
        <v>0.0</v>
      </c>
      <c r="M996" s="37">
        <v>0.0</v>
      </c>
    </row>
    <row r="997" ht="14.25" customHeight="1">
      <c r="A997" t="s">
        <v>1079</v>
      </c>
      <c r="B997" t="s">
        <v>638</v>
      </c>
      <c r="C997" t="s">
        <v>62</v>
      </c>
      <c r="D997" t="s">
        <v>63</v>
      </c>
      <c r="E997">
        <v>6.0</v>
      </c>
      <c r="F997">
        <v>7.1</v>
      </c>
      <c r="G997" s="2" t="s">
        <v>67</v>
      </c>
      <c r="H997" s="2">
        <v>42.0</v>
      </c>
      <c r="I997" s="2">
        <v>242.0</v>
      </c>
      <c r="J997" s="37">
        <v>1257.92</v>
      </c>
      <c r="K997" s="2">
        <v>48.0</v>
      </c>
      <c r="L997" s="2">
        <v>346.0</v>
      </c>
      <c r="M997" s="37">
        <v>1527.8799999999999</v>
      </c>
    </row>
    <row r="998" ht="14.25" customHeight="1">
      <c r="A998" t="s">
        <v>1080</v>
      </c>
      <c r="B998" t="s">
        <v>638</v>
      </c>
      <c r="C998" t="s">
        <v>75</v>
      </c>
      <c r="D998" t="s">
        <v>63</v>
      </c>
      <c r="E998">
        <v>5.0</v>
      </c>
      <c r="F998">
        <v>6.0</v>
      </c>
      <c r="G998" s="2" t="s">
        <v>64</v>
      </c>
      <c r="H998" s="2">
        <v>0.0</v>
      </c>
      <c r="I998" s="2">
        <v>0.0</v>
      </c>
      <c r="J998" s="37">
        <v>0.0</v>
      </c>
      <c r="K998" s="2">
        <v>0.0</v>
      </c>
      <c r="L998" s="2">
        <v>0.0</v>
      </c>
      <c r="M998" s="37">
        <v>0.0</v>
      </c>
    </row>
    <row r="999" ht="14.25" customHeight="1">
      <c r="A999" t="s">
        <v>1081</v>
      </c>
      <c r="B999" t="s">
        <v>638</v>
      </c>
      <c r="C999" t="s">
        <v>75</v>
      </c>
      <c r="D999" t="s">
        <v>63</v>
      </c>
      <c r="E999">
        <v>6.0</v>
      </c>
      <c r="F999">
        <v>7.1</v>
      </c>
      <c r="G999" s="2" t="s">
        <v>64</v>
      </c>
      <c r="H999" s="2">
        <v>0.0</v>
      </c>
      <c r="I999" s="2">
        <v>0.0</v>
      </c>
      <c r="J999" s="37">
        <v>0.0</v>
      </c>
      <c r="K999" s="2">
        <v>0.0</v>
      </c>
      <c r="L999" s="2">
        <v>0.0</v>
      </c>
      <c r="M999" s="37">
        <v>0.0</v>
      </c>
    </row>
    <row r="1000" ht="14.25" customHeight="1">
      <c r="A1000" t="s">
        <v>1082</v>
      </c>
      <c r="B1000" t="s">
        <v>638</v>
      </c>
      <c r="C1000" t="s">
        <v>62</v>
      </c>
      <c r="D1000" t="s">
        <v>63</v>
      </c>
      <c r="E1000">
        <v>5.0</v>
      </c>
      <c r="F1000">
        <v>6.0</v>
      </c>
      <c r="G1000" s="2" t="s">
        <v>64</v>
      </c>
      <c r="H1000" s="2">
        <v>0.0</v>
      </c>
      <c r="I1000" s="2">
        <v>0.0</v>
      </c>
      <c r="J1000" s="37">
        <v>0.0</v>
      </c>
      <c r="K1000" s="2">
        <v>0.0</v>
      </c>
      <c r="L1000" s="2">
        <v>0.0</v>
      </c>
      <c r="M1000" s="37">
        <v>0.0</v>
      </c>
    </row>
    <row r="1001" ht="14.25" customHeight="1">
      <c r="A1001" t="s">
        <v>1083</v>
      </c>
      <c r="B1001" t="s">
        <v>638</v>
      </c>
      <c r="C1001" t="s">
        <v>62</v>
      </c>
      <c r="D1001" t="s">
        <v>63</v>
      </c>
      <c r="E1001">
        <v>6.0</v>
      </c>
      <c r="F1001">
        <v>7.1</v>
      </c>
      <c r="G1001" s="2" t="s">
        <v>64</v>
      </c>
      <c r="H1001" s="2">
        <v>0.0</v>
      </c>
      <c r="I1001" s="2">
        <v>0.0</v>
      </c>
      <c r="J1001" s="37">
        <v>0.0</v>
      </c>
      <c r="K1001" s="2">
        <v>0.0</v>
      </c>
      <c r="L1001" s="2">
        <v>0.0</v>
      </c>
      <c r="M1001" s="37">
        <v>0.0</v>
      </c>
    </row>
    <row r="1002" ht="14.25" customHeight="1">
      <c r="A1002" t="s">
        <v>1084</v>
      </c>
      <c r="B1002" t="s">
        <v>638</v>
      </c>
      <c r="C1002" t="s">
        <v>62</v>
      </c>
      <c r="D1002" t="s">
        <v>63</v>
      </c>
      <c r="E1002">
        <v>5.0</v>
      </c>
      <c r="F1002">
        <v>6.0</v>
      </c>
      <c r="G1002" s="2" t="s">
        <v>64</v>
      </c>
      <c r="H1002" s="2">
        <v>0.0</v>
      </c>
      <c r="I1002" s="2">
        <v>0.0</v>
      </c>
      <c r="J1002" s="37">
        <v>0.0</v>
      </c>
      <c r="K1002" s="2">
        <v>0.0</v>
      </c>
      <c r="L1002" s="2">
        <v>0.0</v>
      </c>
      <c r="M1002" s="37">
        <v>0.0</v>
      </c>
    </row>
    <row r="1003" ht="14.25" customHeight="1">
      <c r="A1003" t="s">
        <v>1085</v>
      </c>
      <c r="B1003" t="s">
        <v>638</v>
      </c>
      <c r="C1003" t="s">
        <v>62</v>
      </c>
      <c r="D1003" t="s">
        <v>63</v>
      </c>
      <c r="E1003">
        <v>6.0</v>
      </c>
      <c r="F1003">
        <v>7.1</v>
      </c>
      <c r="G1003" s="2" t="s">
        <v>64</v>
      </c>
      <c r="H1003" s="2">
        <v>0.0</v>
      </c>
      <c r="I1003" s="2">
        <v>0.0</v>
      </c>
      <c r="J1003" s="37">
        <v>0.0</v>
      </c>
      <c r="K1003" s="2">
        <v>0.0</v>
      </c>
      <c r="L1003" s="2">
        <v>0.0</v>
      </c>
      <c r="M1003" s="37">
        <v>0.0</v>
      </c>
    </row>
    <row r="1004" ht="14.25" customHeight="1">
      <c r="A1004" t="s">
        <v>1086</v>
      </c>
      <c r="B1004" t="s">
        <v>638</v>
      </c>
      <c r="C1004" t="s">
        <v>75</v>
      </c>
      <c r="D1004" t="s">
        <v>63</v>
      </c>
      <c r="E1004">
        <v>5.0</v>
      </c>
      <c r="F1004">
        <v>6.0</v>
      </c>
      <c r="G1004" s="2" t="s">
        <v>64</v>
      </c>
      <c r="H1004" s="2">
        <v>0.0</v>
      </c>
      <c r="I1004" s="2">
        <v>0.0</v>
      </c>
      <c r="J1004" s="37">
        <v>0.0</v>
      </c>
      <c r="K1004" s="2">
        <v>0.0</v>
      </c>
      <c r="L1004" s="2">
        <v>0.0</v>
      </c>
      <c r="M1004" s="37">
        <v>0.0</v>
      </c>
    </row>
    <row r="1005" ht="14.25" customHeight="1">
      <c r="A1005" t="s">
        <v>1087</v>
      </c>
      <c r="B1005" t="s">
        <v>638</v>
      </c>
      <c r="C1005" t="s">
        <v>75</v>
      </c>
      <c r="D1005" t="s">
        <v>63</v>
      </c>
      <c r="E1005">
        <v>6.0</v>
      </c>
      <c r="F1005">
        <v>7.0</v>
      </c>
      <c r="G1005" s="2" t="s">
        <v>64</v>
      </c>
      <c r="H1005" s="2">
        <v>0.0</v>
      </c>
      <c r="I1005" s="2">
        <v>0.0</v>
      </c>
      <c r="J1005" s="37">
        <v>0.0</v>
      </c>
      <c r="K1005" s="2">
        <v>0.0</v>
      </c>
      <c r="L1005" s="2">
        <v>0.0</v>
      </c>
      <c r="M1005" s="37">
        <v>0.0</v>
      </c>
    </row>
    <row r="1006" ht="14.25" customHeight="1">
      <c r="A1006" t="s">
        <v>1088</v>
      </c>
      <c r="B1006" t="s">
        <v>638</v>
      </c>
      <c r="C1006" t="s">
        <v>75</v>
      </c>
      <c r="D1006" t="s">
        <v>63</v>
      </c>
      <c r="E1006">
        <v>7.1</v>
      </c>
      <c r="F1006">
        <v>7.5</v>
      </c>
      <c r="G1006" s="2" t="s">
        <v>64</v>
      </c>
      <c r="H1006" s="2">
        <v>0.0</v>
      </c>
      <c r="I1006" s="2">
        <v>0.0</v>
      </c>
      <c r="J1006" s="37">
        <v>0.0</v>
      </c>
      <c r="K1006" s="2">
        <v>0.0</v>
      </c>
      <c r="L1006" s="2">
        <v>0.0</v>
      </c>
      <c r="M1006" s="37">
        <v>0.0</v>
      </c>
    </row>
    <row r="1007" ht="14.25" customHeight="1">
      <c r="A1007" t="s">
        <v>1089</v>
      </c>
      <c r="B1007" t="s">
        <v>638</v>
      </c>
      <c r="C1007" t="s">
        <v>75</v>
      </c>
      <c r="D1007" t="s">
        <v>63</v>
      </c>
      <c r="E1007">
        <v>5.0</v>
      </c>
      <c r="F1007">
        <v>6.0</v>
      </c>
      <c r="G1007" s="2" t="s">
        <v>67</v>
      </c>
      <c r="H1007" s="2">
        <v>31.0</v>
      </c>
      <c r="I1007" s="2">
        <v>136.0</v>
      </c>
      <c r="J1007" s="37">
        <v>873.06</v>
      </c>
      <c r="K1007" s="2">
        <v>37.0</v>
      </c>
      <c r="L1007" s="2">
        <v>233.0</v>
      </c>
      <c r="M1007" s="37">
        <v>1133.92</v>
      </c>
    </row>
    <row r="1008" ht="14.25" customHeight="1">
      <c r="A1008" t="s">
        <v>1090</v>
      </c>
      <c r="B1008" t="s">
        <v>638</v>
      </c>
      <c r="C1008" t="s">
        <v>75</v>
      </c>
      <c r="D1008" t="s">
        <v>63</v>
      </c>
      <c r="E1008">
        <v>6.0</v>
      </c>
      <c r="F1008">
        <v>7.0</v>
      </c>
      <c r="G1008" s="2" t="s">
        <v>67</v>
      </c>
      <c r="H1008" s="2">
        <v>40.0</v>
      </c>
      <c r="I1008" s="2">
        <v>132.0</v>
      </c>
      <c r="J1008" s="37">
        <v>1070.0</v>
      </c>
      <c r="K1008" s="2">
        <v>46.0</v>
      </c>
      <c r="L1008" s="2">
        <v>248.0</v>
      </c>
      <c r="M1008" s="37">
        <v>1355.5600000000002</v>
      </c>
    </row>
    <row r="1009" ht="14.25" customHeight="1">
      <c r="A1009" t="s">
        <v>1091</v>
      </c>
      <c r="B1009" t="s">
        <v>638</v>
      </c>
      <c r="C1009" t="s">
        <v>62</v>
      </c>
      <c r="D1009" t="s">
        <v>63</v>
      </c>
      <c r="E1009">
        <v>5.0</v>
      </c>
      <c r="F1009">
        <v>6.0</v>
      </c>
      <c r="G1009" s="2" t="s">
        <v>64</v>
      </c>
      <c r="H1009" s="2">
        <v>0.0</v>
      </c>
      <c r="I1009" s="2">
        <v>0.0</v>
      </c>
      <c r="J1009" s="37">
        <v>0.0</v>
      </c>
      <c r="K1009" s="2">
        <v>0.0</v>
      </c>
      <c r="L1009" s="2">
        <v>0.0</v>
      </c>
      <c r="M1009" s="37">
        <v>0.0</v>
      </c>
    </row>
    <row r="1010" ht="14.25" customHeight="1">
      <c r="A1010" t="s">
        <v>1092</v>
      </c>
      <c r="B1010" t="s">
        <v>638</v>
      </c>
      <c r="C1010" t="s">
        <v>62</v>
      </c>
      <c r="D1010" t="s">
        <v>63</v>
      </c>
      <c r="E1010">
        <v>6.0</v>
      </c>
      <c r="F1010">
        <v>7.1</v>
      </c>
      <c r="G1010" s="2" t="s">
        <v>67</v>
      </c>
      <c r="H1010" s="2">
        <v>42.0</v>
      </c>
      <c r="I1010" s="2">
        <v>242.0</v>
      </c>
      <c r="J1010" s="37">
        <v>1257.92</v>
      </c>
      <c r="K1010" s="2">
        <v>48.0</v>
      </c>
      <c r="L1010" s="2">
        <v>346.0</v>
      </c>
      <c r="M1010" s="37">
        <v>1527.8799999999999</v>
      </c>
    </row>
    <row r="1011" ht="14.25" customHeight="1">
      <c r="A1011" t="s">
        <v>1093</v>
      </c>
      <c r="B1011" t="s">
        <v>638</v>
      </c>
      <c r="C1011" t="s">
        <v>75</v>
      </c>
      <c r="D1011" t="s">
        <v>63</v>
      </c>
      <c r="E1011">
        <v>7.1</v>
      </c>
      <c r="F1011">
        <v>7.5</v>
      </c>
      <c r="G1011" s="2" t="s">
        <v>64</v>
      </c>
      <c r="H1011" s="2">
        <v>0.0</v>
      </c>
      <c r="I1011" s="2">
        <v>0.0</v>
      </c>
      <c r="J1011" s="37">
        <v>0.0</v>
      </c>
      <c r="K1011" s="2">
        <v>0.0</v>
      </c>
      <c r="L1011" s="2">
        <v>0.0</v>
      </c>
      <c r="M1011" s="37">
        <v>0.0</v>
      </c>
    </row>
    <row r="1012" ht="14.25" customHeight="1">
      <c r="A1012" t="s">
        <v>1094</v>
      </c>
      <c r="B1012" t="s">
        <v>638</v>
      </c>
      <c r="C1012" t="s">
        <v>62</v>
      </c>
      <c r="D1012" t="s">
        <v>63</v>
      </c>
      <c r="E1012">
        <v>7.1</v>
      </c>
      <c r="F1012">
        <v>8.0</v>
      </c>
      <c r="G1012" s="2" t="s">
        <v>64</v>
      </c>
      <c r="H1012" s="2">
        <v>0.0</v>
      </c>
      <c r="I1012" s="2">
        <v>0.0</v>
      </c>
      <c r="J1012" s="37">
        <v>0.0</v>
      </c>
      <c r="K1012" s="2">
        <v>0.0</v>
      </c>
      <c r="L1012" s="2">
        <v>0.0</v>
      </c>
      <c r="M1012" s="37">
        <v>0.0</v>
      </c>
    </row>
    <row r="1013" ht="14.25" customHeight="1">
      <c r="A1013" t="s">
        <v>1095</v>
      </c>
      <c r="B1013" t="s">
        <v>638</v>
      </c>
      <c r="C1013" t="s">
        <v>75</v>
      </c>
      <c r="D1013" t="s">
        <v>63</v>
      </c>
      <c r="E1013">
        <v>7.1</v>
      </c>
      <c r="F1013">
        <v>8.0</v>
      </c>
      <c r="G1013" s="2" t="s">
        <v>64</v>
      </c>
      <c r="H1013" s="2">
        <v>0.0</v>
      </c>
      <c r="I1013" s="2">
        <v>0.0</v>
      </c>
      <c r="J1013" s="37">
        <v>0.0</v>
      </c>
      <c r="K1013" s="2">
        <v>0.0</v>
      </c>
      <c r="L1013" s="2">
        <v>0.0</v>
      </c>
      <c r="M1013" s="37">
        <v>0.0</v>
      </c>
    </row>
    <row r="1014" ht="14.25" customHeight="1">
      <c r="A1014" t="s">
        <v>1096</v>
      </c>
      <c r="B1014" t="s">
        <v>638</v>
      </c>
      <c r="C1014" t="s">
        <v>75</v>
      </c>
      <c r="D1014" t="s">
        <v>82</v>
      </c>
      <c r="E1014">
        <v>17.43</v>
      </c>
      <c r="F1014">
        <v>17.23</v>
      </c>
      <c r="G1014" s="2" t="s">
        <v>64</v>
      </c>
      <c r="H1014" s="2">
        <v>0.0</v>
      </c>
      <c r="I1014" s="2">
        <v>0.0</v>
      </c>
      <c r="J1014" s="37">
        <v>0.0</v>
      </c>
      <c r="K1014" s="2">
        <v>0.0</v>
      </c>
      <c r="L1014" s="2">
        <v>0.0</v>
      </c>
      <c r="M1014" s="37">
        <v>0.0</v>
      </c>
    </row>
    <row r="1015" ht="14.25" customHeight="1">
      <c r="A1015" t="s">
        <v>1097</v>
      </c>
      <c r="B1015" t="s">
        <v>638</v>
      </c>
      <c r="C1015" t="s">
        <v>75</v>
      </c>
      <c r="D1015" t="s">
        <v>63</v>
      </c>
      <c r="E1015">
        <v>19.5</v>
      </c>
      <c r="F1015">
        <v>22.4</v>
      </c>
      <c r="G1015" s="2" t="s">
        <v>64</v>
      </c>
      <c r="H1015" s="2">
        <v>0.0</v>
      </c>
      <c r="I1015" s="2">
        <v>0.0</v>
      </c>
      <c r="J1015" s="37">
        <v>0.0</v>
      </c>
      <c r="K1015" s="2">
        <v>0.0</v>
      </c>
      <c r="L1015" s="2">
        <v>0.0</v>
      </c>
      <c r="M1015" s="37">
        <v>0.0</v>
      </c>
    </row>
    <row r="1016" ht="14.25" customHeight="1">
      <c r="A1016" t="s">
        <v>1098</v>
      </c>
      <c r="B1016" t="s">
        <v>638</v>
      </c>
      <c r="C1016" t="s">
        <v>75</v>
      </c>
      <c r="D1016" t="s">
        <v>63</v>
      </c>
      <c r="E1016">
        <v>23.5</v>
      </c>
      <c r="F1016">
        <v>26.8</v>
      </c>
      <c r="G1016" s="2" t="s">
        <v>64</v>
      </c>
      <c r="H1016" s="2">
        <v>0.0</v>
      </c>
      <c r="I1016" s="2">
        <v>0.0</v>
      </c>
      <c r="J1016" s="37">
        <v>0.0</v>
      </c>
      <c r="K1016" s="2">
        <v>0.0</v>
      </c>
      <c r="L1016" s="2">
        <v>0.0</v>
      </c>
      <c r="M1016" s="37">
        <v>0.0</v>
      </c>
    </row>
    <row r="1017" ht="14.25" customHeight="1">
      <c r="A1017" t="s">
        <v>1099</v>
      </c>
      <c r="B1017" t="s">
        <v>638</v>
      </c>
      <c r="C1017" t="s">
        <v>75</v>
      </c>
      <c r="D1017" t="s">
        <v>63</v>
      </c>
      <c r="E1017">
        <v>20.0</v>
      </c>
      <c r="F1017">
        <v>22.4</v>
      </c>
      <c r="G1017" s="2" t="s">
        <v>64</v>
      </c>
      <c r="H1017" s="2">
        <v>0.0</v>
      </c>
      <c r="I1017" s="2">
        <v>0.0</v>
      </c>
      <c r="J1017" s="37">
        <v>0.0</v>
      </c>
      <c r="K1017" s="2">
        <v>0.0</v>
      </c>
      <c r="L1017" s="2">
        <v>0.0</v>
      </c>
      <c r="M1017" s="37">
        <v>0.0</v>
      </c>
    </row>
    <row r="1018" ht="14.25" customHeight="1">
      <c r="A1018" t="s">
        <v>1100</v>
      </c>
      <c r="B1018" t="s">
        <v>638</v>
      </c>
      <c r="C1018" t="s">
        <v>75</v>
      </c>
      <c r="D1018" t="s">
        <v>63</v>
      </c>
      <c r="E1018">
        <v>24.0</v>
      </c>
      <c r="F1018">
        <v>26.8</v>
      </c>
      <c r="G1018" s="2" t="s">
        <v>64</v>
      </c>
      <c r="H1018" s="2">
        <v>0.0</v>
      </c>
      <c r="I1018" s="2">
        <v>0.0</v>
      </c>
      <c r="J1018" s="37">
        <v>0.0</v>
      </c>
      <c r="K1018" s="2">
        <v>0.0</v>
      </c>
      <c r="L1018" s="2">
        <v>0.0</v>
      </c>
      <c r="M1018" s="37">
        <v>0.0</v>
      </c>
    </row>
    <row r="1019" ht="14.25" customHeight="1">
      <c r="A1019" t="s">
        <v>1101</v>
      </c>
      <c r="B1019" t="s">
        <v>638</v>
      </c>
      <c r="C1019" t="s">
        <v>75</v>
      </c>
      <c r="D1019" t="s">
        <v>63</v>
      </c>
      <c r="E1019">
        <v>18.0</v>
      </c>
      <c r="F1019">
        <v>20.0</v>
      </c>
      <c r="G1019" s="2" t="s">
        <v>64</v>
      </c>
      <c r="H1019" s="2">
        <v>0.0</v>
      </c>
      <c r="I1019" s="2">
        <v>0.0</v>
      </c>
      <c r="J1019" s="37">
        <v>0.0</v>
      </c>
      <c r="K1019" s="2">
        <v>0.0</v>
      </c>
      <c r="L1019" s="2">
        <v>0.0</v>
      </c>
      <c r="M1019" s="37">
        <v>0.0</v>
      </c>
    </row>
    <row r="1020" ht="14.25" customHeight="1">
      <c r="A1020" t="s">
        <v>1102</v>
      </c>
      <c r="B1020" t="s">
        <v>638</v>
      </c>
      <c r="C1020" t="s">
        <v>75</v>
      </c>
      <c r="D1020" t="s">
        <v>63</v>
      </c>
      <c r="E1020">
        <v>18.0</v>
      </c>
      <c r="F1020">
        <v>20.0</v>
      </c>
      <c r="G1020" s="2" t="s">
        <v>64</v>
      </c>
      <c r="H1020" s="2">
        <v>0.0</v>
      </c>
      <c r="I1020" s="2">
        <v>0.0</v>
      </c>
      <c r="J1020" s="37">
        <v>0.0</v>
      </c>
      <c r="K1020" s="2">
        <v>0.0</v>
      </c>
      <c r="L1020" s="2">
        <v>0.0</v>
      </c>
      <c r="M1020" s="37">
        <v>0.0</v>
      </c>
    </row>
    <row r="1021" ht="14.25" customHeight="1">
      <c r="A1021" t="s">
        <v>1103</v>
      </c>
      <c r="B1021" t="s">
        <v>638</v>
      </c>
      <c r="C1021" t="s">
        <v>62</v>
      </c>
      <c r="D1021" t="s">
        <v>63</v>
      </c>
      <c r="E1021">
        <v>2.5</v>
      </c>
      <c r="F1021">
        <v>3.2</v>
      </c>
      <c r="G1021" s="2" t="s">
        <v>64</v>
      </c>
      <c r="H1021" s="2">
        <v>0.0</v>
      </c>
      <c r="I1021" s="2">
        <v>0.0</v>
      </c>
      <c r="J1021" s="37">
        <v>0.0</v>
      </c>
      <c r="K1021" s="2">
        <v>0.0</v>
      </c>
      <c r="L1021" s="2">
        <v>0.0</v>
      </c>
      <c r="M1021" s="37">
        <v>0.0</v>
      </c>
    </row>
    <row r="1022" ht="14.25" customHeight="1">
      <c r="A1022" t="s">
        <v>1104</v>
      </c>
      <c r="B1022" t="s">
        <v>638</v>
      </c>
      <c r="C1022" t="s">
        <v>62</v>
      </c>
      <c r="D1022" t="s">
        <v>63</v>
      </c>
      <c r="E1022">
        <v>3.5</v>
      </c>
      <c r="F1022">
        <v>4.2</v>
      </c>
      <c r="G1022" s="2" t="s">
        <v>64</v>
      </c>
      <c r="H1022" s="2">
        <v>0.0</v>
      </c>
      <c r="I1022" s="2">
        <v>0.0</v>
      </c>
      <c r="J1022" s="37">
        <v>0.0</v>
      </c>
      <c r="K1022" s="2">
        <v>0.0</v>
      </c>
      <c r="L1022" s="2">
        <v>0.0</v>
      </c>
      <c r="M1022" s="37">
        <v>0.0</v>
      </c>
    </row>
    <row r="1023" ht="14.25" customHeight="1">
      <c r="A1023" t="s">
        <v>1105</v>
      </c>
      <c r="B1023" t="s">
        <v>638</v>
      </c>
      <c r="C1023" t="s">
        <v>62</v>
      </c>
      <c r="D1023" t="s">
        <v>63</v>
      </c>
      <c r="E1023">
        <v>5.0</v>
      </c>
      <c r="F1023">
        <v>6.0</v>
      </c>
      <c r="G1023" s="2" t="s">
        <v>67</v>
      </c>
      <c r="H1023" s="2">
        <v>32.0</v>
      </c>
      <c r="I1023" s="2">
        <v>248.0</v>
      </c>
      <c r="J1023" s="37">
        <v>1041.1200000000001</v>
      </c>
      <c r="K1023" s="2">
        <v>37.0</v>
      </c>
      <c r="L1023" s="2">
        <v>334.0</v>
      </c>
      <c r="M1023" s="37">
        <v>1265.22</v>
      </c>
    </row>
    <row r="1024" ht="14.25" customHeight="1">
      <c r="A1024" t="s">
        <v>1106</v>
      </c>
      <c r="B1024" t="s">
        <v>638</v>
      </c>
      <c r="C1024" t="s">
        <v>62</v>
      </c>
      <c r="D1024" t="s">
        <v>63</v>
      </c>
      <c r="E1024">
        <v>6.0</v>
      </c>
      <c r="F1024">
        <v>7.1</v>
      </c>
      <c r="G1024" s="2" t="s">
        <v>67</v>
      </c>
      <c r="H1024" s="2">
        <v>37.0</v>
      </c>
      <c r="I1024" s="2">
        <v>203.0</v>
      </c>
      <c r="J1024" s="37">
        <v>1094.92</v>
      </c>
      <c r="K1024" s="2">
        <v>42.0</v>
      </c>
      <c r="L1024" s="2">
        <v>307.0</v>
      </c>
      <c r="M1024" s="37">
        <v>1342.42</v>
      </c>
    </row>
    <row r="1025" ht="14.25" customHeight="1">
      <c r="A1025" t="s">
        <v>1107</v>
      </c>
      <c r="B1025" t="s">
        <v>638</v>
      </c>
      <c r="C1025" t="s">
        <v>62</v>
      </c>
      <c r="D1025" t="s">
        <v>63</v>
      </c>
      <c r="E1025">
        <v>7.1</v>
      </c>
      <c r="F1025">
        <v>8.0</v>
      </c>
      <c r="G1025" s="2" t="s">
        <v>67</v>
      </c>
      <c r="H1025" s="2">
        <v>40.0</v>
      </c>
      <c r="I1025" s="2">
        <v>114.0</v>
      </c>
      <c r="J1025" s="37">
        <v>1046.6000000000001</v>
      </c>
      <c r="K1025" s="2">
        <v>46.0</v>
      </c>
      <c r="L1025" s="2">
        <v>237.0</v>
      </c>
      <c r="M1025" s="37">
        <v>1341.2600000000002</v>
      </c>
    </row>
    <row r="1026" ht="14.25" customHeight="1">
      <c r="A1026" t="s">
        <v>1108</v>
      </c>
      <c r="B1026" t="s">
        <v>638</v>
      </c>
      <c r="C1026" t="s">
        <v>75</v>
      </c>
      <c r="D1026" t="s">
        <v>63</v>
      </c>
      <c r="E1026">
        <v>18.0</v>
      </c>
      <c r="F1026">
        <v>20.0</v>
      </c>
      <c r="G1026" s="2" t="s">
        <v>67</v>
      </c>
      <c r="H1026" s="2">
        <v>113.0</v>
      </c>
      <c r="I1026" s="2">
        <v>401.0</v>
      </c>
      <c r="J1026" s="37">
        <v>3059.28</v>
      </c>
      <c r="K1026" s="2">
        <v>131.0</v>
      </c>
      <c r="L1026" s="2">
        <v>750.0</v>
      </c>
      <c r="M1026" s="37">
        <v>3917.26</v>
      </c>
    </row>
    <row r="1027" ht="14.25" customHeight="1">
      <c r="A1027" t="s">
        <v>1109</v>
      </c>
      <c r="B1027" t="s">
        <v>638</v>
      </c>
      <c r="C1027" t="s">
        <v>75</v>
      </c>
      <c r="D1027" t="s">
        <v>63</v>
      </c>
      <c r="E1027">
        <v>20.0</v>
      </c>
      <c r="F1027">
        <v>22.4</v>
      </c>
      <c r="G1027" s="2" t="s">
        <v>67</v>
      </c>
      <c r="H1027" s="2">
        <v>121.0</v>
      </c>
      <c r="I1027" s="2">
        <v>286.0</v>
      </c>
      <c r="J1027" s="37">
        <v>3089.4600000000005</v>
      </c>
      <c r="K1027" s="2">
        <v>141.0</v>
      </c>
      <c r="L1027" s="2">
        <v>674.0</v>
      </c>
      <c r="M1027" s="37">
        <v>4043.0600000000004</v>
      </c>
    </row>
    <row r="1028" ht="14.25" customHeight="1">
      <c r="A1028" t="s">
        <v>1110</v>
      </c>
      <c r="B1028" t="s">
        <v>638</v>
      </c>
      <c r="C1028" t="s">
        <v>75</v>
      </c>
      <c r="D1028" t="s">
        <v>63</v>
      </c>
      <c r="E1028">
        <v>5.0</v>
      </c>
      <c r="F1028">
        <v>6.0</v>
      </c>
      <c r="G1028" s="2" t="s">
        <v>64</v>
      </c>
      <c r="H1028" s="2">
        <v>0.0</v>
      </c>
      <c r="I1028" s="2">
        <v>0.0</v>
      </c>
      <c r="J1028" s="37">
        <v>0.0</v>
      </c>
      <c r="K1028" s="2">
        <v>0.0</v>
      </c>
      <c r="L1028" s="2">
        <v>0.0</v>
      </c>
      <c r="M1028" s="37">
        <v>0.0</v>
      </c>
    </row>
    <row r="1029" ht="14.25" customHeight="1">
      <c r="A1029" t="s">
        <v>1111</v>
      </c>
      <c r="B1029" t="s">
        <v>638</v>
      </c>
      <c r="C1029" t="s">
        <v>75</v>
      </c>
      <c r="D1029" t="s">
        <v>63</v>
      </c>
      <c r="E1029">
        <v>6.0</v>
      </c>
      <c r="F1029">
        <v>7.0</v>
      </c>
      <c r="G1029" s="2" t="s">
        <v>64</v>
      </c>
      <c r="H1029" s="2">
        <v>0.0</v>
      </c>
      <c r="I1029" s="2">
        <v>0.0</v>
      </c>
      <c r="J1029" s="37">
        <v>0.0</v>
      </c>
      <c r="K1029" s="2">
        <v>0.0</v>
      </c>
      <c r="L1029" s="2">
        <v>0.0</v>
      </c>
      <c r="M1029" s="37">
        <v>0.0</v>
      </c>
    </row>
    <row r="1030" ht="14.25" customHeight="1">
      <c r="A1030" t="s">
        <v>1112</v>
      </c>
      <c r="B1030" t="s">
        <v>638</v>
      </c>
      <c r="C1030" t="s">
        <v>75</v>
      </c>
      <c r="D1030" t="s">
        <v>63</v>
      </c>
      <c r="E1030">
        <v>7.1</v>
      </c>
      <c r="F1030">
        <v>7.5</v>
      </c>
      <c r="G1030" s="2" t="s">
        <v>64</v>
      </c>
      <c r="H1030" s="2">
        <v>0.0</v>
      </c>
      <c r="I1030" s="2">
        <v>0.0</v>
      </c>
      <c r="J1030" s="37">
        <v>0.0</v>
      </c>
      <c r="K1030" s="2">
        <v>0.0</v>
      </c>
      <c r="L1030" s="2">
        <v>0.0</v>
      </c>
      <c r="M1030" s="37">
        <v>0.0</v>
      </c>
    </row>
    <row r="1031" ht="14.25" customHeight="1">
      <c r="A1031" t="s">
        <v>1113</v>
      </c>
      <c r="B1031" t="s">
        <v>638</v>
      </c>
      <c r="C1031" t="s">
        <v>75</v>
      </c>
      <c r="D1031" t="s">
        <v>63</v>
      </c>
      <c r="E1031">
        <v>8.5</v>
      </c>
      <c r="F1031">
        <v>10.0</v>
      </c>
      <c r="G1031" s="2" t="s">
        <v>64</v>
      </c>
      <c r="H1031" s="2">
        <v>0.0</v>
      </c>
      <c r="I1031" s="2">
        <v>0.0</v>
      </c>
      <c r="J1031" s="37">
        <v>0.0</v>
      </c>
      <c r="K1031" s="2">
        <v>0.0</v>
      </c>
      <c r="L1031" s="2">
        <v>0.0</v>
      </c>
      <c r="M1031" s="37">
        <v>0.0</v>
      </c>
    </row>
    <row r="1032" ht="14.25" customHeight="1">
      <c r="A1032" t="s">
        <v>1114</v>
      </c>
      <c r="B1032" t="s">
        <v>638</v>
      </c>
      <c r="C1032" t="s">
        <v>75</v>
      </c>
      <c r="D1032" t="s">
        <v>63</v>
      </c>
      <c r="E1032">
        <v>10.0</v>
      </c>
      <c r="F1032">
        <v>12.5</v>
      </c>
      <c r="G1032" s="2" t="s">
        <v>64</v>
      </c>
      <c r="H1032" s="2">
        <v>0.0</v>
      </c>
      <c r="I1032" s="2">
        <v>0.0</v>
      </c>
      <c r="J1032" s="37">
        <v>0.0</v>
      </c>
      <c r="K1032" s="2">
        <v>0.0</v>
      </c>
      <c r="L1032" s="2">
        <v>0.0</v>
      </c>
      <c r="M1032" s="37">
        <v>0.0</v>
      </c>
    </row>
    <row r="1033" ht="14.25" customHeight="1">
      <c r="A1033" t="s">
        <v>1115</v>
      </c>
      <c r="B1033" t="s">
        <v>638</v>
      </c>
      <c r="C1033" t="s">
        <v>75</v>
      </c>
      <c r="D1033" t="s">
        <v>63</v>
      </c>
      <c r="E1033">
        <v>12.5</v>
      </c>
      <c r="F1033">
        <v>15.0</v>
      </c>
      <c r="G1033" s="2" t="s">
        <v>64</v>
      </c>
      <c r="H1033" s="2">
        <v>0.0</v>
      </c>
      <c r="I1033" s="2">
        <v>0.0</v>
      </c>
      <c r="J1033" s="37">
        <v>0.0</v>
      </c>
      <c r="K1033" s="2">
        <v>0.0</v>
      </c>
      <c r="L1033" s="2">
        <v>0.0</v>
      </c>
      <c r="M1033" s="37">
        <v>0.0</v>
      </c>
    </row>
    <row r="1034" ht="14.25" customHeight="1">
      <c r="A1034" t="s">
        <v>1116</v>
      </c>
      <c r="B1034" t="s">
        <v>638</v>
      </c>
      <c r="C1034" t="s">
        <v>75</v>
      </c>
      <c r="D1034" t="s">
        <v>63</v>
      </c>
      <c r="E1034">
        <v>14.0</v>
      </c>
      <c r="F1034">
        <v>16.5</v>
      </c>
      <c r="G1034" s="2" t="s">
        <v>64</v>
      </c>
      <c r="H1034" s="2">
        <v>0.0</v>
      </c>
      <c r="I1034" s="2">
        <v>0.0</v>
      </c>
      <c r="J1034" s="37">
        <v>0.0</v>
      </c>
      <c r="K1034" s="2">
        <v>0.0</v>
      </c>
      <c r="L1034" s="2">
        <v>0.0</v>
      </c>
      <c r="M1034" s="37">
        <v>0.0</v>
      </c>
    </row>
    <row r="1035" ht="14.25" customHeight="1">
      <c r="A1035" t="s">
        <v>1117</v>
      </c>
      <c r="B1035" t="s">
        <v>638</v>
      </c>
      <c r="C1035" t="s">
        <v>75</v>
      </c>
      <c r="D1035" t="s">
        <v>63</v>
      </c>
      <c r="E1035">
        <v>15.5</v>
      </c>
      <c r="F1035">
        <v>18.0</v>
      </c>
      <c r="G1035" s="2" t="s">
        <v>64</v>
      </c>
      <c r="H1035" s="2">
        <v>0.0</v>
      </c>
      <c r="I1035" s="2">
        <v>0.0</v>
      </c>
      <c r="J1035" s="37">
        <v>0.0</v>
      </c>
      <c r="K1035" s="2">
        <v>0.0</v>
      </c>
      <c r="L1035" s="2">
        <v>0.0</v>
      </c>
      <c r="M1035" s="37">
        <v>0.0</v>
      </c>
    </row>
    <row r="1036" ht="14.25" customHeight="1">
      <c r="A1036" t="s">
        <v>1118</v>
      </c>
      <c r="B1036" t="s">
        <v>629</v>
      </c>
      <c r="C1036" t="s">
        <v>62</v>
      </c>
      <c r="D1036" t="s">
        <v>63</v>
      </c>
      <c r="E1036">
        <v>4.6</v>
      </c>
      <c r="F1036">
        <v>4.7</v>
      </c>
      <c r="G1036" s="2" t="s">
        <v>67</v>
      </c>
      <c r="H1036" s="2">
        <v>26.0</v>
      </c>
      <c r="I1036" s="2">
        <v>116.0</v>
      </c>
      <c r="J1036" s="37">
        <v>734.76</v>
      </c>
      <c r="K1036" s="2">
        <v>30.0</v>
      </c>
      <c r="L1036" s="2">
        <v>196.0</v>
      </c>
      <c r="M1036" s="37">
        <v>928.6000000000001</v>
      </c>
    </row>
    <row r="1037" ht="14.25" customHeight="1">
      <c r="A1037" t="s">
        <v>1119</v>
      </c>
      <c r="B1037" t="s">
        <v>638</v>
      </c>
      <c r="C1037" t="s">
        <v>75</v>
      </c>
      <c r="D1037" t="s">
        <v>63</v>
      </c>
      <c r="E1037">
        <v>7.1</v>
      </c>
      <c r="F1037">
        <v>7.5</v>
      </c>
      <c r="G1037" s="2" t="s">
        <v>67</v>
      </c>
      <c r="H1037" s="2">
        <v>39.0</v>
      </c>
      <c r="I1037" s="2">
        <v>218.0</v>
      </c>
      <c r="J1037" s="37">
        <v>1159.3400000000001</v>
      </c>
      <c r="K1037" s="2">
        <v>46.0</v>
      </c>
      <c r="L1037" s="2">
        <v>356.0</v>
      </c>
      <c r="M1037" s="37">
        <v>1495.96</v>
      </c>
    </row>
    <row r="1038" ht="14.25" customHeight="1">
      <c r="A1038" t="s">
        <v>1120</v>
      </c>
      <c r="B1038" t="s">
        <v>638</v>
      </c>
      <c r="C1038" t="s">
        <v>75</v>
      </c>
      <c r="D1038" t="s">
        <v>63</v>
      </c>
      <c r="E1038">
        <v>7.1</v>
      </c>
      <c r="F1038">
        <v>7.5</v>
      </c>
      <c r="G1038" s="2" t="s">
        <v>67</v>
      </c>
      <c r="H1038" s="2">
        <v>39.0</v>
      </c>
      <c r="I1038" s="2">
        <v>218.0</v>
      </c>
      <c r="J1038" s="37">
        <v>1159.3400000000001</v>
      </c>
      <c r="K1038" s="2">
        <v>46.0</v>
      </c>
      <c r="L1038" s="2">
        <v>356.0</v>
      </c>
      <c r="M1038" s="37">
        <v>1495.96</v>
      </c>
    </row>
    <row r="1039" ht="14.25" customHeight="1">
      <c r="A1039" t="s">
        <v>1121</v>
      </c>
      <c r="B1039" t="s">
        <v>638</v>
      </c>
      <c r="C1039" t="s">
        <v>75</v>
      </c>
      <c r="D1039" t="s">
        <v>63</v>
      </c>
      <c r="E1039">
        <v>8.5</v>
      </c>
      <c r="F1039">
        <v>10.0</v>
      </c>
      <c r="G1039" s="2" t="s">
        <v>67</v>
      </c>
      <c r="H1039" s="2">
        <v>52.0</v>
      </c>
      <c r="I1039" s="2">
        <v>219.0</v>
      </c>
      <c r="J1039" s="37">
        <v>1452.6200000000001</v>
      </c>
      <c r="K1039" s="2">
        <v>61.0</v>
      </c>
      <c r="L1039" s="2">
        <v>384.0</v>
      </c>
      <c r="M1039" s="37">
        <v>1869.26</v>
      </c>
    </row>
    <row r="1040" ht="14.25" customHeight="1">
      <c r="A1040" t="s">
        <v>1122</v>
      </c>
      <c r="B1040" t="s">
        <v>638</v>
      </c>
      <c r="C1040" t="s">
        <v>75</v>
      </c>
      <c r="D1040" t="s">
        <v>63</v>
      </c>
      <c r="E1040">
        <v>8.5</v>
      </c>
      <c r="F1040">
        <v>10.0</v>
      </c>
      <c r="G1040" s="2" t="s">
        <v>67</v>
      </c>
      <c r="H1040" s="2">
        <v>52.0</v>
      </c>
      <c r="I1040" s="2">
        <v>219.0</v>
      </c>
      <c r="J1040" s="37">
        <v>1452.6200000000001</v>
      </c>
      <c r="K1040" s="2">
        <v>61.0</v>
      </c>
      <c r="L1040" s="2">
        <v>384.0</v>
      </c>
      <c r="M1040" s="37">
        <v>1869.26</v>
      </c>
    </row>
    <row r="1041" ht="14.25" customHeight="1">
      <c r="A1041" t="s">
        <v>1123</v>
      </c>
      <c r="B1041" t="s">
        <v>638</v>
      </c>
      <c r="C1041" t="s">
        <v>75</v>
      </c>
      <c r="D1041" t="s">
        <v>63</v>
      </c>
      <c r="E1041">
        <v>10.0</v>
      </c>
      <c r="F1041">
        <v>12.5</v>
      </c>
      <c r="G1041" s="2" t="s">
        <v>67</v>
      </c>
      <c r="H1041" s="2">
        <v>66.0</v>
      </c>
      <c r="I1041" s="2">
        <v>345.0</v>
      </c>
      <c r="J1041" s="37">
        <v>1930.8600000000001</v>
      </c>
      <c r="K1041" s="2">
        <v>77.0</v>
      </c>
      <c r="L1041" s="2">
        <v>539.0</v>
      </c>
      <c r="M1041" s="37">
        <v>2430.12</v>
      </c>
    </row>
    <row r="1042" ht="14.25" customHeight="1">
      <c r="A1042" t="s">
        <v>1124</v>
      </c>
      <c r="B1042" t="s">
        <v>638</v>
      </c>
      <c r="C1042" t="s">
        <v>75</v>
      </c>
      <c r="D1042" t="s">
        <v>63</v>
      </c>
      <c r="E1042">
        <v>10.0</v>
      </c>
      <c r="F1042">
        <v>12.5</v>
      </c>
      <c r="G1042" s="2" t="s">
        <v>67</v>
      </c>
      <c r="H1042" s="2">
        <v>66.0</v>
      </c>
      <c r="I1042" s="2">
        <v>345.0</v>
      </c>
      <c r="J1042" s="37">
        <v>1930.8600000000001</v>
      </c>
      <c r="K1042" s="2">
        <v>77.0</v>
      </c>
      <c r="L1042" s="2">
        <v>539.0</v>
      </c>
      <c r="M1042" s="37">
        <v>2430.12</v>
      </c>
    </row>
    <row r="1043" ht="14.25" customHeight="1">
      <c r="A1043" t="s">
        <v>1125</v>
      </c>
      <c r="B1043" t="s">
        <v>638</v>
      </c>
      <c r="C1043" t="s">
        <v>75</v>
      </c>
      <c r="D1043" t="s">
        <v>63</v>
      </c>
      <c r="E1043">
        <v>14.0</v>
      </c>
      <c r="F1043">
        <v>16.5</v>
      </c>
      <c r="G1043" s="2" t="s">
        <v>67</v>
      </c>
      <c r="H1043" s="2">
        <v>78.0</v>
      </c>
      <c r="I1043" s="2">
        <v>328.0</v>
      </c>
      <c r="J1043" s="37">
        <v>2178.28</v>
      </c>
      <c r="K1043" s="2">
        <v>92.0</v>
      </c>
      <c r="L1043" s="2">
        <v>599.0</v>
      </c>
      <c r="M1043" s="37">
        <v>2845.0200000000004</v>
      </c>
    </row>
    <row r="1044" ht="14.25" customHeight="1">
      <c r="A1044" t="s">
        <v>1126</v>
      </c>
      <c r="B1044" t="s">
        <v>638</v>
      </c>
      <c r="C1044" t="s">
        <v>75</v>
      </c>
      <c r="D1044" t="s">
        <v>63</v>
      </c>
      <c r="E1044">
        <v>14.0</v>
      </c>
      <c r="F1044">
        <v>16.5</v>
      </c>
      <c r="G1044" s="2" t="s">
        <v>67</v>
      </c>
      <c r="H1044" s="2">
        <v>78.0</v>
      </c>
      <c r="I1044" s="2">
        <v>328.0</v>
      </c>
      <c r="J1044" s="37">
        <v>2178.28</v>
      </c>
      <c r="K1044" s="2">
        <v>92.0</v>
      </c>
      <c r="L1044" s="2">
        <v>599.0</v>
      </c>
      <c r="M1044" s="37">
        <v>2845.0200000000004</v>
      </c>
    </row>
    <row r="1045" ht="14.25" customHeight="1">
      <c r="A1045" t="s">
        <v>1127</v>
      </c>
      <c r="B1045" t="s">
        <v>638</v>
      </c>
      <c r="C1045" t="s">
        <v>75</v>
      </c>
      <c r="D1045" t="s">
        <v>63</v>
      </c>
      <c r="E1045">
        <v>16.0</v>
      </c>
      <c r="F1045">
        <v>18.0</v>
      </c>
      <c r="G1045" s="2" t="s">
        <v>67</v>
      </c>
      <c r="H1045" s="2">
        <v>86.0</v>
      </c>
      <c r="I1045" s="2">
        <v>174.0</v>
      </c>
      <c r="J1045" s="37">
        <v>2157.76</v>
      </c>
      <c r="K1045" s="2">
        <v>102.0</v>
      </c>
      <c r="L1045" s="2">
        <v>484.0</v>
      </c>
      <c r="M1045" s="37">
        <v>2920.12</v>
      </c>
    </row>
    <row r="1046" ht="14.25" customHeight="1">
      <c r="A1046" t="s">
        <v>1128</v>
      </c>
      <c r="B1046" t="s">
        <v>638</v>
      </c>
      <c r="C1046" t="s">
        <v>75</v>
      </c>
      <c r="D1046" t="s">
        <v>63</v>
      </c>
      <c r="E1046">
        <v>16.0</v>
      </c>
      <c r="F1046">
        <v>18.0</v>
      </c>
      <c r="G1046" s="2" t="s">
        <v>67</v>
      </c>
      <c r="H1046" s="2">
        <v>86.0</v>
      </c>
      <c r="I1046" s="2">
        <v>174.0</v>
      </c>
      <c r="J1046" s="37">
        <v>2157.76</v>
      </c>
      <c r="K1046" s="2">
        <v>102.0</v>
      </c>
      <c r="L1046" s="2">
        <v>484.0</v>
      </c>
      <c r="M1046" s="37">
        <v>2920.12</v>
      </c>
    </row>
    <row r="1047" ht="14.25" customHeight="1">
      <c r="A1047" t="s">
        <v>1129</v>
      </c>
      <c r="B1047" t="s">
        <v>638</v>
      </c>
      <c r="C1047" t="s">
        <v>75</v>
      </c>
      <c r="D1047" t="s">
        <v>63</v>
      </c>
      <c r="E1047">
        <v>7.1</v>
      </c>
      <c r="F1047">
        <v>7.5</v>
      </c>
      <c r="G1047" s="2" t="s">
        <v>64</v>
      </c>
      <c r="H1047" s="2">
        <v>0.0</v>
      </c>
      <c r="I1047" s="2">
        <v>0.0</v>
      </c>
      <c r="J1047" s="37">
        <v>0.0</v>
      </c>
      <c r="K1047" s="2">
        <v>0.0</v>
      </c>
      <c r="L1047" s="2">
        <v>0.0</v>
      </c>
      <c r="M1047" s="37">
        <v>0.0</v>
      </c>
    </row>
    <row r="1048" ht="14.25" customHeight="1">
      <c r="A1048" t="s">
        <v>1130</v>
      </c>
      <c r="B1048" t="s">
        <v>638</v>
      </c>
      <c r="C1048" t="s">
        <v>75</v>
      </c>
      <c r="D1048" t="s">
        <v>63</v>
      </c>
      <c r="E1048">
        <v>8.5</v>
      </c>
      <c r="F1048">
        <v>10.0</v>
      </c>
      <c r="G1048" s="2" t="s">
        <v>64</v>
      </c>
      <c r="H1048" s="2">
        <v>0.0</v>
      </c>
      <c r="I1048" s="2">
        <v>0.0</v>
      </c>
      <c r="J1048" s="37">
        <v>0.0</v>
      </c>
      <c r="K1048" s="2">
        <v>0.0</v>
      </c>
      <c r="L1048" s="2">
        <v>0.0</v>
      </c>
      <c r="M1048" s="37">
        <v>0.0</v>
      </c>
    </row>
    <row r="1049" ht="14.25" customHeight="1">
      <c r="A1049" t="s">
        <v>1131</v>
      </c>
      <c r="B1049" t="s">
        <v>638</v>
      </c>
      <c r="C1049" t="s">
        <v>75</v>
      </c>
      <c r="D1049" t="s">
        <v>63</v>
      </c>
      <c r="E1049">
        <v>10.0</v>
      </c>
      <c r="F1049">
        <v>12.5</v>
      </c>
      <c r="G1049" s="2" t="s">
        <v>64</v>
      </c>
      <c r="H1049" s="2">
        <v>0.0</v>
      </c>
      <c r="I1049" s="2">
        <v>0.0</v>
      </c>
      <c r="J1049" s="37">
        <v>0.0</v>
      </c>
      <c r="K1049" s="2">
        <v>0.0</v>
      </c>
      <c r="L1049" s="2">
        <v>0.0</v>
      </c>
      <c r="M1049" s="37">
        <v>0.0</v>
      </c>
    </row>
    <row r="1050" ht="14.25" customHeight="1">
      <c r="A1050" t="s">
        <v>1132</v>
      </c>
      <c r="B1050" t="s">
        <v>638</v>
      </c>
      <c r="C1050" t="s">
        <v>75</v>
      </c>
      <c r="D1050" t="s">
        <v>63</v>
      </c>
      <c r="E1050">
        <v>12.5</v>
      </c>
      <c r="F1050">
        <v>15.0</v>
      </c>
      <c r="G1050" s="2" t="s">
        <v>64</v>
      </c>
      <c r="H1050" s="2">
        <v>0.0</v>
      </c>
      <c r="I1050" s="2">
        <v>0.0</v>
      </c>
      <c r="J1050" s="37">
        <v>0.0</v>
      </c>
      <c r="K1050" s="2">
        <v>0.0</v>
      </c>
      <c r="L1050" s="2">
        <v>0.0</v>
      </c>
      <c r="M1050" s="37">
        <v>0.0</v>
      </c>
    </row>
    <row r="1051" ht="14.25" customHeight="1">
      <c r="A1051" t="s">
        <v>1133</v>
      </c>
      <c r="B1051" t="s">
        <v>638</v>
      </c>
      <c r="C1051" t="s">
        <v>75</v>
      </c>
      <c r="D1051" t="s">
        <v>63</v>
      </c>
      <c r="E1051">
        <v>14.0</v>
      </c>
      <c r="F1051">
        <v>16.5</v>
      </c>
      <c r="G1051" s="2" t="s">
        <v>64</v>
      </c>
      <c r="H1051" s="2">
        <v>0.0</v>
      </c>
      <c r="I1051" s="2">
        <v>0.0</v>
      </c>
      <c r="J1051" s="37">
        <v>0.0</v>
      </c>
      <c r="K1051" s="2">
        <v>0.0</v>
      </c>
      <c r="L1051" s="2">
        <v>0.0</v>
      </c>
      <c r="M1051" s="37">
        <v>0.0</v>
      </c>
    </row>
    <row r="1052" ht="14.25" customHeight="1">
      <c r="A1052" t="s">
        <v>1134</v>
      </c>
      <c r="B1052" t="s">
        <v>638</v>
      </c>
      <c r="C1052" t="s">
        <v>75</v>
      </c>
      <c r="D1052" t="s">
        <v>63</v>
      </c>
      <c r="E1052">
        <v>15.5</v>
      </c>
      <c r="F1052">
        <v>18.0</v>
      </c>
      <c r="G1052" s="2" t="s">
        <v>64</v>
      </c>
      <c r="H1052" s="2">
        <v>0.0</v>
      </c>
      <c r="I1052" s="2">
        <v>0.0</v>
      </c>
      <c r="J1052" s="37">
        <v>0.0</v>
      </c>
      <c r="K1052" s="2">
        <v>0.0</v>
      </c>
      <c r="L1052" s="2">
        <v>0.0</v>
      </c>
      <c r="M1052" s="37">
        <v>0.0</v>
      </c>
    </row>
    <row r="1053" ht="14.25" customHeight="1">
      <c r="A1053" t="s">
        <v>1135</v>
      </c>
      <c r="B1053" t="s">
        <v>638</v>
      </c>
      <c r="C1053" t="s">
        <v>62</v>
      </c>
      <c r="D1053" t="s">
        <v>63</v>
      </c>
      <c r="E1053">
        <v>2.0</v>
      </c>
      <c r="F1053">
        <v>2.7</v>
      </c>
      <c r="G1053" s="2" t="s">
        <v>67</v>
      </c>
      <c r="H1053" s="2">
        <v>13.0</v>
      </c>
      <c r="I1053" s="2">
        <v>65.0</v>
      </c>
      <c r="J1053" s="37">
        <v>376.48</v>
      </c>
      <c r="K1053" s="2">
        <v>14.0</v>
      </c>
      <c r="L1053" s="2">
        <v>95.0</v>
      </c>
      <c r="M1053" s="37">
        <v>437.94</v>
      </c>
    </row>
    <row r="1054" ht="14.25" customHeight="1">
      <c r="A1054" t="s">
        <v>1136</v>
      </c>
      <c r="B1054" t="s">
        <v>638</v>
      </c>
      <c r="C1054" t="s">
        <v>62</v>
      </c>
      <c r="D1054" t="s">
        <v>63</v>
      </c>
      <c r="E1054">
        <v>2.5</v>
      </c>
      <c r="F1054">
        <v>3.2</v>
      </c>
      <c r="G1054" s="2" t="s">
        <v>67</v>
      </c>
      <c r="H1054" s="2">
        <v>16.0</v>
      </c>
      <c r="I1054" s="2">
        <v>91.0</v>
      </c>
      <c r="J1054" s="37">
        <v>477.66</v>
      </c>
      <c r="K1054" s="2">
        <v>18.0</v>
      </c>
      <c r="L1054" s="2">
        <v>129.0</v>
      </c>
      <c r="M1054" s="37">
        <v>571.98</v>
      </c>
    </row>
    <row r="1055" ht="14.25" customHeight="1">
      <c r="A1055" t="s">
        <v>1137</v>
      </c>
      <c r="B1055" t="s">
        <v>638</v>
      </c>
      <c r="C1055" t="s">
        <v>62</v>
      </c>
      <c r="D1055" t="s">
        <v>63</v>
      </c>
      <c r="E1055">
        <v>3.5</v>
      </c>
      <c r="F1055">
        <v>3.7</v>
      </c>
      <c r="G1055" s="2" t="s">
        <v>67</v>
      </c>
      <c r="H1055" s="2">
        <v>17.0</v>
      </c>
      <c r="I1055" s="2">
        <v>42.0</v>
      </c>
      <c r="J1055" s="37">
        <v>436.42</v>
      </c>
      <c r="K1055" s="2">
        <v>20.0</v>
      </c>
      <c r="L1055" s="2">
        <v>95.0</v>
      </c>
      <c r="M1055" s="37">
        <v>572.7</v>
      </c>
    </row>
    <row r="1056" ht="14.25" customHeight="1">
      <c r="A1056" t="s">
        <v>1118</v>
      </c>
      <c r="B1056" t="s">
        <v>638</v>
      </c>
      <c r="C1056" t="s">
        <v>62</v>
      </c>
      <c r="D1056" t="s">
        <v>63</v>
      </c>
      <c r="E1056">
        <v>4.6</v>
      </c>
      <c r="F1056">
        <v>4.7</v>
      </c>
      <c r="G1056" s="2" t="s">
        <v>67</v>
      </c>
      <c r="H1056" s="2">
        <v>26.0</v>
      </c>
      <c r="I1056" s="2">
        <v>116.0</v>
      </c>
      <c r="J1056" s="37">
        <v>734.76</v>
      </c>
      <c r="K1056" s="2">
        <v>30.0</v>
      </c>
      <c r="L1056" s="2">
        <v>196.0</v>
      </c>
      <c r="M1056" s="37">
        <v>928.6000000000001</v>
      </c>
    </row>
    <row r="1057" ht="14.25" customHeight="1">
      <c r="A1057" t="s">
        <v>1138</v>
      </c>
      <c r="B1057" t="s">
        <v>638</v>
      </c>
      <c r="C1057" t="s">
        <v>62</v>
      </c>
      <c r="D1057" t="s">
        <v>63</v>
      </c>
      <c r="E1057">
        <v>5.0</v>
      </c>
      <c r="F1057">
        <v>6.0</v>
      </c>
      <c r="G1057" s="2" t="s">
        <v>67</v>
      </c>
      <c r="H1057" s="2">
        <v>34.0</v>
      </c>
      <c r="I1057" s="2">
        <v>152.0</v>
      </c>
      <c r="J1057" s="37">
        <v>961.24</v>
      </c>
      <c r="K1057" s="2">
        <v>39.0</v>
      </c>
      <c r="L1057" s="2">
        <v>239.0</v>
      </c>
      <c r="M1057" s="37">
        <v>1186.64</v>
      </c>
    </row>
    <row r="1058" ht="14.25" customHeight="1">
      <c r="A1058" t="s">
        <v>1139</v>
      </c>
      <c r="B1058" t="s">
        <v>638</v>
      </c>
      <c r="C1058" t="s">
        <v>62</v>
      </c>
      <c r="D1058" t="s">
        <v>63</v>
      </c>
      <c r="E1058">
        <v>6.0</v>
      </c>
      <c r="F1058">
        <v>7.2</v>
      </c>
      <c r="G1058" s="2" t="s">
        <v>67</v>
      </c>
      <c r="H1058" s="2">
        <v>39.0</v>
      </c>
      <c r="I1058" s="2">
        <v>125.0</v>
      </c>
      <c r="J1058" s="37">
        <v>1038.44</v>
      </c>
      <c r="K1058" s="2">
        <v>45.0</v>
      </c>
      <c r="L1058" s="2">
        <v>228.0</v>
      </c>
      <c r="M1058" s="37">
        <v>1307.1000000000001</v>
      </c>
    </row>
    <row r="1059" ht="14.25" customHeight="1">
      <c r="A1059" t="s">
        <v>1140</v>
      </c>
      <c r="B1059" t="s">
        <v>638</v>
      </c>
      <c r="C1059" t="s">
        <v>62</v>
      </c>
      <c r="D1059" t="s">
        <v>63</v>
      </c>
      <c r="E1059">
        <v>7.1</v>
      </c>
      <c r="F1059">
        <v>8.0</v>
      </c>
      <c r="G1059" s="2" t="s">
        <v>67</v>
      </c>
      <c r="H1059" s="2">
        <v>43.0</v>
      </c>
      <c r="I1059" s="2">
        <v>120.0</v>
      </c>
      <c r="J1059" s="37">
        <v>1121.7800000000002</v>
      </c>
      <c r="K1059" s="2">
        <v>49.0</v>
      </c>
      <c r="L1059" s="2">
        <v>242.0</v>
      </c>
      <c r="M1059" s="37">
        <v>1415.1399999999999</v>
      </c>
    </row>
    <row r="1060" ht="14.25" customHeight="1">
      <c r="A1060" t="s">
        <v>1141</v>
      </c>
      <c r="B1060" t="s">
        <v>638</v>
      </c>
      <c r="C1060" t="s">
        <v>62</v>
      </c>
      <c r="D1060" t="s">
        <v>63</v>
      </c>
      <c r="E1060">
        <v>2.5</v>
      </c>
      <c r="F1060">
        <v>3.0</v>
      </c>
      <c r="G1060" s="2" t="s">
        <v>64</v>
      </c>
      <c r="H1060" s="2">
        <v>0.0</v>
      </c>
      <c r="I1060" s="2">
        <v>0.0</v>
      </c>
      <c r="J1060" s="37">
        <v>0.0</v>
      </c>
      <c r="K1060" s="2">
        <v>0.0</v>
      </c>
      <c r="L1060" s="2">
        <v>0.0</v>
      </c>
      <c r="M1060" s="37">
        <v>0.0</v>
      </c>
    </row>
    <row r="1061" ht="14.25" customHeight="1">
      <c r="A1061" t="s">
        <v>1142</v>
      </c>
      <c r="B1061" t="s">
        <v>638</v>
      </c>
      <c r="C1061" t="s">
        <v>62</v>
      </c>
      <c r="D1061" t="s">
        <v>63</v>
      </c>
      <c r="E1061">
        <v>3.5</v>
      </c>
      <c r="F1061">
        <v>3.7</v>
      </c>
      <c r="G1061" s="2" t="s">
        <v>64</v>
      </c>
      <c r="H1061" s="2">
        <v>0.0</v>
      </c>
      <c r="I1061" s="2">
        <v>0.0</v>
      </c>
      <c r="J1061" s="37">
        <v>0.0</v>
      </c>
      <c r="K1061" s="2">
        <v>0.0</v>
      </c>
      <c r="L1061" s="2">
        <v>0.0</v>
      </c>
      <c r="M1061" s="37">
        <v>0.0</v>
      </c>
    </row>
    <row r="1062" ht="14.25" customHeight="1">
      <c r="A1062" t="s">
        <v>1143</v>
      </c>
      <c r="B1062" t="s">
        <v>638</v>
      </c>
      <c r="C1062" t="s">
        <v>62</v>
      </c>
      <c r="D1062" t="s">
        <v>63</v>
      </c>
      <c r="E1062">
        <v>4.6</v>
      </c>
      <c r="F1062">
        <v>4.7</v>
      </c>
      <c r="G1062" s="2" t="s">
        <v>64</v>
      </c>
      <c r="H1062" s="2">
        <v>0.0</v>
      </c>
      <c r="I1062" s="2">
        <v>0.0</v>
      </c>
      <c r="J1062" s="37">
        <v>0.0</v>
      </c>
      <c r="K1062" s="2">
        <v>0.0</v>
      </c>
      <c r="L1062" s="2">
        <v>0.0</v>
      </c>
      <c r="M1062" s="37">
        <v>0.0</v>
      </c>
    </row>
    <row r="1063" ht="14.25" customHeight="1">
      <c r="A1063" t="s">
        <v>1144</v>
      </c>
      <c r="B1063" t="s">
        <v>638</v>
      </c>
      <c r="C1063" t="s">
        <v>62</v>
      </c>
      <c r="D1063" t="s">
        <v>63</v>
      </c>
      <c r="E1063">
        <v>5.0</v>
      </c>
      <c r="F1063">
        <v>5.2</v>
      </c>
      <c r="G1063" s="2" t="s">
        <v>64</v>
      </c>
      <c r="H1063" s="2">
        <v>0.0</v>
      </c>
      <c r="I1063" s="2">
        <v>0.0</v>
      </c>
      <c r="J1063" s="37">
        <v>0.0</v>
      </c>
      <c r="K1063" s="2">
        <v>0.0</v>
      </c>
      <c r="L1063" s="2">
        <v>0.0</v>
      </c>
      <c r="M1063" s="37">
        <v>0.0</v>
      </c>
    </row>
    <row r="1064" ht="14.25" customHeight="1">
      <c r="A1064" t="s">
        <v>1145</v>
      </c>
      <c r="B1064" t="s">
        <v>638</v>
      </c>
      <c r="C1064" t="s">
        <v>62</v>
      </c>
      <c r="D1064" t="s">
        <v>63</v>
      </c>
      <c r="E1064">
        <v>6.0</v>
      </c>
      <c r="F1064">
        <v>6.5</v>
      </c>
      <c r="G1064" s="2" t="s">
        <v>64</v>
      </c>
      <c r="H1064" s="2">
        <v>0.0</v>
      </c>
      <c r="I1064" s="2">
        <v>0.0</v>
      </c>
      <c r="J1064" s="37">
        <v>0.0</v>
      </c>
      <c r="K1064" s="2">
        <v>0.0</v>
      </c>
      <c r="L1064" s="2">
        <v>0.0</v>
      </c>
      <c r="M1064" s="37">
        <v>0.0</v>
      </c>
    </row>
    <row r="1065" ht="14.25" customHeight="1">
      <c r="A1065" t="s">
        <v>1146</v>
      </c>
      <c r="B1065" t="s">
        <v>638</v>
      </c>
      <c r="C1065" t="s">
        <v>62</v>
      </c>
      <c r="D1065" t="s">
        <v>63</v>
      </c>
      <c r="E1065">
        <v>7.1</v>
      </c>
      <c r="F1065">
        <v>8.0</v>
      </c>
      <c r="G1065" s="2" t="s">
        <v>64</v>
      </c>
      <c r="H1065" s="2">
        <v>0.0</v>
      </c>
      <c r="I1065" s="2">
        <v>0.0</v>
      </c>
      <c r="J1065" s="37">
        <v>0.0</v>
      </c>
      <c r="K1065" s="2">
        <v>0.0</v>
      </c>
      <c r="L1065" s="2">
        <v>0.0</v>
      </c>
      <c r="M1065" s="37">
        <v>0.0</v>
      </c>
    </row>
    <row r="1066" ht="14.25" customHeight="1">
      <c r="A1066" t="s">
        <v>1147</v>
      </c>
      <c r="B1066" t="s">
        <v>638</v>
      </c>
      <c r="C1066" t="s">
        <v>62</v>
      </c>
      <c r="D1066" t="s">
        <v>63</v>
      </c>
      <c r="E1066">
        <v>2.0</v>
      </c>
      <c r="F1066">
        <v>2.5</v>
      </c>
      <c r="G1066" s="2" t="s">
        <v>64</v>
      </c>
      <c r="H1066" s="2">
        <v>0.0</v>
      </c>
      <c r="I1066" s="2">
        <v>0.0</v>
      </c>
      <c r="J1066" s="37">
        <v>0.0</v>
      </c>
      <c r="K1066" s="2">
        <v>0.0</v>
      </c>
      <c r="L1066" s="2">
        <v>0.0</v>
      </c>
      <c r="M1066" s="37">
        <v>0.0</v>
      </c>
    </row>
    <row r="1067" ht="14.25" customHeight="1">
      <c r="A1067" t="s">
        <v>1148</v>
      </c>
      <c r="B1067" t="s">
        <v>638</v>
      </c>
      <c r="C1067" t="s">
        <v>62</v>
      </c>
      <c r="D1067" t="s">
        <v>63</v>
      </c>
      <c r="E1067">
        <v>2.5</v>
      </c>
      <c r="F1067">
        <v>3.2</v>
      </c>
      <c r="G1067" s="2" t="s">
        <v>67</v>
      </c>
      <c r="H1067" s="2">
        <v>16.0</v>
      </c>
      <c r="I1067" s="2">
        <v>108.0</v>
      </c>
      <c r="J1067" s="37">
        <v>499.76</v>
      </c>
      <c r="K1067" s="2">
        <v>19.0</v>
      </c>
      <c r="L1067" s="2">
        <v>146.0</v>
      </c>
      <c r="M1067" s="37">
        <v>616.54</v>
      </c>
    </row>
    <row r="1068" ht="14.25" customHeight="1">
      <c r="A1068" t="s">
        <v>1149</v>
      </c>
      <c r="B1068" t="s">
        <v>638</v>
      </c>
      <c r="C1068" t="s">
        <v>75</v>
      </c>
      <c r="D1068" t="s">
        <v>63</v>
      </c>
      <c r="E1068">
        <v>18.0</v>
      </c>
      <c r="F1068">
        <v>20.0</v>
      </c>
      <c r="G1068" s="2" t="s">
        <v>67</v>
      </c>
      <c r="H1068" s="2">
        <v>113.0</v>
      </c>
      <c r="I1068" s="2">
        <v>362.0</v>
      </c>
      <c r="J1068" s="37">
        <v>3008.58</v>
      </c>
      <c r="K1068" s="2">
        <v>130.0</v>
      </c>
      <c r="L1068" s="2">
        <v>711.0</v>
      </c>
      <c r="M1068" s="37">
        <v>3844.1000000000004</v>
      </c>
    </row>
    <row r="1069" ht="14.25" customHeight="1">
      <c r="A1069" t="s">
        <v>1150</v>
      </c>
      <c r="B1069" t="s">
        <v>1151</v>
      </c>
      <c r="C1069" t="s">
        <v>62</v>
      </c>
      <c r="D1069" t="s">
        <v>467</v>
      </c>
      <c r="E1069">
        <v>2.7</v>
      </c>
      <c r="F1069">
        <v>2.4</v>
      </c>
      <c r="G1069" s="2" t="s">
        <v>64</v>
      </c>
      <c r="H1069" s="2">
        <v>0.0</v>
      </c>
      <c r="I1069" s="2">
        <v>0.0</v>
      </c>
      <c r="J1069" s="37">
        <v>0.0</v>
      </c>
      <c r="K1069" s="2">
        <v>0.0</v>
      </c>
      <c r="L1069" s="2">
        <v>0.0</v>
      </c>
      <c r="M1069" s="37">
        <v>0.0</v>
      </c>
    </row>
    <row r="1070" ht="14.25" customHeight="1">
      <c r="A1070" t="s">
        <v>1152</v>
      </c>
      <c r="B1070" t="s">
        <v>1153</v>
      </c>
      <c r="C1070" t="s">
        <v>62</v>
      </c>
      <c r="D1070" t="s">
        <v>268</v>
      </c>
      <c r="E1070">
        <v>3.3</v>
      </c>
      <c r="F1070">
        <v>2.9</v>
      </c>
      <c r="G1070" s="2" t="s">
        <v>64</v>
      </c>
      <c r="H1070" s="2">
        <v>0.0</v>
      </c>
      <c r="I1070" s="2">
        <v>0.0</v>
      </c>
      <c r="J1070" s="37">
        <v>0.0</v>
      </c>
      <c r="K1070" s="2">
        <v>0.0</v>
      </c>
      <c r="L1070" s="2">
        <v>0.0</v>
      </c>
      <c r="M1070" s="37">
        <v>0.0</v>
      </c>
    </row>
    <row r="1071" ht="14.25" customHeight="1">
      <c r="A1071" t="s">
        <v>1154</v>
      </c>
      <c r="B1071" t="s">
        <v>1153</v>
      </c>
      <c r="C1071" t="s">
        <v>62</v>
      </c>
      <c r="D1071" t="s">
        <v>268</v>
      </c>
      <c r="E1071">
        <v>4.0</v>
      </c>
      <c r="F1071">
        <v>4.0</v>
      </c>
      <c r="G1071" s="2" t="s">
        <v>64</v>
      </c>
      <c r="H1071" s="2">
        <v>0.0</v>
      </c>
      <c r="I1071" s="2">
        <v>0.0</v>
      </c>
      <c r="J1071" s="37">
        <v>0.0</v>
      </c>
      <c r="K1071" s="2">
        <v>0.0</v>
      </c>
      <c r="L1071" s="2">
        <v>0.0</v>
      </c>
      <c r="M1071" s="37">
        <v>0.0</v>
      </c>
    </row>
    <row r="1072" ht="14.25" customHeight="1">
      <c r="A1072" t="s">
        <v>1155</v>
      </c>
      <c r="B1072" t="s">
        <v>1156</v>
      </c>
      <c r="C1072" t="s">
        <v>62</v>
      </c>
      <c r="D1072" t="s">
        <v>63</v>
      </c>
      <c r="E1072">
        <v>5.25</v>
      </c>
      <c r="F1072">
        <v>5.4</v>
      </c>
      <c r="G1072" s="2" t="s">
        <v>64</v>
      </c>
      <c r="H1072" s="2">
        <v>0.0</v>
      </c>
      <c r="I1072" s="2">
        <v>0.0</v>
      </c>
      <c r="J1072" s="37">
        <v>0.0</v>
      </c>
      <c r="K1072" s="2">
        <v>0.0</v>
      </c>
      <c r="L1072" s="2">
        <v>0.0</v>
      </c>
      <c r="M1072" s="37">
        <v>0.0</v>
      </c>
    </row>
    <row r="1073" ht="14.25" customHeight="1">
      <c r="A1073" t="s">
        <v>1157</v>
      </c>
      <c r="B1073" t="s">
        <v>1153</v>
      </c>
      <c r="C1073" t="s">
        <v>62</v>
      </c>
      <c r="D1073" t="s">
        <v>268</v>
      </c>
      <c r="E1073">
        <v>3.25</v>
      </c>
      <c r="F1073">
        <v>2.81</v>
      </c>
      <c r="G1073" s="2" t="s">
        <v>64</v>
      </c>
      <c r="H1073" s="2">
        <v>0.0</v>
      </c>
      <c r="I1073" s="2">
        <v>0.0</v>
      </c>
      <c r="J1073" s="37">
        <v>0.0</v>
      </c>
      <c r="K1073" s="2">
        <v>0.0</v>
      </c>
      <c r="L1073" s="2">
        <v>0.0</v>
      </c>
      <c r="M1073" s="37">
        <v>0.0</v>
      </c>
    </row>
    <row r="1074" ht="14.25" customHeight="1">
      <c r="A1074" t="s">
        <v>1158</v>
      </c>
      <c r="B1074" t="s">
        <v>1153</v>
      </c>
      <c r="C1074" t="s">
        <v>62</v>
      </c>
      <c r="D1074" t="s">
        <v>268</v>
      </c>
      <c r="E1074">
        <v>2.05</v>
      </c>
      <c r="F1074">
        <v>1.77</v>
      </c>
      <c r="G1074" s="2" t="s">
        <v>64</v>
      </c>
      <c r="H1074" s="2">
        <v>0.0</v>
      </c>
      <c r="I1074" s="2">
        <v>0.0</v>
      </c>
      <c r="J1074" s="37">
        <v>0.0</v>
      </c>
      <c r="K1074" s="2">
        <v>0.0</v>
      </c>
      <c r="L1074" s="2">
        <v>0.0</v>
      </c>
      <c r="M1074" s="37">
        <v>0.0</v>
      </c>
    </row>
    <row r="1075" ht="14.25" customHeight="1">
      <c r="A1075" t="s">
        <v>1159</v>
      </c>
      <c r="B1075" t="s">
        <v>1153</v>
      </c>
      <c r="C1075" t="s">
        <v>62</v>
      </c>
      <c r="D1075" t="s">
        <v>268</v>
      </c>
      <c r="E1075">
        <v>2.637</v>
      </c>
      <c r="F1075">
        <v>2.14</v>
      </c>
      <c r="G1075" s="2" t="s">
        <v>64</v>
      </c>
      <c r="H1075" s="2">
        <v>0.0</v>
      </c>
      <c r="I1075" s="2">
        <v>0.0</v>
      </c>
      <c r="J1075" s="37">
        <v>0.0</v>
      </c>
      <c r="K1075" s="2">
        <v>0.0</v>
      </c>
      <c r="L1075" s="2">
        <v>0.0</v>
      </c>
      <c r="M1075" s="37">
        <v>0.0</v>
      </c>
    </row>
    <row r="1076" ht="14.25" customHeight="1">
      <c r="A1076" t="s">
        <v>1160</v>
      </c>
      <c r="B1076" t="s">
        <v>1153</v>
      </c>
      <c r="C1076" t="s">
        <v>62</v>
      </c>
      <c r="D1076" t="s">
        <v>268</v>
      </c>
      <c r="E1076">
        <v>2.93</v>
      </c>
      <c r="F1076">
        <v>2.49</v>
      </c>
      <c r="G1076" s="2" t="s">
        <v>64</v>
      </c>
      <c r="H1076" s="2">
        <v>0.0</v>
      </c>
      <c r="I1076" s="2">
        <v>0.0</v>
      </c>
      <c r="J1076" s="37">
        <v>0.0</v>
      </c>
      <c r="K1076" s="2">
        <v>0.0</v>
      </c>
      <c r="L1076" s="2">
        <v>0.0</v>
      </c>
      <c r="M1076" s="37">
        <v>0.0</v>
      </c>
    </row>
    <row r="1077" ht="14.25" customHeight="1">
      <c r="A1077" t="s">
        <v>1161</v>
      </c>
      <c r="B1077" t="s">
        <v>1153</v>
      </c>
      <c r="C1077" t="s">
        <v>62</v>
      </c>
      <c r="D1077" t="s">
        <v>268</v>
      </c>
      <c r="E1077">
        <v>4.1</v>
      </c>
      <c r="F1077">
        <v>3.37</v>
      </c>
      <c r="G1077" s="2" t="s">
        <v>64</v>
      </c>
      <c r="H1077" s="2">
        <v>0.0</v>
      </c>
      <c r="I1077" s="2">
        <v>0.0</v>
      </c>
      <c r="J1077" s="37">
        <v>0.0</v>
      </c>
      <c r="K1077" s="2">
        <v>0.0</v>
      </c>
      <c r="L1077" s="2">
        <v>0.0</v>
      </c>
      <c r="M1077" s="37">
        <v>0.0</v>
      </c>
    </row>
    <row r="1078" ht="14.25" customHeight="1">
      <c r="A1078" t="s">
        <v>1162</v>
      </c>
      <c r="B1078" t="s">
        <v>1156</v>
      </c>
      <c r="C1078" t="s">
        <v>62</v>
      </c>
      <c r="D1078" t="s">
        <v>467</v>
      </c>
      <c r="E1078">
        <v>2.7</v>
      </c>
      <c r="F1078">
        <v>2.4</v>
      </c>
      <c r="G1078" s="2" t="s">
        <v>64</v>
      </c>
      <c r="H1078" s="2">
        <v>0.0</v>
      </c>
      <c r="I1078" s="2">
        <v>0.0</v>
      </c>
      <c r="J1078" s="37">
        <v>0.0</v>
      </c>
      <c r="K1078" s="2">
        <v>0.0</v>
      </c>
      <c r="L1078" s="2">
        <v>0.0</v>
      </c>
      <c r="M1078" s="37">
        <v>0.0</v>
      </c>
    </row>
    <row r="1079" ht="14.25" customHeight="1">
      <c r="A1079" t="s">
        <v>1163</v>
      </c>
      <c r="B1079" t="s">
        <v>1156</v>
      </c>
      <c r="C1079" t="s">
        <v>62</v>
      </c>
      <c r="D1079" t="s">
        <v>467</v>
      </c>
      <c r="E1079">
        <v>4.2</v>
      </c>
      <c r="F1079">
        <v>3.6</v>
      </c>
      <c r="G1079" s="2" t="s">
        <v>64</v>
      </c>
      <c r="H1079" s="2">
        <v>0.0</v>
      </c>
      <c r="I1079" s="2">
        <v>0.0</v>
      </c>
      <c r="J1079" s="37">
        <v>0.0</v>
      </c>
      <c r="K1079" s="2">
        <v>0.0</v>
      </c>
      <c r="L1079" s="2">
        <v>0.0</v>
      </c>
      <c r="M1079" s="37">
        <v>0.0</v>
      </c>
    </row>
    <row r="1080" ht="14.25" customHeight="1">
      <c r="A1080" t="s">
        <v>1164</v>
      </c>
      <c r="B1080" t="s">
        <v>1165</v>
      </c>
      <c r="C1080" t="s">
        <v>62</v>
      </c>
      <c r="D1080" t="s">
        <v>63</v>
      </c>
      <c r="E1080">
        <v>3.5</v>
      </c>
      <c r="F1080">
        <v>4.5</v>
      </c>
      <c r="G1080" s="2" t="s">
        <v>64</v>
      </c>
      <c r="H1080" s="2">
        <v>0.0</v>
      </c>
      <c r="I1080" s="2">
        <v>0.0</v>
      </c>
      <c r="J1080" s="37">
        <v>0.0</v>
      </c>
      <c r="K1080" s="2">
        <v>0.0</v>
      </c>
      <c r="L1080" s="2">
        <v>0.0</v>
      </c>
      <c r="M1080" s="37">
        <v>0.0</v>
      </c>
    </row>
    <row r="1081" ht="14.25" customHeight="1">
      <c r="A1081" t="s">
        <v>1166</v>
      </c>
      <c r="B1081" t="s">
        <v>1165</v>
      </c>
      <c r="C1081" t="s">
        <v>62</v>
      </c>
      <c r="D1081" t="s">
        <v>63</v>
      </c>
      <c r="E1081">
        <v>7.2</v>
      </c>
      <c r="F1081">
        <v>7.2</v>
      </c>
      <c r="G1081" s="2" t="s">
        <v>67</v>
      </c>
      <c r="H1081" s="2">
        <v>38.0</v>
      </c>
      <c r="I1081" s="2">
        <v>188.0</v>
      </c>
      <c r="J1081" s="37">
        <v>1097.88</v>
      </c>
      <c r="K1081" s="2">
        <v>44.0</v>
      </c>
      <c r="L1081" s="2">
        <v>312.0</v>
      </c>
      <c r="M1081" s="37">
        <v>1393.8400000000001</v>
      </c>
    </row>
    <row r="1082" ht="14.25" customHeight="1">
      <c r="A1082" t="s">
        <v>1167</v>
      </c>
      <c r="B1082" t="s">
        <v>1165</v>
      </c>
      <c r="C1082" t="s">
        <v>62</v>
      </c>
      <c r="D1082" t="s">
        <v>63</v>
      </c>
      <c r="E1082">
        <v>5.2</v>
      </c>
      <c r="F1082">
        <v>5.2</v>
      </c>
      <c r="G1082" s="2" t="s">
        <v>67</v>
      </c>
      <c r="H1082" s="2">
        <v>28.0</v>
      </c>
      <c r="I1082" s="2">
        <v>120.0</v>
      </c>
      <c r="J1082" s="37">
        <v>784.88</v>
      </c>
      <c r="K1082" s="2">
        <v>32.0</v>
      </c>
      <c r="L1082" s="2">
        <v>210.0</v>
      </c>
      <c r="M1082" s="37">
        <v>991.72</v>
      </c>
    </row>
    <row r="1083" ht="14.25" customHeight="1">
      <c r="A1083" t="s">
        <v>1168</v>
      </c>
      <c r="B1083" t="s">
        <v>1165</v>
      </c>
      <c r="C1083" t="s">
        <v>62</v>
      </c>
      <c r="D1083" t="s">
        <v>63</v>
      </c>
      <c r="E1083">
        <v>2.64</v>
      </c>
      <c r="F1083">
        <v>4.05</v>
      </c>
      <c r="G1083" s="2" t="s">
        <v>64</v>
      </c>
      <c r="H1083" s="2">
        <v>0.0</v>
      </c>
      <c r="I1083" s="2">
        <v>0.0</v>
      </c>
      <c r="J1083" s="37">
        <v>0.0</v>
      </c>
      <c r="K1083" s="2">
        <v>0.0</v>
      </c>
      <c r="L1083" s="2">
        <v>0.0</v>
      </c>
      <c r="M1083" s="37">
        <v>0.0</v>
      </c>
    </row>
    <row r="1084" ht="14.25" customHeight="1">
      <c r="A1084" t="s">
        <v>1169</v>
      </c>
      <c r="B1084" t="s">
        <v>1165</v>
      </c>
      <c r="C1084" t="s">
        <v>62</v>
      </c>
      <c r="D1084" t="s">
        <v>467</v>
      </c>
      <c r="E1084">
        <v>2.7</v>
      </c>
      <c r="F1084">
        <v>2.4</v>
      </c>
      <c r="G1084" s="2" t="s">
        <v>64</v>
      </c>
      <c r="H1084" s="2">
        <v>0.0</v>
      </c>
      <c r="I1084" s="2">
        <v>0.0</v>
      </c>
      <c r="J1084" s="37">
        <v>0.0</v>
      </c>
      <c r="K1084" s="2">
        <v>0.0</v>
      </c>
      <c r="L1084" s="2">
        <v>0.0</v>
      </c>
      <c r="M1084" s="37">
        <v>0.0</v>
      </c>
    </row>
    <row r="1085" ht="14.25" customHeight="1">
      <c r="A1085" t="s">
        <v>1170</v>
      </c>
      <c r="B1085" t="s">
        <v>1165</v>
      </c>
      <c r="C1085" t="s">
        <v>62</v>
      </c>
      <c r="D1085" t="s">
        <v>467</v>
      </c>
      <c r="E1085">
        <v>4.2</v>
      </c>
      <c r="F1085">
        <v>3.6</v>
      </c>
      <c r="G1085" s="2" t="s">
        <v>64</v>
      </c>
      <c r="H1085" s="2">
        <v>0.0</v>
      </c>
      <c r="I1085" s="2">
        <v>0.0</v>
      </c>
      <c r="J1085" s="37">
        <v>0.0</v>
      </c>
      <c r="K1085" s="2">
        <v>0.0</v>
      </c>
      <c r="L1085" s="2">
        <v>0.0</v>
      </c>
      <c r="M1085" s="37">
        <v>0.0</v>
      </c>
    </row>
    <row r="1086" ht="14.25" customHeight="1">
      <c r="A1086" t="s">
        <v>1171</v>
      </c>
      <c r="B1086" t="s">
        <v>1165</v>
      </c>
      <c r="C1086" t="s">
        <v>62</v>
      </c>
      <c r="D1086" t="s">
        <v>63</v>
      </c>
      <c r="E1086">
        <v>2.64</v>
      </c>
      <c r="F1086">
        <v>3.3</v>
      </c>
      <c r="G1086" s="2" t="s">
        <v>67</v>
      </c>
      <c r="H1086" s="2">
        <v>16.0</v>
      </c>
      <c r="I1086" s="2">
        <v>90.0</v>
      </c>
      <c r="J1086" s="37">
        <v>476.36</v>
      </c>
      <c r="K1086" s="2">
        <v>19.0</v>
      </c>
      <c r="L1086" s="2">
        <v>130.0</v>
      </c>
      <c r="M1086" s="37">
        <v>595.74</v>
      </c>
    </row>
    <row r="1087" ht="14.25" customHeight="1">
      <c r="A1087" t="s">
        <v>1172</v>
      </c>
      <c r="B1087" t="s">
        <v>1165</v>
      </c>
      <c r="C1087" t="s">
        <v>62</v>
      </c>
      <c r="D1087" t="s">
        <v>63</v>
      </c>
      <c r="E1087">
        <v>3.53</v>
      </c>
      <c r="F1087">
        <v>3.65</v>
      </c>
      <c r="G1087" s="2" t="s">
        <v>67</v>
      </c>
      <c r="H1087" s="2">
        <v>18.0</v>
      </c>
      <c r="I1087" s="2">
        <v>52.0</v>
      </c>
      <c r="J1087" s="37">
        <v>471.88000000000005</v>
      </c>
      <c r="K1087" s="2">
        <v>20.0</v>
      </c>
      <c r="L1087" s="2">
        <v>106.0</v>
      </c>
      <c r="M1087" s="37">
        <v>587.0</v>
      </c>
    </row>
    <row r="1088" ht="14.25" customHeight="1">
      <c r="A1088" t="s">
        <v>1173</v>
      </c>
      <c r="B1088" t="s">
        <v>1165</v>
      </c>
      <c r="C1088" t="s">
        <v>62</v>
      </c>
      <c r="D1088" t="s">
        <v>63</v>
      </c>
      <c r="E1088">
        <v>5.3</v>
      </c>
      <c r="F1088">
        <v>5.3</v>
      </c>
      <c r="G1088" s="2" t="s">
        <v>67</v>
      </c>
      <c r="H1088" s="2">
        <v>31.0</v>
      </c>
      <c r="I1088" s="2">
        <v>193.0</v>
      </c>
      <c r="J1088" s="37">
        <v>947.16</v>
      </c>
      <c r="K1088" s="2">
        <v>35.0</v>
      </c>
      <c r="L1088" s="2">
        <v>285.0</v>
      </c>
      <c r="M1088" s="37">
        <v>1156.6</v>
      </c>
    </row>
    <row r="1089" ht="14.25" customHeight="1">
      <c r="A1089" t="s">
        <v>1174</v>
      </c>
      <c r="B1089" t="s">
        <v>1165</v>
      </c>
      <c r="C1089" t="s">
        <v>62</v>
      </c>
      <c r="D1089" t="s">
        <v>63</v>
      </c>
      <c r="E1089">
        <v>7.2</v>
      </c>
      <c r="F1089">
        <v>7.3</v>
      </c>
      <c r="G1089" s="2" t="s">
        <v>67</v>
      </c>
      <c r="H1089" s="2">
        <v>40.0</v>
      </c>
      <c r="I1089" s="2">
        <v>81.0</v>
      </c>
      <c r="J1089" s="37">
        <v>1003.7</v>
      </c>
      <c r="K1089" s="2">
        <v>46.0</v>
      </c>
      <c r="L1089" s="2">
        <v>205.0</v>
      </c>
      <c r="M1089" s="37">
        <v>1299.66</v>
      </c>
    </row>
    <row r="1090" ht="14.25" customHeight="1">
      <c r="A1090" t="s">
        <v>1175</v>
      </c>
      <c r="B1090" t="s">
        <v>1176</v>
      </c>
      <c r="C1090" t="s">
        <v>62</v>
      </c>
      <c r="D1090" t="s">
        <v>258</v>
      </c>
      <c r="E1090">
        <v>2.35</v>
      </c>
      <c r="F1090">
        <v>2.63</v>
      </c>
      <c r="G1090" s="2" t="s">
        <v>64</v>
      </c>
      <c r="H1090" s="2">
        <v>0.0</v>
      </c>
      <c r="I1090" s="2">
        <v>0.0</v>
      </c>
      <c r="J1090" s="37">
        <v>0.0</v>
      </c>
      <c r="K1090" s="2">
        <v>0.0</v>
      </c>
      <c r="L1090" s="2">
        <v>0.0</v>
      </c>
      <c r="M1090" s="37">
        <v>0.0</v>
      </c>
    </row>
    <row r="1091" ht="14.25" customHeight="1">
      <c r="A1091" t="s">
        <v>1177</v>
      </c>
      <c r="B1091" t="s">
        <v>1176</v>
      </c>
      <c r="C1091" t="s">
        <v>62</v>
      </c>
      <c r="D1091" t="s">
        <v>258</v>
      </c>
      <c r="E1091">
        <v>2.35</v>
      </c>
      <c r="F1091">
        <v>2.63</v>
      </c>
      <c r="G1091" s="2" t="s">
        <v>64</v>
      </c>
      <c r="H1091" s="2">
        <v>0.0</v>
      </c>
      <c r="I1091" s="2">
        <v>0.0</v>
      </c>
      <c r="J1091" s="37">
        <v>0.0</v>
      </c>
      <c r="K1091" s="2">
        <v>0.0</v>
      </c>
      <c r="L1091" s="2">
        <v>0.0</v>
      </c>
      <c r="M1091" s="37">
        <v>0.0</v>
      </c>
    </row>
    <row r="1092" ht="14.25" customHeight="1">
      <c r="A1092" t="s">
        <v>1178</v>
      </c>
      <c r="B1092" t="s">
        <v>1176</v>
      </c>
      <c r="C1092" t="s">
        <v>62</v>
      </c>
      <c r="D1092" t="s">
        <v>258</v>
      </c>
      <c r="E1092">
        <v>2.35</v>
      </c>
      <c r="F1092">
        <v>2.63</v>
      </c>
      <c r="G1092" s="2" t="s">
        <v>64</v>
      </c>
      <c r="H1092" s="2">
        <v>0.0</v>
      </c>
      <c r="I1092" s="2">
        <v>0.0</v>
      </c>
      <c r="J1092" s="37">
        <v>0.0</v>
      </c>
      <c r="K1092" s="2">
        <v>0.0</v>
      </c>
      <c r="L1092" s="2">
        <v>0.0</v>
      </c>
      <c r="M1092" s="37">
        <v>0.0</v>
      </c>
    </row>
    <row r="1093" ht="14.25" customHeight="1">
      <c r="A1093" t="s">
        <v>1176</v>
      </c>
      <c r="B1093" t="s">
        <v>1176</v>
      </c>
      <c r="C1093" t="s">
        <v>62</v>
      </c>
      <c r="D1093" t="s">
        <v>258</v>
      </c>
      <c r="E1093">
        <v>2.35</v>
      </c>
      <c r="F1093">
        <v>2.63</v>
      </c>
      <c r="G1093" s="2" t="s">
        <v>64</v>
      </c>
      <c r="H1093" s="2">
        <v>0.0</v>
      </c>
      <c r="I1093" s="2">
        <v>0.0</v>
      </c>
      <c r="J1093" s="37">
        <v>0.0</v>
      </c>
      <c r="K1093" s="2">
        <v>0.0</v>
      </c>
      <c r="L1093" s="2">
        <v>0.0</v>
      </c>
      <c r="M1093" s="37">
        <v>0.0</v>
      </c>
    </row>
    <row r="1094" ht="14.25" customHeight="1">
      <c r="A1094" t="s">
        <v>1179</v>
      </c>
      <c r="B1094" t="s">
        <v>1180</v>
      </c>
      <c r="C1094" t="s">
        <v>62</v>
      </c>
      <c r="D1094" t="s">
        <v>268</v>
      </c>
      <c r="E1094">
        <v>1.5</v>
      </c>
      <c r="F1094">
        <v>1.8</v>
      </c>
      <c r="G1094" s="2" t="s">
        <v>64</v>
      </c>
      <c r="H1094" s="2">
        <v>0.0</v>
      </c>
      <c r="I1094" s="2">
        <v>0.0</v>
      </c>
      <c r="J1094" s="37">
        <v>0.0</v>
      </c>
      <c r="K1094" s="2">
        <v>0.0</v>
      </c>
      <c r="L1094" s="2">
        <v>0.0</v>
      </c>
      <c r="M1094" s="37">
        <v>0.0</v>
      </c>
    </row>
    <row r="1095" ht="14.25" customHeight="1">
      <c r="A1095" t="s">
        <v>1181</v>
      </c>
      <c r="B1095" t="s">
        <v>1182</v>
      </c>
      <c r="C1095" t="s">
        <v>62</v>
      </c>
      <c r="D1095" t="s">
        <v>63</v>
      </c>
      <c r="E1095">
        <v>2.8</v>
      </c>
      <c r="F1095">
        <v>2.65</v>
      </c>
      <c r="G1095" s="2" t="s">
        <v>67</v>
      </c>
      <c r="H1095" s="2">
        <v>14.0</v>
      </c>
      <c r="I1095" s="2">
        <v>128.0</v>
      </c>
      <c r="J1095" s="37">
        <v>480.84000000000003</v>
      </c>
      <c r="K1095" s="2">
        <v>16.0</v>
      </c>
      <c r="L1095" s="2">
        <v>171.0</v>
      </c>
      <c r="M1095" s="37">
        <v>581.6600000000001</v>
      </c>
    </row>
    <row r="1096" ht="14.25" customHeight="1">
      <c r="A1096" t="s">
        <v>1183</v>
      </c>
      <c r="B1096" t="s">
        <v>1184</v>
      </c>
      <c r="C1096" t="s">
        <v>62</v>
      </c>
      <c r="D1096" t="s">
        <v>63</v>
      </c>
      <c r="E1096">
        <v>7.6</v>
      </c>
      <c r="F1096">
        <v>9.6</v>
      </c>
      <c r="G1096" s="2" t="s">
        <v>67</v>
      </c>
      <c r="H1096" s="2">
        <v>50.0</v>
      </c>
      <c r="I1096" s="2">
        <v>336.0</v>
      </c>
      <c r="J1096" s="37">
        <v>1559.8</v>
      </c>
      <c r="K1096" s="2">
        <v>57.0</v>
      </c>
      <c r="L1096" s="2">
        <v>467.0</v>
      </c>
      <c r="M1096" s="37">
        <v>1887.3200000000002</v>
      </c>
    </row>
    <row r="1097" ht="14.25" customHeight="1">
      <c r="A1097" t="s">
        <v>1185</v>
      </c>
      <c r="B1097" t="s">
        <v>1184</v>
      </c>
      <c r="C1097" t="s">
        <v>62</v>
      </c>
      <c r="D1097" t="s">
        <v>63</v>
      </c>
      <c r="E1097">
        <v>9.9</v>
      </c>
      <c r="F1097">
        <v>11.5</v>
      </c>
      <c r="G1097" s="2" t="s">
        <v>67</v>
      </c>
      <c r="H1097" s="2">
        <v>63.0</v>
      </c>
      <c r="I1097" s="2">
        <v>445.0</v>
      </c>
      <c r="J1097" s="37">
        <v>1993.48</v>
      </c>
      <c r="K1097" s="2">
        <v>72.0</v>
      </c>
      <c r="L1097" s="2">
        <v>616.0</v>
      </c>
      <c r="M1097" s="37">
        <v>2417.92</v>
      </c>
    </row>
    <row r="1098" ht="14.25" customHeight="1">
      <c r="A1098" t="s">
        <v>1186</v>
      </c>
      <c r="B1098" t="s">
        <v>1187</v>
      </c>
      <c r="C1098" t="s">
        <v>62</v>
      </c>
      <c r="D1098" t="s">
        <v>63</v>
      </c>
      <c r="E1098">
        <v>5.0</v>
      </c>
      <c r="F1098">
        <v>5.3</v>
      </c>
      <c r="G1098" s="2" t="s">
        <v>67</v>
      </c>
      <c r="H1098" s="2">
        <v>30.0</v>
      </c>
      <c r="I1098" s="2">
        <v>180.0</v>
      </c>
      <c r="J1098" s="37">
        <v>907.8000000000001</v>
      </c>
      <c r="K1098" s="2">
        <v>34.0</v>
      </c>
      <c r="L1098" s="2">
        <v>267.0</v>
      </c>
      <c r="M1098" s="37">
        <v>1110.74</v>
      </c>
    </row>
    <row r="1099" ht="14.25" customHeight="1">
      <c r="A1099" t="s">
        <v>1188</v>
      </c>
      <c r="B1099" t="s">
        <v>1187</v>
      </c>
      <c r="C1099" t="s">
        <v>62</v>
      </c>
      <c r="D1099" t="s">
        <v>63</v>
      </c>
      <c r="E1099">
        <v>2.5</v>
      </c>
      <c r="F1099">
        <v>3.2</v>
      </c>
      <c r="G1099" s="2" t="s">
        <v>67</v>
      </c>
      <c r="H1099" s="2">
        <v>16.0</v>
      </c>
      <c r="I1099" s="2">
        <v>91.0</v>
      </c>
      <c r="J1099" s="37">
        <v>477.66</v>
      </c>
      <c r="K1099" s="2">
        <v>18.0</v>
      </c>
      <c r="L1099" s="2">
        <v>129.0</v>
      </c>
      <c r="M1099" s="37">
        <v>571.98</v>
      </c>
    </row>
    <row r="1100" ht="14.25" customHeight="1">
      <c r="A1100" t="s">
        <v>1189</v>
      </c>
      <c r="B1100" t="s">
        <v>1187</v>
      </c>
      <c r="C1100" t="s">
        <v>62</v>
      </c>
      <c r="D1100" t="s">
        <v>63</v>
      </c>
      <c r="E1100">
        <v>7.2</v>
      </c>
      <c r="F1100">
        <v>7.5</v>
      </c>
      <c r="G1100" s="2" t="s">
        <v>67</v>
      </c>
      <c r="H1100" s="2">
        <v>41.0</v>
      </c>
      <c r="I1100" s="2">
        <v>222.0</v>
      </c>
      <c r="J1100" s="37">
        <v>1209.46</v>
      </c>
      <c r="K1100" s="2">
        <v>47.0</v>
      </c>
      <c r="L1100" s="2">
        <v>346.0</v>
      </c>
      <c r="M1100" s="37">
        <v>1505.42</v>
      </c>
    </row>
    <row r="1101" ht="14.25" customHeight="1">
      <c r="A1101" t="s">
        <v>1190</v>
      </c>
      <c r="B1101" t="s">
        <v>1187</v>
      </c>
      <c r="C1101" t="s">
        <v>62</v>
      </c>
      <c r="D1101" t="s">
        <v>63</v>
      </c>
      <c r="E1101">
        <v>3.5</v>
      </c>
      <c r="F1101">
        <v>3.7</v>
      </c>
      <c r="G1101" s="2" t="s">
        <v>67</v>
      </c>
      <c r="H1101" s="2">
        <v>18.0</v>
      </c>
      <c r="I1101" s="2">
        <v>82.0</v>
      </c>
      <c r="J1101" s="37">
        <v>510.88000000000005</v>
      </c>
      <c r="K1101" s="2">
        <v>21.0</v>
      </c>
      <c r="L1101" s="2">
        <v>135.0</v>
      </c>
      <c r="M1101" s="37">
        <v>647.1600000000001</v>
      </c>
    </row>
    <row r="1102" ht="14.25" customHeight="1">
      <c r="A1102" t="s">
        <v>1191</v>
      </c>
      <c r="B1102" t="s">
        <v>1187</v>
      </c>
      <c r="C1102" t="s">
        <v>75</v>
      </c>
      <c r="D1102" t="s">
        <v>63</v>
      </c>
      <c r="E1102">
        <v>16.0</v>
      </c>
      <c r="F1102">
        <v>18.9</v>
      </c>
      <c r="G1102" s="2" t="s">
        <v>67</v>
      </c>
      <c r="H1102" s="2">
        <v>97.0</v>
      </c>
      <c r="I1102" s="2">
        <v>216.0</v>
      </c>
      <c r="J1102" s="37">
        <v>2459.42</v>
      </c>
      <c r="K1102" s="2">
        <v>114.0</v>
      </c>
      <c r="L1102" s="2">
        <v>526.0</v>
      </c>
      <c r="M1102" s="37">
        <v>3244.2400000000002</v>
      </c>
    </row>
    <row r="1103" ht="14.25" customHeight="1">
      <c r="A1103" t="s">
        <v>1192</v>
      </c>
      <c r="B1103" t="s">
        <v>1193</v>
      </c>
      <c r="C1103" t="s">
        <v>62</v>
      </c>
      <c r="D1103" t="s">
        <v>63</v>
      </c>
      <c r="E1103">
        <v>2.8</v>
      </c>
      <c r="F1103">
        <v>2.65</v>
      </c>
      <c r="G1103" s="2" t="s">
        <v>67</v>
      </c>
      <c r="H1103" s="2">
        <v>14.0</v>
      </c>
      <c r="I1103" s="2">
        <v>128.0</v>
      </c>
      <c r="J1103" s="37">
        <v>480.84000000000003</v>
      </c>
      <c r="K1103" s="2">
        <v>16.0</v>
      </c>
      <c r="L1103" s="2">
        <v>171.0</v>
      </c>
      <c r="M1103" s="37">
        <v>581.6600000000001</v>
      </c>
    </row>
    <row r="1104" ht="14.25" customHeight="1">
      <c r="A1104" t="s">
        <v>1194</v>
      </c>
      <c r="B1104" t="s">
        <v>1193</v>
      </c>
      <c r="C1104" t="s">
        <v>62</v>
      </c>
      <c r="D1104" t="s">
        <v>63</v>
      </c>
      <c r="E1104">
        <v>5.2</v>
      </c>
      <c r="F1104">
        <v>5.2</v>
      </c>
      <c r="G1104" s="2" t="s">
        <v>67</v>
      </c>
      <c r="H1104" s="2">
        <v>28.0</v>
      </c>
      <c r="I1104" s="2">
        <v>120.0</v>
      </c>
      <c r="J1104" s="37">
        <v>784.88</v>
      </c>
      <c r="K1104" s="2">
        <v>32.0</v>
      </c>
      <c r="L1104" s="2">
        <v>210.0</v>
      </c>
      <c r="M1104" s="37">
        <v>991.72</v>
      </c>
    </row>
    <row r="1105" ht="14.25" customHeight="1">
      <c r="A1105" t="s">
        <v>1195</v>
      </c>
      <c r="B1105" t="s">
        <v>1193</v>
      </c>
      <c r="C1105" t="s">
        <v>62</v>
      </c>
      <c r="D1105" t="s">
        <v>63</v>
      </c>
      <c r="E1105">
        <v>7.2</v>
      </c>
      <c r="F1105">
        <v>7.2</v>
      </c>
      <c r="G1105" s="2" t="s">
        <v>67</v>
      </c>
      <c r="H1105" s="2">
        <v>38.0</v>
      </c>
      <c r="I1105" s="2">
        <v>188.0</v>
      </c>
      <c r="J1105" s="37">
        <v>1097.88</v>
      </c>
      <c r="K1105" s="2">
        <v>44.0</v>
      </c>
      <c r="L1105" s="2">
        <v>312.0</v>
      </c>
      <c r="M1105" s="37">
        <v>1393.8400000000001</v>
      </c>
    </row>
    <row r="1106" ht="14.25" customHeight="1">
      <c r="A1106" t="s">
        <v>1196</v>
      </c>
      <c r="B1106" t="s">
        <v>1193</v>
      </c>
      <c r="C1106" t="s">
        <v>62</v>
      </c>
      <c r="D1106" t="s">
        <v>63</v>
      </c>
      <c r="E1106">
        <v>8.2</v>
      </c>
      <c r="F1106">
        <v>8.5</v>
      </c>
      <c r="G1106" s="2" t="s">
        <v>67</v>
      </c>
      <c r="H1106" s="2">
        <v>45.0</v>
      </c>
      <c r="I1106" s="2">
        <v>138.0</v>
      </c>
      <c r="J1106" s="37">
        <v>1190.1000000000001</v>
      </c>
      <c r="K1106" s="2">
        <v>52.0</v>
      </c>
      <c r="L1106" s="2">
        <v>279.0</v>
      </c>
      <c r="M1106" s="37">
        <v>1530.6200000000001</v>
      </c>
    </row>
    <row r="1107" ht="14.25" customHeight="1">
      <c r="A1107" t="s">
        <v>1197</v>
      </c>
      <c r="B1107" t="s">
        <v>1198</v>
      </c>
      <c r="C1107" t="s">
        <v>62</v>
      </c>
      <c r="D1107" t="s">
        <v>63</v>
      </c>
      <c r="E1107">
        <v>2.69</v>
      </c>
      <c r="F1107">
        <v>2.6</v>
      </c>
      <c r="G1107" s="2" t="s">
        <v>64</v>
      </c>
      <c r="H1107" s="2">
        <v>0.0</v>
      </c>
      <c r="I1107" s="2">
        <v>0.0</v>
      </c>
      <c r="J1107" s="37">
        <v>0.0</v>
      </c>
      <c r="K1107" s="2">
        <v>0.0</v>
      </c>
      <c r="L1107" s="2">
        <v>0.0</v>
      </c>
      <c r="M1107" s="37">
        <v>0.0</v>
      </c>
    </row>
    <row r="1108" ht="14.25" customHeight="1">
      <c r="A1108" t="s">
        <v>1199</v>
      </c>
      <c r="B1108" t="s">
        <v>1198</v>
      </c>
      <c r="C1108" t="s">
        <v>62</v>
      </c>
      <c r="D1108" t="s">
        <v>467</v>
      </c>
      <c r="E1108">
        <v>2.6</v>
      </c>
      <c r="F1108">
        <v>2.4</v>
      </c>
      <c r="G1108" s="2" t="s">
        <v>64</v>
      </c>
      <c r="H1108" s="2">
        <v>0.0</v>
      </c>
      <c r="I1108" s="2">
        <v>0.0</v>
      </c>
      <c r="J1108" s="37">
        <v>0.0</v>
      </c>
      <c r="K1108" s="2">
        <v>0.0</v>
      </c>
      <c r="L1108" s="2">
        <v>0.0</v>
      </c>
      <c r="M1108" s="37">
        <v>0.0</v>
      </c>
    </row>
    <row r="1109" ht="14.25" customHeight="1">
      <c r="A1109" t="s">
        <v>1200</v>
      </c>
      <c r="B1109" t="s">
        <v>1198</v>
      </c>
      <c r="C1109" t="s">
        <v>62</v>
      </c>
      <c r="D1109" t="s">
        <v>63</v>
      </c>
      <c r="E1109">
        <v>2.64</v>
      </c>
      <c r="F1109">
        <v>4.05</v>
      </c>
      <c r="G1109" s="2" t="s">
        <v>64</v>
      </c>
      <c r="H1109" s="2">
        <v>0.0</v>
      </c>
      <c r="I1109" s="2">
        <v>0.0</v>
      </c>
      <c r="J1109" s="37">
        <v>0.0</v>
      </c>
      <c r="K1109" s="2">
        <v>0.0</v>
      </c>
      <c r="L1109" s="2">
        <v>0.0</v>
      </c>
      <c r="M1109" s="37">
        <v>0.0</v>
      </c>
    </row>
    <row r="1110" ht="14.25" customHeight="1">
      <c r="A1110" t="s">
        <v>1201</v>
      </c>
      <c r="B1110" t="s">
        <v>1198</v>
      </c>
      <c r="C1110" t="s">
        <v>62</v>
      </c>
      <c r="D1110" t="s">
        <v>467</v>
      </c>
      <c r="E1110">
        <v>2.7</v>
      </c>
      <c r="F1110">
        <v>2.4</v>
      </c>
      <c r="G1110" s="2" t="s">
        <v>64</v>
      </c>
      <c r="H1110" s="2">
        <v>0.0</v>
      </c>
      <c r="I1110" s="2">
        <v>0.0</v>
      </c>
      <c r="J1110" s="37">
        <v>0.0</v>
      </c>
      <c r="K1110" s="2">
        <v>0.0</v>
      </c>
      <c r="L1110" s="2">
        <v>0.0</v>
      </c>
      <c r="M1110" s="37">
        <v>0.0</v>
      </c>
    </row>
    <row r="1111" ht="14.25" customHeight="1">
      <c r="A1111" t="s">
        <v>1202</v>
      </c>
      <c r="B1111" t="s">
        <v>1203</v>
      </c>
      <c r="C1111" t="s">
        <v>62</v>
      </c>
      <c r="D1111" t="s">
        <v>268</v>
      </c>
      <c r="E1111">
        <v>4.1</v>
      </c>
      <c r="F1111">
        <v>3.3</v>
      </c>
      <c r="G1111" s="2" t="s">
        <v>64</v>
      </c>
      <c r="H1111" s="2">
        <v>0.0</v>
      </c>
      <c r="I1111" s="2">
        <v>0.0</v>
      </c>
      <c r="J1111" s="37">
        <v>0.0</v>
      </c>
      <c r="K1111" s="2">
        <v>0.0</v>
      </c>
      <c r="L1111" s="2">
        <v>0.0</v>
      </c>
      <c r="M1111" s="37">
        <v>0.0</v>
      </c>
    </row>
    <row r="1112" ht="14.25" customHeight="1">
      <c r="A1112" t="s">
        <v>1204</v>
      </c>
      <c r="B1112" t="s">
        <v>1205</v>
      </c>
      <c r="C1112" t="s">
        <v>62</v>
      </c>
      <c r="D1112" t="s">
        <v>63</v>
      </c>
      <c r="E1112">
        <v>5.0</v>
      </c>
      <c r="F1112">
        <v>6.0</v>
      </c>
      <c r="G1112" s="2" t="s">
        <v>64</v>
      </c>
      <c r="H1112" s="2">
        <v>0.0</v>
      </c>
      <c r="I1112" s="2">
        <v>0.0</v>
      </c>
      <c r="J1112" s="37">
        <v>0.0</v>
      </c>
      <c r="K1112" s="2">
        <v>0.0</v>
      </c>
      <c r="L1112" s="2">
        <v>0.0</v>
      </c>
      <c r="M1112" s="37">
        <v>0.0</v>
      </c>
    </row>
    <row r="1113" ht="14.25" customHeight="1">
      <c r="A1113" t="s">
        <v>1206</v>
      </c>
      <c r="B1113" t="s">
        <v>1205</v>
      </c>
      <c r="C1113" t="s">
        <v>62</v>
      </c>
      <c r="D1113" t="s">
        <v>63</v>
      </c>
      <c r="E1113">
        <v>3.5</v>
      </c>
      <c r="F1113">
        <v>4.0</v>
      </c>
      <c r="G1113" s="2" t="s">
        <v>64</v>
      </c>
      <c r="H1113" s="2">
        <v>0.0</v>
      </c>
      <c r="I1113" s="2">
        <v>0.0</v>
      </c>
      <c r="J1113" s="37">
        <v>0.0</v>
      </c>
      <c r="K1113" s="2">
        <v>0.0</v>
      </c>
      <c r="L1113" s="2">
        <v>0.0</v>
      </c>
      <c r="M1113" s="37">
        <v>0.0</v>
      </c>
    </row>
    <row r="1114" ht="14.25" customHeight="1">
      <c r="A1114" t="s">
        <v>1207</v>
      </c>
      <c r="B1114" t="s">
        <v>1205</v>
      </c>
      <c r="C1114" t="s">
        <v>62</v>
      </c>
      <c r="D1114" t="s">
        <v>63</v>
      </c>
      <c r="E1114">
        <v>2.5</v>
      </c>
      <c r="F1114">
        <v>3.2</v>
      </c>
      <c r="G1114" s="2" t="s">
        <v>64</v>
      </c>
      <c r="H1114" s="2">
        <v>0.0</v>
      </c>
      <c r="I1114" s="2">
        <v>0.0</v>
      </c>
      <c r="J1114" s="37">
        <v>0.0</v>
      </c>
      <c r="K1114" s="2">
        <v>0.0</v>
      </c>
      <c r="L1114" s="2">
        <v>0.0</v>
      </c>
      <c r="M1114" s="37">
        <v>0.0</v>
      </c>
    </row>
    <row r="1115" ht="14.25" customHeight="1">
      <c r="A1115" t="s">
        <v>1208</v>
      </c>
      <c r="B1115" t="s">
        <v>1205</v>
      </c>
      <c r="C1115" t="s">
        <v>75</v>
      </c>
      <c r="D1115" t="s">
        <v>63</v>
      </c>
      <c r="E1115">
        <v>5.0</v>
      </c>
      <c r="F1115">
        <v>6.0</v>
      </c>
      <c r="G1115" s="2" t="s">
        <v>67</v>
      </c>
      <c r="H1115" s="2">
        <v>31.0</v>
      </c>
      <c r="I1115" s="2">
        <v>130.0</v>
      </c>
      <c r="J1115" s="37">
        <v>865.26</v>
      </c>
      <c r="K1115" s="2">
        <v>37.0</v>
      </c>
      <c r="L1115" s="2">
        <v>227.0</v>
      </c>
      <c r="M1115" s="37">
        <v>1126.12</v>
      </c>
    </row>
    <row r="1116" ht="14.25" customHeight="1">
      <c r="A1116" t="s">
        <v>1209</v>
      </c>
      <c r="B1116" t="s">
        <v>1205</v>
      </c>
      <c r="C1116" t="s">
        <v>75</v>
      </c>
      <c r="D1116" t="s">
        <v>63</v>
      </c>
      <c r="E1116">
        <v>5.0</v>
      </c>
      <c r="F1116">
        <v>6.0</v>
      </c>
      <c r="G1116" s="2" t="s">
        <v>64</v>
      </c>
      <c r="H1116" s="2">
        <v>0.0</v>
      </c>
      <c r="I1116" s="2">
        <v>0.0</v>
      </c>
      <c r="J1116" s="37">
        <v>0.0</v>
      </c>
      <c r="K1116" s="2">
        <v>0.0</v>
      </c>
      <c r="L1116" s="2">
        <v>0.0</v>
      </c>
      <c r="M1116" s="37">
        <v>0.0</v>
      </c>
    </row>
    <row r="1117" ht="14.25" customHeight="1">
      <c r="A1117" t="s">
        <v>1210</v>
      </c>
      <c r="B1117" t="s">
        <v>1205</v>
      </c>
      <c r="C1117" t="s">
        <v>75</v>
      </c>
      <c r="D1117" t="s">
        <v>63</v>
      </c>
      <c r="E1117">
        <v>3.5</v>
      </c>
      <c r="F1117">
        <v>4.0</v>
      </c>
      <c r="G1117" s="2" t="s">
        <v>67</v>
      </c>
      <c r="H1117" s="2">
        <v>21.0</v>
      </c>
      <c r="I1117" s="2">
        <v>111.0</v>
      </c>
      <c r="J1117" s="37">
        <v>615.96</v>
      </c>
      <c r="K1117" s="2">
        <v>25.0</v>
      </c>
      <c r="L1117" s="2">
        <v>179.0</v>
      </c>
      <c r="M1117" s="37">
        <v>794.2</v>
      </c>
    </row>
    <row r="1118" ht="14.25" customHeight="1">
      <c r="A1118" t="s">
        <v>1211</v>
      </c>
      <c r="B1118" t="s">
        <v>1205</v>
      </c>
      <c r="C1118" t="s">
        <v>75</v>
      </c>
      <c r="D1118" t="s">
        <v>63</v>
      </c>
      <c r="E1118">
        <v>3.5</v>
      </c>
      <c r="F1118">
        <v>4.0</v>
      </c>
      <c r="G1118" s="2" t="s">
        <v>64</v>
      </c>
      <c r="H1118" s="2">
        <v>0.0</v>
      </c>
      <c r="I1118" s="2">
        <v>0.0</v>
      </c>
      <c r="J1118" s="37">
        <v>0.0</v>
      </c>
      <c r="K1118" s="2">
        <v>0.0</v>
      </c>
      <c r="L1118" s="2">
        <v>0.0</v>
      </c>
      <c r="M1118" s="37">
        <v>0.0</v>
      </c>
    </row>
    <row r="1119" ht="14.25" customHeight="1">
      <c r="A1119" t="s">
        <v>1212</v>
      </c>
      <c r="B1119" t="s">
        <v>1205</v>
      </c>
      <c r="C1119" t="s">
        <v>75</v>
      </c>
      <c r="D1119" t="s">
        <v>63</v>
      </c>
      <c r="E1119">
        <v>2.5</v>
      </c>
      <c r="F1119">
        <v>3.2</v>
      </c>
      <c r="G1119" s="2" t="s">
        <v>67</v>
      </c>
      <c r="H1119" s="2">
        <v>18.0</v>
      </c>
      <c r="I1119" s="2">
        <v>110.0</v>
      </c>
      <c r="J1119" s="37">
        <v>547.28</v>
      </c>
      <c r="K1119" s="2">
        <v>21.0</v>
      </c>
      <c r="L1119" s="2">
        <v>158.0</v>
      </c>
      <c r="M1119" s="37">
        <v>677.0600000000001</v>
      </c>
    </row>
    <row r="1120" ht="14.25" customHeight="1">
      <c r="A1120" t="s">
        <v>1213</v>
      </c>
      <c r="B1120" t="s">
        <v>1205</v>
      </c>
      <c r="C1120" t="s">
        <v>75</v>
      </c>
      <c r="D1120" t="s">
        <v>63</v>
      </c>
      <c r="E1120">
        <v>2.5</v>
      </c>
      <c r="F1120">
        <v>3.2</v>
      </c>
      <c r="G1120" s="2" t="s">
        <v>67</v>
      </c>
      <c r="H1120" s="2">
        <v>17.0</v>
      </c>
      <c r="I1120" s="2">
        <v>93.0</v>
      </c>
      <c r="J1120" s="37">
        <v>502.72</v>
      </c>
      <c r="K1120" s="2">
        <v>20.0</v>
      </c>
      <c r="L1120" s="2">
        <v>141.0</v>
      </c>
      <c r="M1120" s="37">
        <v>632.5</v>
      </c>
    </row>
    <row r="1121" ht="14.25" customHeight="1">
      <c r="A1121" t="s">
        <v>1214</v>
      </c>
      <c r="B1121" t="s">
        <v>1205</v>
      </c>
      <c r="C1121" t="s">
        <v>62</v>
      </c>
      <c r="D1121" t="s">
        <v>63</v>
      </c>
      <c r="E1121">
        <v>4.2</v>
      </c>
      <c r="F1121">
        <v>5.2</v>
      </c>
      <c r="G1121" s="2" t="s">
        <v>67</v>
      </c>
      <c r="H1121" s="2">
        <v>26.0</v>
      </c>
      <c r="I1121" s="2">
        <v>114.0</v>
      </c>
      <c r="J1121" s="37">
        <v>732.1600000000001</v>
      </c>
      <c r="K1121" s="2">
        <v>30.0</v>
      </c>
      <c r="L1121" s="2">
        <v>186.0</v>
      </c>
      <c r="M1121" s="37">
        <v>915.6000000000001</v>
      </c>
    </row>
    <row r="1122" ht="14.25" customHeight="1">
      <c r="A1122" t="s">
        <v>1215</v>
      </c>
      <c r="B1122" t="s">
        <v>1205</v>
      </c>
      <c r="C1122" t="s">
        <v>62</v>
      </c>
      <c r="D1122" t="s">
        <v>63</v>
      </c>
      <c r="E1122">
        <v>3.5</v>
      </c>
      <c r="F1122">
        <v>4.5</v>
      </c>
      <c r="G1122" s="2" t="s">
        <v>64</v>
      </c>
      <c r="H1122" s="2">
        <v>0.0</v>
      </c>
      <c r="I1122" s="2">
        <v>0.0</v>
      </c>
      <c r="J1122" s="37">
        <v>0.0</v>
      </c>
      <c r="K1122" s="2">
        <v>0.0</v>
      </c>
      <c r="L1122" s="2">
        <v>0.0</v>
      </c>
      <c r="M1122" s="37">
        <v>0.0</v>
      </c>
    </row>
    <row r="1123" ht="14.25" customHeight="1">
      <c r="A1123" t="s">
        <v>1216</v>
      </c>
      <c r="B1123" t="s">
        <v>1205</v>
      </c>
      <c r="C1123" t="s">
        <v>62</v>
      </c>
      <c r="D1123" t="s">
        <v>63</v>
      </c>
      <c r="E1123">
        <v>2.5</v>
      </c>
      <c r="F1123">
        <v>3.5</v>
      </c>
      <c r="G1123" s="2" t="s">
        <v>67</v>
      </c>
      <c r="H1123" s="2">
        <v>16.0</v>
      </c>
      <c r="I1123" s="2">
        <v>85.0</v>
      </c>
      <c r="J1123" s="37">
        <v>469.86</v>
      </c>
      <c r="K1123" s="2">
        <v>19.0</v>
      </c>
      <c r="L1123" s="2">
        <v>123.0</v>
      </c>
      <c r="M1123" s="37">
        <v>586.64</v>
      </c>
    </row>
    <row r="1124" ht="14.25" customHeight="1">
      <c r="A1124" t="s">
        <v>1217</v>
      </c>
      <c r="B1124" t="s">
        <v>1205</v>
      </c>
      <c r="C1124" t="s">
        <v>75</v>
      </c>
      <c r="D1124" t="s">
        <v>63</v>
      </c>
      <c r="E1124">
        <v>7.1</v>
      </c>
      <c r="F1124">
        <v>8.0</v>
      </c>
      <c r="G1124" s="2" t="s">
        <v>64</v>
      </c>
      <c r="H1124" s="2">
        <v>0.0</v>
      </c>
      <c r="I1124" s="2">
        <v>0.0</v>
      </c>
      <c r="J1124" s="37">
        <v>0.0</v>
      </c>
      <c r="K1124" s="2">
        <v>0.0</v>
      </c>
      <c r="L1124" s="2">
        <v>0.0</v>
      </c>
      <c r="M1124" s="37">
        <v>0.0</v>
      </c>
    </row>
    <row r="1125" ht="14.25" customHeight="1">
      <c r="A1125" t="s">
        <v>1218</v>
      </c>
      <c r="B1125" t="s">
        <v>1205</v>
      </c>
      <c r="C1125" t="s">
        <v>75</v>
      </c>
      <c r="D1125" t="s">
        <v>63</v>
      </c>
      <c r="E1125">
        <v>5.0</v>
      </c>
      <c r="F1125">
        <v>6.0</v>
      </c>
      <c r="G1125" s="2" t="s">
        <v>67</v>
      </c>
      <c r="H1125" s="2">
        <v>32.0</v>
      </c>
      <c r="I1125" s="2">
        <v>136.0</v>
      </c>
      <c r="J1125" s="37">
        <v>895.52</v>
      </c>
      <c r="K1125" s="2">
        <v>37.0</v>
      </c>
      <c r="L1125" s="2">
        <v>233.0</v>
      </c>
      <c r="M1125" s="37">
        <v>1133.92</v>
      </c>
    </row>
    <row r="1126" ht="14.25" customHeight="1">
      <c r="A1126" t="s">
        <v>1219</v>
      </c>
      <c r="B1126" t="s">
        <v>1205</v>
      </c>
      <c r="C1126" t="s">
        <v>75</v>
      </c>
      <c r="D1126" t="s">
        <v>63</v>
      </c>
      <c r="E1126">
        <v>7.1</v>
      </c>
      <c r="F1126">
        <v>8.0</v>
      </c>
      <c r="G1126" s="2" t="s">
        <v>67</v>
      </c>
      <c r="H1126" s="2">
        <v>47.0</v>
      </c>
      <c r="I1126" s="2">
        <v>246.0</v>
      </c>
      <c r="J1126" s="37">
        <v>1375.42</v>
      </c>
      <c r="K1126" s="2">
        <v>54.0</v>
      </c>
      <c r="L1126" s="2">
        <v>384.0</v>
      </c>
      <c r="M1126" s="37">
        <v>1712.0400000000002</v>
      </c>
    </row>
    <row r="1127" ht="14.25" customHeight="1">
      <c r="A1127" t="s">
        <v>1220</v>
      </c>
      <c r="B1127" t="s">
        <v>1205</v>
      </c>
      <c r="C1127" t="s">
        <v>75</v>
      </c>
      <c r="D1127" t="s">
        <v>63</v>
      </c>
      <c r="E1127">
        <v>8.5</v>
      </c>
      <c r="F1127">
        <v>10.0</v>
      </c>
      <c r="G1127" s="2" t="s">
        <v>67</v>
      </c>
      <c r="H1127" s="2">
        <v>52.0</v>
      </c>
      <c r="I1127" s="2">
        <v>79.0</v>
      </c>
      <c r="J1127" s="37">
        <v>1270.6200000000001</v>
      </c>
      <c r="K1127" s="2">
        <v>61.0</v>
      </c>
      <c r="L1127" s="2">
        <v>244.0</v>
      </c>
      <c r="M1127" s="37">
        <v>1687.26</v>
      </c>
    </row>
    <row r="1128" ht="14.25" customHeight="1">
      <c r="A1128" t="s">
        <v>1221</v>
      </c>
      <c r="B1128" t="s">
        <v>1205</v>
      </c>
      <c r="C1128" t="s">
        <v>75</v>
      </c>
      <c r="D1128" t="s">
        <v>63</v>
      </c>
      <c r="E1128">
        <v>10.0</v>
      </c>
      <c r="F1128">
        <v>11.2</v>
      </c>
      <c r="G1128" s="2" t="s">
        <v>64</v>
      </c>
      <c r="H1128" s="2">
        <v>0.0</v>
      </c>
      <c r="I1128" s="2">
        <v>0.0</v>
      </c>
      <c r="J1128" s="37">
        <v>0.0</v>
      </c>
      <c r="K1128" s="2">
        <v>0.0</v>
      </c>
      <c r="L1128" s="2">
        <v>0.0</v>
      </c>
      <c r="M1128" s="37">
        <v>0.0</v>
      </c>
    </row>
    <row r="1129" ht="14.25" customHeight="1">
      <c r="A1129" t="s">
        <v>1222</v>
      </c>
      <c r="B1129" t="s">
        <v>1205</v>
      </c>
      <c r="C1129" t="s">
        <v>75</v>
      </c>
      <c r="D1129" t="s">
        <v>63</v>
      </c>
      <c r="E1129">
        <v>12.5</v>
      </c>
      <c r="F1129">
        <v>14.0</v>
      </c>
      <c r="G1129" s="2" t="s">
        <v>64</v>
      </c>
      <c r="H1129" s="2">
        <v>0.0</v>
      </c>
      <c r="I1129" s="2">
        <v>0.0</v>
      </c>
      <c r="J1129" s="37">
        <v>0.0</v>
      </c>
      <c r="K1129" s="2">
        <v>0.0</v>
      </c>
      <c r="L1129" s="2">
        <v>0.0</v>
      </c>
      <c r="M1129" s="37">
        <v>0.0</v>
      </c>
    </row>
    <row r="1130" ht="14.25" customHeight="1">
      <c r="A1130" t="s">
        <v>1223</v>
      </c>
      <c r="B1130" t="s">
        <v>1205</v>
      </c>
      <c r="C1130" t="s">
        <v>75</v>
      </c>
      <c r="D1130" t="s">
        <v>63</v>
      </c>
      <c r="E1130">
        <v>13.0</v>
      </c>
      <c r="F1130">
        <v>15.0</v>
      </c>
      <c r="G1130" s="2" t="s">
        <v>67</v>
      </c>
      <c r="H1130" s="2">
        <v>69.0</v>
      </c>
      <c r="I1130" s="2">
        <v>-65.0</v>
      </c>
      <c r="J1130" s="37">
        <v>1549.74</v>
      </c>
      <c r="K1130" s="2">
        <v>82.0</v>
      </c>
      <c r="L1130" s="2">
        <v>186.0</v>
      </c>
      <c r="M1130" s="37">
        <v>2083.52</v>
      </c>
    </row>
    <row r="1131" ht="14.25" customHeight="1">
      <c r="A1131" t="s">
        <v>1224</v>
      </c>
      <c r="B1131" t="s">
        <v>1205</v>
      </c>
      <c r="C1131" t="s">
        <v>75</v>
      </c>
      <c r="D1131" t="s">
        <v>63</v>
      </c>
      <c r="E1131">
        <v>8.5</v>
      </c>
      <c r="F1131">
        <v>10.0</v>
      </c>
      <c r="G1131" s="2" t="s">
        <v>67</v>
      </c>
      <c r="H1131" s="2">
        <v>57.0</v>
      </c>
      <c r="I1131" s="2">
        <v>270.0</v>
      </c>
      <c r="J1131" s="37">
        <v>1631.22</v>
      </c>
      <c r="K1131" s="2">
        <v>66.0</v>
      </c>
      <c r="L1131" s="2">
        <v>434.0</v>
      </c>
      <c r="M1131" s="37">
        <v>2046.5600000000002</v>
      </c>
    </row>
    <row r="1132" ht="14.25" customHeight="1">
      <c r="A1132" t="s">
        <v>1225</v>
      </c>
      <c r="B1132" t="s">
        <v>1205</v>
      </c>
      <c r="C1132" t="s">
        <v>62</v>
      </c>
      <c r="D1132" t="s">
        <v>63</v>
      </c>
      <c r="E1132">
        <v>2.0</v>
      </c>
      <c r="F1132">
        <v>2.5</v>
      </c>
      <c r="G1132" s="2" t="s">
        <v>67</v>
      </c>
      <c r="H1132" s="2">
        <v>11.0</v>
      </c>
      <c r="I1132" s="2">
        <v>37.0</v>
      </c>
      <c r="J1132" s="37">
        <v>295.16</v>
      </c>
      <c r="K1132" s="2">
        <v>13.0</v>
      </c>
      <c r="L1132" s="2">
        <v>67.0</v>
      </c>
      <c r="M1132" s="37">
        <v>379.08000000000004</v>
      </c>
    </row>
    <row r="1133" ht="14.25" customHeight="1">
      <c r="A1133" t="s">
        <v>1226</v>
      </c>
      <c r="B1133" t="s">
        <v>1205</v>
      </c>
      <c r="C1133" t="s">
        <v>62</v>
      </c>
      <c r="D1133" t="s">
        <v>63</v>
      </c>
      <c r="E1133">
        <v>3.4</v>
      </c>
      <c r="F1133">
        <v>4.0</v>
      </c>
      <c r="G1133" s="2" t="s">
        <v>64</v>
      </c>
      <c r="H1133" s="2">
        <v>0.0</v>
      </c>
      <c r="I1133" s="2">
        <v>0.0</v>
      </c>
      <c r="J1133" s="37">
        <v>0.0</v>
      </c>
      <c r="K1133" s="2">
        <v>0.0</v>
      </c>
      <c r="L1133" s="2">
        <v>0.0</v>
      </c>
      <c r="M1133" s="37">
        <v>0.0</v>
      </c>
    </row>
    <row r="1134" ht="14.25" customHeight="1">
      <c r="A1134" t="s">
        <v>1227</v>
      </c>
      <c r="B1134" t="s">
        <v>1205</v>
      </c>
      <c r="C1134" t="s">
        <v>62</v>
      </c>
      <c r="D1134" t="s">
        <v>63</v>
      </c>
      <c r="E1134">
        <v>2.5</v>
      </c>
      <c r="F1134">
        <v>3.2</v>
      </c>
      <c r="G1134" s="2" t="s">
        <v>67</v>
      </c>
      <c r="H1134" s="2">
        <v>15.0</v>
      </c>
      <c r="I1134" s="2">
        <v>52.0</v>
      </c>
      <c r="J1134" s="37">
        <v>404.50000000000006</v>
      </c>
      <c r="K1134" s="2">
        <v>17.0</v>
      </c>
      <c r="L1134" s="2">
        <v>90.0</v>
      </c>
      <c r="M1134" s="37">
        <v>498.82</v>
      </c>
    </row>
    <row r="1135" ht="14.25" customHeight="1">
      <c r="A1135" t="s">
        <v>1228</v>
      </c>
      <c r="B1135" t="s">
        <v>1205</v>
      </c>
      <c r="C1135" t="s">
        <v>62</v>
      </c>
      <c r="D1135" t="s">
        <v>63</v>
      </c>
      <c r="E1135">
        <v>4.2</v>
      </c>
      <c r="F1135">
        <v>4.7</v>
      </c>
      <c r="G1135" s="2" t="s">
        <v>67</v>
      </c>
      <c r="H1135" s="2">
        <v>25.0</v>
      </c>
      <c r="I1135" s="2">
        <v>41.0</v>
      </c>
      <c r="J1135" s="37">
        <v>614.8</v>
      </c>
      <c r="K1135" s="2">
        <v>29.0</v>
      </c>
      <c r="L1135" s="2">
        <v>114.0</v>
      </c>
      <c r="M1135" s="37">
        <v>799.5400000000001</v>
      </c>
    </row>
    <row r="1136" ht="14.25" customHeight="1">
      <c r="A1136" t="s">
        <v>1229</v>
      </c>
      <c r="B1136" t="s">
        <v>1205</v>
      </c>
      <c r="C1136" t="s">
        <v>62</v>
      </c>
      <c r="D1136" t="s">
        <v>63</v>
      </c>
      <c r="E1136">
        <v>5.0</v>
      </c>
      <c r="F1136">
        <v>5.2</v>
      </c>
      <c r="G1136" s="2" t="s">
        <v>67</v>
      </c>
      <c r="H1136" s="2">
        <v>27.0</v>
      </c>
      <c r="I1136" s="2">
        <v>63.0</v>
      </c>
      <c r="J1136" s="37">
        <v>688.32</v>
      </c>
      <c r="K1136" s="2">
        <v>31.0</v>
      </c>
      <c r="L1136" s="2">
        <v>149.0</v>
      </c>
      <c r="M1136" s="37">
        <v>889.96</v>
      </c>
    </row>
    <row r="1137" ht="14.25" customHeight="1">
      <c r="A1137" t="s">
        <v>1230</v>
      </c>
      <c r="B1137" t="s">
        <v>1205</v>
      </c>
      <c r="C1137" t="s">
        <v>62</v>
      </c>
      <c r="D1137" t="s">
        <v>63</v>
      </c>
      <c r="E1137">
        <v>6.0</v>
      </c>
      <c r="F1137">
        <v>6.5</v>
      </c>
      <c r="G1137" s="2" t="s">
        <v>64</v>
      </c>
      <c r="H1137" s="2">
        <v>0.0</v>
      </c>
      <c r="I1137" s="2">
        <v>0.0</v>
      </c>
      <c r="J1137" s="37">
        <v>0.0</v>
      </c>
      <c r="K1137" s="2">
        <v>0.0</v>
      </c>
      <c r="L1137" s="2">
        <v>0.0</v>
      </c>
      <c r="M1137" s="37">
        <v>0.0</v>
      </c>
    </row>
    <row r="1138" ht="14.25" customHeight="1">
      <c r="A1138" t="s">
        <v>1231</v>
      </c>
      <c r="B1138" t="s">
        <v>1205</v>
      </c>
      <c r="C1138" t="s">
        <v>62</v>
      </c>
      <c r="D1138" t="s">
        <v>63</v>
      </c>
      <c r="E1138">
        <v>7.1</v>
      </c>
      <c r="F1138">
        <v>8.0</v>
      </c>
      <c r="G1138" s="2" t="s">
        <v>67</v>
      </c>
      <c r="H1138" s="2">
        <v>41.0</v>
      </c>
      <c r="I1138" s="2">
        <v>2.0</v>
      </c>
      <c r="J1138" s="37">
        <v>923.46</v>
      </c>
      <c r="K1138" s="2">
        <v>47.0</v>
      </c>
      <c r="L1138" s="2">
        <v>125.0</v>
      </c>
      <c r="M1138" s="37">
        <v>1218.1200000000001</v>
      </c>
    </row>
    <row r="1139" ht="14.25" customHeight="1">
      <c r="A1139" t="s">
        <v>1232</v>
      </c>
      <c r="B1139" t="s">
        <v>1205</v>
      </c>
      <c r="C1139" t="s">
        <v>75</v>
      </c>
      <c r="D1139" t="s">
        <v>63</v>
      </c>
      <c r="E1139">
        <v>7.1</v>
      </c>
      <c r="F1139">
        <v>8.0</v>
      </c>
      <c r="G1139" s="2" t="s">
        <v>64</v>
      </c>
      <c r="H1139" s="2">
        <v>0.0</v>
      </c>
      <c r="I1139" s="2">
        <v>0.0</v>
      </c>
      <c r="J1139" s="37">
        <v>0.0</v>
      </c>
      <c r="K1139" s="2">
        <v>0.0</v>
      </c>
      <c r="L1139" s="2">
        <v>0.0</v>
      </c>
      <c r="M1139" s="37">
        <v>0.0</v>
      </c>
    </row>
    <row r="1140" ht="14.25" customHeight="1">
      <c r="A1140" t="s">
        <v>1233</v>
      </c>
      <c r="B1140" t="s">
        <v>1205</v>
      </c>
      <c r="C1140" t="s">
        <v>75</v>
      </c>
      <c r="D1140" t="s">
        <v>63</v>
      </c>
      <c r="E1140">
        <v>8.5</v>
      </c>
      <c r="F1140">
        <v>10.0</v>
      </c>
      <c r="G1140" s="2" t="s">
        <v>67</v>
      </c>
      <c r="H1140" s="2">
        <v>54.0</v>
      </c>
      <c r="I1140" s="2">
        <v>219.0</v>
      </c>
      <c r="J1140" s="37">
        <v>1497.5400000000002</v>
      </c>
      <c r="K1140" s="2">
        <v>63.0</v>
      </c>
      <c r="L1140" s="2">
        <v>384.0</v>
      </c>
      <c r="M1140" s="37">
        <v>1914.18</v>
      </c>
    </row>
    <row r="1141" ht="14.25" customHeight="1">
      <c r="A1141" t="s">
        <v>1234</v>
      </c>
      <c r="B1141" t="s">
        <v>1205</v>
      </c>
      <c r="C1141" t="s">
        <v>75</v>
      </c>
      <c r="D1141" t="s">
        <v>63</v>
      </c>
      <c r="E1141">
        <v>8.5</v>
      </c>
      <c r="F1141">
        <v>10.0</v>
      </c>
      <c r="G1141" s="2" t="s">
        <v>67</v>
      </c>
      <c r="H1141" s="2">
        <v>58.0</v>
      </c>
      <c r="I1141" s="2">
        <v>315.0</v>
      </c>
      <c r="J1141" s="37">
        <v>1712.18</v>
      </c>
      <c r="K1141" s="2">
        <v>67.0</v>
      </c>
      <c r="L1141" s="2">
        <v>479.0</v>
      </c>
      <c r="M1141" s="37">
        <v>2127.5200000000004</v>
      </c>
    </row>
    <row r="1142" ht="14.25" customHeight="1">
      <c r="A1142" t="s">
        <v>1235</v>
      </c>
      <c r="B1142" t="s">
        <v>1205</v>
      </c>
      <c r="C1142" t="s">
        <v>75</v>
      </c>
      <c r="D1142" t="s">
        <v>63</v>
      </c>
      <c r="E1142">
        <v>10.0</v>
      </c>
      <c r="F1142">
        <v>11.2</v>
      </c>
      <c r="G1142" s="2" t="s">
        <v>64</v>
      </c>
      <c r="H1142" s="2">
        <v>0.0</v>
      </c>
      <c r="I1142" s="2">
        <v>0.0</v>
      </c>
      <c r="J1142" s="37">
        <v>0.0</v>
      </c>
      <c r="K1142" s="2">
        <v>0.0</v>
      </c>
      <c r="L1142" s="2">
        <v>0.0</v>
      </c>
      <c r="M1142" s="37">
        <v>0.0</v>
      </c>
    </row>
    <row r="1143" ht="14.25" customHeight="1">
      <c r="A1143" t="s">
        <v>1236</v>
      </c>
      <c r="B1143" t="s">
        <v>1205</v>
      </c>
      <c r="C1143" t="s">
        <v>75</v>
      </c>
      <c r="D1143" t="s">
        <v>63</v>
      </c>
      <c r="E1143">
        <v>10.0</v>
      </c>
      <c r="F1143">
        <v>12.5</v>
      </c>
      <c r="G1143" s="2" t="s">
        <v>67</v>
      </c>
      <c r="H1143" s="2">
        <v>69.0</v>
      </c>
      <c r="I1143" s="2">
        <v>350.0</v>
      </c>
      <c r="J1143" s="37">
        <v>2004.74</v>
      </c>
      <c r="K1143" s="2">
        <v>80.0</v>
      </c>
      <c r="L1143" s="2">
        <v>544.0</v>
      </c>
      <c r="M1143" s="37">
        <v>2504.0</v>
      </c>
    </row>
    <row r="1144" ht="14.25" customHeight="1">
      <c r="A1144" t="s">
        <v>1237</v>
      </c>
      <c r="B1144" t="s">
        <v>1205</v>
      </c>
      <c r="C1144" t="s">
        <v>75</v>
      </c>
      <c r="D1144" t="s">
        <v>63</v>
      </c>
      <c r="E1144">
        <v>10.0</v>
      </c>
      <c r="F1144">
        <v>11.2</v>
      </c>
      <c r="G1144" s="2" t="s">
        <v>64</v>
      </c>
      <c r="H1144" s="2">
        <v>0.0</v>
      </c>
      <c r="I1144" s="2">
        <v>0.0</v>
      </c>
      <c r="J1144" s="37">
        <v>0.0</v>
      </c>
      <c r="K1144" s="2">
        <v>0.0</v>
      </c>
      <c r="L1144" s="2">
        <v>0.0</v>
      </c>
      <c r="M1144" s="37">
        <v>0.0</v>
      </c>
    </row>
    <row r="1145" ht="14.25" customHeight="1">
      <c r="A1145" t="s">
        <v>1238</v>
      </c>
      <c r="B1145" t="s">
        <v>1205</v>
      </c>
      <c r="C1145" t="s">
        <v>75</v>
      </c>
      <c r="D1145" t="s">
        <v>63</v>
      </c>
      <c r="E1145">
        <v>12.5</v>
      </c>
      <c r="F1145">
        <v>14.0</v>
      </c>
      <c r="G1145" s="2" t="s">
        <v>67</v>
      </c>
      <c r="H1145" s="2">
        <v>75.0</v>
      </c>
      <c r="I1145" s="2">
        <v>130.0</v>
      </c>
      <c r="J1145" s="37">
        <v>1853.5</v>
      </c>
      <c r="K1145" s="2">
        <v>87.0</v>
      </c>
      <c r="L1145" s="2">
        <v>372.0</v>
      </c>
      <c r="M1145" s="37">
        <v>2437.62</v>
      </c>
    </row>
    <row r="1146" ht="14.25" customHeight="1">
      <c r="A1146" t="s">
        <v>1239</v>
      </c>
      <c r="B1146" t="s">
        <v>1205</v>
      </c>
      <c r="C1146" t="s">
        <v>75</v>
      </c>
      <c r="D1146" t="s">
        <v>63</v>
      </c>
      <c r="E1146">
        <v>12.5</v>
      </c>
      <c r="F1146">
        <v>15.0</v>
      </c>
      <c r="G1146" s="2" t="s">
        <v>67</v>
      </c>
      <c r="H1146" s="2">
        <v>84.0</v>
      </c>
      <c r="I1146" s="2">
        <v>337.0</v>
      </c>
      <c r="J1146" s="37">
        <v>2324.7400000000002</v>
      </c>
      <c r="K1146" s="2">
        <v>97.0</v>
      </c>
      <c r="L1146" s="2">
        <v>579.0</v>
      </c>
      <c r="M1146" s="37">
        <v>2931.3199999999997</v>
      </c>
    </row>
    <row r="1147" ht="14.25" customHeight="1">
      <c r="A1147" t="s">
        <v>1240</v>
      </c>
      <c r="B1147" t="s">
        <v>1205</v>
      </c>
      <c r="C1147" t="s">
        <v>75</v>
      </c>
      <c r="D1147" t="s">
        <v>63</v>
      </c>
      <c r="E1147">
        <v>12.5</v>
      </c>
      <c r="F1147">
        <v>14.0</v>
      </c>
      <c r="G1147" s="2" t="s">
        <v>67</v>
      </c>
      <c r="H1147" s="2">
        <v>75.0</v>
      </c>
      <c r="I1147" s="2">
        <v>130.0</v>
      </c>
      <c r="J1147" s="37">
        <v>1853.5</v>
      </c>
      <c r="K1147" s="2">
        <v>87.0</v>
      </c>
      <c r="L1147" s="2">
        <v>372.0</v>
      </c>
      <c r="M1147" s="37">
        <v>2437.62</v>
      </c>
    </row>
    <row r="1148" ht="14.25" customHeight="1">
      <c r="A1148" t="s">
        <v>1241</v>
      </c>
      <c r="B1148" t="s">
        <v>1205</v>
      </c>
      <c r="C1148" t="s">
        <v>75</v>
      </c>
      <c r="D1148" t="s">
        <v>63</v>
      </c>
      <c r="E1148">
        <v>14.0</v>
      </c>
      <c r="F1148">
        <v>15.5</v>
      </c>
      <c r="G1148" s="2" t="s">
        <v>67</v>
      </c>
      <c r="H1148" s="2">
        <v>76.0</v>
      </c>
      <c r="I1148" s="2">
        <v>-69.0</v>
      </c>
      <c r="J1148" s="37">
        <v>1706.96</v>
      </c>
      <c r="K1148" s="2">
        <v>90.0</v>
      </c>
      <c r="L1148" s="2">
        <v>201.0</v>
      </c>
      <c r="M1148" s="37">
        <v>2282.7000000000003</v>
      </c>
    </row>
    <row r="1149" ht="14.25" customHeight="1">
      <c r="A1149" t="s">
        <v>1242</v>
      </c>
      <c r="B1149" t="s">
        <v>1205</v>
      </c>
      <c r="C1149" t="s">
        <v>75</v>
      </c>
      <c r="D1149" t="s">
        <v>63</v>
      </c>
      <c r="E1149">
        <v>14.0</v>
      </c>
      <c r="F1149">
        <v>16.5</v>
      </c>
      <c r="G1149" s="2" t="s">
        <v>67</v>
      </c>
      <c r="H1149" s="2">
        <v>86.0</v>
      </c>
      <c r="I1149" s="2">
        <v>339.0</v>
      </c>
      <c r="J1149" s="37">
        <v>2372.26</v>
      </c>
      <c r="K1149" s="2">
        <v>101.0</v>
      </c>
      <c r="L1149" s="2">
        <v>611.0</v>
      </c>
      <c r="M1149" s="37">
        <v>3062.76</v>
      </c>
    </row>
    <row r="1150" ht="14.25" customHeight="1">
      <c r="A1150" t="s">
        <v>1243</v>
      </c>
      <c r="B1150" t="s">
        <v>1205</v>
      </c>
      <c r="C1150" t="s">
        <v>75</v>
      </c>
      <c r="D1150" t="s">
        <v>63</v>
      </c>
      <c r="E1150">
        <v>14.0</v>
      </c>
      <c r="F1150">
        <v>15.5</v>
      </c>
      <c r="G1150" s="2" t="s">
        <v>67</v>
      </c>
      <c r="H1150" s="2">
        <v>76.0</v>
      </c>
      <c r="I1150" s="2">
        <v>-69.0</v>
      </c>
      <c r="J1150" s="37">
        <v>1706.96</v>
      </c>
      <c r="K1150" s="2">
        <v>90.0</v>
      </c>
      <c r="L1150" s="2">
        <v>201.0</v>
      </c>
      <c r="M1150" s="37">
        <v>2282.7000000000003</v>
      </c>
    </row>
    <row r="1151" ht="14.25" customHeight="1">
      <c r="A1151" t="s">
        <v>1244</v>
      </c>
      <c r="B1151" t="s">
        <v>1205</v>
      </c>
      <c r="C1151" t="s">
        <v>75</v>
      </c>
      <c r="D1151" t="s">
        <v>63</v>
      </c>
      <c r="E1151">
        <v>15.5</v>
      </c>
      <c r="F1151">
        <v>18.0</v>
      </c>
      <c r="G1151" s="2" t="s">
        <v>67</v>
      </c>
      <c r="H1151" s="2">
        <v>89.0</v>
      </c>
      <c r="I1151" s="2">
        <v>33.0</v>
      </c>
      <c r="J1151" s="37">
        <v>2041.8400000000001</v>
      </c>
      <c r="K1151" s="2">
        <v>105.0</v>
      </c>
      <c r="L1151" s="2">
        <v>333.0</v>
      </c>
      <c r="M1151" s="37">
        <v>2791.2000000000003</v>
      </c>
    </row>
    <row r="1152" ht="14.25" customHeight="1">
      <c r="A1152" t="s">
        <v>1245</v>
      </c>
      <c r="B1152" t="s">
        <v>1205</v>
      </c>
      <c r="C1152" t="s">
        <v>75</v>
      </c>
      <c r="D1152" t="s">
        <v>63</v>
      </c>
      <c r="E1152">
        <v>16.0</v>
      </c>
      <c r="F1152">
        <v>18.0</v>
      </c>
      <c r="G1152" s="2" t="s">
        <v>67</v>
      </c>
      <c r="H1152" s="2">
        <v>92.0</v>
      </c>
      <c r="I1152" s="2">
        <v>191.0</v>
      </c>
      <c r="J1152" s="37">
        <v>2314.6200000000003</v>
      </c>
      <c r="K1152" s="2">
        <v>108.0</v>
      </c>
      <c r="L1152" s="2">
        <v>501.0</v>
      </c>
      <c r="M1152" s="37">
        <v>3076.9800000000005</v>
      </c>
    </row>
    <row r="1153" ht="14.25" customHeight="1">
      <c r="A1153" t="s">
        <v>1246</v>
      </c>
      <c r="B1153" t="s">
        <v>1205</v>
      </c>
      <c r="C1153" t="s">
        <v>75</v>
      </c>
      <c r="D1153" t="s">
        <v>63</v>
      </c>
      <c r="E1153">
        <v>15.5</v>
      </c>
      <c r="F1153">
        <v>18.0</v>
      </c>
      <c r="G1153" s="2" t="s">
        <v>67</v>
      </c>
      <c r="H1153" s="2">
        <v>89.0</v>
      </c>
      <c r="I1153" s="2">
        <v>33.0</v>
      </c>
      <c r="J1153" s="37">
        <v>2041.8400000000001</v>
      </c>
      <c r="K1153" s="2">
        <v>105.0</v>
      </c>
      <c r="L1153" s="2">
        <v>333.0</v>
      </c>
      <c r="M1153" s="37">
        <v>2791.2000000000003</v>
      </c>
    </row>
    <row r="1154" ht="14.25" customHeight="1">
      <c r="A1154" t="s">
        <v>1247</v>
      </c>
      <c r="B1154" t="s">
        <v>1205</v>
      </c>
      <c r="C1154" t="s">
        <v>62</v>
      </c>
      <c r="D1154" t="s">
        <v>63</v>
      </c>
      <c r="E1154">
        <v>7.1</v>
      </c>
      <c r="F1154">
        <v>8.0</v>
      </c>
      <c r="G1154" s="2" t="s">
        <v>67</v>
      </c>
      <c r="H1154" s="2">
        <v>41.0</v>
      </c>
      <c r="I1154" s="2">
        <v>70.0</v>
      </c>
      <c r="J1154" s="37">
        <v>1011.86</v>
      </c>
      <c r="K1154" s="2">
        <v>47.0</v>
      </c>
      <c r="L1154" s="2">
        <v>192.0</v>
      </c>
      <c r="M1154" s="37">
        <v>1305.2200000000003</v>
      </c>
    </row>
    <row r="1155" ht="14.25" customHeight="1">
      <c r="A1155" t="s">
        <v>1248</v>
      </c>
      <c r="B1155" t="s">
        <v>1205</v>
      </c>
      <c r="C1155" t="s">
        <v>62</v>
      </c>
      <c r="D1155" t="s">
        <v>63</v>
      </c>
      <c r="E1155">
        <v>2.0</v>
      </c>
      <c r="F1155">
        <v>2.8</v>
      </c>
      <c r="G1155" s="2" t="s">
        <v>67</v>
      </c>
      <c r="H1155" s="2">
        <v>14.0</v>
      </c>
      <c r="I1155" s="2">
        <v>82.0</v>
      </c>
      <c r="J1155" s="37">
        <v>421.04</v>
      </c>
      <c r="K1155" s="2">
        <v>16.0</v>
      </c>
      <c r="L1155" s="2">
        <v>112.0</v>
      </c>
      <c r="M1155" s="37">
        <v>504.96000000000004</v>
      </c>
    </row>
    <row r="1156" ht="14.25" customHeight="1">
      <c r="A1156" t="s">
        <v>1249</v>
      </c>
      <c r="B1156" t="s">
        <v>1205</v>
      </c>
      <c r="C1156" t="s">
        <v>62</v>
      </c>
      <c r="D1156" t="s">
        <v>63</v>
      </c>
      <c r="E1156">
        <v>2.5</v>
      </c>
      <c r="F1156">
        <v>3.2</v>
      </c>
      <c r="G1156" s="2" t="s">
        <v>67</v>
      </c>
      <c r="H1156" s="2">
        <v>16.0</v>
      </c>
      <c r="I1156" s="2">
        <v>85.0</v>
      </c>
      <c r="J1156" s="37">
        <v>469.86</v>
      </c>
      <c r="K1156" s="2">
        <v>19.0</v>
      </c>
      <c r="L1156" s="2">
        <v>123.0</v>
      </c>
      <c r="M1156" s="37">
        <v>586.64</v>
      </c>
    </row>
    <row r="1157" ht="14.25" customHeight="1">
      <c r="A1157" t="s">
        <v>1250</v>
      </c>
      <c r="B1157" t="s">
        <v>1205</v>
      </c>
      <c r="C1157" t="s">
        <v>62</v>
      </c>
      <c r="D1157" t="s">
        <v>63</v>
      </c>
      <c r="E1157">
        <v>3.5</v>
      </c>
      <c r="F1157">
        <v>3.7</v>
      </c>
      <c r="G1157" s="2" t="s">
        <v>67</v>
      </c>
      <c r="H1157" s="2">
        <v>17.0</v>
      </c>
      <c r="I1157" s="2">
        <v>53.0</v>
      </c>
      <c r="J1157" s="37">
        <v>450.72</v>
      </c>
      <c r="K1157" s="2">
        <v>20.0</v>
      </c>
      <c r="L1157" s="2">
        <v>107.0</v>
      </c>
      <c r="M1157" s="37">
        <v>588.3000000000001</v>
      </c>
    </row>
    <row r="1158" ht="14.25" customHeight="1">
      <c r="A1158" t="s">
        <v>1251</v>
      </c>
      <c r="B1158" t="s">
        <v>1205</v>
      </c>
      <c r="C1158" t="s">
        <v>62</v>
      </c>
      <c r="D1158" t="s">
        <v>63</v>
      </c>
      <c r="E1158">
        <v>4.2</v>
      </c>
      <c r="F1158">
        <v>5.4</v>
      </c>
      <c r="G1158" s="2" t="s">
        <v>67</v>
      </c>
      <c r="H1158" s="2">
        <v>28.0</v>
      </c>
      <c r="I1158" s="2">
        <v>86.0</v>
      </c>
      <c r="J1158" s="37">
        <v>740.68</v>
      </c>
      <c r="K1158" s="2">
        <v>32.0</v>
      </c>
      <c r="L1158" s="2">
        <v>158.0</v>
      </c>
      <c r="M1158" s="37">
        <v>924.12</v>
      </c>
    </row>
    <row r="1159" ht="14.25" customHeight="1">
      <c r="A1159" t="s">
        <v>1252</v>
      </c>
      <c r="B1159" t="s">
        <v>1205</v>
      </c>
      <c r="C1159" t="s">
        <v>62</v>
      </c>
      <c r="D1159" t="s">
        <v>63</v>
      </c>
      <c r="E1159">
        <v>5.0</v>
      </c>
      <c r="F1159">
        <v>6.0</v>
      </c>
      <c r="G1159" s="2" t="s">
        <v>67</v>
      </c>
      <c r="H1159" s="2">
        <v>35.0</v>
      </c>
      <c r="I1159" s="2">
        <v>220.0</v>
      </c>
      <c r="J1159" s="37">
        <v>1072.1</v>
      </c>
      <c r="K1159" s="2">
        <v>40.0</v>
      </c>
      <c r="L1159" s="2">
        <v>306.0</v>
      </c>
      <c r="M1159" s="37">
        <v>1296.2</v>
      </c>
    </row>
    <row r="1160" ht="14.25" customHeight="1">
      <c r="A1160" t="s">
        <v>1253</v>
      </c>
      <c r="B1160" t="s">
        <v>1205</v>
      </c>
      <c r="C1160" t="s">
        <v>62</v>
      </c>
      <c r="D1160" t="s">
        <v>63</v>
      </c>
      <c r="E1160">
        <v>6.0</v>
      </c>
      <c r="F1160">
        <v>7.2</v>
      </c>
      <c r="G1160" s="2" t="s">
        <v>67</v>
      </c>
      <c r="H1160" s="2">
        <v>38.0</v>
      </c>
      <c r="I1160" s="2">
        <v>158.0</v>
      </c>
      <c r="J1160" s="37">
        <v>1058.88</v>
      </c>
      <c r="K1160" s="2">
        <v>44.0</v>
      </c>
      <c r="L1160" s="2">
        <v>262.0</v>
      </c>
      <c r="M1160" s="37">
        <v>1328.8400000000001</v>
      </c>
    </row>
    <row r="1161" ht="14.25" customHeight="1">
      <c r="A1161" t="s">
        <v>1254</v>
      </c>
      <c r="B1161" t="s">
        <v>1205</v>
      </c>
      <c r="C1161" t="s">
        <v>62</v>
      </c>
      <c r="D1161" t="s">
        <v>63</v>
      </c>
      <c r="E1161">
        <v>8.5</v>
      </c>
      <c r="F1161">
        <v>9.0</v>
      </c>
      <c r="G1161" s="2" t="s">
        <v>67</v>
      </c>
      <c r="H1161" s="2">
        <v>50.0</v>
      </c>
      <c r="I1161" s="2">
        <v>83.0</v>
      </c>
      <c r="J1161" s="37">
        <v>1230.9</v>
      </c>
      <c r="K1161" s="2">
        <v>57.0</v>
      </c>
      <c r="L1161" s="2">
        <v>230.0</v>
      </c>
      <c r="M1161" s="37">
        <v>1579.22</v>
      </c>
    </row>
    <row r="1162" ht="14.25" customHeight="1">
      <c r="A1162" t="s">
        <v>1255</v>
      </c>
      <c r="B1162" t="s">
        <v>1205</v>
      </c>
      <c r="C1162" t="s">
        <v>62</v>
      </c>
      <c r="D1162" t="s">
        <v>63</v>
      </c>
      <c r="E1162">
        <v>9.5</v>
      </c>
      <c r="F1162">
        <v>10.3</v>
      </c>
      <c r="G1162" s="2" t="s">
        <v>64</v>
      </c>
      <c r="H1162" s="2">
        <v>0.0</v>
      </c>
      <c r="I1162" s="2">
        <v>0.0</v>
      </c>
      <c r="J1162" s="37">
        <v>0.0</v>
      </c>
      <c r="K1162" s="2">
        <v>0.0</v>
      </c>
      <c r="L1162" s="2">
        <v>0.0</v>
      </c>
      <c r="M1162" s="37">
        <v>0.0</v>
      </c>
    </row>
    <row r="1163" ht="14.25" customHeight="1">
      <c r="A1163" t="s">
        <v>1256</v>
      </c>
      <c r="B1163" t="s">
        <v>1205</v>
      </c>
      <c r="C1163" t="s">
        <v>62</v>
      </c>
      <c r="D1163" t="s">
        <v>63</v>
      </c>
      <c r="E1163">
        <v>8.5</v>
      </c>
      <c r="F1163">
        <v>9.0</v>
      </c>
      <c r="G1163" s="2" t="s">
        <v>67</v>
      </c>
      <c r="H1163" s="2">
        <v>50.0</v>
      </c>
      <c r="I1163" s="2">
        <v>83.0</v>
      </c>
      <c r="J1163" s="37">
        <v>1230.9</v>
      </c>
      <c r="K1163" s="2">
        <v>57.0</v>
      </c>
      <c r="L1163" s="2">
        <v>230.0</v>
      </c>
      <c r="M1163" s="37">
        <v>1579.22</v>
      </c>
    </row>
    <row r="1164" ht="14.25" customHeight="1">
      <c r="A1164" t="s">
        <v>1257</v>
      </c>
      <c r="B1164" t="s">
        <v>1205</v>
      </c>
      <c r="C1164" t="s">
        <v>62</v>
      </c>
      <c r="D1164" t="s">
        <v>63</v>
      </c>
      <c r="E1164">
        <v>9.5</v>
      </c>
      <c r="F1164">
        <v>10.3</v>
      </c>
      <c r="G1164" s="2" t="s">
        <v>64</v>
      </c>
      <c r="H1164" s="2">
        <v>0.0</v>
      </c>
      <c r="I1164" s="2">
        <v>0.0</v>
      </c>
      <c r="J1164" s="37">
        <v>0.0</v>
      </c>
      <c r="K1164" s="2">
        <v>0.0</v>
      </c>
      <c r="L1164" s="2">
        <v>0.0</v>
      </c>
      <c r="M1164" s="37">
        <v>0.0</v>
      </c>
    </row>
    <row r="1165" ht="14.25" customHeight="1">
      <c r="A1165" t="s">
        <v>1258</v>
      </c>
      <c r="B1165" t="s">
        <v>1205</v>
      </c>
      <c r="C1165" t="s">
        <v>62</v>
      </c>
      <c r="D1165" t="s">
        <v>63</v>
      </c>
      <c r="E1165">
        <v>5.0</v>
      </c>
      <c r="F1165">
        <v>6.0</v>
      </c>
      <c r="G1165" s="2" t="s">
        <v>64</v>
      </c>
      <c r="H1165" s="2">
        <v>0.0</v>
      </c>
      <c r="I1165" s="2">
        <v>0.0</v>
      </c>
      <c r="J1165" s="37">
        <v>0.0</v>
      </c>
      <c r="K1165" s="2">
        <v>0.0</v>
      </c>
      <c r="L1165" s="2">
        <v>0.0</v>
      </c>
      <c r="M1165" s="37">
        <v>0.0</v>
      </c>
    </row>
    <row r="1166" ht="14.25" customHeight="1">
      <c r="A1166" t="s">
        <v>1259</v>
      </c>
      <c r="B1166" t="s">
        <v>1205</v>
      </c>
      <c r="C1166" t="s">
        <v>62</v>
      </c>
      <c r="D1166" t="s">
        <v>63</v>
      </c>
      <c r="E1166">
        <v>7.1</v>
      </c>
      <c r="F1166">
        <v>8.0</v>
      </c>
      <c r="G1166" s="2" t="s">
        <v>67</v>
      </c>
      <c r="H1166" s="2">
        <v>42.0</v>
      </c>
      <c r="I1166" s="2">
        <v>-36.0</v>
      </c>
      <c r="J1166" s="37">
        <v>943.32</v>
      </c>
      <c r="K1166" s="2">
        <v>48.0</v>
      </c>
      <c r="L1166" s="2">
        <v>85.0</v>
      </c>
      <c r="M1166" s="37">
        <v>1188.58</v>
      </c>
    </row>
    <row r="1167" ht="14.25" customHeight="1">
      <c r="A1167" t="s">
        <v>1260</v>
      </c>
      <c r="B1167" t="s">
        <v>1205</v>
      </c>
      <c r="C1167" t="s">
        <v>62</v>
      </c>
      <c r="D1167" t="s">
        <v>63</v>
      </c>
      <c r="E1167">
        <v>8.5</v>
      </c>
      <c r="F1167">
        <v>10.0</v>
      </c>
      <c r="G1167" s="2" t="s">
        <v>64</v>
      </c>
      <c r="H1167" s="2">
        <v>0.0</v>
      </c>
      <c r="I1167" s="2">
        <v>0.0</v>
      </c>
      <c r="J1167" s="37">
        <v>0.0</v>
      </c>
      <c r="K1167" s="2">
        <v>0.0</v>
      </c>
      <c r="L1167" s="2">
        <v>0.0</v>
      </c>
      <c r="M1167" s="37">
        <v>0.0</v>
      </c>
    </row>
    <row r="1168" ht="14.25" customHeight="1">
      <c r="A1168" t="s">
        <v>1261</v>
      </c>
      <c r="B1168" t="s">
        <v>1205</v>
      </c>
      <c r="C1168" t="s">
        <v>62</v>
      </c>
      <c r="D1168" t="s">
        <v>63</v>
      </c>
      <c r="E1168">
        <v>10.0</v>
      </c>
      <c r="F1168">
        <v>11.2</v>
      </c>
      <c r="G1168" s="2" t="s">
        <v>64</v>
      </c>
      <c r="H1168" s="2">
        <v>0.0</v>
      </c>
      <c r="I1168" s="2">
        <v>0.0</v>
      </c>
      <c r="J1168" s="37">
        <v>0.0</v>
      </c>
      <c r="K1168" s="2">
        <v>0.0</v>
      </c>
      <c r="L1168" s="2">
        <v>0.0</v>
      </c>
      <c r="M1168" s="37">
        <v>0.0</v>
      </c>
    </row>
    <row r="1169" ht="14.25" customHeight="1">
      <c r="A1169" t="s">
        <v>1262</v>
      </c>
      <c r="B1169" t="s">
        <v>1205</v>
      </c>
      <c r="C1169" t="s">
        <v>62</v>
      </c>
      <c r="D1169" t="s">
        <v>63</v>
      </c>
      <c r="E1169">
        <v>12.5</v>
      </c>
      <c r="F1169">
        <v>14.0</v>
      </c>
      <c r="G1169" s="2" t="s">
        <v>64</v>
      </c>
      <c r="H1169" s="2">
        <v>0.0</v>
      </c>
      <c r="I1169" s="2">
        <v>0.0</v>
      </c>
      <c r="J1169" s="37">
        <v>0.0</v>
      </c>
      <c r="K1169" s="2">
        <v>0.0</v>
      </c>
      <c r="L1169" s="2">
        <v>0.0</v>
      </c>
      <c r="M1169" s="37">
        <v>0.0</v>
      </c>
    </row>
    <row r="1170" ht="14.25" customHeight="1">
      <c r="A1170" t="s">
        <v>1263</v>
      </c>
      <c r="B1170" t="s">
        <v>1205</v>
      </c>
      <c r="C1170" t="s">
        <v>62</v>
      </c>
      <c r="D1170" t="s">
        <v>63</v>
      </c>
      <c r="E1170">
        <v>13.0</v>
      </c>
      <c r="F1170">
        <v>15.5</v>
      </c>
      <c r="G1170" s="2" t="s">
        <v>64</v>
      </c>
      <c r="H1170" s="2">
        <v>0.0</v>
      </c>
      <c r="I1170" s="2">
        <v>0.0</v>
      </c>
      <c r="J1170" s="37">
        <v>0.0</v>
      </c>
      <c r="K1170" s="2">
        <v>0.0</v>
      </c>
      <c r="L1170" s="2">
        <v>0.0</v>
      </c>
      <c r="M1170" s="37">
        <v>0.0</v>
      </c>
    </row>
    <row r="1171" ht="14.25" customHeight="1">
      <c r="A1171" t="s">
        <v>1264</v>
      </c>
      <c r="B1171" t="s">
        <v>1205</v>
      </c>
      <c r="C1171" t="s">
        <v>62</v>
      </c>
      <c r="D1171" t="s">
        <v>63</v>
      </c>
      <c r="E1171">
        <v>7.1</v>
      </c>
      <c r="F1171">
        <v>8.0</v>
      </c>
      <c r="G1171" s="2" t="s">
        <v>67</v>
      </c>
      <c r="H1171" s="2">
        <v>42.0</v>
      </c>
      <c r="I1171" s="2">
        <v>30.0</v>
      </c>
      <c r="J1171" s="37">
        <v>982.32</v>
      </c>
      <c r="K1171" s="2">
        <v>48.0</v>
      </c>
      <c r="L1171" s="2">
        <v>153.0</v>
      </c>
      <c r="M1171" s="37">
        <v>1276.98</v>
      </c>
    </row>
    <row r="1172" ht="14.25" customHeight="1">
      <c r="A1172" t="s">
        <v>1265</v>
      </c>
      <c r="B1172" t="s">
        <v>1205</v>
      </c>
      <c r="C1172" t="s">
        <v>62</v>
      </c>
      <c r="D1172" t="s">
        <v>63</v>
      </c>
      <c r="E1172">
        <v>8.5</v>
      </c>
      <c r="F1172">
        <v>10.0</v>
      </c>
      <c r="G1172" s="2" t="s">
        <v>67</v>
      </c>
      <c r="H1172" s="2">
        <v>51.0</v>
      </c>
      <c r="I1172" s="2">
        <v>140.0</v>
      </c>
      <c r="J1172" s="37">
        <v>1327.46</v>
      </c>
      <c r="K1172" s="2">
        <v>59.0</v>
      </c>
      <c r="L1172" s="2">
        <v>286.0</v>
      </c>
      <c r="M1172" s="37">
        <v>1696.94</v>
      </c>
    </row>
    <row r="1173" ht="14.25" customHeight="1">
      <c r="A1173" t="s">
        <v>1266</v>
      </c>
      <c r="B1173" t="s">
        <v>1205</v>
      </c>
      <c r="C1173" t="s">
        <v>62</v>
      </c>
      <c r="D1173" t="s">
        <v>63</v>
      </c>
      <c r="E1173">
        <v>10.0</v>
      </c>
      <c r="F1173">
        <v>11.2</v>
      </c>
      <c r="G1173" s="2" t="s">
        <v>64</v>
      </c>
      <c r="H1173" s="2">
        <v>0.0</v>
      </c>
      <c r="I1173" s="2">
        <v>0.0</v>
      </c>
      <c r="J1173" s="37">
        <v>0.0</v>
      </c>
      <c r="K1173" s="2">
        <v>0.0</v>
      </c>
      <c r="L1173" s="2">
        <v>0.0</v>
      </c>
      <c r="M1173" s="37">
        <v>0.0</v>
      </c>
    </row>
    <row r="1174" ht="14.25" customHeight="1">
      <c r="A1174" t="s">
        <v>1267</v>
      </c>
      <c r="B1174" t="s">
        <v>1205</v>
      </c>
      <c r="C1174" t="s">
        <v>62</v>
      </c>
      <c r="D1174" t="s">
        <v>63</v>
      </c>
      <c r="E1174">
        <v>12.5</v>
      </c>
      <c r="F1174">
        <v>14.0</v>
      </c>
      <c r="G1174" s="2" t="s">
        <v>67</v>
      </c>
      <c r="H1174" s="2">
        <v>76.0</v>
      </c>
      <c r="I1174" s="2">
        <v>79.0</v>
      </c>
      <c r="J1174" s="37">
        <v>1809.66</v>
      </c>
      <c r="K1174" s="2">
        <v>89.0</v>
      </c>
      <c r="L1174" s="2">
        <v>321.0</v>
      </c>
      <c r="M1174" s="37">
        <v>2416.2400000000002</v>
      </c>
    </row>
    <row r="1175" ht="14.25" customHeight="1">
      <c r="A1175" t="s">
        <v>1268</v>
      </c>
      <c r="B1175" t="s">
        <v>1205</v>
      </c>
      <c r="C1175" t="s">
        <v>62</v>
      </c>
      <c r="D1175" t="s">
        <v>63</v>
      </c>
      <c r="E1175">
        <v>13.0</v>
      </c>
      <c r="F1175">
        <v>15.5</v>
      </c>
      <c r="G1175" s="2" t="s">
        <v>67</v>
      </c>
      <c r="H1175" s="2">
        <v>71.0</v>
      </c>
      <c r="I1175" s="2">
        <v>86.0</v>
      </c>
      <c r="J1175" s="37">
        <v>1706.46</v>
      </c>
      <c r="K1175" s="2">
        <v>84.0</v>
      </c>
      <c r="L1175" s="2">
        <v>337.0</v>
      </c>
      <c r="M1175" s="37">
        <v>2324.7400000000002</v>
      </c>
    </row>
    <row r="1176" ht="14.25" customHeight="1">
      <c r="A1176" t="s">
        <v>1269</v>
      </c>
      <c r="B1176" t="s">
        <v>1205</v>
      </c>
      <c r="C1176" t="s">
        <v>62</v>
      </c>
      <c r="D1176" t="s">
        <v>63</v>
      </c>
      <c r="E1176">
        <v>10.0</v>
      </c>
      <c r="F1176">
        <v>11.2</v>
      </c>
      <c r="G1176" s="2" t="s">
        <v>64</v>
      </c>
      <c r="H1176" s="2">
        <v>0.0</v>
      </c>
      <c r="I1176" s="2">
        <v>0.0</v>
      </c>
      <c r="J1176" s="37">
        <v>0.0</v>
      </c>
      <c r="K1176" s="2">
        <v>0.0</v>
      </c>
      <c r="L1176" s="2">
        <v>0.0</v>
      </c>
      <c r="M1176" s="37">
        <v>0.0</v>
      </c>
    </row>
    <row r="1177" ht="14.25" customHeight="1">
      <c r="A1177" t="s">
        <v>1270</v>
      </c>
      <c r="B1177" t="s">
        <v>1205</v>
      </c>
      <c r="C1177" t="s">
        <v>62</v>
      </c>
      <c r="D1177" t="s">
        <v>63</v>
      </c>
      <c r="E1177">
        <v>12.5</v>
      </c>
      <c r="F1177">
        <v>14.0</v>
      </c>
      <c r="G1177" s="2" t="s">
        <v>67</v>
      </c>
      <c r="H1177" s="2">
        <v>76.0</v>
      </c>
      <c r="I1177" s="2">
        <v>79.0</v>
      </c>
      <c r="J1177" s="37">
        <v>1809.66</v>
      </c>
      <c r="K1177" s="2">
        <v>89.0</v>
      </c>
      <c r="L1177" s="2">
        <v>321.0</v>
      </c>
      <c r="M1177" s="37">
        <v>2416.2400000000002</v>
      </c>
    </row>
    <row r="1178" ht="14.25" customHeight="1">
      <c r="A1178" t="s">
        <v>1271</v>
      </c>
      <c r="B1178" t="s">
        <v>1205</v>
      </c>
      <c r="C1178" t="s">
        <v>62</v>
      </c>
      <c r="D1178" t="s">
        <v>63</v>
      </c>
      <c r="E1178">
        <v>13.0</v>
      </c>
      <c r="F1178">
        <v>15.5</v>
      </c>
      <c r="G1178" s="2" t="s">
        <v>67</v>
      </c>
      <c r="H1178" s="2">
        <v>71.0</v>
      </c>
      <c r="I1178" s="2">
        <v>86.0</v>
      </c>
      <c r="J1178" s="37">
        <v>1706.46</v>
      </c>
      <c r="K1178" s="2">
        <v>84.0</v>
      </c>
      <c r="L1178" s="2">
        <v>337.0</v>
      </c>
      <c r="M1178" s="37">
        <v>2324.7400000000002</v>
      </c>
    </row>
    <row r="1179" ht="14.25" customHeight="1">
      <c r="A1179" t="s">
        <v>1272</v>
      </c>
      <c r="B1179" t="s">
        <v>1205</v>
      </c>
      <c r="C1179" t="s">
        <v>62</v>
      </c>
      <c r="D1179" t="s">
        <v>63</v>
      </c>
      <c r="E1179">
        <v>10.0</v>
      </c>
      <c r="F1179">
        <v>11.2</v>
      </c>
      <c r="G1179" s="2" t="s">
        <v>64</v>
      </c>
      <c r="H1179" s="2">
        <v>0.0</v>
      </c>
      <c r="I1179" s="2">
        <v>0.0</v>
      </c>
      <c r="J1179" s="37">
        <v>0.0</v>
      </c>
      <c r="K1179" s="2">
        <v>0.0</v>
      </c>
      <c r="L1179" s="2">
        <v>0.0</v>
      </c>
      <c r="M1179" s="37">
        <v>0.0</v>
      </c>
    </row>
    <row r="1180" ht="14.25" customHeight="1">
      <c r="A1180" t="s">
        <v>1273</v>
      </c>
      <c r="B1180" t="s">
        <v>1205</v>
      </c>
      <c r="C1180" t="s">
        <v>62</v>
      </c>
      <c r="D1180" t="s">
        <v>63</v>
      </c>
      <c r="E1180">
        <v>12.5</v>
      </c>
      <c r="F1180">
        <v>14.0</v>
      </c>
      <c r="G1180" s="2" t="s">
        <v>64</v>
      </c>
      <c r="H1180" s="2">
        <v>0.0</v>
      </c>
      <c r="I1180" s="2">
        <v>0.0</v>
      </c>
      <c r="J1180" s="37">
        <v>0.0</v>
      </c>
      <c r="K1180" s="2">
        <v>0.0</v>
      </c>
      <c r="L1180" s="2">
        <v>0.0</v>
      </c>
      <c r="M1180" s="37">
        <v>0.0</v>
      </c>
    </row>
    <row r="1181" ht="14.25" customHeight="1">
      <c r="A1181" t="s">
        <v>1274</v>
      </c>
      <c r="B1181" t="s">
        <v>1205</v>
      </c>
      <c r="C1181" t="s">
        <v>62</v>
      </c>
      <c r="D1181" t="s">
        <v>63</v>
      </c>
      <c r="E1181">
        <v>13.0</v>
      </c>
      <c r="F1181">
        <v>15.5</v>
      </c>
      <c r="G1181" s="2" t="s">
        <v>64</v>
      </c>
      <c r="H1181" s="2">
        <v>0.0</v>
      </c>
      <c r="I1181" s="2">
        <v>0.0</v>
      </c>
      <c r="J1181" s="37">
        <v>0.0</v>
      </c>
      <c r="K1181" s="2">
        <v>0.0</v>
      </c>
      <c r="L1181" s="2">
        <v>0.0</v>
      </c>
      <c r="M1181" s="37">
        <v>0.0</v>
      </c>
    </row>
    <row r="1182" ht="14.25" customHeight="1">
      <c r="A1182" t="s">
        <v>1275</v>
      </c>
      <c r="B1182" t="s">
        <v>1205</v>
      </c>
      <c r="C1182" t="s">
        <v>62</v>
      </c>
      <c r="D1182" t="s">
        <v>63</v>
      </c>
      <c r="E1182">
        <v>7.1</v>
      </c>
      <c r="F1182">
        <v>8.0</v>
      </c>
      <c r="G1182" s="2" t="s">
        <v>64</v>
      </c>
      <c r="H1182" s="2">
        <v>0.0</v>
      </c>
      <c r="I1182" s="2">
        <v>0.0</v>
      </c>
      <c r="J1182" s="37">
        <v>0.0</v>
      </c>
      <c r="K1182" s="2">
        <v>0.0</v>
      </c>
      <c r="L1182" s="2">
        <v>0.0</v>
      </c>
      <c r="M1182" s="37">
        <v>0.0</v>
      </c>
    </row>
    <row r="1183" ht="14.25" customHeight="1">
      <c r="A1183" t="s">
        <v>1276</v>
      </c>
      <c r="B1183" t="s">
        <v>1205</v>
      </c>
      <c r="C1183" t="s">
        <v>62</v>
      </c>
      <c r="D1183" t="s">
        <v>63</v>
      </c>
      <c r="E1183">
        <v>7.1</v>
      </c>
      <c r="F1183">
        <v>8.0</v>
      </c>
      <c r="G1183" s="2" t="s">
        <v>67</v>
      </c>
      <c r="H1183" s="2">
        <v>41.0</v>
      </c>
      <c r="I1183" s="2">
        <v>2.0</v>
      </c>
      <c r="J1183" s="37">
        <v>923.46</v>
      </c>
      <c r="K1183" s="2">
        <v>48.0</v>
      </c>
      <c r="L1183" s="2">
        <v>125.0</v>
      </c>
      <c r="M1183" s="37">
        <v>1240.58</v>
      </c>
    </row>
    <row r="1184" ht="14.25" customHeight="1">
      <c r="A1184" t="s">
        <v>1277</v>
      </c>
      <c r="B1184" t="s">
        <v>1205</v>
      </c>
      <c r="C1184" t="s">
        <v>62</v>
      </c>
      <c r="D1184" t="s">
        <v>63</v>
      </c>
      <c r="E1184">
        <v>2.6</v>
      </c>
      <c r="F1184">
        <v>3.5</v>
      </c>
      <c r="G1184" s="2" t="s">
        <v>64</v>
      </c>
      <c r="H1184" s="2">
        <v>0.0</v>
      </c>
      <c r="I1184" s="2">
        <v>0.0</v>
      </c>
      <c r="J1184" s="37">
        <v>0.0</v>
      </c>
      <c r="K1184" s="2">
        <v>0.0</v>
      </c>
      <c r="L1184" s="2">
        <v>0.0</v>
      </c>
      <c r="M1184" s="37">
        <v>0.0</v>
      </c>
    </row>
    <row r="1185" ht="14.25" customHeight="1">
      <c r="A1185" t="s">
        <v>1278</v>
      </c>
      <c r="B1185" t="s">
        <v>1205</v>
      </c>
      <c r="C1185" t="s">
        <v>75</v>
      </c>
      <c r="D1185" t="s">
        <v>63</v>
      </c>
      <c r="E1185">
        <v>18.0</v>
      </c>
      <c r="F1185">
        <v>20.0</v>
      </c>
      <c r="G1185" s="2" t="s">
        <v>67</v>
      </c>
      <c r="H1185" s="2">
        <v>104.0</v>
      </c>
      <c r="I1185" s="2">
        <v>110.0</v>
      </c>
      <c r="J1185" s="37">
        <v>2478.84</v>
      </c>
      <c r="K1185" s="2">
        <v>121.0</v>
      </c>
      <c r="L1185" s="2">
        <v>458.0</v>
      </c>
      <c r="M1185" s="37">
        <v>3313.0600000000004</v>
      </c>
    </row>
    <row r="1186" ht="14.25" customHeight="1">
      <c r="A1186" t="s">
        <v>1279</v>
      </c>
      <c r="B1186" t="s">
        <v>1205</v>
      </c>
      <c r="C1186" t="s">
        <v>75</v>
      </c>
      <c r="D1186" t="s">
        <v>63</v>
      </c>
      <c r="E1186">
        <v>18.0</v>
      </c>
      <c r="F1186">
        <v>20.0</v>
      </c>
      <c r="G1186" s="2" t="s">
        <v>67</v>
      </c>
      <c r="H1186" s="2">
        <v>104.0</v>
      </c>
      <c r="I1186" s="2">
        <v>110.0</v>
      </c>
      <c r="J1186" s="37">
        <v>2478.84</v>
      </c>
      <c r="K1186" s="2">
        <v>121.0</v>
      </c>
      <c r="L1186" s="2">
        <v>458.0</v>
      </c>
      <c r="M1186" s="37">
        <v>3313.0600000000004</v>
      </c>
    </row>
    <row r="1187" ht="14.25" customHeight="1">
      <c r="A1187" t="s">
        <v>1280</v>
      </c>
      <c r="B1187" t="s">
        <v>1205</v>
      </c>
      <c r="C1187" t="s">
        <v>75</v>
      </c>
      <c r="D1187" t="s">
        <v>63</v>
      </c>
      <c r="E1187">
        <v>20.0</v>
      </c>
      <c r="F1187">
        <v>22.4</v>
      </c>
      <c r="G1187" s="2" t="s">
        <v>67</v>
      </c>
      <c r="H1187" s="2">
        <v>114.0</v>
      </c>
      <c r="I1187" s="2">
        <v>163.0</v>
      </c>
      <c r="J1187" s="37">
        <v>2772.34</v>
      </c>
      <c r="K1187" s="2">
        <v>134.0</v>
      </c>
      <c r="L1187" s="2">
        <v>551.0</v>
      </c>
      <c r="M1187" s="37">
        <v>3725.9400000000005</v>
      </c>
    </row>
    <row r="1188" ht="14.25" customHeight="1">
      <c r="A1188" t="s">
        <v>1281</v>
      </c>
      <c r="B1188" t="s">
        <v>1205</v>
      </c>
      <c r="C1188" t="s">
        <v>75</v>
      </c>
      <c r="D1188" t="s">
        <v>63</v>
      </c>
      <c r="E1188">
        <v>22.4</v>
      </c>
      <c r="F1188">
        <v>25.0</v>
      </c>
      <c r="G1188" s="2" t="s">
        <v>64</v>
      </c>
      <c r="H1188" s="2">
        <v>0.0</v>
      </c>
      <c r="I1188" s="2">
        <v>0.0</v>
      </c>
      <c r="J1188" s="37">
        <v>0.0</v>
      </c>
      <c r="K1188" s="2">
        <v>0.0</v>
      </c>
      <c r="L1188" s="2">
        <v>0.0</v>
      </c>
      <c r="M1188" s="37">
        <v>0.0</v>
      </c>
    </row>
    <row r="1189" ht="14.25" customHeight="1">
      <c r="A1189" t="s">
        <v>1282</v>
      </c>
      <c r="B1189" t="s">
        <v>1283</v>
      </c>
      <c r="C1189" t="s">
        <v>62</v>
      </c>
      <c r="D1189" t="s">
        <v>63</v>
      </c>
      <c r="E1189">
        <v>4.2</v>
      </c>
      <c r="F1189">
        <v>5.4</v>
      </c>
      <c r="G1189" s="2" t="s">
        <v>64</v>
      </c>
      <c r="H1189" s="2">
        <v>0.0</v>
      </c>
      <c r="I1189" s="2">
        <v>0.0</v>
      </c>
      <c r="J1189" s="37">
        <v>0.0</v>
      </c>
      <c r="K1189" s="2">
        <v>0.0</v>
      </c>
      <c r="L1189" s="2">
        <v>0.0</v>
      </c>
      <c r="M1189" s="37">
        <v>0.0</v>
      </c>
    </row>
    <row r="1190" ht="14.25" customHeight="1">
      <c r="A1190" t="s">
        <v>1284</v>
      </c>
      <c r="B1190" t="s">
        <v>1283</v>
      </c>
      <c r="C1190" t="s">
        <v>62</v>
      </c>
      <c r="D1190" t="s">
        <v>63</v>
      </c>
      <c r="E1190">
        <v>6.3</v>
      </c>
      <c r="F1190">
        <v>7.2</v>
      </c>
      <c r="G1190" s="2" t="s">
        <v>64</v>
      </c>
      <c r="H1190" s="2">
        <v>0.0</v>
      </c>
      <c r="I1190" s="2">
        <v>0.0</v>
      </c>
      <c r="J1190" s="37">
        <v>0.0</v>
      </c>
      <c r="K1190" s="2">
        <v>0.0</v>
      </c>
      <c r="L1190" s="2">
        <v>0.0</v>
      </c>
      <c r="M1190" s="37">
        <v>0.0</v>
      </c>
    </row>
    <row r="1191" ht="14.25" customHeight="1">
      <c r="A1191" t="s">
        <v>1285</v>
      </c>
      <c r="B1191" t="s">
        <v>1283</v>
      </c>
      <c r="C1191" t="s">
        <v>62</v>
      </c>
      <c r="D1191" t="s">
        <v>63</v>
      </c>
      <c r="E1191">
        <v>2.5</v>
      </c>
      <c r="F1191">
        <v>3.2</v>
      </c>
      <c r="G1191" s="2" t="s">
        <v>67</v>
      </c>
      <c r="H1191" s="2">
        <v>16.0</v>
      </c>
      <c r="I1191" s="2">
        <v>85.0</v>
      </c>
      <c r="J1191" s="37">
        <v>469.86</v>
      </c>
      <c r="K1191" s="2">
        <v>19.0</v>
      </c>
      <c r="L1191" s="2">
        <v>123.0</v>
      </c>
      <c r="M1191" s="37">
        <v>586.64</v>
      </c>
    </row>
    <row r="1192" ht="14.25" customHeight="1">
      <c r="A1192" t="s">
        <v>1286</v>
      </c>
      <c r="B1192" t="s">
        <v>1283</v>
      </c>
      <c r="C1192" t="s">
        <v>62</v>
      </c>
      <c r="D1192" t="s">
        <v>63</v>
      </c>
      <c r="E1192">
        <v>3.5</v>
      </c>
      <c r="F1192">
        <v>3.7</v>
      </c>
      <c r="G1192" s="2" t="s">
        <v>67</v>
      </c>
      <c r="H1192" s="2">
        <v>18.0</v>
      </c>
      <c r="I1192" s="2">
        <v>37.0</v>
      </c>
      <c r="J1192" s="37">
        <v>452.38000000000005</v>
      </c>
      <c r="K1192" s="2">
        <v>21.0</v>
      </c>
      <c r="L1192" s="2">
        <v>90.0</v>
      </c>
      <c r="M1192" s="37">
        <v>588.6600000000001</v>
      </c>
    </row>
    <row r="1193" ht="14.25" customHeight="1">
      <c r="A1193" t="s">
        <v>1287</v>
      </c>
      <c r="B1193" t="s">
        <v>1283</v>
      </c>
      <c r="C1193" t="s">
        <v>62</v>
      </c>
      <c r="D1193" t="s">
        <v>63</v>
      </c>
      <c r="E1193">
        <v>5.0</v>
      </c>
      <c r="F1193">
        <v>6.0</v>
      </c>
      <c r="G1193" s="2" t="s">
        <v>67</v>
      </c>
      <c r="H1193" s="2">
        <v>35.0</v>
      </c>
      <c r="I1193" s="2">
        <v>220.0</v>
      </c>
      <c r="J1193" s="37">
        <v>1072.1</v>
      </c>
      <c r="K1193" s="2">
        <v>39.0</v>
      </c>
      <c r="L1193" s="2">
        <v>306.0</v>
      </c>
      <c r="M1193" s="37">
        <v>1273.74</v>
      </c>
    </row>
    <row r="1194" ht="14.25" customHeight="1">
      <c r="A1194" t="s">
        <v>1288</v>
      </c>
      <c r="B1194" t="s">
        <v>1283</v>
      </c>
      <c r="C1194" t="s">
        <v>62</v>
      </c>
      <c r="D1194" t="s">
        <v>63</v>
      </c>
      <c r="E1194">
        <v>6.0</v>
      </c>
      <c r="F1194">
        <v>7.2</v>
      </c>
      <c r="G1194" s="2" t="s">
        <v>67</v>
      </c>
      <c r="H1194" s="2">
        <v>37.0</v>
      </c>
      <c r="I1194" s="2">
        <v>158.0</v>
      </c>
      <c r="J1194" s="37">
        <v>1036.42</v>
      </c>
      <c r="K1194" s="2">
        <v>43.0</v>
      </c>
      <c r="L1194" s="2">
        <v>262.0</v>
      </c>
      <c r="M1194" s="37">
        <v>1306.38</v>
      </c>
    </row>
    <row r="1195" ht="14.25" customHeight="1">
      <c r="A1195" t="s">
        <v>1289</v>
      </c>
      <c r="B1195" t="s">
        <v>1283</v>
      </c>
      <c r="C1195" t="s">
        <v>62</v>
      </c>
      <c r="D1195" t="s">
        <v>63</v>
      </c>
      <c r="E1195">
        <v>7.1</v>
      </c>
      <c r="F1195">
        <v>8.0</v>
      </c>
      <c r="G1195" s="2" t="s">
        <v>67</v>
      </c>
      <c r="H1195" s="2">
        <v>40.0</v>
      </c>
      <c r="I1195" s="2">
        <v>70.0</v>
      </c>
      <c r="J1195" s="37">
        <v>989.4000000000001</v>
      </c>
      <c r="K1195" s="2">
        <v>46.0</v>
      </c>
      <c r="L1195" s="2">
        <v>192.0</v>
      </c>
      <c r="M1195" s="37">
        <v>1282.7600000000002</v>
      </c>
    </row>
    <row r="1196" ht="14.25" customHeight="1">
      <c r="A1196" t="s">
        <v>1290</v>
      </c>
      <c r="B1196" t="s">
        <v>1283</v>
      </c>
      <c r="C1196" t="s">
        <v>62</v>
      </c>
      <c r="D1196" t="s">
        <v>63</v>
      </c>
      <c r="E1196">
        <v>8.5</v>
      </c>
      <c r="F1196">
        <v>9.0</v>
      </c>
      <c r="G1196" s="2" t="s">
        <v>64</v>
      </c>
      <c r="H1196" s="2">
        <v>0.0</v>
      </c>
      <c r="I1196" s="2">
        <v>0.0</v>
      </c>
      <c r="J1196" s="37">
        <v>0.0</v>
      </c>
      <c r="K1196" s="2">
        <v>0.0</v>
      </c>
      <c r="L1196" s="2">
        <v>0.0</v>
      </c>
      <c r="M1196" s="37">
        <v>0.0</v>
      </c>
    </row>
    <row r="1197" ht="14.25" customHeight="1">
      <c r="A1197" t="s">
        <v>1291</v>
      </c>
      <c r="B1197" t="s">
        <v>1283</v>
      </c>
      <c r="C1197" t="s">
        <v>62</v>
      </c>
      <c r="D1197" t="s">
        <v>63</v>
      </c>
      <c r="E1197">
        <v>9.4</v>
      </c>
      <c r="F1197">
        <v>10.3</v>
      </c>
      <c r="G1197" s="2" t="s">
        <v>64</v>
      </c>
      <c r="H1197" s="2">
        <v>0.0</v>
      </c>
      <c r="I1197" s="2">
        <v>0.0</v>
      </c>
      <c r="J1197" s="37">
        <v>0.0</v>
      </c>
      <c r="K1197" s="2">
        <v>0.0</v>
      </c>
      <c r="L1197" s="2">
        <v>0.0</v>
      </c>
      <c r="M1197" s="37">
        <v>0.0</v>
      </c>
    </row>
    <row r="1198" ht="14.25" customHeight="1">
      <c r="A1198" t="s">
        <v>1292</v>
      </c>
      <c r="B1198" t="s">
        <v>1283</v>
      </c>
      <c r="C1198" t="s">
        <v>75</v>
      </c>
      <c r="D1198" t="s">
        <v>63</v>
      </c>
      <c r="E1198">
        <v>2.6</v>
      </c>
      <c r="F1198">
        <v>3.5</v>
      </c>
      <c r="G1198" s="2" t="s">
        <v>64</v>
      </c>
      <c r="H1198" s="2">
        <v>0.0</v>
      </c>
      <c r="I1198" s="2">
        <v>0.0</v>
      </c>
      <c r="J1198" s="37">
        <v>0.0</v>
      </c>
      <c r="K1198" s="2">
        <v>0.0</v>
      </c>
      <c r="L1198" s="2">
        <v>0.0</v>
      </c>
      <c r="M1198" s="37">
        <v>0.0</v>
      </c>
    </row>
    <row r="1199" ht="14.25" customHeight="1">
      <c r="A1199" t="s">
        <v>1293</v>
      </c>
      <c r="B1199" t="s">
        <v>1283</v>
      </c>
      <c r="C1199" t="s">
        <v>75</v>
      </c>
      <c r="D1199" t="s">
        <v>63</v>
      </c>
      <c r="E1199">
        <v>2.6</v>
      </c>
      <c r="F1199">
        <v>3.5</v>
      </c>
      <c r="G1199" s="2" t="s">
        <v>64</v>
      </c>
      <c r="H1199" s="2">
        <v>0.0</v>
      </c>
      <c r="I1199" s="2">
        <v>0.0</v>
      </c>
      <c r="J1199" s="37">
        <v>0.0</v>
      </c>
      <c r="K1199" s="2">
        <v>0.0</v>
      </c>
      <c r="L1199" s="2">
        <v>0.0</v>
      </c>
      <c r="M1199" s="37">
        <v>0.0</v>
      </c>
    </row>
    <row r="1200" ht="14.25" customHeight="1">
      <c r="A1200" t="s">
        <v>1294</v>
      </c>
      <c r="B1200" t="s">
        <v>1283</v>
      </c>
      <c r="C1200" t="s">
        <v>75</v>
      </c>
      <c r="D1200" t="s">
        <v>63</v>
      </c>
      <c r="E1200">
        <v>3.5</v>
      </c>
      <c r="F1200">
        <v>4.5</v>
      </c>
      <c r="G1200" s="2" t="s">
        <v>64</v>
      </c>
      <c r="H1200" s="2">
        <v>0.0</v>
      </c>
      <c r="I1200" s="2">
        <v>0.0</v>
      </c>
      <c r="J1200" s="37">
        <v>0.0</v>
      </c>
      <c r="K1200" s="2">
        <v>0.0</v>
      </c>
      <c r="L1200" s="2">
        <v>0.0</v>
      </c>
      <c r="M1200" s="37">
        <v>0.0</v>
      </c>
    </row>
    <row r="1201" ht="14.25" customHeight="1">
      <c r="A1201" t="s">
        <v>1295</v>
      </c>
      <c r="B1201" t="s">
        <v>1283</v>
      </c>
      <c r="C1201" t="s">
        <v>75</v>
      </c>
      <c r="D1201" t="s">
        <v>63</v>
      </c>
      <c r="E1201">
        <v>5.2</v>
      </c>
      <c r="F1201">
        <v>6.0</v>
      </c>
      <c r="G1201" s="2" t="s">
        <v>67</v>
      </c>
      <c r="H1201" s="2">
        <v>31.0</v>
      </c>
      <c r="I1201" s="2">
        <v>127.0</v>
      </c>
      <c r="J1201" s="37">
        <v>861.36</v>
      </c>
      <c r="K1201" s="2">
        <v>37.0</v>
      </c>
      <c r="L1201" s="2">
        <v>228.0</v>
      </c>
      <c r="M1201" s="37">
        <v>1127.42</v>
      </c>
    </row>
    <row r="1202" ht="14.25" customHeight="1">
      <c r="A1202" t="s">
        <v>1296</v>
      </c>
      <c r="B1202" t="s">
        <v>1283</v>
      </c>
      <c r="C1202" t="s">
        <v>75</v>
      </c>
      <c r="D1202" t="s">
        <v>63</v>
      </c>
      <c r="E1202">
        <v>7.1</v>
      </c>
      <c r="F1202">
        <v>8.0</v>
      </c>
      <c r="G1202" s="2" t="s">
        <v>64</v>
      </c>
      <c r="H1202" s="2">
        <v>0.0</v>
      </c>
      <c r="I1202" s="2">
        <v>0.0</v>
      </c>
      <c r="J1202" s="37">
        <v>0.0</v>
      </c>
      <c r="K1202" s="2">
        <v>0.0</v>
      </c>
      <c r="L1202" s="2">
        <v>0.0</v>
      </c>
      <c r="M1202" s="37">
        <v>0.0</v>
      </c>
    </row>
    <row r="1203" ht="14.25" customHeight="1">
      <c r="A1203" t="s">
        <v>1297</v>
      </c>
      <c r="B1203" t="s">
        <v>1283</v>
      </c>
      <c r="C1203" t="s">
        <v>75</v>
      </c>
      <c r="D1203" t="s">
        <v>63</v>
      </c>
      <c r="E1203">
        <v>10.0</v>
      </c>
      <c r="F1203">
        <v>11.2</v>
      </c>
      <c r="G1203" s="2" t="s">
        <v>64</v>
      </c>
      <c r="H1203" s="2">
        <v>0.0</v>
      </c>
      <c r="I1203" s="2">
        <v>0.0</v>
      </c>
      <c r="J1203" s="37">
        <v>0.0</v>
      </c>
      <c r="K1203" s="2">
        <v>0.0</v>
      </c>
      <c r="L1203" s="2">
        <v>0.0</v>
      </c>
      <c r="M1203" s="37">
        <v>0.0</v>
      </c>
    </row>
    <row r="1204" ht="14.25" customHeight="1">
      <c r="A1204" t="s">
        <v>1298</v>
      </c>
      <c r="B1204" t="s">
        <v>1283</v>
      </c>
      <c r="C1204" t="s">
        <v>75</v>
      </c>
      <c r="D1204" t="s">
        <v>63</v>
      </c>
      <c r="E1204">
        <v>11.5</v>
      </c>
      <c r="F1204">
        <v>14.0</v>
      </c>
      <c r="G1204" s="2" t="s">
        <v>64</v>
      </c>
      <c r="H1204" s="2">
        <v>0.0</v>
      </c>
      <c r="I1204" s="2">
        <v>0.0</v>
      </c>
      <c r="J1204" s="37">
        <v>0.0</v>
      </c>
      <c r="K1204" s="2">
        <v>0.0</v>
      </c>
      <c r="L1204" s="2">
        <v>0.0</v>
      </c>
      <c r="M1204" s="37">
        <v>0.0</v>
      </c>
    </row>
    <row r="1205" ht="14.25" customHeight="1">
      <c r="A1205" t="s">
        <v>1299</v>
      </c>
      <c r="B1205" t="s">
        <v>1283</v>
      </c>
      <c r="C1205" t="s">
        <v>75</v>
      </c>
      <c r="D1205" t="s">
        <v>63</v>
      </c>
      <c r="E1205">
        <v>13.0</v>
      </c>
      <c r="F1205">
        <v>16.0</v>
      </c>
      <c r="G1205" s="2" t="s">
        <v>67</v>
      </c>
      <c r="H1205" s="2">
        <v>73.0</v>
      </c>
      <c r="I1205" s="2">
        <v>153.0</v>
      </c>
      <c r="J1205" s="37">
        <v>1838.4800000000002</v>
      </c>
      <c r="K1205" s="2">
        <v>87.0</v>
      </c>
      <c r="L1205" s="2">
        <v>405.0</v>
      </c>
      <c r="M1205" s="37">
        <v>2480.52</v>
      </c>
    </row>
    <row r="1206" ht="14.25" customHeight="1">
      <c r="A1206" t="s">
        <v>1300</v>
      </c>
      <c r="B1206" t="s">
        <v>1283</v>
      </c>
      <c r="C1206" t="s">
        <v>75</v>
      </c>
      <c r="D1206" t="s">
        <v>63</v>
      </c>
      <c r="E1206">
        <v>9.0</v>
      </c>
      <c r="F1206">
        <v>11.2</v>
      </c>
      <c r="G1206" s="2" t="s">
        <v>67</v>
      </c>
      <c r="H1206" s="2">
        <v>58.0</v>
      </c>
      <c r="I1206" s="2">
        <v>113.0</v>
      </c>
      <c r="J1206" s="37">
        <v>1449.5800000000002</v>
      </c>
      <c r="K1206" s="2">
        <v>68.0</v>
      </c>
      <c r="L1206" s="2">
        <v>288.0</v>
      </c>
      <c r="M1206" s="37">
        <v>1901.68</v>
      </c>
    </row>
    <row r="1207" ht="14.25" customHeight="1">
      <c r="A1207" t="s">
        <v>1301</v>
      </c>
      <c r="B1207" t="s">
        <v>1283</v>
      </c>
      <c r="C1207" t="s">
        <v>75</v>
      </c>
      <c r="D1207" t="s">
        <v>63</v>
      </c>
      <c r="E1207">
        <v>8.5</v>
      </c>
      <c r="F1207">
        <v>10.0</v>
      </c>
      <c r="G1207" s="2" t="s">
        <v>64</v>
      </c>
      <c r="H1207" s="2">
        <v>0.0</v>
      </c>
      <c r="I1207" s="2">
        <v>0.0</v>
      </c>
      <c r="J1207" s="37">
        <v>0.0</v>
      </c>
      <c r="K1207" s="2">
        <v>0.0</v>
      </c>
      <c r="L1207" s="2">
        <v>0.0</v>
      </c>
      <c r="M1207" s="37">
        <v>0.0</v>
      </c>
    </row>
    <row r="1208" ht="14.25" customHeight="1">
      <c r="A1208" t="s">
        <v>1302</v>
      </c>
      <c r="B1208" t="s">
        <v>1283</v>
      </c>
      <c r="C1208" t="s">
        <v>75</v>
      </c>
      <c r="D1208" t="s">
        <v>63</v>
      </c>
      <c r="E1208">
        <v>10.5</v>
      </c>
      <c r="F1208">
        <v>12.1</v>
      </c>
      <c r="G1208" s="2" t="s">
        <v>67</v>
      </c>
      <c r="H1208" s="2">
        <v>64.0</v>
      </c>
      <c r="I1208" s="2">
        <v>116.0</v>
      </c>
      <c r="J1208" s="37">
        <v>1588.24</v>
      </c>
      <c r="K1208" s="2">
        <v>74.0</v>
      </c>
      <c r="L1208" s="2">
        <v>319.0</v>
      </c>
      <c r="M1208" s="37">
        <v>2076.74</v>
      </c>
    </row>
    <row r="1209" ht="14.25" customHeight="1">
      <c r="A1209" t="s">
        <v>1303</v>
      </c>
      <c r="B1209" t="s">
        <v>1283</v>
      </c>
      <c r="C1209" t="s">
        <v>75</v>
      </c>
      <c r="D1209" t="s">
        <v>63</v>
      </c>
      <c r="E1209">
        <v>10.0</v>
      </c>
      <c r="F1209">
        <v>12.5</v>
      </c>
      <c r="G1209" s="2" t="s">
        <v>64</v>
      </c>
      <c r="H1209" s="2">
        <v>0.0</v>
      </c>
      <c r="I1209" s="2">
        <v>0.0</v>
      </c>
      <c r="J1209" s="37">
        <v>0.0</v>
      </c>
      <c r="K1209" s="2">
        <v>0.0</v>
      </c>
      <c r="L1209" s="2">
        <v>0.0</v>
      </c>
      <c r="M1209" s="37">
        <v>0.0</v>
      </c>
    </row>
    <row r="1210" ht="14.25" customHeight="1">
      <c r="A1210" t="s">
        <v>1304</v>
      </c>
      <c r="B1210" t="s">
        <v>1283</v>
      </c>
      <c r="C1210" t="s">
        <v>75</v>
      </c>
      <c r="D1210" t="s">
        <v>63</v>
      </c>
      <c r="E1210">
        <v>12.5</v>
      </c>
      <c r="F1210">
        <v>14.0</v>
      </c>
      <c r="G1210" s="2" t="s">
        <v>67</v>
      </c>
      <c r="H1210" s="2">
        <v>74.0</v>
      </c>
      <c r="I1210" s="2">
        <v>1.0</v>
      </c>
      <c r="J1210" s="37">
        <v>1663.34</v>
      </c>
      <c r="K1210" s="2">
        <v>86.0</v>
      </c>
      <c r="L1210" s="2">
        <v>243.0</v>
      </c>
      <c r="M1210" s="37">
        <v>2247.46</v>
      </c>
    </row>
    <row r="1211" ht="14.25" customHeight="1">
      <c r="A1211" t="s">
        <v>1305</v>
      </c>
      <c r="B1211" t="s">
        <v>1283</v>
      </c>
      <c r="C1211" t="s">
        <v>75</v>
      </c>
      <c r="D1211" t="s">
        <v>63</v>
      </c>
      <c r="E1211">
        <v>11.5</v>
      </c>
      <c r="F1211">
        <v>14.0</v>
      </c>
      <c r="G1211" s="2" t="s">
        <v>64</v>
      </c>
      <c r="H1211" s="2">
        <v>0.0</v>
      </c>
      <c r="I1211" s="2">
        <v>0.0</v>
      </c>
      <c r="J1211" s="37">
        <v>0.0</v>
      </c>
      <c r="K1211" s="2">
        <v>0.0</v>
      </c>
      <c r="L1211" s="2">
        <v>0.0</v>
      </c>
      <c r="M1211" s="37">
        <v>0.0</v>
      </c>
    </row>
    <row r="1212" ht="14.25" customHeight="1">
      <c r="A1212" t="s">
        <v>1306</v>
      </c>
      <c r="B1212" t="s">
        <v>1283</v>
      </c>
      <c r="C1212" t="s">
        <v>75</v>
      </c>
      <c r="D1212" t="s">
        <v>63</v>
      </c>
      <c r="E1212">
        <v>14.0</v>
      </c>
      <c r="F1212">
        <v>16.0</v>
      </c>
      <c r="G1212" s="2" t="s">
        <v>64</v>
      </c>
      <c r="H1212" s="2">
        <v>0.0</v>
      </c>
      <c r="I1212" s="2">
        <v>0.0</v>
      </c>
      <c r="J1212" s="37">
        <v>0.0</v>
      </c>
      <c r="K1212" s="2">
        <v>0.0</v>
      </c>
      <c r="L1212" s="2">
        <v>0.0</v>
      </c>
      <c r="M1212" s="37">
        <v>0.0</v>
      </c>
    </row>
    <row r="1213" ht="14.25" customHeight="1">
      <c r="A1213" t="s">
        <v>1307</v>
      </c>
      <c r="B1213" t="s">
        <v>1283</v>
      </c>
      <c r="C1213" t="s">
        <v>75</v>
      </c>
      <c r="D1213" t="s">
        <v>63</v>
      </c>
      <c r="E1213">
        <v>12.5</v>
      </c>
      <c r="F1213">
        <v>14.0</v>
      </c>
      <c r="G1213" s="2" t="s">
        <v>64</v>
      </c>
      <c r="H1213" s="2">
        <v>0.0</v>
      </c>
      <c r="I1213" s="2">
        <v>0.0</v>
      </c>
      <c r="J1213" s="37">
        <v>0.0</v>
      </c>
      <c r="K1213" s="2">
        <v>0.0</v>
      </c>
      <c r="L1213" s="2">
        <v>0.0</v>
      </c>
      <c r="M1213" s="37">
        <v>0.0</v>
      </c>
    </row>
    <row r="1214" ht="14.25" customHeight="1">
      <c r="A1214" t="s">
        <v>1308</v>
      </c>
      <c r="B1214" t="s">
        <v>1283</v>
      </c>
      <c r="C1214" t="s">
        <v>75</v>
      </c>
      <c r="D1214" t="s">
        <v>63</v>
      </c>
      <c r="E1214">
        <v>15.8</v>
      </c>
      <c r="F1214">
        <v>18.0</v>
      </c>
      <c r="G1214" s="2" t="s">
        <v>64</v>
      </c>
      <c r="H1214" s="2">
        <v>0.0</v>
      </c>
      <c r="I1214" s="2">
        <v>0.0</v>
      </c>
      <c r="J1214" s="37">
        <v>0.0</v>
      </c>
      <c r="K1214" s="2">
        <v>0.0</v>
      </c>
      <c r="L1214" s="2">
        <v>0.0</v>
      </c>
      <c r="M1214" s="37">
        <v>0.0</v>
      </c>
    </row>
    <row r="1215" ht="14.25" customHeight="1">
      <c r="A1215" t="s">
        <v>1309</v>
      </c>
      <c r="B1215" t="s">
        <v>1283</v>
      </c>
      <c r="C1215" t="s">
        <v>75</v>
      </c>
      <c r="D1215" t="s">
        <v>63</v>
      </c>
      <c r="E1215">
        <v>10.5</v>
      </c>
      <c r="F1215">
        <v>12.1</v>
      </c>
      <c r="G1215" s="2" t="s">
        <v>67</v>
      </c>
      <c r="H1215" s="2">
        <v>63.0</v>
      </c>
      <c r="I1215" s="2">
        <v>116.0</v>
      </c>
      <c r="J1215" s="37">
        <v>1565.78</v>
      </c>
      <c r="K1215" s="2">
        <v>74.0</v>
      </c>
      <c r="L1215" s="2">
        <v>319.0</v>
      </c>
      <c r="M1215" s="37">
        <v>2076.74</v>
      </c>
    </row>
    <row r="1216" ht="14.25" customHeight="1">
      <c r="A1216" t="s">
        <v>1310</v>
      </c>
      <c r="B1216" t="s">
        <v>1283</v>
      </c>
      <c r="C1216" t="s">
        <v>75</v>
      </c>
      <c r="D1216" t="s">
        <v>63</v>
      </c>
      <c r="E1216">
        <v>12.5</v>
      </c>
      <c r="F1216">
        <v>14.0</v>
      </c>
      <c r="G1216" s="2" t="s">
        <v>64</v>
      </c>
      <c r="H1216" s="2">
        <v>0.0</v>
      </c>
      <c r="I1216" s="2">
        <v>0.0</v>
      </c>
      <c r="J1216" s="37">
        <v>0.0</v>
      </c>
      <c r="K1216" s="2">
        <v>0.0</v>
      </c>
      <c r="L1216" s="2">
        <v>0.0</v>
      </c>
      <c r="M1216" s="37">
        <v>0.0</v>
      </c>
    </row>
    <row r="1217" ht="14.25" customHeight="1">
      <c r="A1217" t="s">
        <v>1311</v>
      </c>
      <c r="B1217" t="s">
        <v>1283</v>
      </c>
      <c r="C1217" t="s">
        <v>75</v>
      </c>
      <c r="D1217" t="s">
        <v>63</v>
      </c>
      <c r="E1217">
        <v>15.0</v>
      </c>
      <c r="F1217">
        <v>18.0</v>
      </c>
      <c r="G1217" s="2" t="s">
        <v>64</v>
      </c>
      <c r="H1217" s="2">
        <v>0.0</v>
      </c>
      <c r="I1217" s="2">
        <v>0.0</v>
      </c>
      <c r="J1217" s="37">
        <v>0.0</v>
      </c>
      <c r="K1217" s="2">
        <v>0.0</v>
      </c>
      <c r="L1217" s="2">
        <v>0.0</v>
      </c>
      <c r="M1217" s="37">
        <v>0.0</v>
      </c>
    </row>
    <row r="1218" ht="14.25" customHeight="1">
      <c r="A1218" t="s">
        <v>1312</v>
      </c>
      <c r="B1218" t="s">
        <v>1283</v>
      </c>
      <c r="C1218" t="s">
        <v>75</v>
      </c>
      <c r="D1218" t="s">
        <v>63</v>
      </c>
      <c r="E1218">
        <v>20.3</v>
      </c>
      <c r="F1218">
        <v>22.6</v>
      </c>
      <c r="G1218" s="2" t="s">
        <v>64</v>
      </c>
      <c r="H1218" s="2">
        <v>0.0</v>
      </c>
      <c r="I1218" s="2">
        <v>0.0</v>
      </c>
      <c r="J1218" s="37">
        <v>0.0</v>
      </c>
      <c r="K1218" s="2">
        <v>0.0</v>
      </c>
      <c r="L1218" s="2">
        <v>0.0</v>
      </c>
      <c r="M1218" s="37">
        <v>0.0</v>
      </c>
    </row>
    <row r="1219" ht="14.25" customHeight="1">
      <c r="A1219" t="s">
        <v>1313</v>
      </c>
      <c r="B1219" t="s">
        <v>1283</v>
      </c>
      <c r="C1219" t="s">
        <v>75</v>
      </c>
      <c r="D1219" t="s">
        <v>63</v>
      </c>
      <c r="E1219">
        <v>25.0</v>
      </c>
      <c r="F1219">
        <v>28.0</v>
      </c>
      <c r="G1219" s="2" t="s">
        <v>64</v>
      </c>
      <c r="H1219" s="2">
        <v>0.0</v>
      </c>
      <c r="I1219" s="2">
        <v>0.0</v>
      </c>
      <c r="J1219" s="37">
        <v>0.0</v>
      </c>
      <c r="K1219" s="2">
        <v>0.0</v>
      </c>
      <c r="L1219" s="2">
        <v>0.0</v>
      </c>
      <c r="M1219" s="37">
        <v>0.0</v>
      </c>
    </row>
    <row r="1220" ht="14.25" customHeight="1">
      <c r="A1220" t="s">
        <v>1314</v>
      </c>
      <c r="B1220" t="s">
        <v>1283</v>
      </c>
      <c r="C1220" t="s">
        <v>62</v>
      </c>
      <c r="D1220" t="s">
        <v>63</v>
      </c>
      <c r="E1220">
        <v>10.0</v>
      </c>
      <c r="F1220">
        <v>11.2</v>
      </c>
      <c r="G1220" s="2" t="s">
        <v>67</v>
      </c>
      <c r="H1220" s="2">
        <v>62.0</v>
      </c>
      <c r="I1220" s="2">
        <v>160.0</v>
      </c>
      <c r="J1220" s="37">
        <v>1600.52</v>
      </c>
      <c r="K1220" s="2">
        <v>72.0</v>
      </c>
      <c r="L1220" s="2">
        <v>354.0</v>
      </c>
      <c r="M1220" s="37">
        <v>2077.32</v>
      </c>
    </row>
    <row r="1221" ht="14.25" customHeight="1">
      <c r="A1221" t="s">
        <v>1315</v>
      </c>
      <c r="B1221" t="s">
        <v>1283</v>
      </c>
      <c r="C1221" t="s">
        <v>62</v>
      </c>
      <c r="D1221" t="s">
        <v>63</v>
      </c>
      <c r="E1221">
        <v>12.5</v>
      </c>
      <c r="F1221">
        <v>14.0</v>
      </c>
      <c r="G1221" s="2" t="s">
        <v>64</v>
      </c>
      <c r="H1221" s="2">
        <v>0.0</v>
      </c>
      <c r="I1221" s="2">
        <v>0.0</v>
      </c>
      <c r="J1221" s="37">
        <v>0.0</v>
      </c>
      <c r="K1221" s="2">
        <v>0.0</v>
      </c>
      <c r="L1221" s="2">
        <v>0.0</v>
      </c>
      <c r="M1221" s="37">
        <v>0.0</v>
      </c>
    </row>
    <row r="1222" ht="14.25" customHeight="1">
      <c r="A1222" t="s">
        <v>1316</v>
      </c>
      <c r="B1222" t="s">
        <v>1283</v>
      </c>
      <c r="C1222" t="s">
        <v>62</v>
      </c>
      <c r="D1222" t="s">
        <v>63</v>
      </c>
      <c r="E1222">
        <v>8.5</v>
      </c>
      <c r="F1222">
        <v>10.0</v>
      </c>
      <c r="G1222" s="2" t="s">
        <v>64</v>
      </c>
      <c r="H1222" s="2">
        <v>0.0</v>
      </c>
      <c r="I1222" s="2">
        <v>0.0</v>
      </c>
      <c r="J1222" s="37">
        <v>0.0</v>
      </c>
      <c r="K1222" s="2">
        <v>0.0</v>
      </c>
      <c r="L1222" s="2">
        <v>0.0</v>
      </c>
      <c r="M1222" s="37">
        <v>0.0</v>
      </c>
    </row>
    <row r="1223" ht="14.25" customHeight="1">
      <c r="A1223" t="s">
        <v>1317</v>
      </c>
      <c r="B1223" t="s">
        <v>1283</v>
      </c>
      <c r="C1223" t="s">
        <v>62</v>
      </c>
      <c r="D1223" t="s">
        <v>63</v>
      </c>
      <c r="E1223">
        <v>10.0</v>
      </c>
      <c r="F1223">
        <v>11.2</v>
      </c>
      <c r="G1223" s="2" t="s">
        <v>67</v>
      </c>
      <c r="H1223" s="2">
        <v>66.0</v>
      </c>
      <c r="I1223" s="2">
        <v>311.0</v>
      </c>
      <c r="J1223" s="37">
        <v>1886.66</v>
      </c>
      <c r="K1223" s="2">
        <v>76.0</v>
      </c>
      <c r="L1223" s="2">
        <v>505.0</v>
      </c>
      <c r="M1223" s="37">
        <v>2363.46</v>
      </c>
    </row>
    <row r="1224" ht="14.25" customHeight="1">
      <c r="A1224" t="s">
        <v>1318</v>
      </c>
      <c r="B1224" t="s">
        <v>1283</v>
      </c>
      <c r="C1224" t="s">
        <v>62</v>
      </c>
      <c r="D1224" t="s">
        <v>63</v>
      </c>
      <c r="E1224">
        <v>12.5</v>
      </c>
      <c r="F1224">
        <v>14.0</v>
      </c>
      <c r="G1224" s="2" t="s">
        <v>64</v>
      </c>
      <c r="H1224" s="2">
        <v>0.0</v>
      </c>
      <c r="I1224" s="2">
        <v>0.0</v>
      </c>
      <c r="J1224" s="37">
        <v>0.0</v>
      </c>
      <c r="K1224" s="2">
        <v>0.0</v>
      </c>
      <c r="L1224" s="2">
        <v>0.0</v>
      </c>
      <c r="M1224" s="37">
        <v>0.0</v>
      </c>
    </row>
    <row r="1225" ht="14.25" customHeight="1">
      <c r="A1225" t="s">
        <v>1319</v>
      </c>
      <c r="B1225" t="s">
        <v>1283</v>
      </c>
      <c r="C1225" t="s">
        <v>62</v>
      </c>
      <c r="D1225" t="s">
        <v>63</v>
      </c>
      <c r="E1225">
        <v>13.0</v>
      </c>
      <c r="F1225">
        <v>16.0</v>
      </c>
      <c r="G1225" s="2" t="s">
        <v>67</v>
      </c>
      <c r="H1225" s="2">
        <v>78.0</v>
      </c>
      <c r="I1225" s="2">
        <v>86.0</v>
      </c>
      <c r="J1225" s="37">
        <v>1863.68</v>
      </c>
      <c r="K1225" s="2">
        <v>92.0</v>
      </c>
      <c r="L1225" s="2">
        <v>337.0</v>
      </c>
      <c r="M1225" s="37">
        <v>2504.42</v>
      </c>
    </row>
    <row r="1226" ht="14.25" customHeight="1">
      <c r="A1226" t="s">
        <v>1320</v>
      </c>
      <c r="B1226" t="s">
        <v>1283</v>
      </c>
      <c r="C1226" t="s">
        <v>62</v>
      </c>
      <c r="D1226" t="s">
        <v>63</v>
      </c>
      <c r="E1226">
        <v>14.0</v>
      </c>
      <c r="F1226">
        <v>16.0</v>
      </c>
      <c r="G1226" s="2" t="s">
        <v>67</v>
      </c>
      <c r="H1226" s="2">
        <v>74.0</v>
      </c>
      <c r="I1226" s="2">
        <v>87.0</v>
      </c>
      <c r="J1226" s="37">
        <v>1775.1399999999999</v>
      </c>
      <c r="K1226" s="2">
        <v>88.0</v>
      </c>
      <c r="L1226" s="2">
        <v>358.0</v>
      </c>
      <c r="M1226" s="37">
        <v>2441.88</v>
      </c>
    </row>
    <row r="1227" ht="14.25" customHeight="1">
      <c r="A1227" t="s">
        <v>1321</v>
      </c>
      <c r="B1227" t="s">
        <v>1283</v>
      </c>
      <c r="C1227" t="s">
        <v>62</v>
      </c>
      <c r="D1227" t="s">
        <v>63</v>
      </c>
      <c r="E1227">
        <v>2.6</v>
      </c>
      <c r="F1227">
        <v>3.5</v>
      </c>
      <c r="G1227" s="2" t="s">
        <v>64</v>
      </c>
      <c r="H1227" s="2">
        <v>0.0</v>
      </c>
      <c r="I1227" s="2">
        <v>0.0</v>
      </c>
      <c r="J1227" s="37">
        <v>0.0</v>
      </c>
      <c r="K1227" s="2">
        <v>0.0</v>
      </c>
      <c r="L1227" s="2">
        <v>0.0</v>
      </c>
      <c r="M1227" s="37">
        <v>0.0</v>
      </c>
    </row>
    <row r="1228" ht="14.25" customHeight="1">
      <c r="A1228" t="s">
        <v>1322</v>
      </c>
      <c r="B1228" t="s">
        <v>1283</v>
      </c>
      <c r="C1228" t="s">
        <v>62</v>
      </c>
      <c r="D1228" t="s">
        <v>63</v>
      </c>
      <c r="E1228">
        <v>5.2</v>
      </c>
      <c r="F1228">
        <v>6.0</v>
      </c>
      <c r="G1228" s="2" t="s">
        <v>64</v>
      </c>
      <c r="H1228" s="2">
        <v>0.0</v>
      </c>
      <c r="I1228" s="2">
        <v>0.0</v>
      </c>
      <c r="J1228" s="37">
        <v>0.0</v>
      </c>
      <c r="K1228" s="2">
        <v>0.0</v>
      </c>
      <c r="L1228" s="2">
        <v>0.0</v>
      </c>
      <c r="M1228" s="37">
        <v>0.0</v>
      </c>
    </row>
    <row r="1229" ht="14.25" customHeight="1">
      <c r="A1229" t="s">
        <v>1323</v>
      </c>
      <c r="B1229" t="s">
        <v>1283</v>
      </c>
      <c r="C1229" t="s">
        <v>62</v>
      </c>
      <c r="D1229" t="s">
        <v>63</v>
      </c>
      <c r="E1229">
        <v>7.1</v>
      </c>
      <c r="F1229">
        <v>8.0</v>
      </c>
      <c r="G1229" s="2" t="s">
        <v>64</v>
      </c>
      <c r="H1229" s="2">
        <v>0.0</v>
      </c>
      <c r="I1229" s="2">
        <v>0.0</v>
      </c>
      <c r="J1229" s="37">
        <v>0.0</v>
      </c>
      <c r="K1229" s="2">
        <v>0.0</v>
      </c>
      <c r="L1229" s="2">
        <v>0.0</v>
      </c>
      <c r="M1229" s="37">
        <v>0.0</v>
      </c>
    </row>
    <row r="1230" ht="14.25" customHeight="1">
      <c r="A1230" t="s">
        <v>1324</v>
      </c>
      <c r="B1230" t="s">
        <v>1283</v>
      </c>
      <c r="C1230" t="s">
        <v>62</v>
      </c>
      <c r="D1230" t="s">
        <v>63</v>
      </c>
      <c r="E1230">
        <v>8.5</v>
      </c>
      <c r="F1230">
        <v>10.0</v>
      </c>
      <c r="G1230" s="2" t="s">
        <v>64</v>
      </c>
      <c r="H1230" s="2">
        <v>0.0</v>
      </c>
      <c r="I1230" s="2">
        <v>0.0</v>
      </c>
      <c r="J1230" s="37">
        <v>0.0</v>
      </c>
      <c r="K1230" s="2">
        <v>0.0</v>
      </c>
      <c r="L1230" s="2">
        <v>0.0</v>
      </c>
      <c r="M1230" s="37">
        <v>0.0</v>
      </c>
    </row>
    <row r="1231" ht="14.25" customHeight="1">
      <c r="A1231" t="s">
        <v>1325</v>
      </c>
      <c r="B1231" t="s">
        <v>1283</v>
      </c>
      <c r="C1231" t="s">
        <v>62</v>
      </c>
      <c r="D1231" t="s">
        <v>63</v>
      </c>
      <c r="E1231">
        <v>10.0</v>
      </c>
      <c r="F1231">
        <v>11.2</v>
      </c>
      <c r="G1231" s="2" t="s">
        <v>64</v>
      </c>
      <c r="H1231" s="2">
        <v>0.0</v>
      </c>
      <c r="I1231" s="2">
        <v>0.0</v>
      </c>
      <c r="J1231" s="37">
        <v>0.0</v>
      </c>
      <c r="K1231" s="2">
        <v>0.0</v>
      </c>
      <c r="L1231" s="2">
        <v>0.0</v>
      </c>
      <c r="M1231" s="37">
        <v>0.0</v>
      </c>
    </row>
    <row r="1232" ht="14.25" customHeight="1">
      <c r="A1232" t="s">
        <v>1326</v>
      </c>
      <c r="B1232" t="s">
        <v>1283</v>
      </c>
      <c r="C1232" t="s">
        <v>62</v>
      </c>
      <c r="D1232" t="s">
        <v>63</v>
      </c>
      <c r="E1232">
        <v>5.2</v>
      </c>
      <c r="F1232">
        <v>6.0</v>
      </c>
      <c r="G1232" s="2" t="s">
        <v>64</v>
      </c>
      <c r="H1232" s="2">
        <v>0.0</v>
      </c>
      <c r="I1232" s="2">
        <v>0.0</v>
      </c>
      <c r="J1232" s="37">
        <v>0.0</v>
      </c>
      <c r="K1232" s="2">
        <v>0.0</v>
      </c>
      <c r="L1232" s="2">
        <v>0.0</v>
      </c>
      <c r="M1232" s="37">
        <v>0.0</v>
      </c>
    </row>
    <row r="1233" ht="14.25" customHeight="1">
      <c r="A1233" t="s">
        <v>1327</v>
      </c>
      <c r="B1233" t="s">
        <v>1283</v>
      </c>
      <c r="C1233" t="s">
        <v>62</v>
      </c>
      <c r="D1233" t="s">
        <v>63</v>
      </c>
      <c r="E1233">
        <v>7.1</v>
      </c>
      <c r="F1233">
        <v>8.0</v>
      </c>
      <c r="G1233" s="2" t="s">
        <v>64</v>
      </c>
      <c r="H1233" s="2">
        <v>0.0</v>
      </c>
      <c r="I1233" s="2">
        <v>0.0</v>
      </c>
      <c r="J1233" s="37">
        <v>0.0</v>
      </c>
      <c r="K1233" s="2">
        <v>0.0</v>
      </c>
      <c r="L1233" s="2">
        <v>0.0</v>
      </c>
      <c r="M1233" s="37">
        <v>0.0</v>
      </c>
    </row>
    <row r="1234" ht="14.25" customHeight="1">
      <c r="A1234" t="s">
        <v>1328</v>
      </c>
      <c r="B1234" t="s">
        <v>1283</v>
      </c>
      <c r="C1234" t="s">
        <v>75</v>
      </c>
      <c r="D1234" t="s">
        <v>63</v>
      </c>
      <c r="E1234">
        <v>7.1</v>
      </c>
      <c r="F1234">
        <v>8.0</v>
      </c>
      <c r="G1234" s="2" t="s">
        <v>64</v>
      </c>
      <c r="H1234" s="2">
        <v>0.0</v>
      </c>
      <c r="I1234" s="2">
        <v>0.0</v>
      </c>
      <c r="J1234" s="37">
        <v>0.0</v>
      </c>
      <c r="K1234" s="2">
        <v>0.0</v>
      </c>
      <c r="L1234" s="2">
        <v>0.0</v>
      </c>
      <c r="M1234" s="37">
        <v>0.0</v>
      </c>
    </row>
    <row r="1235" ht="14.25" customHeight="1">
      <c r="A1235" t="s">
        <v>1329</v>
      </c>
      <c r="B1235" t="s">
        <v>1330</v>
      </c>
      <c r="C1235" t="s">
        <v>62</v>
      </c>
      <c r="D1235" t="s">
        <v>63</v>
      </c>
      <c r="E1235">
        <v>2.64</v>
      </c>
      <c r="F1235">
        <v>2.9</v>
      </c>
      <c r="G1235" s="2" t="s">
        <v>67</v>
      </c>
      <c r="H1235" s="2">
        <v>14.0</v>
      </c>
      <c r="I1235" s="2">
        <v>107.0</v>
      </c>
      <c r="J1235" s="37">
        <v>453.53999999999996</v>
      </c>
      <c r="K1235" s="2">
        <v>16.0</v>
      </c>
      <c r="L1235" s="2">
        <v>147.0</v>
      </c>
      <c r="M1235" s="37">
        <v>550.46</v>
      </c>
    </row>
    <row r="1236" ht="14.25" customHeight="1">
      <c r="A1236" t="s">
        <v>1331</v>
      </c>
      <c r="B1236" t="s">
        <v>1330</v>
      </c>
      <c r="C1236" t="s">
        <v>62</v>
      </c>
      <c r="D1236" t="s">
        <v>63</v>
      </c>
      <c r="E1236">
        <v>3.5</v>
      </c>
      <c r="F1236">
        <v>4.0</v>
      </c>
      <c r="G1236" s="2" t="s">
        <v>64</v>
      </c>
      <c r="H1236" s="2">
        <v>0.0</v>
      </c>
      <c r="I1236" s="2">
        <v>0.0</v>
      </c>
      <c r="J1236" s="37">
        <v>0.0</v>
      </c>
      <c r="K1236" s="2">
        <v>0.0</v>
      </c>
      <c r="L1236" s="2">
        <v>0.0</v>
      </c>
      <c r="M1236" s="37">
        <v>0.0</v>
      </c>
    </row>
    <row r="1237" ht="14.25" customHeight="1">
      <c r="A1237" t="s">
        <v>1332</v>
      </c>
      <c r="B1237" t="s">
        <v>1330</v>
      </c>
      <c r="C1237" t="s">
        <v>62</v>
      </c>
      <c r="D1237" t="s">
        <v>63</v>
      </c>
      <c r="E1237">
        <v>5.2</v>
      </c>
      <c r="F1237">
        <v>5.2</v>
      </c>
      <c r="G1237" s="2" t="s">
        <v>67</v>
      </c>
      <c r="H1237" s="2">
        <v>29.0</v>
      </c>
      <c r="I1237" s="2">
        <v>187.0</v>
      </c>
      <c r="J1237" s="37">
        <v>894.44</v>
      </c>
      <c r="K1237" s="2">
        <v>33.0</v>
      </c>
      <c r="L1237" s="2">
        <v>277.0</v>
      </c>
      <c r="M1237" s="37">
        <v>1101.2800000000002</v>
      </c>
    </row>
    <row r="1238" ht="14.25" customHeight="1">
      <c r="A1238" t="s">
        <v>1333</v>
      </c>
      <c r="B1238" t="s">
        <v>1330</v>
      </c>
      <c r="C1238" t="s">
        <v>62</v>
      </c>
      <c r="D1238" t="s">
        <v>63</v>
      </c>
      <c r="E1238">
        <v>7.04</v>
      </c>
      <c r="F1238">
        <v>8.2</v>
      </c>
      <c r="G1238" s="2" t="s">
        <v>64</v>
      </c>
      <c r="H1238" s="2">
        <v>0.0</v>
      </c>
      <c r="I1238" s="2">
        <v>0.0</v>
      </c>
      <c r="J1238" s="37">
        <v>0.0</v>
      </c>
      <c r="K1238" s="2">
        <v>0.0</v>
      </c>
      <c r="L1238" s="2">
        <v>0.0</v>
      </c>
      <c r="M1238" s="37">
        <v>0.0</v>
      </c>
    </row>
    <row r="1239" ht="14.25" customHeight="1">
      <c r="A1239" t="s">
        <v>1334</v>
      </c>
      <c r="B1239" t="s">
        <v>1330</v>
      </c>
      <c r="C1239" t="s">
        <v>62</v>
      </c>
      <c r="D1239" t="s">
        <v>63</v>
      </c>
      <c r="E1239">
        <v>8.0</v>
      </c>
      <c r="F1239">
        <v>8.4</v>
      </c>
      <c r="G1239" s="2" t="s">
        <v>64</v>
      </c>
      <c r="H1239" s="2">
        <v>0.0</v>
      </c>
      <c r="I1239" s="2">
        <v>0.0</v>
      </c>
      <c r="J1239" s="37">
        <v>0.0</v>
      </c>
      <c r="K1239" s="2">
        <v>0.0</v>
      </c>
      <c r="L1239" s="2">
        <v>0.0</v>
      </c>
      <c r="M1239" s="37">
        <v>0.0</v>
      </c>
    </row>
    <row r="1240" ht="14.25" customHeight="1">
      <c r="A1240" t="s">
        <v>1335</v>
      </c>
      <c r="B1240" t="s">
        <v>1336</v>
      </c>
      <c r="C1240" t="s">
        <v>62</v>
      </c>
      <c r="D1240" t="s">
        <v>63</v>
      </c>
      <c r="E1240">
        <v>7.1</v>
      </c>
      <c r="F1240">
        <v>7.1</v>
      </c>
      <c r="G1240" s="2" t="s">
        <v>67</v>
      </c>
      <c r="H1240" s="2">
        <v>38.0</v>
      </c>
      <c r="I1240" s="2">
        <v>159.0</v>
      </c>
      <c r="J1240" s="37">
        <v>1060.18</v>
      </c>
      <c r="K1240" s="2">
        <v>43.0</v>
      </c>
      <c r="L1240" s="2">
        <v>282.0</v>
      </c>
      <c r="M1240" s="37">
        <v>1332.38</v>
      </c>
    </row>
    <row r="1241" ht="14.25" customHeight="1">
      <c r="A1241" t="s">
        <v>1337</v>
      </c>
      <c r="B1241" t="s">
        <v>1336</v>
      </c>
      <c r="C1241" t="s">
        <v>62</v>
      </c>
      <c r="D1241" t="s">
        <v>63</v>
      </c>
      <c r="E1241">
        <v>2.5</v>
      </c>
      <c r="F1241">
        <v>3.0</v>
      </c>
      <c r="G1241" s="2" t="s">
        <v>64</v>
      </c>
      <c r="H1241" s="2">
        <v>0.0</v>
      </c>
      <c r="I1241" s="2">
        <v>0.0</v>
      </c>
      <c r="J1241" s="37">
        <v>0.0</v>
      </c>
      <c r="K1241" s="2">
        <v>0.0</v>
      </c>
      <c r="L1241" s="2">
        <v>0.0</v>
      </c>
      <c r="M1241" s="37">
        <v>0.0</v>
      </c>
    </row>
    <row r="1242" ht="14.25" customHeight="1">
      <c r="A1242" t="s">
        <v>1338</v>
      </c>
      <c r="B1242" t="s">
        <v>1336</v>
      </c>
      <c r="C1242" t="s">
        <v>62</v>
      </c>
      <c r="D1242" t="s">
        <v>63</v>
      </c>
      <c r="E1242">
        <v>5.2</v>
      </c>
      <c r="F1242">
        <v>5.6</v>
      </c>
      <c r="G1242" s="2" t="s">
        <v>67</v>
      </c>
      <c r="H1242" s="2">
        <v>29.0</v>
      </c>
      <c r="I1242" s="2">
        <v>148.0</v>
      </c>
      <c r="J1242" s="37">
        <v>843.74</v>
      </c>
      <c r="K1242" s="2">
        <v>34.0</v>
      </c>
      <c r="L1242" s="2">
        <v>238.0</v>
      </c>
      <c r="M1242" s="37">
        <v>1073.04</v>
      </c>
    </row>
    <row r="1243" ht="14.25" customHeight="1">
      <c r="A1243" t="s">
        <v>1339</v>
      </c>
      <c r="B1243" t="s">
        <v>1340</v>
      </c>
      <c r="C1243" t="s">
        <v>62</v>
      </c>
      <c r="D1243" t="s">
        <v>268</v>
      </c>
      <c r="E1243">
        <v>2.9</v>
      </c>
      <c r="F1243">
        <v>2.4</v>
      </c>
      <c r="G1243" s="2" t="s">
        <v>64</v>
      </c>
      <c r="H1243" s="2">
        <v>0.0</v>
      </c>
      <c r="I1243" s="2">
        <v>0.0</v>
      </c>
      <c r="J1243" s="37">
        <v>0.0</v>
      </c>
      <c r="K1243" s="2">
        <v>0.0</v>
      </c>
      <c r="L1243" s="2">
        <v>0.0</v>
      </c>
      <c r="M1243" s="37">
        <v>0.0</v>
      </c>
    </row>
    <row r="1244" ht="14.25" customHeight="1">
      <c r="A1244" t="s">
        <v>1341</v>
      </c>
      <c r="B1244" t="s">
        <v>1340</v>
      </c>
      <c r="C1244" t="s">
        <v>62</v>
      </c>
      <c r="D1244" t="s">
        <v>268</v>
      </c>
      <c r="E1244">
        <v>4.2</v>
      </c>
      <c r="F1244">
        <v>2.88</v>
      </c>
      <c r="G1244" s="2" t="s">
        <v>64</v>
      </c>
      <c r="H1244" s="2">
        <v>0.0</v>
      </c>
      <c r="I1244" s="2">
        <v>0.0</v>
      </c>
      <c r="J1244" s="37">
        <v>0.0</v>
      </c>
      <c r="K1244" s="2">
        <v>0.0</v>
      </c>
      <c r="L1244" s="2">
        <v>0.0</v>
      </c>
      <c r="M1244" s="37">
        <v>0.0</v>
      </c>
    </row>
    <row r="1245" ht="14.25" customHeight="1">
      <c r="A1245" t="s">
        <v>1342</v>
      </c>
      <c r="B1245" t="s">
        <v>1340</v>
      </c>
      <c r="C1245" t="s">
        <v>62</v>
      </c>
      <c r="D1245" t="s">
        <v>268</v>
      </c>
      <c r="E1245">
        <v>4.2</v>
      </c>
      <c r="F1245">
        <v>2.88</v>
      </c>
      <c r="G1245" s="2" t="s">
        <v>64</v>
      </c>
      <c r="H1245" s="2">
        <v>0.0</v>
      </c>
      <c r="I1245" s="2">
        <v>0.0</v>
      </c>
      <c r="J1245" s="37">
        <v>0.0</v>
      </c>
      <c r="K1245" s="2">
        <v>0.0</v>
      </c>
      <c r="L1245" s="2">
        <v>0.0</v>
      </c>
      <c r="M1245" s="37">
        <v>0.0</v>
      </c>
    </row>
    <row r="1246" ht="14.25" customHeight="1">
      <c r="A1246" t="s">
        <v>1343</v>
      </c>
      <c r="B1246" t="s">
        <v>1340</v>
      </c>
      <c r="C1246" t="s">
        <v>62</v>
      </c>
      <c r="D1246" t="s">
        <v>268</v>
      </c>
      <c r="E1246">
        <v>4.2</v>
      </c>
      <c r="F1246">
        <v>2.88</v>
      </c>
      <c r="G1246" s="2" t="s">
        <v>64</v>
      </c>
      <c r="H1246" s="2">
        <v>0.0</v>
      </c>
      <c r="I1246" s="2">
        <v>0.0</v>
      </c>
      <c r="J1246" s="37">
        <v>0.0</v>
      </c>
      <c r="K1246" s="2">
        <v>0.0</v>
      </c>
      <c r="L1246" s="2">
        <v>0.0</v>
      </c>
      <c r="M1246" s="37">
        <v>0.0</v>
      </c>
    </row>
    <row r="1247" ht="14.25" customHeight="1">
      <c r="A1247" t="s">
        <v>1344</v>
      </c>
      <c r="B1247" t="s">
        <v>1340</v>
      </c>
      <c r="C1247" t="s">
        <v>62</v>
      </c>
      <c r="D1247" t="s">
        <v>268</v>
      </c>
      <c r="E1247">
        <v>4.2</v>
      </c>
      <c r="F1247">
        <v>2.88</v>
      </c>
      <c r="G1247" s="2" t="s">
        <v>64</v>
      </c>
      <c r="H1247" s="2">
        <v>0.0</v>
      </c>
      <c r="I1247" s="2">
        <v>0.0</v>
      </c>
      <c r="J1247" s="37">
        <v>0.0</v>
      </c>
      <c r="K1247" s="2">
        <v>0.0</v>
      </c>
      <c r="L1247" s="2">
        <v>0.0</v>
      </c>
      <c r="M1247" s="37">
        <v>0.0</v>
      </c>
    </row>
    <row r="1248" ht="14.25" customHeight="1">
      <c r="A1248" t="s">
        <v>1345</v>
      </c>
      <c r="B1248" t="s">
        <v>1340</v>
      </c>
      <c r="C1248" t="s">
        <v>62</v>
      </c>
      <c r="D1248" t="s">
        <v>268</v>
      </c>
      <c r="E1248">
        <v>4.2</v>
      </c>
      <c r="F1248">
        <v>2.88</v>
      </c>
      <c r="G1248" s="2" t="s">
        <v>64</v>
      </c>
      <c r="H1248" s="2">
        <v>0.0</v>
      </c>
      <c r="I1248" s="2">
        <v>0.0</v>
      </c>
      <c r="J1248" s="37">
        <v>0.0</v>
      </c>
      <c r="K1248" s="2">
        <v>0.0</v>
      </c>
      <c r="L1248" s="2">
        <v>0.0</v>
      </c>
      <c r="M1248" s="37">
        <v>0.0</v>
      </c>
    </row>
    <row r="1249" ht="14.25" customHeight="1">
      <c r="A1249" t="s">
        <v>1346</v>
      </c>
      <c r="B1249" t="s">
        <v>1340</v>
      </c>
      <c r="C1249" t="s">
        <v>62</v>
      </c>
      <c r="D1249" t="s">
        <v>268</v>
      </c>
      <c r="E1249">
        <v>4.2</v>
      </c>
      <c r="F1249">
        <v>2.88</v>
      </c>
      <c r="G1249" s="2" t="s">
        <v>64</v>
      </c>
      <c r="H1249" s="2">
        <v>0.0</v>
      </c>
      <c r="I1249" s="2">
        <v>0.0</v>
      </c>
      <c r="J1249" s="37">
        <v>0.0</v>
      </c>
      <c r="K1249" s="2">
        <v>0.0</v>
      </c>
      <c r="L1249" s="2">
        <v>0.0</v>
      </c>
      <c r="M1249" s="37">
        <v>0.0</v>
      </c>
    </row>
    <row r="1250" ht="14.25" customHeight="1">
      <c r="A1250" t="s">
        <v>1347</v>
      </c>
      <c r="B1250" t="s">
        <v>1340</v>
      </c>
      <c r="C1250" t="s">
        <v>62</v>
      </c>
      <c r="D1250" t="s">
        <v>268</v>
      </c>
      <c r="E1250">
        <v>2.637</v>
      </c>
      <c r="F1250">
        <v>2.14</v>
      </c>
      <c r="G1250" s="2" t="s">
        <v>64</v>
      </c>
      <c r="H1250" s="2">
        <v>0.0</v>
      </c>
      <c r="I1250" s="2">
        <v>0.0</v>
      </c>
      <c r="J1250" s="37">
        <v>0.0</v>
      </c>
      <c r="K1250" s="2">
        <v>0.0</v>
      </c>
      <c r="L1250" s="2">
        <v>0.0</v>
      </c>
      <c r="M1250" s="37">
        <v>0.0</v>
      </c>
    </row>
    <row r="1251" ht="14.25" customHeight="1">
      <c r="A1251" t="s">
        <v>1348</v>
      </c>
      <c r="B1251" t="s">
        <v>1340</v>
      </c>
      <c r="C1251" t="s">
        <v>62</v>
      </c>
      <c r="D1251" t="s">
        <v>268</v>
      </c>
      <c r="E1251">
        <v>2.637</v>
      </c>
      <c r="F1251">
        <v>2.14</v>
      </c>
      <c r="G1251" s="2" t="s">
        <v>64</v>
      </c>
      <c r="H1251" s="2">
        <v>0.0</v>
      </c>
      <c r="I1251" s="2">
        <v>0.0</v>
      </c>
      <c r="J1251" s="37">
        <v>0.0</v>
      </c>
      <c r="K1251" s="2">
        <v>0.0</v>
      </c>
      <c r="L1251" s="2">
        <v>0.0</v>
      </c>
      <c r="M1251" s="37">
        <v>0.0</v>
      </c>
    </row>
    <row r="1252" ht="14.25" customHeight="1">
      <c r="A1252" t="s">
        <v>1349</v>
      </c>
      <c r="B1252" t="s">
        <v>1340</v>
      </c>
      <c r="C1252" t="s">
        <v>62</v>
      </c>
      <c r="D1252" t="s">
        <v>268</v>
      </c>
      <c r="E1252">
        <v>2.64</v>
      </c>
      <c r="F1252">
        <v>2.05</v>
      </c>
      <c r="G1252" s="2" t="s">
        <v>64</v>
      </c>
      <c r="H1252" s="2">
        <v>0.0</v>
      </c>
      <c r="I1252" s="2">
        <v>0.0</v>
      </c>
      <c r="J1252" s="37">
        <v>0.0</v>
      </c>
      <c r="K1252" s="2">
        <v>0.0</v>
      </c>
      <c r="L1252" s="2">
        <v>0.0</v>
      </c>
      <c r="M1252" s="37">
        <v>0.0</v>
      </c>
    </row>
    <row r="1253" ht="14.25" customHeight="1">
      <c r="A1253" t="s">
        <v>1350</v>
      </c>
      <c r="B1253" t="s">
        <v>1340</v>
      </c>
      <c r="C1253" t="s">
        <v>62</v>
      </c>
      <c r="D1253" t="s">
        <v>268</v>
      </c>
      <c r="E1253">
        <v>2.64</v>
      </c>
      <c r="F1253">
        <v>2.05</v>
      </c>
      <c r="G1253" s="2" t="s">
        <v>64</v>
      </c>
      <c r="H1253" s="2">
        <v>0.0</v>
      </c>
      <c r="I1253" s="2">
        <v>0.0</v>
      </c>
      <c r="J1253" s="37">
        <v>0.0</v>
      </c>
      <c r="K1253" s="2">
        <v>0.0</v>
      </c>
      <c r="L1253" s="2">
        <v>0.0</v>
      </c>
      <c r="M1253" s="37">
        <v>0.0</v>
      </c>
    </row>
    <row r="1254" ht="14.25" customHeight="1">
      <c r="A1254" t="s">
        <v>1351</v>
      </c>
      <c r="B1254" t="s">
        <v>1340</v>
      </c>
      <c r="C1254" t="s">
        <v>62</v>
      </c>
      <c r="D1254" t="s">
        <v>268</v>
      </c>
      <c r="E1254">
        <v>2.64</v>
      </c>
      <c r="F1254">
        <v>2.05</v>
      </c>
      <c r="G1254" s="2" t="s">
        <v>64</v>
      </c>
      <c r="H1254" s="2">
        <v>0.0</v>
      </c>
      <c r="I1254" s="2">
        <v>0.0</v>
      </c>
      <c r="J1254" s="37">
        <v>0.0</v>
      </c>
      <c r="K1254" s="2">
        <v>0.0</v>
      </c>
      <c r="L1254" s="2">
        <v>0.0</v>
      </c>
      <c r="M1254" s="37">
        <v>0.0</v>
      </c>
    </row>
    <row r="1255" ht="14.25" customHeight="1">
      <c r="A1255" t="s">
        <v>1352</v>
      </c>
      <c r="B1255" t="s">
        <v>1340</v>
      </c>
      <c r="C1255" t="s">
        <v>62</v>
      </c>
      <c r="D1255" t="s">
        <v>268</v>
      </c>
      <c r="E1255">
        <v>3.53</v>
      </c>
      <c r="F1255">
        <v>2.58</v>
      </c>
      <c r="G1255" s="2" t="s">
        <v>64</v>
      </c>
      <c r="H1255" s="2">
        <v>0.0</v>
      </c>
      <c r="I1255" s="2">
        <v>0.0</v>
      </c>
      <c r="J1255" s="37">
        <v>0.0</v>
      </c>
      <c r="K1255" s="2">
        <v>0.0</v>
      </c>
      <c r="L1255" s="2">
        <v>0.0</v>
      </c>
      <c r="M1255" s="37">
        <v>0.0</v>
      </c>
    </row>
    <row r="1256" ht="14.25" customHeight="1">
      <c r="A1256" t="s">
        <v>1353</v>
      </c>
      <c r="B1256" t="s">
        <v>1340</v>
      </c>
      <c r="C1256" t="s">
        <v>62</v>
      </c>
      <c r="D1256" t="s">
        <v>268</v>
      </c>
      <c r="E1256">
        <v>3.53</v>
      </c>
      <c r="F1256">
        <v>2.58</v>
      </c>
      <c r="G1256" s="2" t="s">
        <v>64</v>
      </c>
      <c r="H1256" s="2">
        <v>0.0</v>
      </c>
      <c r="I1256" s="2">
        <v>0.0</v>
      </c>
      <c r="J1256" s="37">
        <v>0.0</v>
      </c>
      <c r="K1256" s="2">
        <v>0.0</v>
      </c>
      <c r="L1256" s="2">
        <v>0.0</v>
      </c>
      <c r="M1256" s="37">
        <v>0.0</v>
      </c>
    </row>
    <row r="1257" ht="14.25" customHeight="1">
      <c r="A1257" t="s">
        <v>1354</v>
      </c>
      <c r="B1257" t="s">
        <v>1340</v>
      </c>
      <c r="C1257" t="s">
        <v>62</v>
      </c>
      <c r="D1257" t="s">
        <v>268</v>
      </c>
      <c r="E1257">
        <v>3.5</v>
      </c>
      <c r="F1257">
        <v>2.8</v>
      </c>
      <c r="G1257" s="2" t="s">
        <v>64</v>
      </c>
      <c r="H1257" s="2">
        <v>0.0</v>
      </c>
      <c r="I1257" s="2">
        <v>0.0</v>
      </c>
      <c r="J1257" s="37">
        <v>0.0</v>
      </c>
      <c r="K1257" s="2">
        <v>0.0</v>
      </c>
      <c r="L1257" s="2">
        <v>0.0</v>
      </c>
      <c r="M1257" s="37">
        <v>0.0</v>
      </c>
    </row>
    <row r="1258" ht="14.25" customHeight="1">
      <c r="A1258" t="s">
        <v>1355</v>
      </c>
      <c r="B1258" t="s">
        <v>1340</v>
      </c>
      <c r="C1258" t="s">
        <v>62</v>
      </c>
      <c r="D1258" t="s">
        <v>268</v>
      </c>
      <c r="E1258">
        <v>3.5</v>
      </c>
      <c r="F1258">
        <v>2.8</v>
      </c>
      <c r="G1258" s="2" t="s">
        <v>64</v>
      </c>
      <c r="H1258" s="2">
        <v>0.0</v>
      </c>
      <c r="I1258" s="2">
        <v>0.0</v>
      </c>
      <c r="J1258" s="37">
        <v>0.0</v>
      </c>
      <c r="K1258" s="2">
        <v>0.0</v>
      </c>
      <c r="L1258" s="2">
        <v>0.0</v>
      </c>
      <c r="M1258" s="37">
        <v>0.0</v>
      </c>
    </row>
    <row r="1259" ht="14.25" customHeight="1">
      <c r="A1259" t="s">
        <v>1356</v>
      </c>
      <c r="B1259" t="s">
        <v>1340</v>
      </c>
      <c r="C1259" t="s">
        <v>62</v>
      </c>
      <c r="D1259" t="s">
        <v>268</v>
      </c>
      <c r="E1259">
        <v>4.1</v>
      </c>
      <c r="F1259">
        <v>3.2</v>
      </c>
      <c r="G1259" s="2" t="s">
        <v>64</v>
      </c>
      <c r="H1259" s="2">
        <v>0.0</v>
      </c>
      <c r="I1259" s="2">
        <v>0.0</v>
      </c>
      <c r="J1259" s="37">
        <v>0.0</v>
      </c>
      <c r="K1259" s="2">
        <v>0.0</v>
      </c>
      <c r="L1259" s="2">
        <v>0.0</v>
      </c>
      <c r="M1259" s="37">
        <v>0.0</v>
      </c>
    </row>
    <row r="1260" ht="14.25" customHeight="1">
      <c r="A1260" t="s">
        <v>1357</v>
      </c>
      <c r="B1260" t="s">
        <v>1340</v>
      </c>
      <c r="C1260" t="s">
        <v>62</v>
      </c>
      <c r="D1260" t="s">
        <v>268</v>
      </c>
      <c r="E1260">
        <v>4.1</v>
      </c>
      <c r="F1260">
        <v>3.2</v>
      </c>
      <c r="G1260" s="2" t="s">
        <v>64</v>
      </c>
      <c r="H1260" s="2">
        <v>0.0</v>
      </c>
      <c r="I1260" s="2">
        <v>0.0</v>
      </c>
      <c r="J1260" s="37">
        <v>0.0</v>
      </c>
      <c r="K1260" s="2">
        <v>0.0</v>
      </c>
      <c r="L1260" s="2">
        <v>0.0</v>
      </c>
      <c r="M1260" s="37">
        <v>0.0</v>
      </c>
    </row>
    <row r="1261" ht="14.25" customHeight="1">
      <c r="A1261" t="s">
        <v>1358</v>
      </c>
      <c r="B1261" t="s">
        <v>1340</v>
      </c>
      <c r="C1261" t="s">
        <v>62</v>
      </c>
      <c r="D1261" t="s">
        <v>268</v>
      </c>
      <c r="E1261">
        <v>4.1</v>
      </c>
      <c r="F1261">
        <v>3.2</v>
      </c>
      <c r="G1261" s="2" t="s">
        <v>64</v>
      </c>
      <c r="H1261" s="2">
        <v>0.0</v>
      </c>
      <c r="I1261" s="2">
        <v>0.0</v>
      </c>
      <c r="J1261" s="37">
        <v>0.0</v>
      </c>
      <c r="K1261" s="2">
        <v>0.0</v>
      </c>
      <c r="L1261" s="2">
        <v>0.0</v>
      </c>
      <c r="M1261" s="37">
        <v>0.0</v>
      </c>
    </row>
    <row r="1262" ht="14.25" customHeight="1">
      <c r="A1262" t="s">
        <v>1359</v>
      </c>
      <c r="B1262" t="s">
        <v>1360</v>
      </c>
      <c r="C1262" t="s">
        <v>75</v>
      </c>
      <c r="D1262" t="s">
        <v>63</v>
      </c>
      <c r="E1262">
        <v>20.4</v>
      </c>
      <c r="F1262">
        <v>22.5</v>
      </c>
      <c r="G1262" s="2" t="s">
        <v>64</v>
      </c>
      <c r="H1262" s="2">
        <v>0.0</v>
      </c>
      <c r="I1262" s="2">
        <v>0.0</v>
      </c>
      <c r="J1262" s="37">
        <v>0.0</v>
      </c>
      <c r="K1262" s="2">
        <v>0.0</v>
      </c>
      <c r="L1262" s="2">
        <v>0.0</v>
      </c>
      <c r="M1262" s="37">
        <v>0.0</v>
      </c>
    </row>
    <row r="1263" ht="14.25" customHeight="1">
      <c r="A1263" t="s">
        <v>1361</v>
      </c>
      <c r="B1263" t="s">
        <v>1360</v>
      </c>
      <c r="C1263" t="s">
        <v>62</v>
      </c>
      <c r="D1263" t="s">
        <v>63</v>
      </c>
      <c r="E1263">
        <v>13.6</v>
      </c>
      <c r="F1263">
        <v>16.0</v>
      </c>
      <c r="G1263" s="2" t="s">
        <v>64</v>
      </c>
      <c r="H1263" s="2">
        <v>0.0</v>
      </c>
      <c r="I1263" s="2">
        <v>0.0</v>
      </c>
      <c r="J1263" s="37">
        <v>0.0</v>
      </c>
      <c r="K1263" s="2">
        <v>0.0</v>
      </c>
      <c r="L1263" s="2">
        <v>0.0</v>
      </c>
      <c r="M1263" s="37">
        <v>0.0</v>
      </c>
    </row>
    <row r="1264" ht="14.25" customHeight="1">
      <c r="A1264" t="s">
        <v>1362</v>
      </c>
      <c r="B1264" t="s">
        <v>1360</v>
      </c>
      <c r="C1264" t="s">
        <v>75</v>
      </c>
      <c r="D1264" t="s">
        <v>63</v>
      </c>
      <c r="E1264">
        <v>16.0</v>
      </c>
      <c r="F1264">
        <v>18.0</v>
      </c>
      <c r="G1264" s="2" t="s">
        <v>67</v>
      </c>
      <c r="H1264" s="2">
        <v>85.0</v>
      </c>
      <c r="I1264" s="2">
        <v>146.0</v>
      </c>
      <c r="J1264" s="37">
        <v>2098.9</v>
      </c>
      <c r="K1264" s="2">
        <v>101.0</v>
      </c>
      <c r="L1264" s="2">
        <v>456.0</v>
      </c>
      <c r="M1264" s="37">
        <v>2861.26</v>
      </c>
    </row>
    <row r="1265" ht="14.25" customHeight="1">
      <c r="A1265" t="s">
        <v>1363</v>
      </c>
      <c r="B1265" t="s">
        <v>1360</v>
      </c>
      <c r="C1265" t="s">
        <v>75</v>
      </c>
      <c r="D1265" t="s">
        <v>63</v>
      </c>
      <c r="E1265">
        <v>16.0</v>
      </c>
      <c r="F1265">
        <v>18.0</v>
      </c>
      <c r="G1265" s="2" t="s">
        <v>67</v>
      </c>
      <c r="H1265" s="2">
        <v>85.0</v>
      </c>
      <c r="I1265" s="2">
        <v>146.0</v>
      </c>
      <c r="J1265" s="37">
        <v>2098.9</v>
      </c>
      <c r="K1265" s="2">
        <v>101.0</v>
      </c>
      <c r="L1265" s="2">
        <v>456.0</v>
      </c>
      <c r="M1265" s="37">
        <v>2861.26</v>
      </c>
    </row>
    <row r="1266" ht="14.25" customHeight="1">
      <c r="A1266" t="s">
        <v>1364</v>
      </c>
      <c r="B1266" t="s">
        <v>1360</v>
      </c>
      <c r="C1266" t="s">
        <v>62</v>
      </c>
      <c r="D1266" t="s">
        <v>63</v>
      </c>
      <c r="E1266">
        <v>5.2</v>
      </c>
      <c r="F1266">
        <v>5.6</v>
      </c>
      <c r="G1266" s="2" t="s">
        <v>67</v>
      </c>
      <c r="H1266" s="2">
        <v>32.0</v>
      </c>
      <c r="I1266" s="2">
        <v>221.0</v>
      </c>
      <c r="J1266" s="37">
        <v>1006.02</v>
      </c>
      <c r="K1266" s="2">
        <v>36.0</v>
      </c>
      <c r="L1266" s="2">
        <v>311.0</v>
      </c>
      <c r="M1266" s="37">
        <v>1212.8600000000001</v>
      </c>
    </row>
    <row r="1267" ht="14.25" customHeight="1">
      <c r="A1267" t="s">
        <v>1365</v>
      </c>
      <c r="B1267" t="s">
        <v>1360</v>
      </c>
      <c r="C1267" t="s">
        <v>75</v>
      </c>
      <c r="D1267" t="s">
        <v>63</v>
      </c>
      <c r="E1267">
        <v>10.0</v>
      </c>
      <c r="F1267">
        <v>12.0</v>
      </c>
      <c r="G1267" s="2" t="s">
        <v>64</v>
      </c>
      <c r="H1267" s="2">
        <v>0.0</v>
      </c>
      <c r="I1267" s="2">
        <v>0.0</v>
      </c>
      <c r="J1267" s="37">
        <v>0.0</v>
      </c>
      <c r="K1267" s="2">
        <v>0.0</v>
      </c>
      <c r="L1267" s="2">
        <v>0.0</v>
      </c>
      <c r="M1267" s="37">
        <v>0.0</v>
      </c>
    </row>
    <row r="1268" ht="14.25" customHeight="1">
      <c r="A1268" t="s">
        <v>1366</v>
      </c>
      <c r="B1268" t="s">
        <v>1360</v>
      </c>
      <c r="C1268" t="s">
        <v>75</v>
      </c>
      <c r="D1268" t="s">
        <v>63</v>
      </c>
      <c r="E1268">
        <v>10.0</v>
      </c>
      <c r="F1268">
        <v>12.0</v>
      </c>
      <c r="G1268" s="2" t="s">
        <v>64</v>
      </c>
      <c r="H1268" s="2">
        <v>0.0</v>
      </c>
      <c r="I1268" s="2">
        <v>0.0</v>
      </c>
      <c r="J1268" s="37">
        <v>0.0</v>
      </c>
      <c r="K1268" s="2">
        <v>0.0</v>
      </c>
      <c r="L1268" s="2">
        <v>0.0</v>
      </c>
      <c r="M1268" s="37">
        <v>0.0</v>
      </c>
    </row>
    <row r="1269" ht="14.25" customHeight="1">
      <c r="A1269" t="s">
        <v>1367</v>
      </c>
      <c r="B1269" t="s">
        <v>1360</v>
      </c>
      <c r="C1269" t="s">
        <v>62</v>
      </c>
      <c r="D1269" t="s">
        <v>63</v>
      </c>
      <c r="E1269">
        <v>8.0</v>
      </c>
      <c r="F1269">
        <v>9.0</v>
      </c>
      <c r="G1269" s="2" t="s">
        <v>67</v>
      </c>
      <c r="H1269" s="2">
        <v>48.0</v>
      </c>
      <c r="I1269" s="2">
        <v>159.0</v>
      </c>
      <c r="J1269" s="37">
        <v>1284.78</v>
      </c>
      <c r="K1269" s="2">
        <v>55.0</v>
      </c>
      <c r="L1269" s="2">
        <v>297.0</v>
      </c>
      <c r="M1269" s="37">
        <v>1621.4</v>
      </c>
    </row>
    <row r="1270" ht="14.25" customHeight="1">
      <c r="A1270" t="s">
        <v>1368</v>
      </c>
      <c r="B1270" t="s">
        <v>1360</v>
      </c>
      <c r="C1270" t="s">
        <v>62</v>
      </c>
      <c r="D1270" t="s">
        <v>63</v>
      </c>
      <c r="E1270">
        <v>8.0</v>
      </c>
      <c r="F1270">
        <v>9.0</v>
      </c>
      <c r="G1270" s="2" t="s">
        <v>67</v>
      </c>
      <c r="H1270" s="2">
        <v>48.0</v>
      </c>
      <c r="I1270" s="2">
        <v>159.0</v>
      </c>
      <c r="J1270" s="37">
        <v>1284.78</v>
      </c>
      <c r="K1270" s="2">
        <v>55.0</v>
      </c>
      <c r="L1270" s="2">
        <v>297.0</v>
      </c>
      <c r="M1270" s="37">
        <v>1621.4</v>
      </c>
    </row>
    <row r="1271" ht="14.25" customHeight="1">
      <c r="A1271" t="s">
        <v>1369</v>
      </c>
      <c r="B1271" t="s">
        <v>1360</v>
      </c>
      <c r="C1271" t="s">
        <v>62</v>
      </c>
      <c r="D1271" t="s">
        <v>63</v>
      </c>
      <c r="E1271">
        <v>4.6</v>
      </c>
      <c r="F1271">
        <v>4.7</v>
      </c>
      <c r="G1271" s="2" t="s">
        <v>64</v>
      </c>
      <c r="H1271" s="2">
        <v>0.0</v>
      </c>
      <c r="I1271" s="2">
        <v>0.0</v>
      </c>
      <c r="J1271" s="37">
        <v>0.0</v>
      </c>
      <c r="K1271" s="2">
        <v>0.0</v>
      </c>
      <c r="L1271" s="2">
        <v>0.0</v>
      </c>
      <c r="M1271" s="37">
        <v>0.0</v>
      </c>
    </row>
    <row r="1272" ht="14.25" customHeight="1">
      <c r="A1272" t="s">
        <v>1370</v>
      </c>
      <c r="B1272" t="s">
        <v>1360</v>
      </c>
      <c r="C1272" t="s">
        <v>62</v>
      </c>
      <c r="D1272" t="s">
        <v>63</v>
      </c>
      <c r="E1272">
        <v>4.6</v>
      </c>
      <c r="F1272">
        <v>4.7</v>
      </c>
      <c r="G1272" s="2" t="s">
        <v>64</v>
      </c>
      <c r="H1272" s="2">
        <v>0.0</v>
      </c>
      <c r="I1272" s="2">
        <v>0.0</v>
      </c>
      <c r="J1272" s="37">
        <v>0.0</v>
      </c>
      <c r="K1272" s="2">
        <v>0.0</v>
      </c>
      <c r="L1272" s="2">
        <v>0.0</v>
      </c>
      <c r="M1272" s="37">
        <v>0.0</v>
      </c>
    </row>
    <row r="1273" ht="14.25" customHeight="1">
      <c r="A1273" t="s">
        <v>1371</v>
      </c>
      <c r="B1273" t="s">
        <v>1360</v>
      </c>
      <c r="C1273" t="s">
        <v>62</v>
      </c>
      <c r="D1273" t="s">
        <v>63</v>
      </c>
      <c r="E1273">
        <v>9.4</v>
      </c>
      <c r="F1273">
        <v>10.3</v>
      </c>
      <c r="G1273" s="2" t="s">
        <v>67</v>
      </c>
      <c r="H1273" s="2">
        <v>53.0</v>
      </c>
      <c r="I1273" s="2">
        <v>139.0</v>
      </c>
      <c r="J1273" s="37">
        <v>1371.0800000000002</v>
      </c>
      <c r="K1273" s="2">
        <v>61.0</v>
      </c>
      <c r="L1273" s="2">
        <v>301.0</v>
      </c>
      <c r="M1273" s="37">
        <v>1761.36</v>
      </c>
    </row>
    <row r="1274" ht="14.25" customHeight="1">
      <c r="A1274" t="s">
        <v>1372</v>
      </c>
      <c r="B1274" t="s">
        <v>1360</v>
      </c>
      <c r="C1274" t="s">
        <v>62</v>
      </c>
      <c r="D1274" t="s">
        <v>63</v>
      </c>
      <c r="E1274">
        <v>9.4</v>
      </c>
      <c r="F1274">
        <v>10.3</v>
      </c>
      <c r="G1274" s="2" t="s">
        <v>67</v>
      </c>
      <c r="H1274" s="2">
        <v>53.0</v>
      </c>
      <c r="I1274" s="2">
        <v>139.0</v>
      </c>
      <c r="J1274" s="37">
        <v>1371.0800000000002</v>
      </c>
      <c r="K1274" s="2">
        <v>61.0</v>
      </c>
      <c r="L1274" s="2">
        <v>301.0</v>
      </c>
      <c r="M1274" s="37">
        <v>1761.36</v>
      </c>
    </row>
    <row r="1275" ht="14.25" customHeight="1">
      <c r="A1275" t="s">
        <v>1373</v>
      </c>
      <c r="B1275" t="s">
        <v>1360</v>
      </c>
      <c r="C1275" t="s">
        <v>62</v>
      </c>
      <c r="D1275" t="s">
        <v>63</v>
      </c>
      <c r="E1275">
        <v>9.4</v>
      </c>
      <c r="F1275">
        <v>10.3</v>
      </c>
      <c r="G1275" s="2" t="s">
        <v>67</v>
      </c>
      <c r="H1275" s="2">
        <v>53.0</v>
      </c>
      <c r="I1275" s="2">
        <v>139.0</v>
      </c>
      <c r="J1275" s="37">
        <v>1371.0800000000002</v>
      </c>
      <c r="K1275" s="2">
        <v>61.0</v>
      </c>
      <c r="L1275" s="2">
        <v>301.0</v>
      </c>
      <c r="M1275" s="37">
        <v>1761.36</v>
      </c>
    </row>
    <row r="1276" ht="14.25" customHeight="1">
      <c r="A1276" t="s">
        <v>1374</v>
      </c>
      <c r="B1276" t="s">
        <v>1360</v>
      </c>
      <c r="C1276" t="s">
        <v>62</v>
      </c>
      <c r="D1276" t="s">
        <v>63</v>
      </c>
      <c r="E1276">
        <v>2.25</v>
      </c>
      <c r="F1276">
        <v>2.7</v>
      </c>
      <c r="G1276" s="2" t="s">
        <v>64</v>
      </c>
      <c r="H1276" s="2">
        <v>0.0</v>
      </c>
      <c r="I1276" s="2">
        <v>0.0</v>
      </c>
      <c r="J1276" s="37">
        <v>0.0</v>
      </c>
      <c r="K1276" s="2">
        <v>0.0</v>
      </c>
      <c r="L1276" s="2">
        <v>0.0</v>
      </c>
      <c r="M1276" s="37">
        <v>0.0</v>
      </c>
    </row>
    <row r="1277" ht="14.25" customHeight="1">
      <c r="A1277" t="s">
        <v>1375</v>
      </c>
      <c r="B1277" t="s">
        <v>1360</v>
      </c>
      <c r="C1277" t="s">
        <v>62</v>
      </c>
      <c r="D1277" t="s">
        <v>63</v>
      </c>
      <c r="E1277">
        <v>2.65</v>
      </c>
      <c r="F1277">
        <v>3.2</v>
      </c>
      <c r="G1277" s="2" t="s">
        <v>67</v>
      </c>
      <c r="H1277" s="2">
        <v>16.0</v>
      </c>
      <c r="I1277" s="2">
        <v>83.0</v>
      </c>
      <c r="J1277" s="37">
        <v>467.26</v>
      </c>
      <c r="K1277" s="2">
        <v>18.0</v>
      </c>
      <c r="L1277" s="2">
        <v>123.0</v>
      </c>
      <c r="M1277" s="37">
        <v>564.1800000000001</v>
      </c>
    </row>
    <row r="1278" ht="14.25" customHeight="1">
      <c r="A1278" t="s">
        <v>1376</v>
      </c>
      <c r="B1278" t="s">
        <v>1360</v>
      </c>
      <c r="C1278" t="s">
        <v>62</v>
      </c>
      <c r="D1278" t="s">
        <v>63</v>
      </c>
      <c r="E1278">
        <v>6.4</v>
      </c>
      <c r="F1278">
        <v>7.4</v>
      </c>
      <c r="G1278" s="2" t="s">
        <v>67</v>
      </c>
      <c r="H1278" s="2">
        <v>41.0</v>
      </c>
      <c r="I1278" s="2">
        <v>249.0</v>
      </c>
      <c r="J1278" s="37">
        <v>1244.56</v>
      </c>
      <c r="K1278" s="2">
        <v>47.0</v>
      </c>
      <c r="L1278" s="2">
        <v>360.0</v>
      </c>
      <c r="M1278" s="37">
        <v>1523.6200000000001</v>
      </c>
    </row>
    <row r="1279" ht="14.25" customHeight="1">
      <c r="A1279" t="s">
        <v>1377</v>
      </c>
      <c r="B1279" t="s">
        <v>1360</v>
      </c>
      <c r="C1279" t="s">
        <v>62</v>
      </c>
      <c r="D1279" t="s">
        <v>63</v>
      </c>
      <c r="E1279">
        <v>2.55</v>
      </c>
      <c r="F1279">
        <v>3.25</v>
      </c>
      <c r="G1279" s="2" t="s">
        <v>67</v>
      </c>
      <c r="H1279" s="2">
        <v>17.0</v>
      </c>
      <c r="I1279" s="2">
        <v>99.0</v>
      </c>
      <c r="J1279" s="37">
        <v>510.52</v>
      </c>
      <c r="K1279" s="2">
        <v>20.0</v>
      </c>
      <c r="L1279" s="2">
        <v>137.0</v>
      </c>
      <c r="M1279" s="37">
        <v>627.3000000000001</v>
      </c>
    </row>
    <row r="1280" ht="14.25" customHeight="1">
      <c r="A1280" t="s">
        <v>1378</v>
      </c>
      <c r="B1280" t="s">
        <v>1360</v>
      </c>
      <c r="C1280" t="s">
        <v>62</v>
      </c>
      <c r="D1280" t="s">
        <v>63</v>
      </c>
      <c r="E1280">
        <v>9.4</v>
      </c>
      <c r="F1280">
        <v>10.3</v>
      </c>
      <c r="G1280" s="2" t="s">
        <v>67</v>
      </c>
      <c r="H1280" s="2">
        <v>53.0</v>
      </c>
      <c r="I1280" s="2">
        <v>249.0</v>
      </c>
      <c r="J1280" s="37">
        <v>1514.0800000000002</v>
      </c>
      <c r="K1280" s="2">
        <v>61.0</v>
      </c>
      <c r="L1280" s="2">
        <v>411.0</v>
      </c>
      <c r="M1280" s="37">
        <v>1904.3600000000001</v>
      </c>
    </row>
    <row r="1281" ht="14.25" customHeight="1">
      <c r="A1281" t="s">
        <v>1379</v>
      </c>
      <c r="B1281" t="s">
        <v>1360</v>
      </c>
      <c r="C1281" t="s">
        <v>62</v>
      </c>
      <c r="D1281" t="s">
        <v>63</v>
      </c>
      <c r="E1281">
        <v>3.517</v>
      </c>
      <c r="F1281">
        <v>4.0</v>
      </c>
      <c r="G1281" s="2" t="s">
        <v>67</v>
      </c>
      <c r="H1281" s="2">
        <v>19.0</v>
      </c>
      <c r="I1281" s="2">
        <v>73.0</v>
      </c>
      <c r="J1281" s="37">
        <v>521.64</v>
      </c>
      <c r="K1281" s="2">
        <v>21.0</v>
      </c>
      <c r="L1281" s="2">
        <v>126.0</v>
      </c>
      <c r="M1281" s="37">
        <v>635.46</v>
      </c>
    </row>
    <row r="1282" ht="14.25" customHeight="1">
      <c r="A1282" t="s">
        <v>1380</v>
      </c>
      <c r="B1282" t="s">
        <v>1360</v>
      </c>
      <c r="C1282" t="s">
        <v>62</v>
      </c>
      <c r="D1282" t="s">
        <v>63</v>
      </c>
      <c r="E1282">
        <v>8.5</v>
      </c>
      <c r="F1282">
        <v>9.0</v>
      </c>
      <c r="G1282" s="2" t="s">
        <v>67</v>
      </c>
      <c r="H1282" s="2">
        <v>48.0</v>
      </c>
      <c r="I1282" s="2">
        <v>192.0</v>
      </c>
      <c r="J1282" s="37">
        <v>1327.6799999999998</v>
      </c>
      <c r="K1282" s="2">
        <v>55.0</v>
      </c>
      <c r="L1282" s="2">
        <v>338.0</v>
      </c>
      <c r="M1282" s="37">
        <v>1674.7</v>
      </c>
    </row>
    <row r="1283" ht="14.25" customHeight="1">
      <c r="A1283" t="s">
        <v>1377</v>
      </c>
      <c r="B1283" t="s">
        <v>1360</v>
      </c>
      <c r="C1283" t="s">
        <v>62</v>
      </c>
      <c r="D1283" t="s">
        <v>63</v>
      </c>
      <c r="E1283">
        <v>2.55</v>
      </c>
      <c r="F1283">
        <v>3.25</v>
      </c>
      <c r="G1283" s="2" t="s">
        <v>67</v>
      </c>
      <c r="H1283" s="2">
        <v>17.0</v>
      </c>
      <c r="I1283" s="2">
        <v>99.0</v>
      </c>
      <c r="J1283" s="37">
        <v>510.52</v>
      </c>
      <c r="K1283" s="2">
        <v>20.0</v>
      </c>
      <c r="L1283" s="2">
        <v>137.0</v>
      </c>
      <c r="M1283" s="37">
        <v>627.3000000000001</v>
      </c>
    </row>
    <row r="1284" ht="14.25" customHeight="1">
      <c r="A1284" t="s">
        <v>1381</v>
      </c>
      <c r="B1284" t="s">
        <v>1360</v>
      </c>
      <c r="C1284" t="s">
        <v>62</v>
      </c>
      <c r="D1284" t="s">
        <v>63</v>
      </c>
      <c r="E1284">
        <v>7.1</v>
      </c>
      <c r="F1284">
        <v>8.0</v>
      </c>
      <c r="G1284" s="2" t="s">
        <v>67</v>
      </c>
      <c r="H1284" s="2">
        <v>43.0</v>
      </c>
      <c r="I1284" s="2">
        <v>202.0</v>
      </c>
      <c r="J1284" s="37">
        <v>1228.38</v>
      </c>
      <c r="K1284" s="2">
        <v>49.0</v>
      </c>
      <c r="L1284" s="2">
        <v>324.0</v>
      </c>
      <c r="M1284" s="37">
        <v>1521.74</v>
      </c>
    </row>
    <row r="1285" ht="14.25" customHeight="1">
      <c r="A1285" t="s">
        <v>1382</v>
      </c>
      <c r="B1285" t="s">
        <v>1360</v>
      </c>
      <c r="C1285" t="s">
        <v>62</v>
      </c>
      <c r="D1285" t="s">
        <v>63</v>
      </c>
      <c r="E1285">
        <v>5.0</v>
      </c>
      <c r="F1285">
        <v>6.0</v>
      </c>
      <c r="G1285" s="2" t="s">
        <v>67</v>
      </c>
      <c r="H1285" s="2">
        <v>32.0</v>
      </c>
      <c r="I1285" s="2">
        <v>147.0</v>
      </c>
      <c r="J1285" s="37">
        <v>909.82</v>
      </c>
      <c r="K1285" s="2">
        <v>37.0</v>
      </c>
      <c r="L1285" s="2">
        <v>233.0</v>
      </c>
      <c r="M1285" s="37">
        <v>1133.92</v>
      </c>
    </row>
    <row r="1286" ht="14.25" customHeight="1">
      <c r="A1286" t="s">
        <v>1382</v>
      </c>
      <c r="B1286" t="s">
        <v>1360</v>
      </c>
      <c r="C1286" t="s">
        <v>62</v>
      </c>
      <c r="D1286" t="s">
        <v>63</v>
      </c>
      <c r="E1286">
        <v>5.2</v>
      </c>
      <c r="F1286">
        <v>6.0</v>
      </c>
      <c r="G1286" s="2" t="s">
        <v>67</v>
      </c>
      <c r="H1286" s="2">
        <v>32.0</v>
      </c>
      <c r="I1286" s="2">
        <v>187.0</v>
      </c>
      <c r="J1286" s="37">
        <v>961.82</v>
      </c>
      <c r="K1286" s="2">
        <v>37.0</v>
      </c>
      <c r="L1286" s="2">
        <v>277.0</v>
      </c>
      <c r="M1286" s="37">
        <v>1191.12</v>
      </c>
    </row>
    <row r="1287" ht="14.25" customHeight="1">
      <c r="A1287" t="s">
        <v>1383</v>
      </c>
      <c r="B1287" t="s">
        <v>1360</v>
      </c>
      <c r="C1287" t="s">
        <v>62</v>
      </c>
      <c r="D1287" t="s">
        <v>63</v>
      </c>
      <c r="E1287">
        <v>4.6</v>
      </c>
      <c r="F1287">
        <v>4.7</v>
      </c>
      <c r="G1287" s="2" t="s">
        <v>64</v>
      </c>
      <c r="H1287" s="2">
        <v>0.0</v>
      </c>
      <c r="I1287" s="2">
        <v>0.0</v>
      </c>
      <c r="J1287" s="37">
        <v>0.0</v>
      </c>
      <c r="K1287" s="2">
        <v>0.0</v>
      </c>
      <c r="L1287" s="2">
        <v>0.0</v>
      </c>
      <c r="M1287" s="37">
        <v>0.0</v>
      </c>
    </row>
    <row r="1288" ht="14.25" customHeight="1">
      <c r="A1288" t="s">
        <v>1384</v>
      </c>
      <c r="B1288" t="s">
        <v>1360</v>
      </c>
      <c r="C1288" t="s">
        <v>62</v>
      </c>
      <c r="D1288" t="s">
        <v>63</v>
      </c>
      <c r="E1288">
        <v>4.6</v>
      </c>
      <c r="F1288">
        <v>4.7</v>
      </c>
      <c r="G1288" s="2" t="s">
        <v>64</v>
      </c>
      <c r="H1288" s="2">
        <v>0.0</v>
      </c>
      <c r="I1288" s="2">
        <v>0.0</v>
      </c>
      <c r="J1288" s="37">
        <v>0.0</v>
      </c>
      <c r="K1288" s="2">
        <v>0.0</v>
      </c>
      <c r="L1288" s="2">
        <v>0.0</v>
      </c>
      <c r="M1288" s="37">
        <v>0.0</v>
      </c>
    </row>
    <row r="1289" ht="14.25" customHeight="1">
      <c r="A1289" t="s">
        <v>1385</v>
      </c>
      <c r="B1289" t="s">
        <v>1360</v>
      </c>
      <c r="C1289" t="s">
        <v>62</v>
      </c>
      <c r="D1289" t="s">
        <v>63</v>
      </c>
      <c r="E1289">
        <v>4.6</v>
      </c>
      <c r="F1289">
        <v>4.7</v>
      </c>
      <c r="G1289" s="2" t="s">
        <v>64</v>
      </c>
      <c r="H1289" s="2">
        <v>0.0</v>
      </c>
      <c r="I1289" s="2">
        <v>0.0</v>
      </c>
      <c r="J1289" s="37">
        <v>0.0</v>
      </c>
      <c r="K1289" s="2">
        <v>0.0</v>
      </c>
      <c r="L1289" s="2">
        <v>0.0</v>
      </c>
      <c r="M1289" s="37">
        <v>0.0</v>
      </c>
    </row>
    <row r="1290" ht="14.25" customHeight="1">
      <c r="A1290" t="s">
        <v>1386</v>
      </c>
      <c r="B1290" t="s">
        <v>1360</v>
      </c>
      <c r="C1290" t="s">
        <v>62</v>
      </c>
      <c r="D1290" t="s">
        <v>63</v>
      </c>
      <c r="E1290">
        <v>6.4</v>
      </c>
      <c r="F1290">
        <v>7.4</v>
      </c>
      <c r="G1290" s="2" t="s">
        <v>67</v>
      </c>
      <c r="H1290" s="2">
        <v>41.0</v>
      </c>
      <c r="I1290" s="2">
        <v>249.0</v>
      </c>
      <c r="J1290" s="37">
        <v>1244.56</v>
      </c>
      <c r="K1290" s="2">
        <v>47.0</v>
      </c>
      <c r="L1290" s="2">
        <v>360.0</v>
      </c>
      <c r="M1290" s="37">
        <v>1523.6200000000001</v>
      </c>
    </row>
    <row r="1291" ht="14.25" customHeight="1">
      <c r="A1291" t="s">
        <v>1387</v>
      </c>
      <c r="B1291" t="s">
        <v>1360</v>
      </c>
      <c r="C1291" t="s">
        <v>62</v>
      </c>
      <c r="D1291" t="s">
        <v>63</v>
      </c>
      <c r="E1291">
        <v>6.4</v>
      </c>
      <c r="F1291">
        <v>7.4</v>
      </c>
      <c r="G1291" s="2" t="s">
        <v>67</v>
      </c>
      <c r="H1291" s="2">
        <v>41.0</v>
      </c>
      <c r="I1291" s="2">
        <v>249.0</v>
      </c>
      <c r="J1291" s="37">
        <v>1244.56</v>
      </c>
      <c r="K1291" s="2">
        <v>47.0</v>
      </c>
      <c r="L1291" s="2">
        <v>360.0</v>
      </c>
      <c r="M1291" s="37">
        <v>1523.6200000000001</v>
      </c>
    </row>
    <row r="1292" ht="14.25" customHeight="1">
      <c r="A1292" t="s">
        <v>1388</v>
      </c>
      <c r="B1292" t="s">
        <v>1360</v>
      </c>
      <c r="C1292" t="s">
        <v>62</v>
      </c>
      <c r="D1292" t="s">
        <v>63</v>
      </c>
      <c r="E1292">
        <v>6.4</v>
      </c>
      <c r="F1292">
        <v>7.4</v>
      </c>
      <c r="G1292" s="2" t="s">
        <v>67</v>
      </c>
      <c r="H1292" s="2">
        <v>41.0</v>
      </c>
      <c r="I1292" s="2">
        <v>249.0</v>
      </c>
      <c r="J1292" s="37">
        <v>1244.56</v>
      </c>
      <c r="K1292" s="2">
        <v>47.0</v>
      </c>
      <c r="L1292" s="2">
        <v>360.0</v>
      </c>
      <c r="M1292" s="37">
        <v>1523.6200000000001</v>
      </c>
    </row>
    <row r="1293" ht="14.25" customHeight="1">
      <c r="A1293" t="s">
        <v>1389</v>
      </c>
      <c r="B1293" t="s">
        <v>1360</v>
      </c>
      <c r="C1293" t="s">
        <v>62</v>
      </c>
      <c r="D1293" t="s">
        <v>63</v>
      </c>
      <c r="E1293">
        <v>8.5</v>
      </c>
      <c r="F1293">
        <v>9.0</v>
      </c>
      <c r="G1293" s="2" t="s">
        <v>67</v>
      </c>
      <c r="H1293" s="2">
        <v>48.0</v>
      </c>
      <c r="I1293" s="2">
        <v>192.0</v>
      </c>
      <c r="J1293" s="37">
        <v>1327.6799999999998</v>
      </c>
      <c r="K1293" s="2">
        <v>55.0</v>
      </c>
      <c r="L1293" s="2">
        <v>338.0</v>
      </c>
      <c r="M1293" s="37">
        <v>1674.7</v>
      </c>
    </row>
    <row r="1294" ht="14.25" customHeight="1">
      <c r="A1294" t="s">
        <v>1390</v>
      </c>
      <c r="B1294" t="s">
        <v>1360</v>
      </c>
      <c r="C1294" t="s">
        <v>62</v>
      </c>
      <c r="D1294" t="s">
        <v>63</v>
      </c>
      <c r="E1294">
        <v>8.5</v>
      </c>
      <c r="F1294">
        <v>9.0</v>
      </c>
      <c r="G1294" s="2" t="s">
        <v>67</v>
      </c>
      <c r="H1294" s="2">
        <v>48.0</v>
      </c>
      <c r="I1294" s="2">
        <v>192.0</v>
      </c>
      <c r="J1294" s="37">
        <v>1327.6799999999998</v>
      </c>
      <c r="K1294" s="2">
        <v>55.0</v>
      </c>
      <c r="L1294" s="2">
        <v>338.0</v>
      </c>
      <c r="M1294" s="37">
        <v>1674.7</v>
      </c>
    </row>
    <row r="1295" ht="14.25" customHeight="1">
      <c r="A1295" t="s">
        <v>1391</v>
      </c>
      <c r="B1295" t="s">
        <v>1360</v>
      </c>
      <c r="C1295" t="s">
        <v>62</v>
      </c>
      <c r="D1295" t="s">
        <v>63</v>
      </c>
      <c r="E1295">
        <v>8.5</v>
      </c>
      <c r="F1295">
        <v>9.0</v>
      </c>
      <c r="G1295" s="2" t="s">
        <v>67</v>
      </c>
      <c r="H1295" s="2">
        <v>48.0</v>
      </c>
      <c r="I1295" s="2">
        <v>192.0</v>
      </c>
      <c r="J1295" s="37">
        <v>1327.6799999999998</v>
      </c>
      <c r="K1295" s="2">
        <v>55.0</v>
      </c>
      <c r="L1295" s="2">
        <v>338.0</v>
      </c>
      <c r="M1295" s="37">
        <v>1674.7</v>
      </c>
    </row>
    <row r="1296" ht="14.25" customHeight="1">
      <c r="A1296" t="s">
        <v>1392</v>
      </c>
      <c r="B1296" t="s">
        <v>1360</v>
      </c>
      <c r="C1296" t="s">
        <v>62</v>
      </c>
      <c r="D1296" t="s">
        <v>63</v>
      </c>
      <c r="E1296">
        <v>7.1</v>
      </c>
      <c r="F1296">
        <v>8.0</v>
      </c>
      <c r="G1296" s="2" t="s">
        <v>67</v>
      </c>
      <c r="H1296" s="2">
        <v>43.0</v>
      </c>
      <c r="I1296" s="2">
        <v>202.0</v>
      </c>
      <c r="J1296" s="37">
        <v>1228.38</v>
      </c>
      <c r="K1296" s="2">
        <v>49.0</v>
      </c>
      <c r="L1296" s="2">
        <v>324.0</v>
      </c>
      <c r="M1296" s="37">
        <v>1521.74</v>
      </c>
    </row>
    <row r="1297" ht="14.25" customHeight="1">
      <c r="A1297" t="s">
        <v>1393</v>
      </c>
      <c r="B1297" t="s">
        <v>1360</v>
      </c>
      <c r="C1297" t="s">
        <v>62</v>
      </c>
      <c r="D1297" t="s">
        <v>63</v>
      </c>
      <c r="E1297">
        <v>9.4</v>
      </c>
      <c r="F1297">
        <v>10.3</v>
      </c>
      <c r="G1297" s="2" t="s">
        <v>67</v>
      </c>
      <c r="H1297" s="2">
        <v>53.0</v>
      </c>
      <c r="I1297" s="2">
        <v>249.0</v>
      </c>
      <c r="J1297" s="37">
        <v>1514.0800000000002</v>
      </c>
      <c r="K1297" s="2">
        <v>61.0</v>
      </c>
      <c r="L1297" s="2">
        <v>411.0</v>
      </c>
      <c r="M1297" s="37">
        <v>1904.3600000000001</v>
      </c>
    </row>
    <row r="1298" ht="14.25" customHeight="1">
      <c r="A1298" t="s">
        <v>1394</v>
      </c>
      <c r="B1298" t="s">
        <v>1360</v>
      </c>
      <c r="C1298" t="s">
        <v>62</v>
      </c>
      <c r="D1298" t="s">
        <v>63</v>
      </c>
      <c r="E1298">
        <v>7.1</v>
      </c>
      <c r="F1298">
        <v>7.1</v>
      </c>
      <c r="G1298" s="2" t="s">
        <v>67</v>
      </c>
      <c r="H1298" s="2">
        <v>38.0</v>
      </c>
      <c r="I1298" s="2">
        <v>159.0</v>
      </c>
      <c r="J1298" s="37">
        <v>1060.18</v>
      </c>
      <c r="K1298" s="2">
        <v>43.0</v>
      </c>
      <c r="L1298" s="2">
        <v>282.0</v>
      </c>
      <c r="M1298" s="37">
        <v>1332.38</v>
      </c>
    </row>
    <row r="1299" ht="14.25" customHeight="1">
      <c r="A1299" t="s">
        <v>1395</v>
      </c>
      <c r="B1299" t="s">
        <v>1360</v>
      </c>
      <c r="C1299" t="s">
        <v>62</v>
      </c>
      <c r="D1299" t="s">
        <v>63</v>
      </c>
      <c r="E1299">
        <v>7.1</v>
      </c>
      <c r="F1299">
        <v>7.1</v>
      </c>
      <c r="G1299" s="2" t="s">
        <v>67</v>
      </c>
      <c r="H1299" s="2">
        <v>38.0</v>
      </c>
      <c r="I1299" s="2">
        <v>159.0</v>
      </c>
      <c r="J1299" s="37">
        <v>1060.18</v>
      </c>
      <c r="K1299" s="2">
        <v>43.0</v>
      </c>
      <c r="L1299" s="2">
        <v>282.0</v>
      </c>
      <c r="M1299" s="37">
        <v>1332.38</v>
      </c>
    </row>
    <row r="1300" ht="14.25" customHeight="1">
      <c r="A1300" t="s">
        <v>1396</v>
      </c>
      <c r="B1300" t="s">
        <v>1360</v>
      </c>
      <c r="C1300" t="s">
        <v>62</v>
      </c>
      <c r="D1300" t="s">
        <v>63</v>
      </c>
      <c r="E1300">
        <v>7.1</v>
      </c>
      <c r="F1300">
        <v>7.1</v>
      </c>
      <c r="G1300" s="2" t="s">
        <v>67</v>
      </c>
      <c r="H1300" s="2">
        <v>38.0</v>
      </c>
      <c r="I1300" s="2">
        <v>159.0</v>
      </c>
      <c r="J1300" s="37">
        <v>1060.18</v>
      </c>
      <c r="K1300" s="2">
        <v>43.0</v>
      </c>
      <c r="L1300" s="2">
        <v>282.0</v>
      </c>
      <c r="M1300" s="37">
        <v>1332.38</v>
      </c>
    </row>
    <row r="1301" ht="14.25" customHeight="1">
      <c r="A1301" t="s">
        <v>1393</v>
      </c>
      <c r="B1301" t="s">
        <v>1360</v>
      </c>
      <c r="C1301" t="s">
        <v>62</v>
      </c>
      <c r="D1301" t="s">
        <v>63</v>
      </c>
      <c r="E1301">
        <v>10.0</v>
      </c>
      <c r="F1301">
        <v>10.3</v>
      </c>
      <c r="G1301" s="2" t="s">
        <v>67</v>
      </c>
      <c r="H1301" s="2">
        <v>57.0</v>
      </c>
      <c r="I1301" s="2">
        <v>277.0</v>
      </c>
      <c r="J1301" s="37">
        <v>1640.3200000000002</v>
      </c>
      <c r="K1301" s="2">
        <v>66.0</v>
      </c>
      <c r="L1301" s="2">
        <v>471.0</v>
      </c>
      <c r="M1301" s="37">
        <v>2094.6600000000003</v>
      </c>
    </row>
    <row r="1302" ht="14.25" customHeight="1">
      <c r="A1302" t="s">
        <v>1378</v>
      </c>
      <c r="B1302" t="s">
        <v>1360</v>
      </c>
      <c r="C1302" t="s">
        <v>62</v>
      </c>
      <c r="D1302" t="s">
        <v>63</v>
      </c>
      <c r="E1302">
        <v>10.0</v>
      </c>
      <c r="F1302">
        <v>10.3</v>
      </c>
      <c r="G1302" s="2" t="s">
        <v>67</v>
      </c>
      <c r="H1302" s="2">
        <v>57.0</v>
      </c>
      <c r="I1302" s="2">
        <v>277.0</v>
      </c>
      <c r="J1302" s="37">
        <v>1640.3200000000002</v>
      </c>
      <c r="K1302" s="2">
        <v>66.0</v>
      </c>
      <c r="L1302" s="2">
        <v>471.0</v>
      </c>
      <c r="M1302" s="37">
        <v>2094.6600000000003</v>
      </c>
    </row>
    <row r="1303" ht="14.25" customHeight="1">
      <c r="A1303" t="s">
        <v>1397</v>
      </c>
      <c r="B1303" t="s">
        <v>1360</v>
      </c>
      <c r="C1303" t="s">
        <v>62</v>
      </c>
      <c r="D1303" t="s">
        <v>63</v>
      </c>
      <c r="E1303">
        <v>10.0</v>
      </c>
      <c r="F1303">
        <v>10.3</v>
      </c>
      <c r="G1303" s="2" t="s">
        <v>67</v>
      </c>
      <c r="H1303" s="2">
        <v>57.0</v>
      </c>
      <c r="I1303" s="2">
        <v>277.0</v>
      </c>
      <c r="J1303" s="37">
        <v>1640.3200000000002</v>
      </c>
      <c r="K1303" s="2">
        <v>66.0</v>
      </c>
      <c r="L1303" s="2">
        <v>471.0</v>
      </c>
      <c r="M1303" s="37">
        <v>2094.6600000000003</v>
      </c>
    </row>
    <row r="1304" ht="14.25" customHeight="1">
      <c r="A1304" t="s">
        <v>1377</v>
      </c>
      <c r="B1304" t="s">
        <v>1360</v>
      </c>
      <c r="C1304" t="s">
        <v>62</v>
      </c>
      <c r="D1304" t="s">
        <v>63</v>
      </c>
      <c r="E1304">
        <v>2.55</v>
      </c>
      <c r="F1304">
        <v>3.25</v>
      </c>
      <c r="G1304" s="2" t="s">
        <v>67</v>
      </c>
      <c r="H1304" s="2">
        <v>17.0</v>
      </c>
      <c r="I1304" s="2">
        <v>99.0</v>
      </c>
      <c r="J1304" s="37">
        <v>510.52</v>
      </c>
      <c r="K1304" s="2">
        <v>20.0</v>
      </c>
      <c r="L1304" s="2">
        <v>137.0</v>
      </c>
      <c r="M1304" s="37">
        <v>627.3000000000001</v>
      </c>
    </row>
    <row r="1305" ht="14.25" customHeight="1">
      <c r="A1305" t="s">
        <v>1398</v>
      </c>
      <c r="B1305" t="s">
        <v>1360</v>
      </c>
      <c r="C1305" t="s">
        <v>62</v>
      </c>
      <c r="D1305" t="s">
        <v>63</v>
      </c>
      <c r="E1305">
        <v>2.55</v>
      </c>
      <c r="F1305">
        <v>3.25</v>
      </c>
      <c r="G1305" s="2" t="s">
        <v>67</v>
      </c>
      <c r="H1305" s="2">
        <v>17.0</v>
      </c>
      <c r="I1305" s="2">
        <v>99.0</v>
      </c>
      <c r="J1305" s="37">
        <v>510.52</v>
      </c>
      <c r="K1305" s="2">
        <v>19.0</v>
      </c>
      <c r="L1305" s="2">
        <v>137.0</v>
      </c>
      <c r="M1305" s="37">
        <v>604.84</v>
      </c>
    </row>
    <row r="1306" ht="14.25" customHeight="1">
      <c r="A1306" t="s">
        <v>1399</v>
      </c>
      <c r="B1306" t="s">
        <v>1360</v>
      </c>
      <c r="C1306" t="s">
        <v>62</v>
      </c>
      <c r="D1306" t="s">
        <v>63</v>
      </c>
      <c r="E1306">
        <v>2.55</v>
      </c>
      <c r="F1306">
        <v>3.25</v>
      </c>
      <c r="G1306" s="2" t="s">
        <v>67</v>
      </c>
      <c r="H1306" s="2">
        <v>17.0</v>
      </c>
      <c r="I1306" s="2">
        <v>99.0</v>
      </c>
      <c r="J1306" s="37">
        <v>510.52</v>
      </c>
      <c r="K1306" s="2">
        <v>20.0</v>
      </c>
      <c r="L1306" s="2">
        <v>137.0</v>
      </c>
      <c r="M1306" s="37">
        <v>627.3000000000001</v>
      </c>
    </row>
    <row r="1307" ht="14.25" customHeight="1">
      <c r="A1307" t="s">
        <v>1400</v>
      </c>
      <c r="B1307" t="s">
        <v>1360</v>
      </c>
      <c r="C1307" t="s">
        <v>62</v>
      </c>
      <c r="D1307" t="s">
        <v>63</v>
      </c>
      <c r="E1307">
        <v>8.5</v>
      </c>
      <c r="F1307">
        <v>9.0</v>
      </c>
      <c r="G1307" s="2" t="s">
        <v>67</v>
      </c>
      <c r="H1307" s="2">
        <v>49.0</v>
      </c>
      <c r="I1307" s="2">
        <v>192.0</v>
      </c>
      <c r="J1307" s="37">
        <v>1350.1399999999999</v>
      </c>
      <c r="K1307" s="2">
        <v>56.0</v>
      </c>
      <c r="L1307" s="2">
        <v>338.0</v>
      </c>
      <c r="M1307" s="37">
        <v>1697.16</v>
      </c>
    </row>
    <row r="1308" ht="14.25" customHeight="1">
      <c r="A1308" t="s">
        <v>1401</v>
      </c>
      <c r="B1308" t="s">
        <v>1360</v>
      </c>
      <c r="C1308" t="s">
        <v>62</v>
      </c>
      <c r="D1308" t="s">
        <v>63</v>
      </c>
      <c r="E1308">
        <v>8.5</v>
      </c>
      <c r="F1308">
        <v>9.0</v>
      </c>
      <c r="G1308" s="2" t="s">
        <v>67</v>
      </c>
      <c r="H1308" s="2">
        <v>49.0</v>
      </c>
      <c r="I1308" s="2">
        <v>192.0</v>
      </c>
      <c r="J1308" s="37">
        <v>1350.1399999999999</v>
      </c>
      <c r="K1308" s="2">
        <v>56.0</v>
      </c>
      <c r="L1308" s="2">
        <v>338.0</v>
      </c>
      <c r="M1308" s="37">
        <v>1697.16</v>
      </c>
    </row>
    <row r="1309" ht="14.25" customHeight="1">
      <c r="A1309" t="s">
        <v>1402</v>
      </c>
      <c r="B1309" t="s">
        <v>1360</v>
      </c>
      <c r="C1309" t="s">
        <v>62</v>
      </c>
      <c r="D1309" t="s">
        <v>63</v>
      </c>
      <c r="E1309">
        <v>8.5</v>
      </c>
      <c r="F1309">
        <v>9.0</v>
      </c>
      <c r="G1309" s="2" t="s">
        <v>67</v>
      </c>
      <c r="H1309" s="2">
        <v>49.0</v>
      </c>
      <c r="I1309" s="2">
        <v>192.0</v>
      </c>
      <c r="J1309" s="37">
        <v>1350.1399999999999</v>
      </c>
      <c r="K1309" s="2">
        <v>56.0</v>
      </c>
      <c r="L1309" s="2">
        <v>338.0</v>
      </c>
      <c r="M1309" s="37">
        <v>1697.16</v>
      </c>
    </row>
    <row r="1310" ht="14.25" customHeight="1">
      <c r="A1310" t="s">
        <v>1397</v>
      </c>
      <c r="B1310" t="s">
        <v>1360</v>
      </c>
      <c r="C1310" t="s">
        <v>62</v>
      </c>
      <c r="D1310" t="s">
        <v>63</v>
      </c>
      <c r="E1310">
        <v>10.0</v>
      </c>
      <c r="F1310">
        <v>10.3</v>
      </c>
      <c r="G1310" s="2" t="s">
        <v>67</v>
      </c>
      <c r="H1310" s="2">
        <v>57.0</v>
      </c>
      <c r="I1310" s="2">
        <v>277.0</v>
      </c>
      <c r="J1310" s="37">
        <v>1640.3200000000002</v>
      </c>
      <c r="K1310" s="2">
        <v>66.0</v>
      </c>
      <c r="L1310" s="2">
        <v>471.0</v>
      </c>
      <c r="M1310" s="37">
        <v>2094.6600000000003</v>
      </c>
    </row>
    <row r="1311" ht="14.25" customHeight="1">
      <c r="A1311" t="s">
        <v>1378</v>
      </c>
      <c r="B1311" t="s">
        <v>1360</v>
      </c>
      <c r="C1311" t="s">
        <v>62</v>
      </c>
      <c r="D1311" t="s">
        <v>63</v>
      </c>
      <c r="E1311">
        <v>10.0</v>
      </c>
      <c r="F1311">
        <v>10.3</v>
      </c>
      <c r="G1311" s="2" t="s">
        <v>67</v>
      </c>
      <c r="H1311" s="2">
        <v>57.0</v>
      </c>
      <c r="I1311" s="2">
        <v>277.0</v>
      </c>
      <c r="J1311" s="37">
        <v>1640.3200000000002</v>
      </c>
      <c r="K1311" s="2">
        <v>66.0</v>
      </c>
      <c r="L1311" s="2">
        <v>471.0</v>
      </c>
      <c r="M1311" s="37">
        <v>2094.6600000000003</v>
      </c>
    </row>
    <row r="1312" ht="14.25" customHeight="1">
      <c r="A1312" t="s">
        <v>1393</v>
      </c>
      <c r="B1312" t="s">
        <v>1360</v>
      </c>
      <c r="C1312" t="s">
        <v>62</v>
      </c>
      <c r="D1312" t="s">
        <v>63</v>
      </c>
      <c r="E1312">
        <v>10.0</v>
      </c>
      <c r="F1312">
        <v>10.3</v>
      </c>
      <c r="G1312" s="2" t="s">
        <v>67</v>
      </c>
      <c r="H1312" s="2">
        <v>57.0</v>
      </c>
      <c r="I1312" s="2">
        <v>277.0</v>
      </c>
      <c r="J1312" s="37">
        <v>1640.3200000000002</v>
      </c>
      <c r="K1312" s="2">
        <v>66.0</v>
      </c>
      <c r="L1312" s="2">
        <v>471.0</v>
      </c>
      <c r="M1312" s="37">
        <v>2094.6600000000003</v>
      </c>
    </row>
    <row r="1313" ht="14.25" customHeight="1">
      <c r="A1313" t="s">
        <v>1403</v>
      </c>
      <c r="B1313" t="s">
        <v>1360</v>
      </c>
      <c r="C1313" t="s">
        <v>62</v>
      </c>
      <c r="D1313" t="s">
        <v>63</v>
      </c>
      <c r="E1313">
        <v>3.517</v>
      </c>
      <c r="F1313">
        <v>3.8</v>
      </c>
      <c r="G1313" s="2" t="s">
        <v>64</v>
      </c>
      <c r="H1313" s="2">
        <v>0.0</v>
      </c>
      <c r="I1313" s="2">
        <v>0.0</v>
      </c>
      <c r="J1313" s="37">
        <v>0.0</v>
      </c>
      <c r="K1313" s="2">
        <v>0.0</v>
      </c>
      <c r="L1313" s="2">
        <v>0.0</v>
      </c>
      <c r="M1313" s="37">
        <v>0.0</v>
      </c>
    </row>
    <row r="1314" ht="14.25" customHeight="1">
      <c r="A1314" t="s">
        <v>1404</v>
      </c>
      <c r="B1314" t="s">
        <v>1360</v>
      </c>
      <c r="C1314" t="s">
        <v>62</v>
      </c>
      <c r="D1314" t="s">
        <v>63</v>
      </c>
      <c r="E1314">
        <v>3.517</v>
      </c>
      <c r="F1314">
        <v>3.8</v>
      </c>
      <c r="G1314" s="2" t="s">
        <v>64</v>
      </c>
      <c r="H1314" s="2">
        <v>0.0</v>
      </c>
      <c r="I1314" s="2">
        <v>0.0</v>
      </c>
      <c r="J1314" s="37">
        <v>0.0</v>
      </c>
      <c r="K1314" s="2">
        <v>0.0</v>
      </c>
      <c r="L1314" s="2">
        <v>0.0</v>
      </c>
      <c r="M1314" s="37">
        <v>0.0</v>
      </c>
    </row>
    <row r="1315" ht="14.25" customHeight="1">
      <c r="A1315" t="s">
        <v>1405</v>
      </c>
      <c r="B1315" t="s">
        <v>1360</v>
      </c>
      <c r="C1315" t="s">
        <v>62</v>
      </c>
      <c r="D1315" t="s">
        <v>63</v>
      </c>
      <c r="E1315">
        <v>3.517</v>
      </c>
      <c r="F1315">
        <v>3.8</v>
      </c>
      <c r="G1315" s="2" t="s">
        <v>64</v>
      </c>
      <c r="H1315" s="2">
        <v>0.0</v>
      </c>
      <c r="I1315" s="2">
        <v>0.0</v>
      </c>
      <c r="J1315" s="37">
        <v>0.0</v>
      </c>
      <c r="K1315" s="2">
        <v>0.0</v>
      </c>
      <c r="L1315" s="2">
        <v>0.0</v>
      </c>
      <c r="M1315" s="37">
        <v>0.0</v>
      </c>
    </row>
    <row r="1316" ht="14.25" customHeight="1">
      <c r="A1316" t="s">
        <v>1406</v>
      </c>
      <c r="B1316" t="s">
        <v>1360</v>
      </c>
      <c r="C1316" t="s">
        <v>62</v>
      </c>
      <c r="D1316" t="s">
        <v>63</v>
      </c>
      <c r="E1316">
        <v>3.517</v>
      </c>
      <c r="F1316">
        <v>4.0</v>
      </c>
      <c r="G1316" s="2" t="s">
        <v>67</v>
      </c>
      <c r="H1316" s="2">
        <v>19.0</v>
      </c>
      <c r="I1316" s="2">
        <v>73.0</v>
      </c>
      <c r="J1316" s="37">
        <v>521.64</v>
      </c>
      <c r="K1316" s="2">
        <v>22.0</v>
      </c>
      <c r="L1316" s="2">
        <v>126.0</v>
      </c>
      <c r="M1316" s="37">
        <v>657.9200000000001</v>
      </c>
    </row>
    <row r="1317" ht="14.25" customHeight="1">
      <c r="A1317" t="s">
        <v>1407</v>
      </c>
      <c r="B1317" t="s">
        <v>1360</v>
      </c>
      <c r="C1317" t="s">
        <v>62</v>
      </c>
      <c r="D1317" t="s">
        <v>63</v>
      </c>
      <c r="E1317">
        <v>3.517</v>
      </c>
      <c r="F1317">
        <v>4.0</v>
      </c>
      <c r="G1317" s="2" t="s">
        <v>67</v>
      </c>
      <c r="H1317" s="2">
        <v>19.0</v>
      </c>
      <c r="I1317" s="2">
        <v>73.0</v>
      </c>
      <c r="J1317" s="37">
        <v>521.64</v>
      </c>
      <c r="K1317" s="2">
        <v>22.0</v>
      </c>
      <c r="L1317" s="2">
        <v>126.0</v>
      </c>
      <c r="M1317" s="37">
        <v>657.9200000000001</v>
      </c>
    </row>
    <row r="1318" ht="14.25" customHeight="1">
      <c r="A1318" t="s">
        <v>1408</v>
      </c>
      <c r="B1318" t="s">
        <v>1360</v>
      </c>
      <c r="C1318" t="s">
        <v>62</v>
      </c>
      <c r="D1318" t="s">
        <v>63</v>
      </c>
      <c r="E1318">
        <v>3.517</v>
      </c>
      <c r="F1318">
        <v>4.0</v>
      </c>
      <c r="G1318" s="2" t="s">
        <v>67</v>
      </c>
      <c r="H1318" s="2">
        <v>19.0</v>
      </c>
      <c r="I1318" s="2">
        <v>73.0</v>
      </c>
      <c r="J1318" s="37">
        <v>521.64</v>
      </c>
      <c r="K1318" s="2">
        <v>22.0</v>
      </c>
      <c r="L1318" s="2">
        <v>126.0</v>
      </c>
      <c r="M1318" s="37">
        <v>657.9200000000001</v>
      </c>
    </row>
    <row r="1319" ht="14.25" customHeight="1">
      <c r="A1319" t="s">
        <v>1409</v>
      </c>
      <c r="B1319" t="s">
        <v>1360</v>
      </c>
      <c r="C1319" t="s">
        <v>62</v>
      </c>
      <c r="D1319" t="s">
        <v>63</v>
      </c>
      <c r="E1319">
        <v>2.5</v>
      </c>
      <c r="F1319">
        <v>3.0</v>
      </c>
      <c r="G1319" s="2" t="s">
        <v>64</v>
      </c>
      <c r="H1319" s="2">
        <v>0.0</v>
      </c>
      <c r="I1319" s="2">
        <v>0.0</v>
      </c>
      <c r="J1319" s="37">
        <v>0.0</v>
      </c>
      <c r="K1319" s="2">
        <v>0.0</v>
      </c>
      <c r="L1319" s="2">
        <v>0.0</v>
      </c>
      <c r="M1319" s="37">
        <v>0.0</v>
      </c>
    </row>
    <row r="1320" ht="14.25" customHeight="1">
      <c r="A1320" t="s">
        <v>1410</v>
      </c>
      <c r="B1320" t="s">
        <v>1360</v>
      </c>
      <c r="C1320" t="s">
        <v>62</v>
      </c>
      <c r="D1320" t="s">
        <v>63</v>
      </c>
      <c r="E1320">
        <v>2.5</v>
      </c>
      <c r="F1320">
        <v>3.0</v>
      </c>
      <c r="G1320" s="2" t="s">
        <v>64</v>
      </c>
      <c r="H1320" s="2">
        <v>0.0</v>
      </c>
      <c r="I1320" s="2">
        <v>0.0</v>
      </c>
      <c r="J1320" s="37">
        <v>0.0</v>
      </c>
      <c r="K1320" s="2">
        <v>0.0</v>
      </c>
      <c r="L1320" s="2">
        <v>0.0</v>
      </c>
      <c r="M1320" s="37">
        <v>0.0</v>
      </c>
    </row>
    <row r="1321" ht="14.25" customHeight="1">
      <c r="A1321" t="s">
        <v>1411</v>
      </c>
      <c r="B1321" t="s">
        <v>1360</v>
      </c>
      <c r="C1321" t="s">
        <v>62</v>
      </c>
      <c r="D1321" t="s">
        <v>63</v>
      </c>
      <c r="E1321">
        <v>2.5</v>
      </c>
      <c r="F1321">
        <v>3.0</v>
      </c>
      <c r="G1321" s="2" t="s">
        <v>64</v>
      </c>
      <c r="H1321" s="2">
        <v>0.0</v>
      </c>
      <c r="I1321" s="2">
        <v>0.0</v>
      </c>
      <c r="J1321" s="37">
        <v>0.0</v>
      </c>
      <c r="K1321" s="2">
        <v>0.0</v>
      </c>
      <c r="L1321" s="2">
        <v>0.0</v>
      </c>
      <c r="M1321" s="37">
        <v>0.0</v>
      </c>
    </row>
    <row r="1322" ht="14.25" customHeight="1">
      <c r="A1322" t="s">
        <v>1412</v>
      </c>
      <c r="B1322" t="s">
        <v>1360</v>
      </c>
      <c r="C1322" t="s">
        <v>62</v>
      </c>
      <c r="D1322" t="s">
        <v>63</v>
      </c>
      <c r="E1322">
        <v>10.0</v>
      </c>
      <c r="F1322">
        <v>10.3</v>
      </c>
      <c r="G1322" s="2" t="s">
        <v>64</v>
      </c>
      <c r="H1322" s="2">
        <v>0.0</v>
      </c>
      <c r="I1322" s="2">
        <v>0.0</v>
      </c>
      <c r="J1322" s="37">
        <v>0.0</v>
      </c>
      <c r="K1322" s="2">
        <v>0.0</v>
      </c>
      <c r="L1322" s="2">
        <v>0.0</v>
      </c>
      <c r="M1322" s="37">
        <v>0.0</v>
      </c>
    </row>
    <row r="1323" ht="14.25" customHeight="1">
      <c r="A1323" t="s">
        <v>1413</v>
      </c>
      <c r="B1323" t="s">
        <v>1360</v>
      </c>
      <c r="C1323" t="s">
        <v>62</v>
      </c>
      <c r="D1323" t="s">
        <v>63</v>
      </c>
      <c r="E1323">
        <v>3.517</v>
      </c>
      <c r="F1323">
        <v>4.0</v>
      </c>
      <c r="G1323" s="2" t="s">
        <v>67</v>
      </c>
      <c r="H1323" s="2">
        <v>19.0</v>
      </c>
      <c r="I1323" s="2">
        <v>73.0</v>
      </c>
      <c r="J1323" s="37">
        <v>521.64</v>
      </c>
      <c r="K1323" s="2">
        <v>21.0</v>
      </c>
      <c r="L1323" s="2">
        <v>126.0</v>
      </c>
      <c r="M1323" s="37">
        <v>635.46</v>
      </c>
    </row>
    <row r="1324" ht="14.25" customHeight="1">
      <c r="A1324" t="s">
        <v>1414</v>
      </c>
      <c r="B1324" t="s">
        <v>1360</v>
      </c>
      <c r="C1324" t="s">
        <v>62</v>
      </c>
      <c r="D1324" t="s">
        <v>63</v>
      </c>
      <c r="E1324">
        <v>5.2</v>
      </c>
      <c r="F1324">
        <v>6.0</v>
      </c>
      <c r="G1324" s="2" t="s">
        <v>67</v>
      </c>
      <c r="H1324" s="2">
        <v>32.0</v>
      </c>
      <c r="I1324" s="2">
        <v>187.0</v>
      </c>
      <c r="J1324" s="37">
        <v>961.82</v>
      </c>
      <c r="K1324" s="2">
        <v>37.0</v>
      </c>
      <c r="L1324" s="2">
        <v>277.0</v>
      </c>
      <c r="M1324" s="37">
        <v>1191.12</v>
      </c>
    </row>
    <row r="1325" ht="14.25" customHeight="1">
      <c r="A1325" t="s">
        <v>1415</v>
      </c>
      <c r="B1325" t="s">
        <v>1360</v>
      </c>
      <c r="C1325" t="s">
        <v>62</v>
      </c>
      <c r="D1325" t="s">
        <v>63</v>
      </c>
      <c r="E1325">
        <v>5.2</v>
      </c>
      <c r="F1325">
        <v>5.6</v>
      </c>
      <c r="G1325" s="2" t="s">
        <v>67</v>
      </c>
      <c r="H1325" s="2">
        <v>32.0</v>
      </c>
      <c r="I1325" s="2">
        <v>238.0</v>
      </c>
      <c r="J1325" s="37">
        <v>1028.1200000000001</v>
      </c>
      <c r="K1325" s="2">
        <v>37.0</v>
      </c>
      <c r="L1325" s="2">
        <v>327.0</v>
      </c>
      <c r="M1325" s="37">
        <v>1256.12</v>
      </c>
    </row>
    <row r="1326" ht="14.25" customHeight="1">
      <c r="A1326" t="s">
        <v>1416</v>
      </c>
      <c r="B1326" t="s">
        <v>1360</v>
      </c>
      <c r="C1326" t="s">
        <v>62</v>
      </c>
      <c r="D1326" t="s">
        <v>63</v>
      </c>
      <c r="E1326">
        <v>5.2</v>
      </c>
      <c r="F1326">
        <v>5.6</v>
      </c>
      <c r="G1326" s="2" t="s">
        <v>67</v>
      </c>
      <c r="H1326" s="2">
        <v>32.0</v>
      </c>
      <c r="I1326" s="2">
        <v>238.0</v>
      </c>
      <c r="J1326" s="37">
        <v>1028.1200000000001</v>
      </c>
      <c r="K1326" s="2">
        <v>37.0</v>
      </c>
      <c r="L1326" s="2">
        <v>327.0</v>
      </c>
      <c r="M1326" s="37">
        <v>1256.12</v>
      </c>
    </row>
    <row r="1327" ht="14.25" customHeight="1">
      <c r="A1327" t="s">
        <v>1417</v>
      </c>
      <c r="B1327" t="s">
        <v>1360</v>
      </c>
      <c r="C1327" t="s">
        <v>62</v>
      </c>
      <c r="D1327" t="s">
        <v>63</v>
      </c>
      <c r="E1327">
        <v>5.2</v>
      </c>
      <c r="F1327">
        <v>5.6</v>
      </c>
      <c r="G1327" s="2" t="s">
        <v>67</v>
      </c>
      <c r="H1327" s="2">
        <v>32.0</v>
      </c>
      <c r="I1327" s="2">
        <v>238.0</v>
      </c>
      <c r="J1327" s="37">
        <v>1028.1200000000001</v>
      </c>
      <c r="K1327" s="2">
        <v>37.0</v>
      </c>
      <c r="L1327" s="2">
        <v>327.0</v>
      </c>
      <c r="M1327" s="37">
        <v>1256.12</v>
      </c>
    </row>
    <row r="1328" ht="14.25" customHeight="1">
      <c r="A1328" t="s">
        <v>1418</v>
      </c>
      <c r="B1328" t="s">
        <v>1360</v>
      </c>
      <c r="C1328" t="s">
        <v>62</v>
      </c>
      <c r="D1328" t="s">
        <v>63</v>
      </c>
      <c r="E1328">
        <v>8.5</v>
      </c>
      <c r="F1328">
        <v>9.0</v>
      </c>
      <c r="G1328" s="2" t="s">
        <v>67</v>
      </c>
      <c r="H1328" s="2">
        <v>49.0</v>
      </c>
      <c r="I1328" s="2">
        <v>192.0</v>
      </c>
      <c r="J1328" s="37">
        <v>1350.1399999999999</v>
      </c>
      <c r="K1328" s="2">
        <v>56.0</v>
      </c>
      <c r="L1328" s="2">
        <v>338.0</v>
      </c>
      <c r="M1328" s="37">
        <v>1697.16</v>
      </c>
    </row>
    <row r="1329" ht="14.25" customHeight="1">
      <c r="A1329" t="s">
        <v>1419</v>
      </c>
      <c r="B1329" t="s">
        <v>1360</v>
      </c>
      <c r="C1329" t="s">
        <v>62</v>
      </c>
      <c r="D1329" t="s">
        <v>63</v>
      </c>
      <c r="E1329">
        <v>8.5</v>
      </c>
      <c r="F1329">
        <v>9.0</v>
      </c>
      <c r="G1329" s="2" t="s">
        <v>67</v>
      </c>
      <c r="H1329" s="2">
        <v>49.0</v>
      </c>
      <c r="I1329" s="2">
        <v>192.0</v>
      </c>
      <c r="J1329" s="37">
        <v>1350.1399999999999</v>
      </c>
      <c r="K1329" s="2">
        <v>56.0</v>
      </c>
      <c r="L1329" s="2">
        <v>338.0</v>
      </c>
      <c r="M1329" s="37">
        <v>1697.16</v>
      </c>
    </row>
    <row r="1330" ht="14.25" customHeight="1">
      <c r="A1330" t="s">
        <v>1420</v>
      </c>
      <c r="B1330" t="s">
        <v>1360</v>
      </c>
      <c r="C1330" t="s">
        <v>62</v>
      </c>
      <c r="D1330" t="s">
        <v>63</v>
      </c>
      <c r="E1330">
        <v>8.5</v>
      </c>
      <c r="F1330">
        <v>9.0</v>
      </c>
      <c r="G1330" s="2" t="s">
        <v>67</v>
      </c>
      <c r="H1330" s="2">
        <v>49.0</v>
      </c>
      <c r="I1330" s="2">
        <v>192.0</v>
      </c>
      <c r="J1330" s="37">
        <v>1350.1399999999999</v>
      </c>
      <c r="K1330" s="2">
        <v>56.0</v>
      </c>
      <c r="L1330" s="2">
        <v>338.0</v>
      </c>
      <c r="M1330" s="37">
        <v>1697.16</v>
      </c>
    </row>
    <row r="1331" ht="14.25" customHeight="1">
      <c r="A1331" t="s">
        <v>1421</v>
      </c>
      <c r="B1331" t="s">
        <v>1360</v>
      </c>
      <c r="C1331" t="s">
        <v>62</v>
      </c>
      <c r="D1331" t="s">
        <v>63</v>
      </c>
      <c r="E1331">
        <v>7.1</v>
      </c>
      <c r="F1331">
        <v>8.0</v>
      </c>
      <c r="G1331" s="2" t="s">
        <v>67</v>
      </c>
      <c r="H1331" s="2">
        <v>43.0</v>
      </c>
      <c r="I1331" s="2">
        <v>202.0</v>
      </c>
      <c r="J1331" s="37">
        <v>1228.38</v>
      </c>
      <c r="K1331" s="2">
        <v>49.0</v>
      </c>
      <c r="L1331" s="2">
        <v>324.0</v>
      </c>
      <c r="M1331" s="37">
        <v>1521.74</v>
      </c>
    </row>
    <row r="1332" ht="14.25" customHeight="1">
      <c r="A1332" t="s">
        <v>1422</v>
      </c>
      <c r="B1332" t="s">
        <v>1360</v>
      </c>
      <c r="C1332" t="s">
        <v>62</v>
      </c>
      <c r="D1332" t="s">
        <v>63</v>
      </c>
      <c r="E1332">
        <v>5.2</v>
      </c>
      <c r="F1332">
        <v>5.6</v>
      </c>
      <c r="G1332" s="2" t="s">
        <v>67</v>
      </c>
      <c r="H1332" s="2">
        <v>30.0</v>
      </c>
      <c r="I1332" s="2">
        <v>148.0</v>
      </c>
      <c r="J1332" s="37">
        <v>866.2</v>
      </c>
      <c r="K1332" s="2">
        <v>34.0</v>
      </c>
      <c r="L1332" s="2">
        <v>238.0</v>
      </c>
      <c r="M1332" s="37">
        <v>1073.04</v>
      </c>
    </row>
    <row r="1333" ht="14.25" customHeight="1">
      <c r="A1333" t="s">
        <v>1423</v>
      </c>
      <c r="B1333" t="s">
        <v>1360</v>
      </c>
      <c r="C1333" t="s">
        <v>62</v>
      </c>
      <c r="D1333" t="s">
        <v>63</v>
      </c>
      <c r="E1333">
        <v>5.2</v>
      </c>
      <c r="F1333">
        <v>5.6</v>
      </c>
      <c r="G1333" s="2" t="s">
        <v>67</v>
      </c>
      <c r="H1333" s="2">
        <v>30.0</v>
      </c>
      <c r="I1333" s="2">
        <v>148.0</v>
      </c>
      <c r="J1333" s="37">
        <v>866.2</v>
      </c>
      <c r="K1333" s="2">
        <v>34.0</v>
      </c>
      <c r="L1333" s="2">
        <v>238.0</v>
      </c>
      <c r="M1333" s="37">
        <v>1073.04</v>
      </c>
    </row>
    <row r="1334" ht="14.25" customHeight="1">
      <c r="A1334" t="s">
        <v>1424</v>
      </c>
      <c r="B1334" t="s">
        <v>1360</v>
      </c>
      <c r="C1334" t="s">
        <v>62</v>
      </c>
      <c r="D1334" t="s">
        <v>63</v>
      </c>
      <c r="E1334">
        <v>5.2</v>
      </c>
      <c r="F1334">
        <v>5.6</v>
      </c>
      <c r="G1334" s="2" t="s">
        <v>67</v>
      </c>
      <c r="H1334" s="2">
        <v>30.0</v>
      </c>
      <c r="I1334" s="2">
        <v>148.0</v>
      </c>
      <c r="J1334" s="37">
        <v>866.2</v>
      </c>
      <c r="K1334" s="2">
        <v>34.0</v>
      </c>
      <c r="L1334" s="2">
        <v>238.0</v>
      </c>
      <c r="M1334" s="37">
        <v>1073.04</v>
      </c>
    </row>
    <row r="1335" ht="14.25" customHeight="1">
      <c r="A1335" t="s">
        <v>1425</v>
      </c>
      <c r="B1335" t="s">
        <v>1360</v>
      </c>
      <c r="C1335" t="s">
        <v>62</v>
      </c>
      <c r="D1335" t="s">
        <v>467</v>
      </c>
      <c r="E1335">
        <v>6.09</v>
      </c>
      <c r="F1335">
        <v>5.65</v>
      </c>
      <c r="G1335" s="2" t="s">
        <v>64</v>
      </c>
      <c r="H1335" s="2">
        <v>0.0</v>
      </c>
      <c r="I1335" s="2">
        <v>0.0</v>
      </c>
      <c r="J1335" s="37">
        <v>0.0</v>
      </c>
      <c r="K1335" s="2">
        <v>0.0</v>
      </c>
      <c r="L1335" s="2">
        <v>0.0</v>
      </c>
      <c r="M1335" s="37">
        <v>0.0</v>
      </c>
    </row>
    <row r="1336" ht="14.25" customHeight="1">
      <c r="A1336" t="s">
        <v>1426</v>
      </c>
      <c r="B1336" t="s">
        <v>1360</v>
      </c>
      <c r="C1336" t="s">
        <v>62</v>
      </c>
      <c r="D1336" t="s">
        <v>467</v>
      </c>
      <c r="E1336">
        <v>6.09</v>
      </c>
      <c r="F1336">
        <v>5.65</v>
      </c>
      <c r="G1336" s="2" t="s">
        <v>64</v>
      </c>
      <c r="H1336" s="2">
        <v>0.0</v>
      </c>
      <c r="I1336" s="2">
        <v>0.0</v>
      </c>
      <c r="J1336" s="37">
        <v>0.0</v>
      </c>
      <c r="K1336" s="2">
        <v>0.0</v>
      </c>
      <c r="L1336" s="2">
        <v>0.0</v>
      </c>
      <c r="M1336" s="37">
        <v>0.0</v>
      </c>
    </row>
    <row r="1337" ht="14.25" customHeight="1">
      <c r="A1337" t="s">
        <v>1427</v>
      </c>
      <c r="B1337" t="s">
        <v>1360</v>
      </c>
      <c r="C1337" t="s">
        <v>62</v>
      </c>
      <c r="D1337" t="s">
        <v>467</v>
      </c>
      <c r="E1337">
        <v>6.09</v>
      </c>
      <c r="F1337">
        <v>5.65</v>
      </c>
      <c r="G1337" s="2" t="s">
        <v>64</v>
      </c>
      <c r="H1337" s="2">
        <v>0.0</v>
      </c>
      <c r="I1337" s="2">
        <v>0.0</v>
      </c>
      <c r="J1337" s="37">
        <v>0.0</v>
      </c>
      <c r="K1337" s="2">
        <v>0.0</v>
      </c>
      <c r="L1337" s="2">
        <v>0.0</v>
      </c>
      <c r="M1337" s="37">
        <v>0.0</v>
      </c>
    </row>
    <row r="1338" ht="14.25" customHeight="1">
      <c r="A1338" t="s">
        <v>1428</v>
      </c>
      <c r="B1338" t="s">
        <v>1360</v>
      </c>
      <c r="C1338" t="s">
        <v>62</v>
      </c>
      <c r="D1338" t="s">
        <v>467</v>
      </c>
      <c r="E1338">
        <v>6.09</v>
      </c>
      <c r="F1338">
        <v>5.65</v>
      </c>
      <c r="G1338" s="2" t="s">
        <v>64</v>
      </c>
      <c r="H1338" s="2">
        <v>0.0</v>
      </c>
      <c r="I1338" s="2">
        <v>0.0</v>
      </c>
      <c r="J1338" s="37">
        <v>0.0</v>
      </c>
      <c r="K1338" s="2">
        <v>0.0</v>
      </c>
      <c r="L1338" s="2">
        <v>0.0</v>
      </c>
      <c r="M1338" s="37">
        <v>0.0</v>
      </c>
    </row>
    <row r="1339" ht="14.25" customHeight="1">
      <c r="A1339" t="s">
        <v>1429</v>
      </c>
      <c r="B1339" t="s">
        <v>1360</v>
      </c>
      <c r="C1339" t="s">
        <v>62</v>
      </c>
      <c r="D1339" t="s">
        <v>467</v>
      </c>
      <c r="E1339">
        <v>6.09</v>
      </c>
      <c r="F1339">
        <v>5.65</v>
      </c>
      <c r="G1339" s="2" t="s">
        <v>64</v>
      </c>
      <c r="H1339" s="2">
        <v>0.0</v>
      </c>
      <c r="I1339" s="2">
        <v>0.0</v>
      </c>
      <c r="J1339" s="37">
        <v>0.0</v>
      </c>
      <c r="K1339" s="2">
        <v>0.0</v>
      </c>
      <c r="L1339" s="2">
        <v>0.0</v>
      </c>
      <c r="M1339" s="37">
        <v>0.0</v>
      </c>
    </row>
    <row r="1340" ht="14.25" customHeight="1">
      <c r="A1340" t="s">
        <v>1376</v>
      </c>
      <c r="B1340" t="s">
        <v>1360</v>
      </c>
      <c r="C1340" t="s">
        <v>62</v>
      </c>
      <c r="D1340" t="s">
        <v>63</v>
      </c>
      <c r="E1340">
        <v>6.3</v>
      </c>
      <c r="F1340">
        <v>7.4</v>
      </c>
      <c r="G1340" s="2" t="s">
        <v>67</v>
      </c>
      <c r="H1340" s="2">
        <v>41.0</v>
      </c>
      <c r="I1340" s="2">
        <v>232.0</v>
      </c>
      <c r="J1340" s="37">
        <v>1222.46</v>
      </c>
      <c r="K1340" s="2">
        <v>47.0</v>
      </c>
      <c r="L1340" s="2">
        <v>340.0</v>
      </c>
      <c r="M1340" s="37">
        <v>1497.6200000000001</v>
      </c>
    </row>
    <row r="1341" ht="14.25" customHeight="1">
      <c r="A1341" t="s">
        <v>1430</v>
      </c>
      <c r="B1341" t="s">
        <v>1360</v>
      </c>
      <c r="C1341" t="s">
        <v>62</v>
      </c>
      <c r="D1341" t="s">
        <v>63</v>
      </c>
      <c r="E1341">
        <v>6.3</v>
      </c>
      <c r="F1341">
        <v>7.4</v>
      </c>
      <c r="G1341" s="2" t="s">
        <v>67</v>
      </c>
      <c r="H1341" s="2">
        <v>41.0</v>
      </c>
      <c r="I1341" s="2">
        <v>232.0</v>
      </c>
      <c r="J1341" s="37">
        <v>1222.46</v>
      </c>
      <c r="K1341" s="2">
        <v>47.0</v>
      </c>
      <c r="L1341" s="2">
        <v>340.0</v>
      </c>
      <c r="M1341" s="37">
        <v>1497.6200000000001</v>
      </c>
    </row>
    <row r="1342" ht="14.25" customHeight="1">
      <c r="A1342" t="s">
        <v>1431</v>
      </c>
      <c r="B1342" t="s">
        <v>1360</v>
      </c>
      <c r="C1342" t="s">
        <v>62</v>
      </c>
      <c r="D1342" t="s">
        <v>63</v>
      </c>
      <c r="E1342">
        <v>6.3</v>
      </c>
      <c r="F1342">
        <v>7.4</v>
      </c>
      <c r="G1342" s="2" t="s">
        <v>67</v>
      </c>
      <c r="H1342" s="2">
        <v>41.0</v>
      </c>
      <c r="I1342" s="2">
        <v>232.0</v>
      </c>
      <c r="J1342" s="37">
        <v>1222.46</v>
      </c>
      <c r="K1342" s="2">
        <v>47.0</v>
      </c>
      <c r="L1342" s="2">
        <v>340.0</v>
      </c>
      <c r="M1342" s="37">
        <v>1497.6200000000001</v>
      </c>
    </row>
    <row r="1343" ht="14.25" customHeight="1">
      <c r="A1343" t="s">
        <v>1432</v>
      </c>
      <c r="B1343" t="s">
        <v>1360</v>
      </c>
      <c r="C1343" t="s">
        <v>62</v>
      </c>
      <c r="D1343" t="s">
        <v>63</v>
      </c>
      <c r="E1343">
        <v>6.3</v>
      </c>
      <c r="F1343">
        <v>7.4</v>
      </c>
      <c r="G1343" s="2" t="s">
        <v>67</v>
      </c>
      <c r="H1343" s="2">
        <v>41.0</v>
      </c>
      <c r="I1343" s="2">
        <v>232.0</v>
      </c>
      <c r="J1343" s="37">
        <v>1222.46</v>
      </c>
      <c r="K1343" s="2">
        <v>47.0</v>
      </c>
      <c r="L1343" s="2">
        <v>340.0</v>
      </c>
      <c r="M1343" s="37">
        <v>1497.6200000000001</v>
      </c>
    </row>
    <row r="1344" ht="14.25" customHeight="1">
      <c r="A1344" t="s">
        <v>1433</v>
      </c>
      <c r="B1344" t="s">
        <v>1360</v>
      </c>
      <c r="C1344" t="s">
        <v>75</v>
      </c>
      <c r="D1344" t="s">
        <v>63</v>
      </c>
      <c r="E1344">
        <v>14.0</v>
      </c>
      <c r="F1344">
        <v>16.0</v>
      </c>
      <c r="G1344" s="2" t="s">
        <v>67</v>
      </c>
      <c r="H1344" s="2">
        <v>85.0</v>
      </c>
      <c r="I1344" s="2">
        <v>334.0</v>
      </c>
      <c r="J1344" s="37">
        <v>2343.3</v>
      </c>
      <c r="K1344" s="2">
        <v>99.0</v>
      </c>
      <c r="L1344" s="2">
        <v>605.0</v>
      </c>
      <c r="M1344" s="37">
        <v>3010.04</v>
      </c>
    </row>
    <row r="1345" ht="14.25" customHeight="1">
      <c r="A1345" t="s">
        <v>1434</v>
      </c>
      <c r="B1345" t="s">
        <v>1360</v>
      </c>
      <c r="C1345" t="s">
        <v>62</v>
      </c>
      <c r="D1345" t="s">
        <v>63</v>
      </c>
      <c r="E1345">
        <v>12.5</v>
      </c>
      <c r="F1345">
        <v>14.0</v>
      </c>
      <c r="G1345" s="2" t="s">
        <v>67</v>
      </c>
      <c r="H1345" s="2">
        <v>75.0</v>
      </c>
      <c r="I1345" s="2">
        <v>102.0</v>
      </c>
      <c r="J1345" s="37">
        <v>1817.1</v>
      </c>
      <c r="K1345" s="2">
        <v>87.0</v>
      </c>
      <c r="L1345" s="2">
        <v>344.0</v>
      </c>
      <c r="M1345" s="37">
        <v>2401.22</v>
      </c>
    </row>
    <row r="1346" ht="14.25" customHeight="1">
      <c r="A1346" t="s">
        <v>1435</v>
      </c>
      <c r="B1346" t="s">
        <v>1360</v>
      </c>
      <c r="C1346" t="s">
        <v>75</v>
      </c>
      <c r="D1346" t="s">
        <v>63</v>
      </c>
      <c r="E1346">
        <v>16.0</v>
      </c>
      <c r="F1346">
        <v>18.0</v>
      </c>
      <c r="G1346" s="2" t="s">
        <v>67</v>
      </c>
      <c r="H1346" s="2">
        <v>98.0</v>
      </c>
      <c r="I1346" s="2">
        <v>202.0</v>
      </c>
      <c r="J1346" s="37">
        <v>2463.68</v>
      </c>
      <c r="K1346" s="2">
        <v>114.0</v>
      </c>
      <c r="L1346" s="2">
        <v>512.0</v>
      </c>
      <c r="M1346" s="37">
        <v>3226.04</v>
      </c>
    </row>
    <row r="1347" ht="14.25" customHeight="1">
      <c r="A1347" t="s">
        <v>1436</v>
      </c>
      <c r="B1347" t="s">
        <v>1360</v>
      </c>
      <c r="C1347" t="s">
        <v>62</v>
      </c>
      <c r="D1347" t="s">
        <v>63</v>
      </c>
      <c r="E1347">
        <v>14.0</v>
      </c>
      <c r="F1347">
        <v>15.4</v>
      </c>
      <c r="G1347" s="2" t="s">
        <v>67</v>
      </c>
      <c r="H1347" s="2">
        <v>73.0</v>
      </c>
      <c r="I1347" s="2">
        <v>188.0</v>
      </c>
      <c r="J1347" s="37">
        <v>1883.9800000000002</v>
      </c>
      <c r="K1347" s="2">
        <v>87.0</v>
      </c>
      <c r="L1347" s="2">
        <v>459.0</v>
      </c>
      <c r="M1347" s="37">
        <v>2550.7200000000003</v>
      </c>
    </row>
    <row r="1348" ht="14.25" customHeight="1">
      <c r="A1348" t="s">
        <v>1437</v>
      </c>
      <c r="B1348" t="s">
        <v>1360</v>
      </c>
      <c r="C1348" t="s">
        <v>62</v>
      </c>
      <c r="D1348" t="s">
        <v>467</v>
      </c>
      <c r="E1348">
        <v>3.6</v>
      </c>
      <c r="F1348">
        <v>3.5</v>
      </c>
      <c r="G1348" s="2" t="s">
        <v>64</v>
      </c>
      <c r="H1348" s="2">
        <v>0.0</v>
      </c>
      <c r="I1348" s="2">
        <v>0.0</v>
      </c>
      <c r="J1348" s="37">
        <v>0.0</v>
      </c>
      <c r="K1348" s="2">
        <v>0.0</v>
      </c>
      <c r="L1348" s="2">
        <v>0.0</v>
      </c>
      <c r="M1348" s="37">
        <v>0.0</v>
      </c>
    </row>
    <row r="1349" ht="14.25" customHeight="1">
      <c r="A1349" t="s">
        <v>1438</v>
      </c>
      <c r="B1349" t="s">
        <v>1360</v>
      </c>
      <c r="C1349" t="s">
        <v>62</v>
      </c>
      <c r="D1349" t="s">
        <v>467</v>
      </c>
      <c r="E1349">
        <v>3.6</v>
      </c>
      <c r="F1349">
        <v>3.5</v>
      </c>
      <c r="G1349" s="2" t="s">
        <v>64</v>
      </c>
      <c r="H1349" s="2">
        <v>0.0</v>
      </c>
      <c r="I1349" s="2">
        <v>0.0</v>
      </c>
      <c r="J1349" s="37">
        <v>0.0</v>
      </c>
      <c r="K1349" s="2">
        <v>0.0</v>
      </c>
      <c r="L1349" s="2">
        <v>0.0</v>
      </c>
      <c r="M1349" s="37">
        <v>0.0</v>
      </c>
    </row>
    <row r="1350" ht="14.25" customHeight="1">
      <c r="A1350" t="s">
        <v>1439</v>
      </c>
      <c r="B1350" t="s">
        <v>1360</v>
      </c>
      <c r="C1350" t="s">
        <v>62</v>
      </c>
      <c r="D1350" t="s">
        <v>467</v>
      </c>
      <c r="E1350">
        <v>5.3</v>
      </c>
      <c r="F1350">
        <v>4.8</v>
      </c>
      <c r="G1350" s="2" t="s">
        <v>64</v>
      </c>
      <c r="H1350" s="2">
        <v>0.0</v>
      </c>
      <c r="I1350" s="2">
        <v>0.0</v>
      </c>
      <c r="J1350" s="37">
        <v>0.0</v>
      </c>
      <c r="K1350" s="2">
        <v>0.0</v>
      </c>
      <c r="L1350" s="2">
        <v>0.0</v>
      </c>
      <c r="M1350" s="37">
        <v>0.0</v>
      </c>
    </row>
    <row r="1351" ht="14.25" customHeight="1">
      <c r="A1351" t="s">
        <v>1440</v>
      </c>
      <c r="B1351" t="s">
        <v>1360</v>
      </c>
      <c r="C1351" t="s">
        <v>62</v>
      </c>
      <c r="D1351" t="s">
        <v>467</v>
      </c>
      <c r="E1351">
        <v>5.3</v>
      </c>
      <c r="F1351">
        <v>4.8</v>
      </c>
      <c r="G1351" s="2" t="s">
        <v>64</v>
      </c>
      <c r="H1351" s="2">
        <v>0.0</v>
      </c>
      <c r="I1351" s="2">
        <v>0.0</v>
      </c>
      <c r="J1351" s="37">
        <v>0.0</v>
      </c>
      <c r="K1351" s="2">
        <v>0.0</v>
      </c>
      <c r="L1351" s="2">
        <v>0.0</v>
      </c>
      <c r="M1351" s="37">
        <v>0.0</v>
      </c>
    </row>
    <row r="1352" ht="14.25" customHeight="1">
      <c r="A1352" t="s">
        <v>1441</v>
      </c>
      <c r="B1352" t="s">
        <v>1360</v>
      </c>
      <c r="C1352" t="s">
        <v>62</v>
      </c>
      <c r="D1352" t="s">
        <v>63</v>
      </c>
      <c r="E1352">
        <v>10.0</v>
      </c>
      <c r="F1352">
        <v>12.0</v>
      </c>
      <c r="G1352" s="2" t="s">
        <v>67</v>
      </c>
      <c r="H1352" s="2">
        <v>64.0</v>
      </c>
      <c r="I1352" s="2">
        <v>182.0</v>
      </c>
      <c r="J1352" s="37">
        <v>1674.04</v>
      </c>
      <c r="K1352" s="2">
        <v>75.0</v>
      </c>
      <c r="L1352" s="2">
        <v>376.0</v>
      </c>
      <c r="M1352" s="37">
        <v>2173.3</v>
      </c>
    </row>
    <row r="1353" ht="14.25" customHeight="1">
      <c r="A1353" t="s">
        <v>1442</v>
      </c>
      <c r="B1353" t="s">
        <v>1360</v>
      </c>
      <c r="C1353" t="s">
        <v>62</v>
      </c>
      <c r="D1353" t="s">
        <v>467</v>
      </c>
      <c r="E1353">
        <v>2.8</v>
      </c>
      <c r="F1353">
        <v>2.43</v>
      </c>
      <c r="G1353" s="2" t="s">
        <v>64</v>
      </c>
      <c r="H1353" s="2">
        <v>0.0</v>
      </c>
      <c r="I1353" s="2">
        <v>0.0</v>
      </c>
      <c r="J1353" s="37">
        <v>0.0</v>
      </c>
      <c r="K1353" s="2">
        <v>0.0</v>
      </c>
      <c r="L1353" s="2">
        <v>0.0</v>
      </c>
      <c r="M1353" s="37">
        <v>0.0</v>
      </c>
    </row>
    <row r="1354" ht="14.25" customHeight="1">
      <c r="A1354" t="s">
        <v>1443</v>
      </c>
      <c r="B1354" t="s">
        <v>1360</v>
      </c>
      <c r="C1354" t="s">
        <v>62</v>
      </c>
      <c r="D1354" t="s">
        <v>467</v>
      </c>
      <c r="E1354">
        <v>2.8</v>
      </c>
      <c r="F1354">
        <v>2.43</v>
      </c>
      <c r="G1354" s="2" t="s">
        <v>64</v>
      </c>
      <c r="H1354" s="2">
        <v>0.0</v>
      </c>
      <c r="I1354" s="2">
        <v>0.0</v>
      </c>
      <c r="J1354" s="37">
        <v>0.0</v>
      </c>
      <c r="K1354" s="2">
        <v>0.0</v>
      </c>
      <c r="L1354" s="2">
        <v>0.0</v>
      </c>
      <c r="M1354" s="37">
        <v>0.0</v>
      </c>
    </row>
    <row r="1355" ht="14.25" customHeight="1">
      <c r="A1355" t="s">
        <v>1444</v>
      </c>
      <c r="B1355" t="s">
        <v>1360</v>
      </c>
      <c r="C1355" t="s">
        <v>62</v>
      </c>
      <c r="D1355" t="s">
        <v>63</v>
      </c>
      <c r="E1355">
        <v>7.1</v>
      </c>
      <c r="F1355">
        <v>8.0</v>
      </c>
      <c r="G1355" s="2" t="s">
        <v>67</v>
      </c>
      <c r="H1355" s="2">
        <v>41.0</v>
      </c>
      <c r="I1355" s="2">
        <v>131.0</v>
      </c>
      <c r="J1355" s="37">
        <v>1091.16</v>
      </c>
      <c r="K1355" s="2">
        <v>47.0</v>
      </c>
      <c r="L1355" s="2">
        <v>254.0</v>
      </c>
      <c r="M1355" s="37">
        <v>1385.8200000000002</v>
      </c>
    </row>
    <row r="1356" ht="14.25" customHeight="1">
      <c r="A1356" t="s">
        <v>1445</v>
      </c>
      <c r="B1356" t="s">
        <v>1360</v>
      </c>
      <c r="C1356" t="s">
        <v>62</v>
      </c>
      <c r="D1356" t="s">
        <v>63</v>
      </c>
      <c r="E1356">
        <v>5.3</v>
      </c>
      <c r="F1356">
        <v>5.8</v>
      </c>
      <c r="G1356" s="2" t="s">
        <v>67</v>
      </c>
      <c r="H1356" s="2">
        <v>34.0</v>
      </c>
      <c r="I1356" s="2">
        <v>221.0</v>
      </c>
      <c r="J1356" s="37">
        <v>1050.94</v>
      </c>
      <c r="K1356" s="2">
        <v>39.0</v>
      </c>
      <c r="L1356" s="2">
        <v>313.0</v>
      </c>
      <c r="M1356" s="37">
        <v>1282.8400000000001</v>
      </c>
    </row>
    <row r="1357" ht="14.25" customHeight="1">
      <c r="A1357" t="s">
        <v>1446</v>
      </c>
      <c r="B1357" t="s">
        <v>1360</v>
      </c>
      <c r="C1357" t="s">
        <v>62</v>
      </c>
      <c r="D1357" t="s">
        <v>63</v>
      </c>
      <c r="E1357">
        <v>5.2</v>
      </c>
      <c r="F1357">
        <v>5.8</v>
      </c>
      <c r="G1357" s="2" t="s">
        <v>64</v>
      </c>
      <c r="H1357" s="2">
        <v>0.0</v>
      </c>
      <c r="I1357" s="2">
        <v>0.0</v>
      </c>
      <c r="J1357" s="37">
        <v>0.0</v>
      </c>
      <c r="K1357" s="2">
        <v>0.0</v>
      </c>
      <c r="L1357" s="2">
        <v>0.0</v>
      </c>
      <c r="M1357" s="37">
        <v>0.0</v>
      </c>
    </row>
    <row r="1358" ht="14.25" customHeight="1">
      <c r="A1358" t="s">
        <v>1447</v>
      </c>
      <c r="B1358" t="s">
        <v>1360</v>
      </c>
      <c r="C1358" t="s">
        <v>62</v>
      </c>
      <c r="D1358" t="s">
        <v>63</v>
      </c>
      <c r="E1358">
        <v>8.2</v>
      </c>
      <c r="F1358">
        <v>9.0</v>
      </c>
      <c r="G1358" s="2" t="s">
        <v>67</v>
      </c>
      <c r="H1358" s="2">
        <v>47.0</v>
      </c>
      <c r="I1358" s="2">
        <v>34.0</v>
      </c>
      <c r="J1358" s="37">
        <v>1099.8200000000002</v>
      </c>
      <c r="K1358" s="2">
        <v>54.0</v>
      </c>
      <c r="L1358" s="2">
        <v>175.0</v>
      </c>
      <c r="M1358" s="37">
        <v>1440.3400000000001</v>
      </c>
    </row>
    <row r="1359" ht="14.25" customHeight="1">
      <c r="A1359" t="s">
        <v>1448</v>
      </c>
      <c r="B1359" t="s">
        <v>1360</v>
      </c>
      <c r="C1359" t="s">
        <v>62</v>
      </c>
      <c r="D1359" t="s">
        <v>63</v>
      </c>
      <c r="E1359">
        <v>7.1</v>
      </c>
      <c r="F1359">
        <v>7.8</v>
      </c>
      <c r="G1359" s="2" t="s">
        <v>67</v>
      </c>
      <c r="H1359" s="2">
        <v>42.0</v>
      </c>
      <c r="I1359" s="2">
        <v>159.0</v>
      </c>
      <c r="J1359" s="37">
        <v>1150.02</v>
      </c>
      <c r="K1359" s="2">
        <v>48.0</v>
      </c>
      <c r="L1359" s="2">
        <v>282.0</v>
      </c>
      <c r="M1359" s="37">
        <v>1444.6799999999998</v>
      </c>
    </row>
    <row r="1360" ht="14.25" customHeight="1">
      <c r="A1360" t="s">
        <v>1434</v>
      </c>
      <c r="B1360" t="s">
        <v>1360</v>
      </c>
      <c r="C1360" t="s">
        <v>62</v>
      </c>
      <c r="D1360" t="s">
        <v>63</v>
      </c>
      <c r="E1360">
        <v>12.5</v>
      </c>
      <c r="F1360">
        <v>14.0</v>
      </c>
      <c r="G1360" s="2" t="s">
        <v>67</v>
      </c>
      <c r="H1360" s="2">
        <v>75.0</v>
      </c>
      <c r="I1360" s="2">
        <v>102.0</v>
      </c>
      <c r="J1360" s="37">
        <v>1817.1</v>
      </c>
      <c r="K1360" s="2">
        <v>87.0</v>
      </c>
      <c r="L1360" s="2">
        <v>344.0</v>
      </c>
      <c r="M1360" s="37">
        <v>2401.22</v>
      </c>
    </row>
    <row r="1361" ht="14.25" customHeight="1">
      <c r="A1361" t="s">
        <v>1449</v>
      </c>
      <c r="B1361" t="s">
        <v>1360</v>
      </c>
      <c r="C1361" t="s">
        <v>75</v>
      </c>
      <c r="D1361" t="s">
        <v>63</v>
      </c>
      <c r="E1361">
        <v>12.5</v>
      </c>
      <c r="F1361">
        <v>14.0</v>
      </c>
      <c r="G1361" s="2" t="s">
        <v>67</v>
      </c>
      <c r="H1361" s="2">
        <v>75.0</v>
      </c>
      <c r="I1361" s="2">
        <v>197.0</v>
      </c>
      <c r="J1361" s="37">
        <v>1940.6</v>
      </c>
      <c r="K1361" s="2">
        <v>88.0</v>
      </c>
      <c r="L1361" s="2">
        <v>439.0</v>
      </c>
      <c r="M1361" s="37">
        <v>2547.1800000000003</v>
      </c>
    </row>
    <row r="1362" ht="14.25" customHeight="1">
      <c r="A1362" t="s">
        <v>1441</v>
      </c>
      <c r="B1362" t="s">
        <v>1360</v>
      </c>
      <c r="C1362" t="s">
        <v>62</v>
      </c>
      <c r="D1362" t="s">
        <v>63</v>
      </c>
      <c r="E1362">
        <v>10.0</v>
      </c>
      <c r="F1362">
        <v>12.0</v>
      </c>
      <c r="G1362" s="2" t="s">
        <v>67</v>
      </c>
      <c r="H1362" s="2">
        <v>64.0</v>
      </c>
      <c r="I1362" s="2">
        <v>182.0</v>
      </c>
      <c r="J1362" s="37">
        <v>1674.04</v>
      </c>
      <c r="K1362" s="2">
        <v>75.0</v>
      </c>
      <c r="L1362" s="2">
        <v>376.0</v>
      </c>
      <c r="M1362" s="37">
        <v>2173.3</v>
      </c>
    </row>
    <row r="1363" ht="14.25" customHeight="1">
      <c r="A1363" t="s">
        <v>1450</v>
      </c>
      <c r="B1363" t="s">
        <v>1360</v>
      </c>
      <c r="C1363" t="s">
        <v>75</v>
      </c>
      <c r="D1363" t="s">
        <v>63</v>
      </c>
      <c r="E1363">
        <v>10.0</v>
      </c>
      <c r="F1363">
        <v>12.0</v>
      </c>
      <c r="G1363" s="2" t="s">
        <v>67</v>
      </c>
      <c r="H1363" s="2">
        <v>65.0</v>
      </c>
      <c r="I1363" s="2">
        <v>294.0</v>
      </c>
      <c r="J1363" s="37">
        <v>1842.1000000000001</v>
      </c>
      <c r="K1363" s="2">
        <v>75.0</v>
      </c>
      <c r="L1363" s="2">
        <v>488.0</v>
      </c>
      <c r="M1363" s="37">
        <v>2318.9</v>
      </c>
    </row>
    <row r="1364" ht="14.25" customHeight="1">
      <c r="A1364" t="s">
        <v>1444</v>
      </c>
      <c r="B1364" t="s">
        <v>1360</v>
      </c>
      <c r="C1364" t="s">
        <v>62</v>
      </c>
      <c r="D1364" t="s">
        <v>63</v>
      </c>
      <c r="E1364">
        <v>7.1</v>
      </c>
      <c r="F1364">
        <v>8.0</v>
      </c>
      <c r="G1364" s="2" t="s">
        <v>67</v>
      </c>
      <c r="H1364" s="2">
        <v>41.0</v>
      </c>
      <c r="I1364" s="2">
        <v>131.0</v>
      </c>
      <c r="J1364" s="37">
        <v>1091.16</v>
      </c>
      <c r="K1364" s="2">
        <v>47.0</v>
      </c>
      <c r="L1364" s="2">
        <v>254.0</v>
      </c>
      <c r="M1364" s="37">
        <v>1385.8200000000002</v>
      </c>
    </row>
    <row r="1365" ht="14.25" customHeight="1">
      <c r="A1365" t="s">
        <v>1451</v>
      </c>
      <c r="B1365" t="s">
        <v>1360</v>
      </c>
      <c r="C1365" t="s">
        <v>75</v>
      </c>
      <c r="D1365" t="s">
        <v>63</v>
      </c>
      <c r="E1365">
        <v>7.1</v>
      </c>
      <c r="F1365">
        <v>8.0</v>
      </c>
      <c r="G1365" s="2" t="s">
        <v>67</v>
      </c>
      <c r="H1365" s="2">
        <v>43.0</v>
      </c>
      <c r="I1365" s="2">
        <v>179.0</v>
      </c>
      <c r="J1365" s="37">
        <v>1198.48</v>
      </c>
      <c r="K1365" s="2">
        <v>51.0</v>
      </c>
      <c r="L1365" s="2">
        <v>317.0</v>
      </c>
      <c r="M1365" s="37">
        <v>1557.56</v>
      </c>
    </row>
    <row r="1366" ht="14.25" customHeight="1">
      <c r="A1366" t="s">
        <v>1452</v>
      </c>
      <c r="B1366" t="s">
        <v>1360</v>
      </c>
      <c r="C1366" t="s">
        <v>75</v>
      </c>
      <c r="D1366" t="s">
        <v>63</v>
      </c>
      <c r="E1366">
        <v>5.3</v>
      </c>
      <c r="F1366">
        <v>5.8</v>
      </c>
      <c r="G1366" s="2" t="s">
        <v>67</v>
      </c>
      <c r="H1366" s="2">
        <v>35.0</v>
      </c>
      <c r="I1366" s="2">
        <v>257.0</v>
      </c>
      <c r="J1366" s="37">
        <v>1120.2</v>
      </c>
      <c r="K1366" s="2">
        <v>40.0</v>
      </c>
      <c r="L1366" s="2">
        <v>360.0</v>
      </c>
      <c r="M1366" s="37">
        <v>1366.4</v>
      </c>
    </row>
    <row r="1367" ht="14.25" customHeight="1">
      <c r="A1367" t="s">
        <v>1445</v>
      </c>
      <c r="B1367" t="s">
        <v>1360</v>
      </c>
      <c r="C1367" t="s">
        <v>62</v>
      </c>
      <c r="D1367" t="s">
        <v>63</v>
      </c>
      <c r="E1367">
        <v>5.3</v>
      </c>
      <c r="F1367">
        <v>5.8</v>
      </c>
      <c r="G1367" s="2" t="s">
        <v>67</v>
      </c>
      <c r="H1367" s="2">
        <v>34.0</v>
      </c>
      <c r="I1367" s="2">
        <v>221.0</v>
      </c>
      <c r="J1367" s="37">
        <v>1050.94</v>
      </c>
      <c r="K1367" s="2">
        <v>39.0</v>
      </c>
      <c r="L1367" s="2">
        <v>313.0</v>
      </c>
      <c r="M1367" s="37">
        <v>1282.8400000000001</v>
      </c>
    </row>
    <row r="1368" ht="14.25" customHeight="1">
      <c r="A1368" t="s">
        <v>1441</v>
      </c>
      <c r="B1368" t="s">
        <v>1360</v>
      </c>
      <c r="C1368" t="s">
        <v>62</v>
      </c>
      <c r="D1368" t="s">
        <v>63</v>
      </c>
      <c r="E1368">
        <v>10.0</v>
      </c>
      <c r="F1368">
        <v>12.0</v>
      </c>
      <c r="G1368" s="2" t="s">
        <v>67</v>
      </c>
      <c r="H1368" s="2">
        <v>64.0</v>
      </c>
      <c r="I1368" s="2">
        <v>182.0</v>
      </c>
      <c r="J1368" s="37">
        <v>1674.04</v>
      </c>
      <c r="K1368" s="2">
        <v>75.0</v>
      </c>
      <c r="L1368" s="2">
        <v>376.0</v>
      </c>
      <c r="M1368" s="37">
        <v>2173.3</v>
      </c>
    </row>
    <row r="1369" ht="14.25" customHeight="1">
      <c r="A1369" t="s">
        <v>1380</v>
      </c>
      <c r="B1369" t="s">
        <v>1360</v>
      </c>
      <c r="C1369" t="s">
        <v>62</v>
      </c>
      <c r="D1369" t="s">
        <v>63</v>
      </c>
      <c r="E1369">
        <v>8.5</v>
      </c>
      <c r="F1369">
        <v>9.0</v>
      </c>
      <c r="G1369" s="2" t="s">
        <v>67</v>
      </c>
      <c r="H1369" s="2">
        <v>48.0</v>
      </c>
      <c r="I1369" s="2">
        <v>192.0</v>
      </c>
      <c r="J1369" s="37">
        <v>1327.6799999999998</v>
      </c>
      <c r="K1369" s="2">
        <v>55.0</v>
      </c>
      <c r="L1369" s="2">
        <v>338.0</v>
      </c>
      <c r="M1369" s="37">
        <v>1674.7</v>
      </c>
    </row>
    <row r="1370" ht="14.25" customHeight="1">
      <c r="A1370" t="s">
        <v>1390</v>
      </c>
      <c r="B1370" t="s">
        <v>1360</v>
      </c>
      <c r="C1370" t="s">
        <v>62</v>
      </c>
      <c r="D1370" t="s">
        <v>63</v>
      </c>
      <c r="E1370">
        <v>8.5</v>
      </c>
      <c r="F1370">
        <v>9.0</v>
      </c>
      <c r="G1370" s="2" t="s">
        <v>67</v>
      </c>
      <c r="H1370" s="2">
        <v>48.0</v>
      </c>
      <c r="I1370" s="2">
        <v>192.0</v>
      </c>
      <c r="J1370" s="37">
        <v>1327.6799999999998</v>
      </c>
      <c r="K1370" s="2">
        <v>55.0</v>
      </c>
      <c r="L1370" s="2">
        <v>338.0</v>
      </c>
      <c r="M1370" s="37">
        <v>1674.7</v>
      </c>
    </row>
    <row r="1371" ht="14.25" customHeight="1">
      <c r="A1371" t="s">
        <v>1391</v>
      </c>
      <c r="B1371" t="s">
        <v>1360</v>
      </c>
      <c r="C1371" t="s">
        <v>62</v>
      </c>
      <c r="D1371" t="s">
        <v>63</v>
      </c>
      <c r="E1371">
        <v>8.5</v>
      </c>
      <c r="F1371">
        <v>9.0</v>
      </c>
      <c r="G1371" s="2" t="s">
        <v>67</v>
      </c>
      <c r="H1371" s="2">
        <v>48.0</v>
      </c>
      <c r="I1371" s="2">
        <v>192.0</v>
      </c>
      <c r="J1371" s="37">
        <v>1327.6799999999998</v>
      </c>
      <c r="K1371" s="2">
        <v>55.0</v>
      </c>
      <c r="L1371" s="2">
        <v>338.0</v>
      </c>
      <c r="M1371" s="37">
        <v>1674.7</v>
      </c>
    </row>
    <row r="1372" ht="14.25" customHeight="1">
      <c r="A1372" t="s">
        <v>1420</v>
      </c>
      <c r="B1372" t="s">
        <v>1360</v>
      </c>
      <c r="C1372" t="s">
        <v>62</v>
      </c>
      <c r="D1372" t="s">
        <v>63</v>
      </c>
      <c r="E1372">
        <v>8.5</v>
      </c>
      <c r="F1372">
        <v>9.0</v>
      </c>
      <c r="G1372" s="2" t="s">
        <v>67</v>
      </c>
      <c r="H1372" s="2">
        <v>49.0</v>
      </c>
      <c r="I1372" s="2">
        <v>192.0</v>
      </c>
      <c r="J1372" s="37">
        <v>1350.1399999999999</v>
      </c>
      <c r="K1372" s="2">
        <v>56.0</v>
      </c>
      <c r="L1372" s="2">
        <v>338.0</v>
      </c>
      <c r="M1372" s="37">
        <v>1697.16</v>
      </c>
    </row>
    <row r="1373" ht="14.25" customHeight="1">
      <c r="A1373" t="s">
        <v>1418</v>
      </c>
      <c r="B1373" t="s">
        <v>1360</v>
      </c>
      <c r="C1373" t="s">
        <v>62</v>
      </c>
      <c r="D1373" t="s">
        <v>63</v>
      </c>
      <c r="E1373">
        <v>8.5</v>
      </c>
      <c r="F1373">
        <v>9.0</v>
      </c>
      <c r="G1373" s="2" t="s">
        <v>67</v>
      </c>
      <c r="H1373" s="2">
        <v>49.0</v>
      </c>
      <c r="I1373" s="2">
        <v>192.0</v>
      </c>
      <c r="J1373" s="37">
        <v>1350.1399999999999</v>
      </c>
      <c r="K1373" s="2">
        <v>56.0</v>
      </c>
      <c r="L1373" s="2">
        <v>338.0</v>
      </c>
      <c r="M1373" s="37">
        <v>1697.16</v>
      </c>
    </row>
    <row r="1374" ht="14.25" customHeight="1">
      <c r="A1374" t="s">
        <v>1419</v>
      </c>
      <c r="B1374" t="s">
        <v>1360</v>
      </c>
      <c r="C1374" t="s">
        <v>62</v>
      </c>
      <c r="D1374" t="s">
        <v>63</v>
      </c>
      <c r="E1374">
        <v>8.5</v>
      </c>
      <c r="F1374">
        <v>9.0</v>
      </c>
      <c r="G1374" s="2" t="s">
        <v>67</v>
      </c>
      <c r="H1374" s="2">
        <v>49.0</v>
      </c>
      <c r="I1374" s="2">
        <v>192.0</v>
      </c>
      <c r="J1374" s="37">
        <v>1350.1399999999999</v>
      </c>
      <c r="K1374" s="2">
        <v>56.0</v>
      </c>
      <c r="L1374" s="2">
        <v>338.0</v>
      </c>
      <c r="M1374" s="37">
        <v>1697.16</v>
      </c>
    </row>
    <row r="1375" ht="14.25" customHeight="1">
      <c r="A1375" t="s">
        <v>1389</v>
      </c>
      <c r="B1375" t="s">
        <v>1360</v>
      </c>
      <c r="C1375" t="s">
        <v>62</v>
      </c>
      <c r="D1375" t="s">
        <v>63</v>
      </c>
      <c r="E1375">
        <v>8.5</v>
      </c>
      <c r="F1375">
        <v>9.0</v>
      </c>
      <c r="G1375" s="2" t="s">
        <v>67</v>
      </c>
      <c r="H1375" s="2">
        <v>48.0</v>
      </c>
      <c r="I1375" s="2">
        <v>192.0</v>
      </c>
      <c r="J1375" s="37">
        <v>1327.6799999999998</v>
      </c>
      <c r="K1375" s="2">
        <v>55.0</v>
      </c>
      <c r="L1375" s="2">
        <v>338.0</v>
      </c>
      <c r="M1375" s="37">
        <v>1674.7</v>
      </c>
    </row>
    <row r="1376" ht="14.25" customHeight="1">
      <c r="A1376" t="s">
        <v>1453</v>
      </c>
      <c r="B1376" t="s">
        <v>1360</v>
      </c>
      <c r="C1376" t="s">
        <v>62</v>
      </c>
      <c r="D1376" t="s">
        <v>63</v>
      </c>
      <c r="E1376">
        <v>8.5</v>
      </c>
      <c r="F1376">
        <v>9.0</v>
      </c>
      <c r="G1376" s="2" t="s">
        <v>67</v>
      </c>
      <c r="H1376" s="2">
        <v>49.0</v>
      </c>
      <c r="I1376" s="2">
        <v>192.0</v>
      </c>
      <c r="J1376" s="37">
        <v>1350.1399999999999</v>
      </c>
      <c r="K1376" s="2">
        <v>56.0</v>
      </c>
      <c r="L1376" s="2">
        <v>338.0</v>
      </c>
      <c r="M1376" s="37">
        <v>1697.16</v>
      </c>
    </row>
    <row r="1377" ht="14.25" customHeight="1">
      <c r="A1377" t="s">
        <v>1397</v>
      </c>
      <c r="B1377" t="s">
        <v>1360</v>
      </c>
      <c r="C1377" t="s">
        <v>62</v>
      </c>
      <c r="D1377" t="s">
        <v>63</v>
      </c>
      <c r="E1377">
        <v>10.0</v>
      </c>
      <c r="F1377">
        <v>10.3</v>
      </c>
      <c r="G1377" s="2" t="s">
        <v>67</v>
      </c>
      <c r="H1377" s="2">
        <v>57.0</v>
      </c>
      <c r="I1377" s="2">
        <v>277.0</v>
      </c>
      <c r="J1377" s="37">
        <v>1640.3200000000002</v>
      </c>
      <c r="K1377" s="2">
        <v>66.0</v>
      </c>
      <c r="L1377" s="2">
        <v>471.0</v>
      </c>
      <c r="M1377" s="37">
        <v>2094.6600000000003</v>
      </c>
    </row>
    <row r="1378" ht="14.25" customHeight="1">
      <c r="A1378" t="s">
        <v>1378</v>
      </c>
      <c r="B1378" t="s">
        <v>1360</v>
      </c>
      <c r="C1378" t="s">
        <v>62</v>
      </c>
      <c r="D1378" t="s">
        <v>63</v>
      </c>
      <c r="E1378">
        <v>10.0</v>
      </c>
      <c r="F1378">
        <v>10.3</v>
      </c>
      <c r="G1378" s="2" t="s">
        <v>67</v>
      </c>
      <c r="H1378" s="2">
        <v>57.0</v>
      </c>
      <c r="I1378" s="2">
        <v>277.0</v>
      </c>
      <c r="J1378" s="37">
        <v>1640.3200000000002</v>
      </c>
      <c r="K1378" s="2">
        <v>66.0</v>
      </c>
      <c r="L1378" s="2">
        <v>471.0</v>
      </c>
      <c r="M1378" s="37">
        <v>2094.6600000000003</v>
      </c>
    </row>
    <row r="1379" ht="14.25" customHeight="1">
      <c r="A1379" t="s">
        <v>1393</v>
      </c>
      <c r="B1379" t="s">
        <v>1360</v>
      </c>
      <c r="C1379" t="s">
        <v>62</v>
      </c>
      <c r="D1379" t="s">
        <v>63</v>
      </c>
      <c r="E1379">
        <v>10.0</v>
      </c>
      <c r="F1379">
        <v>10.3</v>
      </c>
      <c r="G1379" s="2" t="s">
        <v>67</v>
      </c>
      <c r="H1379" s="2">
        <v>57.0</v>
      </c>
      <c r="I1379" s="2">
        <v>277.0</v>
      </c>
      <c r="J1379" s="37">
        <v>1640.3200000000002</v>
      </c>
      <c r="K1379" s="2">
        <v>66.0</v>
      </c>
      <c r="L1379" s="2">
        <v>471.0</v>
      </c>
      <c r="M1379" s="37">
        <v>2094.6600000000003</v>
      </c>
    </row>
    <row r="1380" ht="14.25" customHeight="1">
      <c r="A1380" t="s">
        <v>1447</v>
      </c>
      <c r="B1380" t="s">
        <v>1360</v>
      </c>
      <c r="C1380" t="s">
        <v>62</v>
      </c>
      <c r="D1380" t="s">
        <v>63</v>
      </c>
      <c r="E1380">
        <v>8.2</v>
      </c>
      <c r="F1380">
        <v>9.0</v>
      </c>
      <c r="G1380" s="2" t="s">
        <v>67</v>
      </c>
      <c r="H1380" s="2">
        <v>47.0</v>
      </c>
      <c r="I1380" s="2">
        <v>34.0</v>
      </c>
      <c r="J1380" s="37">
        <v>1099.8200000000002</v>
      </c>
      <c r="K1380" s="2">
        <v>54.0</v>
      </c>
      <c r="L1380" s="2">
        <v>175.0</v>
      </c>
      <c r="M1380" s="37">
        <v>1440.3400000000001</v>
      </c>
    </row>
    <row r="1381" ht="14.25" customHeight="1">
      <c r="A1381" t="s">
        <v>1454</v>
      </c>
      <c r="B1381" t="s">
        <v>1360</v>
      </c>
      <c r="C1381" t="s">
        <v>62</v>
      </c>
      <c r="D1381" t="s">
        <v>63</v>
      </c>
      <c r="E1381">
        <v>8.2</v>
      </c>
      <c r="F1381">
        <v>9.0</v>
      </c>
      <c r="G1381" s="2" t="s">
        <v>67</v>
      </c>
      <c r="H1381" s="2">
        <v>46.0</v>
      </c>
      <c r="I1381" s="2">
        <v>34.0</v>
      </c>
      <c r="J1381" s="37">
        <v>1077.3600000000001</v>
      </c>
      <c r="K1381" s="2">
        <v>53.0</v>
      </c>
      <c r="L1381" s="2">
        <v>175.0</v>
      </c>
      <c r="M1381" s="37">
        <v>1417.88</v>
      </c>
    </row>
    <row r="1382" ht="14.25" customHeight="1">
      <c r="A1382" t="s">
        <v>1455</v>
      </c>
      <c r="B1382" t="s">
        <v>1360</v>
      </c>
      <c r="C1382" t="s">
        <v>62</v>
      </c>
      <c r="D1382" t="s">
        <v>63</v>
      </c>
      <c r="E1382">
        <v>8.2</v>
      </c>
      <c r="F1382">
        <v>9.0</v>
      </c>
      <c r="G1382" s="2" t="s">
        <v>67</v>
      </c>
      <c r="H1382" s="2">
        <v>46.0</v>
      </c>
      <c r="I1382" s="2">
        <v>34.0</v>
      </c>
      <c r="J1382" s="37">
        <v>1077.3600000000001</v>
      </c>
      <c r="K1382" s="2">
        <v>53.0</v>
      </c>
      <c r="L1382" s="2">
        <v>175.0</v>
      </c>
      <c r="M1382" s="37">
        <v>1417.88</v>
      </c>
    </row>
    <row r="1383" ht="14.25" customHeight="1">
      <c r="A1383" t="s">
        <v>1456</v>
      </c>
      <c r="B1383" t="s">
        <v>1360</v>
      </c>
      <c r="C1383" t="s">
        <v>62</v>
      </c>
      <c r="D1383" t="s">
        <v>63</v>
      </c>
      <c r="E1383">
        <v>3.52</v>
      </c>
      <c r="F1383">
        <v>4.0</v>
      </c>
      <c r="G1383" s="2" t="s">
        <v>67</v>
      </c>
      <c r="H1383" s="2">
        <v>21.0</v>
      </c>
      <c r="I1383" s="2">
        <v>90.0</v>
      </c>
      <c r="J1383" s="37">
        <v>588.6600000000001</v>
      </c>
      <c r="K1383" s="2">
        <v>23.0</v>
      </c>
      <c r="L1383" s="2">
        <v>144.0</v>
      </c>
      <c r="M1383" s="37">
        <v>703.7800000000001</v>
      </c>
    </row>
    <row r="1384" ht="14.25" customHeight="1">
      <c r="A1384" t="s">
        <v>1457</v>
      </c>
      <c r="B1384" t="s">
        <v>1360</v>
      </c>
      <c r="C1384" t="s">
        <v>62</v>
      </c>
      <c r="D1384" t="s">
        <v>63</v>
      </c>
      <c r="E1384">
        <v>5.0</v>
      </c>
      <c r="F1384">
        <v>6.0</v>
      </c>
      <c r="G1384" s="2" t="s">
        <v>67</v>
      </c>
      <c r="H1384" s="2">
        <v>35.0</v>
      </c>
      <c r="I1384" s="2">
        <v>169.0</v>
      </c>
      <c r="J1384" s="37">
        <v>1005.8000000000001</v>
      </c>
      <c r="K1384" s="2">
        <v>39.0</v>
      </c>
      <c r="L1384" s="2">
        <v>255.0</v>
      </c>
      <c r="M1384" s="37">
        <v>1207.44</v>
      </c>
    </row>
    <row r="1385" ht="14.25" customHeight="1">
      <c r="A1385" t="s">
        <v>1458</v>
      </c>
      <c r="B1385" t="s">
        <v>1360</v>
      </c>
      <c r="C1385" t="s">
        <v>62</v>
      </c>
      <c r="D1385" t="s">
        <v>63</v>
      </c>
      <c r="E1385">
        <v>2.7</v>
      </c>
      <c r="F1385">
        <v>3.2</v>
      </c>
      <c r="G1385" s="2" t="s">
        <v>67</v>
      </c>
      <c r="H1385" s="2">
        <v>16.0</v>
      </c>
      <c r="I1385" s="2">
        <v>91.0</v>
      </c>
      <c r="J1385" s="37">
        <v>477.66</v>
      </c>
      <c r="K1385" s="2">
        <v>18.0</v>
      </c>
      <c r="L1385" s="2">
        <v>132.0</v>
      </c>
      <c r="M1385" s="37">
        <v>575.88</v>
      </c>
    </row>
    <row r="1386" ht="14.25" customHeight="1">
      <c r="A1386" t="s">
        <v>1459</v>
      </c>
      <c r="B1386" t="s">
        <v>1360</v>
      </c>
      <c r="C1386" t="s">
        <v>62</v>
      </c>
      <c r="D1386" t="s">
        <v>63</v>
      </c>
      <c r="E1386">
        <v>7.034</v>
      </c>
      <c r="F1386">
        <v>8.0</v>
      </c>
      <c r="G1386" s="2" t="s">
        <v>64</v>
      </c>
      <c r="H1386" s="2">
        <v>0.0</v>
      </c>
      <c r="I1386" s="2">
        <v>0.0</v>
      </c>
      <c r="J1386" s="37">
        <v>0.0</v>
      </c>
      <c r="K1386" s="2">
        <v>0.0</v>
      </c>
      <c r="L1386" s="2">
        <v>0.0</v>
      </c>
      <c r="M1386" s="37">
        <v>0.0</v>
      </c>
    </row>
    <row r="1387" ht="14.25" customHeight="1">
      <c r="A1387" t="s">
        <v>1425</v>
      </c>
      <c r="B1387" t="s">
        <v>1360</v>
      </c>
      <c r="C1387" t="s">
        <v>62</v>
      </c>
      <c r="D1387" t="s">
        <v>467</v>
      </c>
      <c r="E1387">
        <v>6.09</v>
      </c>
      <c r="F1387">
        <v>5.8</v>
      </c>
      <c r="G1387" s="2" t="s">
        <v>64</v>
      </c>
      <c r="H1387" s="2">
        <v>0.0</v>
      </c>
      <c r="I1387" s="2">
        <v>0.0</v>
      </c>
      <c r="J1387" s="37">
        <v>0.0</v>
      </c>
      <c r="K1387" s="2">
        <v>0.0</v>
      </c>
      <c r="L1387" s="2">
        <v>0.0</v>
      </c>
      <c r="M1387" s="37">
        <v>0.0</v>
      </c>
    </row>
    <row r="1388" ht="14.25" customHeight="1">
      <c r="A1388" t="s">
        <v>1426</v>
      </c>
      <c r="B1388" t="s">
        <v>1360</v>
      </c>
      <c r="C1388" t="s">
        <v>62</v>
      </c>
      <c r="D1388" t="s">
        <v>467</v>
      </c>
      <c r="E1388">
        <v>6.09</v>
      </c>
      <c r="F1388">
        <v>5.8</v>
      </c>
      <c r="G1388" s="2" t="s">
        <v>64</v>
      </c>
      <c r="H1388" s="2">
        <v>0.0</v>
      </c>
      <c r="I1388" s="2">
        <v>0.0</v>
      </c>
      <c r="J1388" s="37">
        <v>0.0</v>
      </c>
      <c r="K1388" s="2">
        <v>0.0</v>
      </c>
      <c r="L1388" s="2">
        <v>0.0</v>
      </c>
      <c r="M1388" s="37">
        <v>0.0</v>
      </c>
    </row>
    <row r="1389" ht="14.25" customHeight="1">
      <c r="A1389" t="s">
        <v>1427</v>
      </c>
      <c r="B1389" t="s">
        <v>1360</v>
      </c>
      <c r="C1389" t="s">
        <v>62</v>
      </c>
      <c r="D1389" t="s">
        <v>467</v>
      </c>
      <c r="E1389">
        <v>6.09</v>
      </c>
      <c r="F1389">
        <v>5.8</v>
      </c>
      <c r="G1389" s="2" t="s">
        <v>64</v>
      </c>
      <c r="H1389" s="2">
        <v>0.0</v>
      </c>
      <c r="I1389" s="2">
        <v>0.0</v>
      </c>
      <c r="J1389" s="37">
        <v>0.0</v>
      </c>
      <c r="K1389" s="2">
        <v>0.0</v>
      </c>
      <c r="L1389" s="2">
        <v>0.0</v>
      </c>
      <c r="M1389" s="37">
        <v>0.0</v>
      </c>
    </row>
    <row r="1390" ht="14.25" customHeight="1">
      <c r="A1390" t="s">
        <v>1428</v>
      </c>
      <c r="B1390" t="s">
        <v>1360</v>
      </c>
      <c r="C1390" t="s">
        <v>62</v>
      </c>
      <c r="D1390" t="s">
        <v>467</v>
      </c>
      <c r="E1390">
        <v>6.09</v>
      </c>
      <c r="F1390">
        <v>5.8</v>
      </c>
      <c r="G1390" s="2" t="s">
        <v>64</v>
      </c>
      <c r="H1390" s="2">
        <v>0.0</v>
      </c>
      <c r="I1390" s="2">
        <v>0.0</v>
      </c>
      <c r="J1390" s="37">
        <v>0.0</v>
      </c>
      <c r="K1390" s="2">
        <v>0.0</v>
      </c>
      <c r="L1390" s="2">
        <v>0.0</v>
      </c>
      <c r="M1390" s="37">
        <v>0.0</v>
      </c>
    </row>
    <row r="1391" ht="14.25" customHeight="1">
      <c r="A1391" t="s">
        <v>1429</v>
      </c>
      <c r="B1391" t="s">
        <v>1360</v>
      </c>
      <c r="C1391" t="s">
        <v>62</v>
      </c>
      <c r="D1391" t="s">
        <v>467</v>
      </c>
      <c r="E1391">
        <v>6.09</v>
      </c>
      <c r="F1391">
        <v>5.8</v>
      </c>
      <c r="G1391" s="2" t="s">
        <v>64</v>
      </c>
      <c r="H1391" s="2">
        <v>0.0</v>
      </c>
      <c r="I1391" s="2">
        <v>0.0</v>
      </c>
      <c r="J1391" s="37">
        <v>0.0</v>
      </c>
      <c r="K1391" s="2">
        <v>0.0</v>
      </c>
      <c r="L1391" s="2">
        <v>0.0</v>
      </c>
      <c r="M1391" s="37">
        <v>0.0</v>
      </c>
    </row>
    <row r="1392" ht="14.25" customHeight="1">
      <c r="A1392" t="s">
        <v>1460</v>
      </c>
      <c r="B1392" t="s">
        <v>1360</v>
      </c>
      <c r="C1392" t="s">
        <v>62</v>
      </c>
      <c r="D1392" t="s">
        <v>467</v>
      </c>
      <c r="E1392">
        <v>6.09</v>
      </c>
      <c r="F1392">
        <v>5.8</v>
      </c>
      <c r="G1392" s="2" t="s">
        <v>64</v>
      </c>
      <c r="H1392" s="2">
        <v>0.0</v>
      </c>
      <c r="I1392" s="2">
        <v>0.0</v>
      </c>
      <c r="J1392" s="37">
        <v>0.0</v>
      </c>
      <c r="K1392" s="2">
        <v>0.0</v>
      </c>
      <c r="L1392" s="2">
        <v>0.0</v>
      </c>
      <c r="M1392" s="37">
        <v>0.0</v>
      </c>
    </row>
    <row r="1393" ht="14.25" customHeight="1">
      <c r="A1393" t="s">
        <v>1461</v>
      </c>
      <c r="B1393" t="s">
        <v>1360</v>
      </c>
      <c r="C1393" t="s">
        <v>62</v>
      </c>
      <c r="D1393" t="s">
        <v>63</v>
      </c>
      <c r="E1393">
        <v>7.1</v>
      </c>
      <c r="F1393">
        <v>7.8</v>
      </c>
      <c r="G1393" s="2" t="s">
        <v>67</v>
      </c>
      <c r="H1393" s="2">
        <v>43.0</v>
      </c>
      <c r="I1393" s="2">
        <v>202.0</v>
      </c>
      <c r="J1393" s="37">
        <v>1228.38</v>
      </c>
      <c r="K1393" s="2">
        <v>49.0</v>
      </c>
      <c r="L1393" s="2">
        <v>324.0</v>
      </c>
      <c r="M1393" s="37">
        <v>1521.74</v>
      </c>
    </row>
    <row r="1394" ht="14.25" customHeight="1">
      <c r="A1394" t="s">
        <v>1462</v>
      </c>
      <c r="B1394" t="s">
        <v>1360</v>
      </c>
      <c r="C1394" t="s">
        <v>62</v>
      </c>
      <c r="D1394" t="s">
        <v>467</v>
      </c>
      <c r="E1394">
        <v>5.3</v>
      </c>
      <c r="F1394">
        <v>4.8</v>
      </c>
      <c r="G1394" s="2" t="s">
        <v>64</v>
      </c>
      <c r="H1394" s="2">
        <v>0.0</v>
      </c>
      <c r="I1394" s="2">
        <v>0.0</v>
      </c>
      <c r="J1394" s="37">
        <v>0.0</v>
      </c>
      <c r="K1394" s="2">
        <v>0.0</v>
      </c>
      <c r="L1394" s="2">
        <v>0.0</v>
      </c>
      <c r="M1394" s="37">
        <v>0.0</v>
      </c>
    </row>
    <row r="1395" ht="14.25" customHeight="1">
      <c r="A1395" t="s">
        <v>1463</v>
      </c>
      <c r="B1395" t="s">
        <v>1360</v>
      </c>
      <c r="C1395" t="s">
        <v>62</v>
      </c>
      <c r="D1395" t="s">
        <v>467</v>
      </c>
      <c r="E1395">
        <v>5.3</v>
      </c>
      <c r="F1395">
        <v>4.8</v>
      </c>
      <c r="G1395" s="2" t="s">
        <v>64</v>
      </c>
      <c r="H1395" s="2">
        <v>0.0</v>
      </c>
      <c r="I1395" s="2">
        <v>0.0</v>
      </c>
      <c r="J1395" s="37">
        <v>0.0</v>
      </c>
      <c r="K1395" s="2">
        <v>0.0</v>
      </c>
      <c r="L1395" s="2">
        <v>0.0</v>
      </c>
      <c r="M1395" s="37">
        <v>0.0</v>
      </c>
    </row>
    <row r="1396" ht="14.25" customHeight="1">
      <c r="A1396" t="s">
        <v>1464</v>
      </c>
      <c r="B1396" t="s">
        <v>1360</v>
      </c>
      <c r="C1396" t="s">
        <v>62</v>
      </c>
      <c r="D1396" t="s">
        <v>467</v>
      </c>
      <c r="E1396">
        <v>5.3</v>
      </c>
      <c r="F1396">
        <v>4.8</v>
      </c>
      <c r="G1396" s="2" t="s">
        <v>64</v>
      </c>
      <c r="H1396" s="2">
        <v>0.0</v>
      </c>
      <c r="I1396" s="2">
        <v>0.0</v>
      </c>
      <c r="J1396" s="37">
        <v>0.0</v>
      </c>
      <c r="K1396" s="2">
        <v>0.0</v>
      </c>
      <c r="L1396" s="2">
        <v>0.0</v>
      </c>
      <c r="M1396" s="37">
        <v>0.0</v>
      </c>
    </row>
    <row r="1397" ht="14.25" customHeight="1">
      <c r="A1397" t="s">
        <v>1465</v>
      </c>
      <c r="B1397" t="s">
        <v>1360</v>
      </c>
      <c r="C1397" t="s">
        <v>62</v>
      </c>
      <c r="D1397" t="s">
        <v>467</v>
      </c>
      <c r="E1397">
        <v>5.3</v>
      </c>
      <c r="F1397">
        <v>4.8</v>
      </c>
      <c r="G1397" s="2" t="s">
        <v>64</v>
      </c>
      <c r="H1397" s="2">
        <v>0.0</v>
      </c>
      <c r="I1397" s="2">
        <v>0.0</v>
      </c>
      <c r="J1397" s="37">
        <v>0.0</v>
      </c>
      <c r="K1397" s="2">
        <v>0.0</v>
      </c>
      <c r="L1397" s="2">
        <v>0.0</v>
      </c>
      <c r="M1397" s="37">
        <v>0.0</v>
      </c>
    </row>
    <row r="1398" ht="14.25" customHeight="1">
      <c r="A1398" t="s">
        <v>1466</v>
      </c>
      <c r="B1398" t="s">
        <v>1360</v>
      </c>
      <c r="C1398" t="s">
        <v>62</v>
      </c>
      <c r="D1398" t="s">
        <v>467</v>
      </c>
      <c r="E1398">
        <v>5.3</v>
      </c>
      <c r="F1398">
        <v>4.8</v>
      </c>
      <c r="G1398" s="2" t="s">
        <v>64</v>
      </c>
      <c r="H1398" s="2">
        <v>0.0</v>
      </c>
      <c r="I1398" s="2">
        <v>0.0</v>
      </c>
      <c r="J1398" s="37">
        <v>0.0</v>
      </c>
      <c r="K1398" s="2">
        <v>0.0</v>
      </c>
      <c r="L1398" s="2">
        <v>0.0</v>
      </c>
      <c r="M1398" s="37">
        <v>0.0</v>
      </c>
    </row>
    <row r="1399" ht="14.25" customHeight="1">
      <c r="A1399" t="s">
        <v>1467</v>
      </c>
      <c r="B1399" t="s">
        <v>1360</v>
      </c>
      <c r="C1399" t="s">
        <v>62</v>
      </c>
      <c r="D1399" t="s">
        <v>467</v>
      </c>
      <c r="E1399">
        <v>5.3</v>
      </c>
      <c r="F1399">
        <v>4.8</v>
      </c>
      <c r="G1399" s="2" t="s">
        <v>64</v>
      </c>
      <c r="H1399" s="2">
        <v>0.0</v>
      </c>
      <c r="I1399" s="2">
        <v>0.0</v>
      </c>
      <c r="J1399" s="37">
        <v>0.0</v>
      </c>
      <c r="K1399" s="2">
        <v>0.0</v>
      </c>
      <c r="L1399" s="2">
        <v>0.0</v>
      </c>
      <c r="M1399" s="37">
        <v>0.0</v>
      </c>
    </row>
    <row r="1400" ht="14.25" customHeight="1">
      <c r="A1400" t="s">
        <v>1468</v>
      </c>
      <c r="B1400" t="s">
        <v>1360</v>
      </c>
      <c r="C1400" t="s">
        <v>62</v>
      </c>
      <c r="D1400" t="s">
        <v>467</v>
      </c>
      <c r="E1400">
        <v>3.9</v>
      </c>
      <c r="F1400">
        <v>3.6</v>
      </c>
      <c r="G1400" s="2" t="s">
        <v>64</v>
      </c>
      <c r="H1400" s="2">
        <v>0.0</v>
      </c>
      <c r="I1400" s="2">
        <v>0.0</v>
      </c>
      <c r="J1400" s="37">
        <v>0.0</v>
      </c>
      <c r="K1400" s="2">
        <v>0.0</v>
      </c>
      <c r="L1400" s="2">
        <v>0.0</v>
      </c>
      <c r="M1400" s="37">
        <v>0.0</v>
      </c>
    </row>
    <row r="1401" ht="14.25" customHeight="1">
      <c r="A1401" t="s">
        <v>1469</v>
      </c>
      <c r="B1401" t="s">
        <v>1360</v>
      </c>
      <c r="C1401" t="s">
        <v>62</v>
      </c>
      <c r="D1401" t="s">
        <v>467</v>
      </c>
      <c r="E1401">
        <v>3.9</v>
      </c>
      <c r="F1401">
        <v>3.6</v>
      </c>
      <c r="G1401" s="2" t="s">
        <v>64</v>
      </c>
      <c r="H1401" s="2">
        <v>0.0</v>
      </c>
      <c r="I1401" s="2">
        <v>0.0</v>
      </c>
      <c r="J1401" s="37">
        <v>0.0</v>
      </c>
      <c r="K1401" s="2">
        <v>0.0</v>
      </c>
      <c r="L1401" s="2">
        <v>0.0</v>
      </c>
      <c r="M1401" s="37">
        <v>0.0</v>
      </c>
    </row>
    <row r="1402" ht="14.25" customHeight="1">
      <c r="A1402" t="s">
        <v>1470</v>
      </c>
      <c r="B1402" t="s">
        <v>1360</v>
      </c>
      <c r="C1402" t="s">
        <v>62</v>
      </c>
      <c r="D1402" t="s">
        <v>467</v>
      </c>
      <c r="E1402">
        <v>3.9</v>
      </c>
      <c r="F1402">
        <v>3.6</v>
      </c>
      <c r="G1402" s="2" t="s">
        <v>64</v>
      </c>
      <c r="H1402" s="2">
        <v>0.0</v>
      </c>
      <c r="I1402" s="2">
        <v>0.0</v>
      </c>
      <c r="J1402" s="37">
        <v>0.0</v>
      </c>
      <c r="K1402" s="2">
        <v>0.0</v>
      </c>
      <c r="L1402" s="2">
        <v>0.0</v>
      </c>
      <c r="M1402" s="37">
        <v>0.0</v>
      </c>
    </row>
    <row r="1403" ht="14.25" customHeight="1">
      <c r="A1403" t="s">
        <v>1471</v>
      </c>
      <c r="B1403" t="s">
        <v>1360</v>
      </c>
      <c r="C1403" t="s">
        <v>62</v>
      </c>
      <c r="D1403" t="s">
        <v>467</v>
      </c>
      <c r="E1403">
        <v>3.9</v>
      </c>
      <c r="F1403">
        <v>3.6</v>
      </c>
      <c r="G1403" s="2" t="s">
        <v>64</v>
      </c>
      <c r="H1403" s="2">
        <v>0.0</v>
      </c>
      <c r="I1403" s="2">
        <v>0.0</v>
      </c>
      <c r="J1403" s="37">
        <v>0.0</v>
      </c>
      <c r="K1403" s="2">
        <v>0.0</v>
      </c>
      <c r="L1403" s="2">
        <v>0.0</v>
      </c>
      <c r="M1403" s="37">
        <v>0.0</v>
      </c>
    </row>
    <row r="1404" ht="14.25" customHeight="1">
      <c r="A1404" t="s">
        <v>1472</v>
      </c>
      <c r="B1404" t="s">
        <v>1360</v>
      </c>
      <c r="C1404" t="s">
        <v>62</v>
      </c>
      <c r="D1404" t="s">
        <v>467</v>
      </c>
      <c r="E1404">
        <v>3.9</v>
      </c>
      <c r="F1404">
        <v>3.6</v>
      </c>
      <c r="G1404" s="2" t="s">
        <v>64</v>
      </c>
      <c r="H1404" s="2">
        <v>0.0</v>
      </c>
      <c r="I1404" s="2">
        <v>0.0</v>
      </c>
      <c r="J1404" s="37">
        <v>0.0</v>
      </c>
      <c r="K1404" s="2">
        <v>0.0</v>
      </c>
      <c r="L1404" s="2">
        <v>0.0</v>
      </c>
      <c r="M1404" s="37">
        <v>0.0</v>
      </c>
    </row>
    <row r="1405" ht="14.25" customHeight="1">
      <c r="A1405" t="s">
        <v>1473</v>
      </c>
      <c r="B1405" t="s">
        <v>1360</v>
      </c>
      <c r="C1405" t="s">
        <v>62</v>
      </c>
      <c r="D1405" t="s">
        <v>467</v>
      </c>
      <c r="E1405">
        <v>2.8</v>
      </c>
      <c r="F1405">
        <v>2.45</v>
      </c>
      <c r="G1405" s="2" t="s">
        <v>64</v>
      </c>
      <c r="H1405" s="2">
        <v>0.0</v>
      </c>
      <c r="I1405" s="2">
        <v>0.0</v>
      </c>
      <c r="J1405" s="37">
        <v>0.0</v>
      </c>
      <c r="K1405" s="2">
        <v>0.0</v>
      </c>
      <c r="L1405" s="2">
        <v>0.0</v>
      </c>
      <c r="M1405" s="37">
        <v>0.0</v>
      </c>
    </row>
    <row r="1406" ht="14.25" customHeight="1">
      <c r="A1406" t="s">
        <v>1474</v>
      </c>
      <c r="B1406" t="s">
        <v>1360</v>
      </c>
      <c r="C1406" t="s">
        <v>62</v>
      </c>
      <c r="D1406" t="s">
        <v>467</v>
      </c>
      <c r="E1406">
        <v>2.8</v>
      </c>
      <c r="F1406">
        <v>2.45</v>
      </c>
      <c r="G1406" s="2" t="s">
        <v>64</v>
      </c>
      <c r="H1406" s="2">
        <v>0.0</v>
      </c>
      <c r="I1406" s="2">
        <v>0.0</v>
      </c>
      <c r="J1406" s="37">
        <v>0.0</v>
      </c>
      <c r="K1406" s="2">
        <v>0.0</v>
      </c>
      <c r="L1406" s="2">
        <v>0.0</v>
      </c>
      <c r="M1406" s="37">
        <v>0.0</v>
      </c>
    </row>
    <row r="1407" ht="14.25" customHeight="1">
      <c r="A1407" t="s">
        <v>1475</v>
      </c>
      <c r="B1407" t="s">
        <v>1360</v>
      </c>
      <c r="C1407" t="s">
        <v>62</v>
      </c>
      <c r="D1407" t="s">
        <v>467</v>
      </c>
      <c r="E1407">
        <v>2.8</v>
      </c>
      <c r="F1407">
        <v>2.45</v>
      </c>
      <c r="G1407" s="2" t="s">
        <v>64</v>
      </c>
      <c r="H1407" s="2">
        <v>0.0</v>
      </c>
      <c r="I1407" s="2">
        <v>0.0</v>
      </c>
      <c r="J1407" s="37">
        <v>0.0</v>
      </c>
      <c r="K1407" s="2">
        <v>0.0</v>
      </c>
      <c r="L1407" s="2">
        <v>0.0</v>
      </c>
      <c r="M1407" s="37">
        <v>0.0</v>
      </c>
    </row>
    <row r="1408" ht="14.25" customHeight="1">
      <c r="A1408" t="s">
        <v>1476</v>
      </c>
      <c r="B1408" t="s">
        <v>1360</v>
      </c>
      <c r="C1408" t="s">
        <v>62</v>
      </c>
      <c r="D1408" t="s">
        <v>467</v>
      </c>
      <c r="E1408">
        <v>2.8</v>
      </c>
      <c r="F1408">
        <v>2.45</v>
      </c>
      <c r="G1408" s="2" t="s">
        <v>64</v>
      </c>
      <c r="H1408" s="2">
        <v>0.0</v>
      </c>
      <c r="I1408" s="2">
        <v>0.0</v>
      </c>
      <c r="J1408" s="37">
        <v>0.0</v>
      </c>
      <c r="K1408" s="2">
        <v>0.0</v>
      </c>
      <c r="L1408" s="2">
        <v>0.0</v>
      </c>
      <c r="M1408" s="37">
        <v>0.0</v>
      </c>
    </row>
    <row r="1409" ht="14.25" customHeight="1">
      <c r="A1409" t="s">
        <v>1477</v>
      </c>
      <c r="B1409" t="s">
        <v>1360</v>
      </c>
      <c r="C1409" t="s">
        <v>62</v>
      </c>
      <c r="D1409" t="s">
        <v>467</v>
      </c>
      <c r="E1409">
        <v>2.8</v>
      </c>
      <c r="F1409">
        <v>2.45</v>
      </c>
      <c r="G1409" s="2" t="s">
        <v>64</v>
      </c>
      <c r="H1409" s="2">
        <v>0.0</v>
      </c>
      <c r="I1409" s="2">
        <v>0.0</v>
      </c>
      <c r="J1409" s="37">
        <v>0.0</v>
      </c>
      <c r="K1409" s="2">
        <v>0.0</v>
      </c>
      <c r="L1409" s="2">
        <v>0.0</v>
      </c>
      <c r="M1409" s="37">
        <v>0.0</v>
      </c>
    </row>
    <row r="1410" ht="14.25" customHeight="1">
      <c r="A1410" t="s">
        <v>1478</v>
      </c>
      <c r="B1410" t="s">
        <v>1360</v>
      </c>
      <c r="C1410" t="s">
        <v>62</v>
      </c>
      <c r="D1410" t="s">
        <v>467</v>
      </c>
      <c r="E1410">
        <v>2.2</v>
      </c>
      <c r="F1410">
        <v>1.9</v>
      </c>
      <c r="G1410" s="2" t="s">
        <v>64</v>
      </c>
      <c r="H1410" s="2">
        <v>0.0</v>
      </c>
      <c r="I1410" s="2">
        <v>0.0</v>
      </c>
      <c r="J1410" s="37">
        <v>0.0</v>
      </c>
      <c r="K1410" s="2">
        <v>0.0</v>
      </c>
      <c r="L1410" s="2">
        <v>0.0</v>
      </c>
      <c r="M1410" s="37">
        <v>0.0</v>
      </c>
    </row>
    <row r="1411" ht="14.25" customHeight="1">
      <c r="A1411" t="s">
        <v>1479</v>
      </c>
      <c r="B1411" t="s">
        <v>1360</v>
      </c>
      <c r="C1411" t="s">
        <v>62</v>
      </c>
      <c r="D1411" t="s">
        <v>467</v>
      </c>
      <c r="E1411">
        <v>2.2</v>
      </c>
      <c r="F1411">
        <v>1.9</v>
      </c>
      <c r="G1411" s="2" t="s">
        <v>64</v>
      </c>
      <c r="H1411" s="2">
        <v>0.0</v>
      </c>
      <c r="I1411" s="2">
        <v>0.0</v>
      </c>
      <c r="J1411" s="37">
        <v>0.0</v>
      </c>
      <c r="K1411" s="2">
        <v>0.0</v>
      </c>
      <c r="L1411" s="2">
        <v>0.0</v>
      </c>
      <c r="M1411" s="37">
        <v>0.0</v>
      </c>
    </row>
    <row r="1412" ht="14.25" customHeight="1">
      <c r="A1412" t="s">
        <v>1480</v>
      </c>
      <c r="B1412" t="s">
        <v>1360</v>
      </c>
      <c r="C1412" t="s">
        <v>62</v>
      </c>
      <c r="D1412" t="s">
        <v>467</v>
      </c>
      <c r="E1412">
        <v>2.2</v>
      </c>
      <c r="F1412">
        <v>1.9</v>
      </c>
      <c r="G1412" s="2" t="s">
        <v>64</v>
      </c>
      <c r="H1412" s="2">
        <v>0.0</v>
      </c>
      <c r="I1412" s="2">
        <v>0.0</v>
      </c>
      <c r="J1412" s="37">
        <v>0.0</v>
      </c>
      <c r="K1412" s="2">
        <v>0.0</v>
      </c>
      <c r="L1412" s="2">
        <v>0.0</v>
      </c>
      <c r="M1412" s="37">
        <v>0.0</v>
      </c>
    </row>
    <row r="1413" ht="14.25" customHeight="1">
      <c r="A1413" t="s">
        <v>1481</v>
      </c>
      <c r="B1413" t="s">
        <v>1360</v>
      </c>
      <c r="C1413" t="s">
        <v>62</v>
      </c>
      <c r="D1413" t="s">
        <v>63</v>
      </c>
      <c r="E1413">
        <v>2.0</v>
      </c>
      <c r="F1413">
        <v>2.638</v>
      </c>
      <c r="G1413" s="2" t="s">
        <v>64</v>
      </c>
      <c r="H1413" s="2">
        <v>0.0</v>
      </c>
      <c r="I1413" s="2">
        <v>0.0</v>
      </c>
      <c r="J1413" s="37">
        <v>0.0</v>
      </c>
      <c r="K1413" s="2">
        <v>0.0</v>
      </c>
      <c r="L1413" s="2">
        <v>0.0</v>
      </c>
      <c r="M1413" s="37">
        <v>0.0</v>
      </c>
    </row>
    <row r="1414" ht="14.25" customHeight="1">
      <c r="A1414" t="s">
        <v>1482</v>
      </c>
      <c r="B1414" t="s">
        <v>1360</v>
      </c>
      <c r="C1414" t="s">
        <v>62</v>
      </c>
      <c r="D1414" t="s">
        <v>63</v>
      </c>
      <c r="E1414">
        <v>3.517</v>
      </c>
      <c r="F1414">
        <v>3.7</v>
      </c>
      <c r="G1414" s="2" t="s">
        <v>67</v>
      </c>
      <c r="H1414" s="2">
        <v>18.0</v>
      </c>
      <c r="I1414" s="2">
        <v>73.0</v>
      </c>
      <c r="J1414" s="37">
        <v>499.18000000000006</v>
      </c>
      <c r="K1414" s="2">
        <v>21.0</v>
      </c>
      <c r="L1414" s="2">
        <v>126.0</v>
      </c>
      <c r="M1414" s="37">
        <v>635.46</v>
      </c>
    </row>
    <row r="1415" ht="14.25" customHeight="1">
      <c r="A1415" t="s">
        <v>1483</v>
      </c>
      <c r="B1415" t="s">
        <v>1360</v>
      </c>
      <c r="C1415" t="s">
        <v>62</v>
      </c>
      <c r="D1415" t="s">
        <v>63</v>
      </c>
      <c r="E1415">
        <v>8.5</v>
      </c>
      <c r="F1415">
        <v>9.0</v>
      </c>
      <c r="G1415" s="2" t="s">
        <v>67</v>
      </c>
      <c r="H1415" s="2">
        <v>47.0</v>
      </c>
      <c r="I1415" s="2">
        <v>192.0</v>
      </c>
      <c r="J1415" s="37">
        <v>1305.2200000000003</v>
      </c>
      <c r="K1415" s="2">
        <v>54.0</v>
      </c>
      <c r="L1415" s="2">
        <v>338.0</v>
      </c>
      <c r="M1415" s="37">
        <v>1652.2400000000002</v>
      </c>
    </row>
    <row r="1416" ht="14.25" customHeight="1">
      <c r="A1416" t="s">
        <v>1458</v>
      </c>
      <c r="B1416" t="s">
        <v>1360</v>
      </c>
      <c r="C1416" t="s">
        <v>62</v>
      </c>
      <c r="D1416" t="s">
        <v>63</v>
      </c>
      <c r="E1416">
        <v>2.7</v>
      </c>
      <c r="F1416">
        <v>3.2</v>
      </c>
      <c r="G1416" s="2" t="s">
        <v>67</v>
      </c>
      <c r="H1416" s="2">
        <v>16.0</v>
      </c>
      <c r="I1416" s="2">
        <v>91.0</v>
      </c>
      <c r="J1416" s="37">
        <v>477.66</v>
      </c>
      <c r="K1416" s="2">
        <v>18.0</v>
      </c>
      <c r="L1416" s="2">
        <v>132.0</v>
      </c>
      <c r="M1416" s="37">
        <v>575.88</v>
      </c>
    </row>
    <row r="1417" ht="14.25" customHeight="1">
      <c r="A1417" t="s">
        <v>1484</v>
      </c>
      <c r="B1417" t="s">
        <v>1360</v>
      </c>
      <c r="C1417" t="s">
        <v>75</v>
      </c>
      <c r="D1417" t="s">
        <v>82</v>
      </c>
      <c r="E1417">
        <v>51.0</v>
      </c>
      <c r="F1417">
        <v>56.2</v>
      </c>
      <c r="G1417" s="2" t="s">
        <v>64</v>
      </c>
      <c r="H1417" s="2">
        <v>0.0</v>
      </c>
      <c r="I1417" s="2">
        <v>0.0</v>
      </c>
      <c r="J1417" s="37">
        <v>0.0</v>
      </c>
      <c r="K1417" s="2">
        <v>0.0</v>
      </c>
      <c r="L1417" s="2">
        <v>0.0</v>
      </c>
      <c r="M1417" s="37">
        <v>0.0</v>
      </c>
    </row>
    <row r="1418" ht="14.25" customHeight="1">
      <c r="A1418" t="s">
        <v>1485</v>
      </c>
      <c r="B1418" t="s">
        <v>1360</v>
      </c>
      <c r="C1418" t="s">
        <v>75</v>
      </c>
      <c r="D1418" t="s">
        <v>63</v>
      </c>
      <c r="E1418">
        <v>12.5</v>
      </c>
      <c r="F1418">
        <v>14.0</v>
      </c>
      <c r="G1418" s="2" t="s">
        <v>67</v>
      </c>
      <c r="H1418" s="2">
        <v>75.0</v>
      </c>
      <c r="I1418" s="2">
        <v>197.0</v>
      </c>
      <c r="J1418" s="37">
        <v>1940.6</v>
      </c>
      <c r="K1418" s="2">
        <v>87.0</v>
      </c>
      <c r="L1418" s="2">
        <v>439.0</v>
      </c>
      <c r="M1418" s="37">
        <v>2524.7200000000003</v>
      </c>
    </row>
    <row r="1419" ht="14.25" customHeight="1">
      <c r="A1419" t="s">
        <v>1486</v>
      </c>
      <c r="B1419" t="s">
        <v>1360</v>
      </c>
      <c r="C1419" t="s">
        <v>62</v>
      </c>
      <c r="D1419" t="s">
        <v>63</v>
      </c>
      <c r="E1419">
        <v>10.0</v>
      </c>
      <c r="F1419">
        <v>11.0</v>
      </c>
      <c r="G1419" s="2" t="s">
        <v>67</v>
      </c>
      <c r="H1419" s="2">
        <v>61.0</v>
      </c>
      <c r="I1419" s="2">
        <v>233.0</v>
      </c>
      <c r="J1419" s="37">
        <v>1672.96</v>
      </c>
      <c r="K1419" s="2">
        <v>71.0</v>
      </c>
      <c r="L1419" s="2">
        <v>426.0</v>
      </c>
      <c r="M1419" s="37">
        <v>2148.46</v>
      </c>
    </row>
    <row r="1420" ht="14.25" customHeight="1">
      <c r="A1420" t="s">
        <v>1487</v>
      </c>
      <c r="B1420" t="s">
        <v>1360</v>
      </c>
      <c r="C1420" t="s">
        <v>62</v>
      </c>
      <c r="D1420" t="s">
        <v>63</v>
      </c>
      <c r="E1420">
        <v>2.7</v>
      </c>
      <c r="F1420">
        <v>2.9</v>
      </c>
      <c r="G1420" s="2" t="s">
        <v>67</v>
      </c>
      <c r="H1420" s="2">
        <v>14.0</v>
      </c>
      <c r="I1420" s="2">
        <v>44.0</v>
      </c>
      <c r="J1420" s="37">
        <v>371.64</v>
      </c>
      <c r="K1420" s="2">
        <v>16.0</v>
      </c>
      <c r="L1420" s="2">
        <v>85.0</v>
      </c>
      <c r="M1420" s="37">
        <v>469.86</v>
      </c>
    </row>
    <row r="1421" ht="14.25" customHeight="1">
      <c r="A1421" t="s">
        <v>1488</v>
      </c>
      <c r="B1421" t="s">
        <v>1360</v>
      </c>
      <c r="C1421" t="s">
        <v>62</v>
      </c>
      <c r="D1421" t="s">
        <v>63</v>
      </c>
      <c r="E1421">
        <v>5.2</v>
      </c>
      <c r="F1421">
        <v>5.33</v>
      </c>
      <c r="G1421" s="2" t="s">
        <v>64</v>
      </c>
      <c r="H1421" s="2">
        <v>0.0</v>
      </c>
      <c r="I1421" s="2">
        <v>0.0</v>
      </c>
      <c r="J1421" s="37">
        <v>0.0</v>
      </c>
      <c r="K1421" s="2">
        <v>0.0</v>
      </c>
      <c r="L1421" s="2">
        <v>0.0</v>
      </c>
      <c r="M1421" s="37">
        <v>0.0</v>
      </c>
    </row>
    <row r="1422" ht="14.25" customHeight="1">
      <c r="A1422" t="s">
        <v>1489</v>
      </c>
      <c r="B1422" t="s">
        <v>1360</v>
      </c>
      <c r="C1422" t="s">
        <v>62</v>
      </c>
      <c r="D1422" t="s">
        <v>63</v>
      </c>
      <c r="E1422">
        <v>2.7</v>
      </c>
      <c r="F1422">
        <v>2.9</v>
      </c>
      <c r="G1422" s="2" t="s">
        <v>67</v>
      </c>
      <c r="H1422" s="2">
        <v>14.0</v>
      </c>
      <c r="I1422" s="2">
        <v>44.0</v>
      </c>
      <c r="J1422" s="37">
        <v>371.64</v>
      </c>
      <c r="K1422" s="2">
        <v>16.0</v>
      </c>
      <c r="L1422" s="2">
        <v>85.0</v>
      </c>
      <c r="M1422" s="37">
        <v>469.86</v>
      </c>
    </row>
    <row r="1423" ht="14.25" customHeight="1">
      <c r="A1423" t="s">
        <v>1490</v>
      </c>
      <c r="B1423" t="s">
        <v>1360</v>
      </c>
      <c r="C1423" t="s">
        <v>62</v>
      </c>
      <c r="D1423" t="s">
        <v>63</v>
      </c>
      <c r="E1423">
        <v>5.0</v>
      </c>
      <c r="F1423">
        <v>6.0</v>
      </c>
      <c r="G1423" s="2" t="s">
        <v>67</v>
      </c>
      <c r="H1423" s="2">
        <v>32.0</v>
      </c>
      <c r="I1423" s="2">
        <v>152.0</v>
      </c>
      <c r="J1423" s="37">
        <v>916.32</v>
      </c>
      <c r="K1423" s="2">
        <v>37.0</v>
      </c>
      <c r="L1423" s="2">
        <v>239.0</v>
      </c>
      <c r="M1423" s="37">
        <v>1141.72</v>
      </c>
    </row>
    <row r="1424" ht="14.25" customHeight="1">
      <c r="A1424" t="s">
        <v>1491</v>
      </c>
      <c r="B1424" t="s">
        <v>1360</v>
      </c>
      <c r="C1424" t="s">
        <v>62</v>
      </c>
      <c r="D1424" t="s">
        <v>63</v>
      </c>
      <c r="E1424">
        <v>7.1</v>
      </c>
      <c r="F1424">
        <v>7.8</v>
      </c>
      <c r="G1424" s="2" t="s">
        <v>67</v>
      </c>
      <c r="H1424" s="2">
        <v>42.0</v>
      </c>
      <c r="I1424" s="2">
        <v>159.0</v>
      </c>
      <c r="J1424" s="37">
        <v>1150.02</v>
      </c>
      <c r="K1424" s="2">
        <v>48.0</v>
      </c>
      <c r="L1424" s="2">
        <v>282.0</v>
      </c>
      <c r="M1424" s="37">
        <v>1444.6799999999998</v>
      </c>
    </row>
    <row r="1425" ht="14.25" customHeight="1">
      <c r="A1425" t="s">
        <v>1492</v>
      </c>
      <c r="B1425" t="s">
        <v>1360</v>
      </c>
      <c r="C1425" t="s">
        <v>62</v>
      </c>
      <c r="D1425" t="s">
        <v>63</v>
      </c>
      <c r="E1425">
        <v>2.0</v>
      </c>
      <c r="F1425">
        <v>2.638</v>
      </c>
      <c r="G1425" s="2" t="s">
        <v>64</v>
      </c>
      <c r="H1425" s="2">
        <v>0.0</v>
      </c>
      <c r="I1425" s="2">
        <v>0.0</v>
      </c>
      <c r="J1425" s="37">
        <v>0.0</v>
      </c>
      <c r="K1425" s="2">
        <v>0.0</v>
      </c>
      <c r="L1425" s="2">
        <v>0.0</v>
      </c>
      <c r="M1425" s="37">
        <v>0.0</v>
      </c>
    </row>
    <row r="1426" ht="14.25" customHeight="1">
      <c r="A1426" t="s">
        <v>1493</v>
      </c>
      <c r="B1426" t="s">
        <v>1360</v>
      </c>
      <c r="C1426" t="s">
        <v>62</v>
      </c>
      <c r="D1426" t="s">
        <v>63</v>
      </c>
      <c r="E1426">
        <v>7.1</v>
      </c>
      <c r="F1426">
        <v>8.0</v>
      </c>
      <c r="G1426" s="2" t="s">
        <v>67</v>
      </c>
      <c r="H1426" s="2">
        <v>43.0</v>
      </c>
      <c r="I1426" s="2">
        <v>174.0</v>
      </c>
      <c r="J1426" s="37">
        <v>1191.98</v>
      </c>
      <c r="K1426" s="2">
        <v>49.0</v>
      </c>
      <c r="L1426" s="2">
        <v>297.0</v>
      </c>
      <c r="M1426" s="37">
        <v>1486.6399999999999</v>
      </c>
    </row>
    <row r="1427" ht="14.25" customHeight="1">
      <c r="A1427" t="s">
        <v>1494</v>
      </c>
      <c r="B1427" t="s">
        <v>1360</v>
      </c>
      <c r="C1427" t="s">
        <v>62</v>
      </c>
      <c r="D1427" t="s">
        <v>63</v>
      </c>
      <c r="E1427">
        <v>4.6</v>
      </c>
      <c r="F1427">
        <v>4.7</v>
      </c>
      <c r="G1427" s="2" t="s">
        <v>67</v>
      </c>
      <c r="H1427" s="2">
        <v>26.0</v>
      </c>
      <c r="I1427" s="2">
        <v>104.0</v>
      </c>
      <c r="J1427" s="37">
        <v>719.1600000000001</v>
      </c>
      <c r="K1427" s="2">
        <v>29.0</v>
      </c>
      <c r="L1427" s="2">
        <v>183.0</v>
      </c>
      <c r="M1427" s="37">
        <v>889.24</v>
      </c>
    </row>
    <row r="1428" ht="14.25" customHeight="1">
      <c r="A1428" t="s">
        <v>1446</v>
      </c>
      <c r="B1428" t="s">
        <v>1360</v>
      </c>
      <c r="C1428" t="s">
        <v>62</v>
      </c>
      <c r="D1428" t="s">
        <v>63</v>
      </c>
      <c r="E1428">
        <v>5.2</v>
      </c>
      <c r="F1428">
        <v>5.8</v>
      </c>
      <c r="G1428" s="2" t="s">
        <v>64</v>
      </c>
      <c r="H1428" s="2">
        <v>0.0</v>
      </c>
      <c r="I1428" s="2">
        <v>0.0</v>
      </c>
      <c r="J1428" s="37">
        <v>0.0</v>
      </c>
      <c r="K1428" s="2">
        <v>0.0</v>
      </c>
      <c r="L1428" s="2">
        <v>0.0</v>
      </c>
      <c r="M1428" s="37">
        <v>0.0</v>
      </c>
    </row>
    <row r="1429" ht="14.25" customHeight="1">
      <c r="A1429" t="s">
        <v>1495</v>
      </c>
      <c r="B1429" t="s">
        <v>1360</v>
      </c>
      <c r="C1429" t="s">
        <v>62</v>
      </c>
      <c r="D1429" t="s">
        <v>63</v>
      </c>
      <c r="E1429">
        <v>5.2</v>
      </c>
      <c r="F1429">
        <v>5.8</v>
      </c>
      <c r="G1429" s="2" t="s">
        <v>64</v>
      </c>
      <c r="H1429" s="2">
        <v>0.0</v>
      </c>
      <c r="I1429" s="2">
        <v>0.0</v>
      </c>
      <c r="J1429" s="37">
        <v>0.0</v>
      </c>
      <c r="K1429" s="2">
        <v>0.0</v>
      </c>
      <c r="L1429" s="2">
        <v>0.0</v>
      </c>
      <c r="M1429" s="37">
        <v>0.0</v>
      </c>
    </row>
    <row r="1430" ht="14.25" customHeight="1">
      <c r="A1430" t="s">
        <v>1496</v>
      </c>
      <c r="B1430" t="s">
        <v>1360</v>
      </c>
      <c r="C1430" t="s">
        <v>62</v>
      </c>
      <c r="D1430" t="s">
        <v>63</v>
      </c>
      <c r="E1430">
        <v>5.2</v>
      </c>
      <c r="F1430">
        <v>5.8</v>
      </c>
      <c r="G1430" s="2" t="s">
        <v>64</v>
      </c>
      <c r="H1430" s="2">
        <v>0.0</v>
      </c>
      <c r="I1430" s="2">
        <v>0.0</v>
      </c>
      <c r="J1430" s="37">
        <v>0.0</v>
      </c>
      <c r="K1430" s="2">
        <v>0.0</v>
      </c>
      <c r="L1430" s="2">
        <v>0.0</v>
      </c>
      <c r="M1430" s="37">
        <v>0.0</v>
      </c>
    </row>
    <row r="1431" ht="14.25" customHeight="1">
      <c r="A1431" t="s">
        <v>1497</v>
      </c>
      <c r="B1431" t="s">
        <v>1360</v>
      </c>
      <c r="C1431" t="s">
        <v>62</v>
      </c>
      <c r="D1431" t="s">
        <v>63</v>
      </c>
      <c r="E1431">
        <v>3.52</v>
      </c>
      <c r="F1431">
        <v>4.0</v>
      </c>
      <c r="G1431" s="2" t="s">
        <v>67</v>
      </c>
      <c r="H1431" s="2">
        <v>20.0</v>
      </c>
      <c r="I1431" s="2">
        <v>90.0</v>
      </c>
      <c r="J1431" s="37">
        <v>566.2</v>
      </c>
      <c r="K1431" s="2">
        <v>23.0</v>
      </c>
      <c r="L1431" s="2">
        <v>144.0</v>
      </c>
      <c r="M1431" s="37">
        <v>703.7800000000001</v>
      </c>
    </row>
    <row r="1432" ht="14.25" customHeight="1">
      <c r="A1432" t="s">
        <v>1498</v>
      </c>
      <c r="B1432" t="s">
        <v>1360</v>
      </c>
      <c r="C1432" t="s">
        <v>62</v>
      </c>
      <c r="D1432" t="s">
        <v>63</v>
      </c>
      <c r="E1432">
        <v>7.1</v>
      </c>
      <c r="F1432">
        <v>7.8</v>
      </c>
      <c r="G1432" s="2" t="s">
        <v>67</v>
      </c>
      <c r="H1432" s="2">
        <v>42.0</v>
      </c>
      <c r="I1432" s="2">
        <v>202.0</v>
      </c>
      <c r="J1432" s="37">
        <v>1205.92</v>
      </c>
      <c r="K1432" s="2">
        <v>48.0</v>
      </c>
      <c r="L1432" s="2">
        <v>324.0</v>
      </c>
      <c r="M1432" s="37">
        <v>1499.28</v>
      </c>
    </row>
    <row r="1433" ht="14.25" customHeight="1">
      <c r="A1433" t="s">
        <v>1499</v>
      </c>
      <c r="B1433" t="s">
        <v>1360</v>
      </c>
      <c r="C1433" t="s">
        <v>62</v>
      </c>
      <c r="D1433" t="s">
        <v>63</v>
      </c>
      <c r="E1433">
        <v>3.517</v>
      </c>
      <c r="F1433">
        <v>3.8</v>
      </c>
      <c r="G1433" s="2" t="s">
        <v>64</v>
      </c>
      <c r="H1433" s="2">
        <v>0.0</v>
      </c>
      <c r="I1433" s="2">
        <v>0.0</v>
      </c>
      <c r="J1433" s="37">
        <v>0.0</v>
      </c>
      <c r="K1433" s="2">
        <v>0.0</v>
      </c>
      <c r="L1433" s="2">
        <v>0.0</v>
      </c>
      <c r="M1433" s="37">
        <v>0.0</v>
      </c>
    </row>
    <row r="1434" ht="14.25" customHeight="1">
      <c r="A1434" t="s">
        <v>1500</v>
      </c>
      <c r="B1434" t="s">
        <v>1360</v>
      </c>
      <c r="C1434" t="s">
        <v>62</v>
      </c>
      <c r="D1434" t="s">
        <v>63</v>
      </c>
      <c r="E1434">
        <v>3.517</v>
      </c>
      <c r="F1434">
        <v>3.8</v>
      </c>
      <c r="G1434" s="2" t="s">
        <v>64</v>
      </c>
      <c r="H1434" s="2">
        <v>0.0</v>
      </c>
      <c r="I1434" s="2">
        <v>0.0</v>
      </c>
      <c r="J1434" s="37">
        <v>0.0</v>
      </c>
      <c r="K1434" s="2">
        <v>0.0</v>
      </c>
      <c r="L1434" s="2">
        <v>0.0</v>
      </c>
      <c r="M1434" s="37">
        <v>0.0</v>
      </c>
    </row>
    <row r="1435" ht="14.25" customHeight="1">
      <c r="A1435" t="s">
        <v>1501</v>
      </c>
      <c r="B1435" t="s">
        <v>1360</v>
      </c>
      <c r="C1435" t="s">
        <v>62</v>
      </c>
      <c r="D1435" t="s">
        <v>63</v>
      </c>
      <c r="E1435">
        <v>3.517</v>
      </c>
      <c r="F1435">
        <v>3.8</v>
      </c>
      <c r="G1435" s="2" t="s">
        <v>64</v>
      </c>
      <c r="H1435" s="2">
        <v>0.0</v>
      </c>
      <c r="I1435" s="2">
        <v>0.0</v>
      </c>
      <c r="J1435" s="37">
        <v>0.0</v>
      </c>
      <c r="K1435" s="2">
        <v>0.0</v>
      </c>
      <c r="L1435" s="2">
        <v>0.0</v>
      </c>
      <c r="M1435" s="37">
        <v>0.0</v>
      </c>
    </row>
    <row r="1436" ht="14.25" customHeight="1">
      <c r="A1436" t="s">
        <v>1502</v>
      </c>
      <c r="B1436" t="s">
        <v>1360</v>
      </c>
      <c r="C1436" t="s">
        <v>62</v>
      </c>
      <c r="D1436" t="s">
        <v>63</v>
      </c>
      <c r="E1436">
        <v>2.7</v>
      </c>
      <c r="F1436">
        <v>3.0</v>
      </c>
      <c r="G1436" s="2" t="s">
        <v>64</v>
      </c>
      <c r="H1436" s="2">
        <v>0.0</v>
      </c>
      <c r="I1436" s="2">
        <v>0.0</v>
      </c>
      <c r="J1436" s="37">
        <v>0.0</v>
      </c>
      <c r="K1436" s="2">
        <v>0.0</v>
      </c>
      <c r="L1436" s="2">
        <v>0.0</v>
      </c>
      <c r="M1436" s="37">
        <v>0.0</v>
      </c>
    </row>
    <row r="1437" ht="14.25" customHeight="1">
      <c r="A1437" t="s">
        <v>1503</v>
      </c>
      <c r="B1437" t="s">
        <v>1360</v>
      </c>
      <c r="C1437" t="s">
        <v>62</v>
      </c>
      <c r="D1437" t="s">
        <v>63</v>
      </c>
      <c r="E1437">
        <v>2.7</v>
      </c>
      <c r="F1437">
        <v>3.0</v>
      </c>
      <c r="G1437" s="2" t="s">
        <v>64</v>
      </c>
      <c r="H1437" s="2">
        <v>0.0</v>
      </c>
      <c r="I1437" s="2">
        <v>0.0</v>
      </c>
      <c r="J1437" s="37">
        <v>0.0</v>
      </c>
      <c r="K1437" s="2">
        <v>0.0</v>
      </c>
      <c r="L1437" s="2">
        <v>0.0</v>
      </c>
      <c r="M1437" s="37">
        <v>0.0</v>
      </c>
    </row>
    <row r="1438" ht="14.25" customHeight="1">
      <c r="A1438" t="s">
        <v>1504</v>
      </c>
      <c r="B1438" t="s">
        <v>1360</v>
      </c>
      <c r="C1438" t="s">
        <v>62</v>
      </c>
      <c r="D1438" t="s">
        <v>63</v>
      </c>
      <c r="E1438">
        <v>6.0</v>
      </c>
      <c r="F1438">
        <v>7.3</v>
      </c>
      <c r="G1438" s="2" t="s">
        <v>67</v>
      </c>
      <c r="H1438" s="2">
        <v>39.0</v>
      </c>
      <c r="I1438" s="2">
        <v>258.0</v>
      </c>
      <c r="J1438" s="37">
        <v>1211.3400000000001</v>
      </c>
      <c r="K1438" s="2">
        <v>45.0</v>
      </c>
      <c r="L1438" s="2">
        <v>362.0</v>
      </c>
      <c r="M1438" s="37">
        <v>1481.3000000000002</v>
      </c>
    </row>
    <row r="1439" ht="14.25" customHeight="1">
      <c r="A1439" t="s">
        <v>1505</v>
      </c>
      <c r="B1439" t="s">
        <v>1506</v>
      </c>
      <c r="C1439" t="s">
        <v>62</v>
      </c>
      <c r="D1439" t="s">
        <v>63</v>
      </c>
      <c r="E1439">
        <v>7.0</v>
      </c>
      <c r="F1439">
        <v>7.5</v>
      </c>
      <c r="G1439" s="2" t="s">
        <v>64</v>
      </c>
      <c r="H1439" s="2">
        <v>0.0</v>
      </c>
      <c r="I1439" s="2">
        <v>0.0</v>
      </c>
      <c r="J1439" s="37">
        <v>0.0</v>
      </c>
      <c r="K1439" s="2">
        <v>0.0</v>
      </c>
      <c r="L1439" s="2">
        <v>0.0</v>
      </c>
      <c r="M1439" s="37">
        <v>0.0</v>
      </c>
    </row>
    <row r="1440" ht="14.25" customHeight="1">
      <c r="A1440" t="s">
        <v>1507</v>
      </c>
      <c r="B1440" t="s">
        <v>1506</v>
      </c>
      <c r="C1440" t="s">
        <v>62</v>
      </c>
      <c r="D1440" t="s">
        <v>63</v>
      </c>
      <c r="E1440">
        <v>3.5</v>
      </c>
      <c r="F1440">
        <v>3.7</v>
      </c>
      <c r="G1440" s="2" t="s">
        <v>64</v>
      </c>
      <c r="H1440" s="2">
        <v>0.0</v>
      </c>
      <c r="I1440" s="2">
        <v>0.0</v>
      </c>
      <c r="J1440" s="37">
        <v>0.0</v>
      </c>
      <c r="K1440" s="2">
        <v>0.0</v>
      </c>
      <c r="L1440" s="2">
        <v>0.0</v>
      </c>
      <c r="M1440" s="37">
        <v>0.0</v>
      </c>
    </row>
    <row r="1441" ht="14.25" customHeight="1">
      <c r="A1441" t="s">
        <v>1508</v>
      </c>
      <c r="B1441" t="s">
        <v>1506</v>
      </c>
      <c r="C1441" t="s">
        <v>62</v>
      </c>
      <c r="D1441" t="s">
        <v>63</v>
      </c>
      <c r="E1441">
        <v>2.5</v>
      </c>
      <c r="F1441">
        <v>3.0</v>
      </c>
      <c r="G1441" s="2" t="s">
        <v>64</v>
      </c>
      <c r="H1441" s="2">
        <v>0.0</v>
      </c>
      <c r="I1441" s="2">
        <v>0.0</v>
      </c>
      <c r="J1441" s="37">
        <v>0.0</v>
      </c>
      <c r="K1441" s="2">
        <v>0.0</v>
      </c>
      <c r="L1441" s="2">
        <v>0.0</v>
      </c>
      <c r="M1441" s="37">
        <v>0.0</v>
      </c>
    </row>
    <row r="1442" ht="14.25" customHeight="1">
      <c r="A1442" t="s">
        <v>1509</v>
      </c>
      <c r="B1442" t="s">
        <v>1506</v>
      </c>
      <c r="C1442" t="s">
        <v>62</v>
      </c>
      <c r="D1442" t="s">
        <v>63</v>
      </c>
      <c r="E1442">
        <v>5.0</v>
      </c>
      <c r="F1442">
        <v>5.5</v>
      </c>
      <c r="G1442" s="2" t="s">
        <v>64</v>
      </c>
      <c r="H1442" s="2">
        <v>0.0</v>
      </c>
      <c r="I1442" s="2">
        <v>0.0</v>
      </c>
      <c r="J1442" s="37">
        <v>0.0</v>
      </c>
      <c r="K1442" s="2">
        <v>0.0</v>
      </c>
      <c r="L1442" s="2">
        <v>0.0</v>
      </c>
      <c r="M1442" s="37">
        <v>0.0</v>
      </c>
    </row>
    <row r="1443" ht="14.25" customHeight="1">
      <c r="A1443" t="s">
        <v>1510</v>
      </c>
      <c r="B1443" t="s">
        <v>1506</v>
      </c>
      <c r="C1443" t="s">
        <v>75</v>
      </c>
      <c r="D1443" t="s">
        <v>63</v>
      </c>
      <c r="E1443">
        <v>7.1</v>
      </c>
      <c r="F1443">
        <v>7.8</v>
      </c>
      <c r="G1443" s="2" t="s">
        <v>64</v>
      </c>
      <c r="H1443" s="2">
        <v>0.0</v>
      </c>
      <c r="I1443" s="2">
        <v>0.0</v>
      </c>
      <c r="J1443" s="37">
        <v>0.0</v>
      </c>
      <c r="K1443" s="2">
        <v>0.0</v>
      </c>
      <c r="L1443" s="2">
        <v>0.0</v>
      </c>
      <c r="M1443" s="37">
        <v>0.0</v>
      </c>
    </row>
    <row r="1444" ht="14.25" customHeight="1">
      <c r="A1444" t="s">
        <v>1511</v>
      </c>
      <c r="B1444" t="s">
        <v>1506</v>
      </c>
      <c r="C1444" t="s">
        <v>75</v>
      </c>
      <c r="D1444" t="s">
        <v>63</v>
      </c>
      <c r="E1444">
        <v>10.0</v>
      </c>
      <c r="F1444">
        <v>11.5</v>
      </c>
      <c r="G1444" s="2" t="s">
        <v>64</v>
      </c>
      <c r="H1444" s="2">
        <v>0.0</v>
      </c>
      <c r="I1444" s="2">
        <v>0.0</v>
      </c>
      <c r="J1444" s="37">
        <v>0.0</v>
      </c>
      <c r="K1444" s="2">
        <v>0.0</v>
      </c>
      <c r="L1444" s="2">
        <v>0.0</v>
      </c>
      <c r="M1444" s="37">
        <v>0.0</v>
      </c>
    </row>
    <row r="1445" ht="14.25" customHeight="1">
      <c r="A1445" t="s">
        <v>1512</v>
      </c>
      <c r="B1445" t="s">
        <v>1506</v>
      </c>
      <c r="C1445" t="s">
        <v>75</v>
      </c>
      <c r="D1445" t="s">
        <v>63</v>
      </c>
      <c r="E1445">
        <v>10.0</v>
      </c>
      <c r="F1445">
        <v>10.8</v>
      </c>
      <c r="G1445" s="2" t="s">
        <v>64</v>
      </c>
      <c r="H1445" s="2">
        <v>0.0</v>
      </c>
      <c r="I1445" s="2">
        <v>0.0</v>
      </c>
      <c r="J1445" s="37">
        <v>0.0</v>
      </c>
      <c r="K1445" s="2">
        <v>0.0</v>
      </c>
      <c r="L1445" s="2">
        <v>0.0</v>
      </c>
      <c r="M1445" s="37">
        <v>0.0</v>
      </c>
    </row>
    <row r="1446" ht="14.25" customHeight="1">
      <c r="A1446" t="s">
        <v>1513</v>
      </c>
      <c r="B1446" t="s">
        <v>1506</v>
      </c>
      <c r="C1446" t="s">
        <v>75</v>
      </c>
      <c r="D1446" t="s">
        <v>63</v>
      </c>
      <c r="E1446">
        <v>12.5</v>
      </c>
      <c r="F1446">
        <v>14.0</v>
      </c>
      <c r="G1446" s="2" t="s">
        <v>64</v>
      </c>
      <c r="H1446" s="2">
        <v>0.0</v>
      </c>
      <c r="I1446" s="2">
        <v>0.0</v>
      </c>
      <c r="J1446" s="37">
        <v>0.0</v>
      </c>
      <c r="K1446" s="2">
        <v>0.0</v>
      </c>
      <c r="L1446" s="2">
        <v>0.0</v>
      </c>
      <c r="M1446" s="37">
        <v>0.0</v>
      </c>
    </row>
    <row r="1447" ht="14.25" customHeight="1">
      <c r="A1447" t="s">
        <v>1514</v>
      </c>
      <c r="B1447" t="s">
        <v>1506</v>
      </c>
      <c r="C1447" t="s">
        <v>75</v>
      </c>
      <c r="D1447" t="s">
        <v>63</v>
      </c>
      <c r="E1447">
        <v>12.0</v>
      </c>
      <c r="F1447">
        <v>14.0</v>
      </c>
      <c r="G1447" s="2" t="s">
        <v>64</v>
      </c>
      <c r="H1447" s="2">
        <v>0.0</v>
      </c>
      <c r="I1447" s="2">
        <v>0.0</v>
      </c>
      <c r="J1447" s="37">
        <v>0.0</v>
      </c>
      <c r="K1447" s="2">
        <v>0.0</v>
      </c>
      <c r="L1447" s="2">
        <v>0.0</v>
      </c>
      <c r="M1447" s="37">
        <v>0.0</v>
      </c>
    </row>
    <row r="1448" ht="14.25" customHeight="1">
      <c r="A1448" t="s">
        <v>1515</v>
      </c>
      <c r="B1448" t="s">
        <v>1506</v>
      </c>
      <c r="C1448" t="s">
        <v>75</v>
      </c>
      <c r="D1448" t="s">
        <v>63</v>
      </c>
      <c r="E1448">
        <v>14.0</v>
      </c>
      <c r="F1448">
        <v>16.0</v>
      </c>
      <c r="G1448" s="2" t="s">
        <v>64</v>
      </c>
      <c r="H1448" s="2">
        <v>0.0</v>
      </c>
      <c r="I1448" s="2">
        <v>0.0</v>
      </c>
      <c r="J1448" s="37">
        <v>0.0</v>
      </c>
      <c r="K1448" s="2">
        <v>0.0</v>
      </c>
      <c r="L1448" s="2">
        <v>0.0</v>
      </c>
      <c r="M1448" s="37">
        <v>0.0</v>
      </c>
    </row>
    <row r="1449" ht="14.25" customHeight="1">
      <c r="A1449" t="s">
        <v>1516</v>
      </c>
      <c r="B1449" t="s">
        <v>1506</v>
      </c>
      <c r="C1449" t="s">
        <v>75</v>
      </c>
      <c r="D1449" t="s">
        <v>63</v>
      </c>
      <c r="E1449">
        <v>13.0</v>
      </c>
      <c r="F1449">
        <v>15.0</v>
      </c>
      <c r="G1449" s="2" t="s">
        <v>64</v>
      </c>
      <c r="H1449" s="2">
        <v>0.0</v>
      </c>
      <c r="I1449" s="2">
        <v>0.0</v>
      </c>
      <c r="J1449" s="37">
        <v>0.0</v>
      </c>
      <c r="K1449" s="2">
        <v>0.0</v>
      </c>
      <c r="L1449" s="2">
        <v>0.0</v>
      </c>
      <c r="M1449" s="37">
        <v>0.0</v>
      </c>
    </row>
    <row r="1450" ht="14.25" customHeight="1">
      <c r="A1450" t="s">
        <v>1517</v>
      </c>
      <c r="B1450" t="s">
        <v>1506</v>
      </c>
      <c r="C1450" t="s">
        <v>75</v>
      </c>
      <c r="D1450" t="s">
        <v>63</v>
      </c>
      <c r="E1450">
        <v>15.5</v>
      </c>
      <c r="F1450">
        <v>18.0</v>
      </c>
      <c r="G1450" s="2" t="s">
        <v>64</v>
      </c>
      <c r="H1450" s="2">
        <v>0.0</v>
      </c>
      <c r="I1450" s="2">
        <v>0.0</v>
      </c>
      <c r="J1450" s="37">
        <v>0.0</v>
      </c>
      <c r="K1450" s="2">
        <v>0.0</v>
      </c>
      <c r="L1450" s="2">
        <v>0.0</v>
      </c>
      <c r="M1450" s="37">
        <v>0.0</v>
      </c>
    </row>
    <row r="1451" ht="14.25" customHeight="1">
      <c r="A1451" t="s">
        <v>1518</v>
      </c>
      <c r="B1451" t="s">
        <v>1506</v>
      </c>
      <c r="C1451" t="s">
        <v>62</v>
      </c>
      <c r="D1451" t="s">
        <v>63</v>
      </c>
      <c r="E1451">
        <v>5.1</v>
      </c>
      <c r="F1451">
        <v>5.7</v>
      </c>
      <c r="G1451" s="2" t="s">
        <v>67</v>
      </c>
      <c r="H1451" s="2">
        <v>29.0</v>
      </c>
      <c r="I1451" s="2">
        <v>237.0</v>
      </c>
      <c r="J1451" s="37">
        <v>959.44</v>
      </c>
      <c r="K1451" s="2">
        <v>33.0</v>
      </c>
      <c r="L1451" s="2">
        <v>325.0</v>
      </c>
      <c r="M1451" s="37">
        <v>1163.68</v>
      </c>
    </row>
    <row r="1452" ht="14.25" customHeight="1">
      <c r="A1452" t="s">
        <v>1519</v>
      </c>
      <c r="B1452" t="s">
        <v>1506</v>
      </c>
      <c r="C1452" t="s">
        <v>62</v>
      </c>
      <c r="D1452" t="s">
        <v>63</v>
      </c>
      <c r="E1452">
        <v>7.1</v>
      </c>
      <c r="F1452">
        <v>7.6</v>
      </c>
      <c r="G1452" s="2" t="s">
        <v>67</v>
      </c>
      <c r="H1452" s="2">
        <v>39.0</v>
      </c>
      <c r="I1452" s="2">
        <v>277.0</v>
      </c>
      <c r="J1452" s="37">
        <v>1236.04</v>
      </c>
      <c r="K1452" s="2">
        <v>45.0</v>
      </c>
      <c r="L1452" s="2">
        <v>399.0</v>
      </c>
      <c r="M1452" s="37">
        <v>1529.4</v>
      </c>
    </row>
    <row r="1453" ht="14.25" customHeight="1">
      <c r="A1453" t="s">
        <v>1520</v>
      </c>
      <c r="B1453" t="s">
        <v>1506</v>
      </c>
      <c r="C1453" t="s">
        <v>62</v>
      </c>
      <c r="D1453" t="s">
        <v>63</v>
      </c>
      <c r="E1453">
        <v>8.2</v>
      </c>
      <c r="F1453">
        <v>9.0</v>
      </c>
      <c r="G1453" s="2" t="s">
        <v>64</v>
      </c>
      <c r="H1453" s="2">
        <v>0.0</v>
      </c>
      <c r="I1453" s="2">
        <v>0.0</v>
      </c>
      <c r="J1453" s="37">
        <v>0.0</v>
      </c>
      <c r="K1453" s="2">
        <v>0.0</v>
      </c>
      <c r="L1453" s="2">
        <v>0.0</v>
      </c>
      <c r="M1453" s="37">
        <v>0.0</v>
      </c>
    </row>
    <row r="1454" ht="14.25" customHeight="1">
      <c r="A1454" t="s">
        <v>1521</v>
      </c>
      <c r="B1454" t="s">
        <v>1506</v>
      </c>
      <c r="C1454" t="s">
        <v>62</v>
      </c>
      <c r="D1454" t="s">
        <v>63</v>
      </c>
      <c r="E1454">
        <v>3.4</v>
      </c>
      <c r="F1454">
        <v>3.8</v>
      </c>
      <c r="G1454" s="2" t="s">
        <v>64</v>
      </c>
      <c r="H1454" s="2">
        <v>0.0</v>
      </c>
      <c r="I1454" s="2">
        <v>0.0</v>
      </c>
      <c r="J1454" s="37">
        <v>0.0</v>
      </c>
      <c r="K1454" s="2">
        <v>0.0</v>
      </c>
      <c r="L1454" s="2">
        <v>0.0</v>
      </c>
      <c r="M1454" s="37">
        <v>0.0</v>
      </c>
    </row>
    <row r="1455" ht="14.25" customHeight="1">
      <c r="A1455" t="s">
        <v>1522</v>
      </c>
      <c r="B1455" t="s">
        <v>1506</v>
      </c>
      <c r="C1455" t="s">
        <v>62</v>
      </c>
      <c r="D1455" t="s">
        <v>63</v>
      </c>
      <c r="E1455">
        <v>2.55</v>
      </c>
      <c r="F1455">
        <v>3.3</v>
      </c>
      <c r="G1455" s="2" t="s">
        <v>64</v>
      </c>
      <c r="H1455" s="2">
        <v>0.0</v>
      </c>
      <c r="I1455" s="2">
        <v>0.0</v>
      </c>
      <c r="J1455" s="37">
        <v>0.0</v>
      </c>
      <c r="K1455" s="2">
        <v>0.0</v>
      </c>
      <c r="L1455" s="2">
        <v>0.0</v>
      </c>
      <c r="M1455" s="37">
        <v>0.0</v>
      </c>
    </row>
    <row r="1456" ht="14.25" customHeight="1">
      <c r="A1456" t="s">
        <v>1523</v>
      </c>
      <c r="B1456" t="s">
        <v>1506</v>
      </c>
      <c r="C1456" t="s">
        <v>62</v>
      </c>
      <c r="D1456" t="s">
        <v>63</v>
      </c>
      <c r="E1456">
        <v>5.0</v>
      </c>
      <c r="F1456">
        <v>6.0</v>
      </c>
      <c r="G1456" s="2" t="s">
        <v>67</v>
      </c>
      <c r="H1456" s="2">
        <v>32.0</v>
      </c>
      <c r="I1456" s="2">
        <v>175.0</v>
      </c>
      <c r="J1456" s="37">
        <v>946.22</v>
      </c>
      <c r="K1456" s="2">
        <v>37.0</v>
      </c>
      <c r="L1456" s="2">
        <v>261.0</v>
      </c>
      <c r="M1456" s="37">
        <v>1170.32</v>
      </c>
    </row>
    <row r="1457" ht="14.25" customHeight="1">
      <c r="A1457" t="s">
        <v>1524</v>
      </c>
      <c r="B1457" t="s">
        <v>1506</v>
      </c>
      <c r="C1457" t="s">
        <v>62</v>
      </c>
      <c r="D1457" t="s">
        <v>63</v>
      </c>
      <c r="E1457">
        <v>7.1</v>
      </c>
      <c r="F1457">
        <v>8.0</v>
      </c>
      <c r="G1457" s="2" t="s">
        <v>67</v>
      </c>
      <c r="H1457" s="2">
        <v>42.0</v>
      </c>
      <c r="I1457" s="2">
        <v>103.0</v>
      </c>
      <c r="J1457" s="37">
        <v>1077.22</v>
      </c>
      <c r="K1457" s="2">
        <v>49.0</v>
      </c>
      <c r="L1457" s="2">
        <v>226.0</v>
      </c>
      <c r="M1457" s="37">
        <v>1394.34</v>
      </c>
    </row>
    <row r="1458" ht="14.25" customHeight="1">
      <c r="A1458" t="s">
        <v>1525</v>
      </c>
      <c r="B1458" t="s">
        <v>1506</v>
      </c>
      <c r="C1458" t="s">
        <v>62</v>
      </c>
      <c r="D1458" t="s">
        <v>63</v>
      </c>
      <c r="E1458">
        <v>9.0</v>
      </c>
      <c r="F1458">
        <v>9.5</v>
      </c>
      <c r="G1458" s="2" t="s">
        <v>64</v>
      </c>
      <c r="H1458" s="2">
        <v>0.0</v>
      </c>
      <c r="I1458" s="2">
        <v>0.0</v>
      </c>
      <c r="J1458" s="37">
        <v>0.0</v>
      </c>
      <c r="K1458" s="2">
        <v>0.0</v>
      </c>
      <c r="L1458" s="2">
        <v>0.0</v>
      </c>
      <c r="M1458" s="37">
        <v>0.0</v>
      </c>
    </row>
    <row r="1459" ht="14.25" customHeight="1">
      <c r="A1459" t="s">
        <v>1526</v>
      </c>
      <c r="B1459" t="s">
        <v>1506</v>
      </c>
      <c r="C1459" t="s">
        <v>62</v>
      </c>
      <c r="D1459" t="s">
        <v>63</v>
      </c>
      <c r="E1459">
        <v>9.0</v>
      </c>
      <c r="F1459">
        <v>9.5</v>
      </c>
      <c r="G1459" s="2" t="s">
        <v>64</v>
      </c>
      <c r="H1459" s="2">
        <v>0.0</v>
      </c>
      <c r="I1459" s="2">
        <v>0.0</v>
      </c>
      <c r="J1459" s="37">
        <v>0.0</v>
      </c>
      <c r="K1459" s="2">
        <v>0.0</v>
      </c>
      <c r="L1459" s="2">
        <v>0.0</v>
      </c>
      <c r="M1459" s="37">
        <v>0.0</v>
      </c>
    </row>
    <row r="1460" ht="14.25" customHeight="1">
      <c r="A1460" t="s">
        <v>1527</v>
      </c>
      <c r="B1460" t="s">
        <v>1506</v>
      </c>
      <c r="C1460" t="s">
        <v>62</v>
      </c>
      <c r="D1460" t="s">
        <v>63</v>
      </c>
      <c r="E1460">
        <v>2.5</v>
      </c>
      <c r="F1460">
        <v>3.2</v>
      </c>
      <c r="G1460" s="2" t="s">
        <v>67</v>
      </c>
      <c r="H1460" s="2">
        <v>15.0</v>
      </c>
      <c r="I1460" s="2">
        <v>91.0</v>
      </c>
      <c r="J1460" s="37">
        <v>455.20000000000005</v>
      </c>
      <c r="K1460" s="2">
        <v>17.0</v>
      </c>
      <c r="L1460" s="2">
        <v>129.0</v>
      </c>
      <c r="M1460" s="37">
        <v>549.52</v>
      </c>
    </row>
    <row r="1461" ht="14.25" customHeight="1">
      <c r="A1461" t="s">
        <v>1528</v>
      </c>
      <c r="B1461" t="s">
        <v>1506</v>
      </c>
      <c r="C1461" t="s">
        <v>62</v>
      </c>
      <c r="D1461" t="s">
        <v>63</v>
      </c>
      <c r="E1461">
        <v>3.5</v>
      </c>
      <c r="F1461">
        <v>3.7</v>
      </c>
      <c r="G1461" s="2" t="s">
        <v>64</v>
      </c>
      <c r="H1461" s="2">
        <v>0.0</v>
      </c>
      <c r="I1461" s="2">
        <v>0.0</v>
      </c>
      <c r="J1461" s="37">
        <v>0.0</v>
      </c>
      <c r="K1461" s="2">
        <v>0.0</v>
      </c>
      <c r="L1461" s="2">
        <v>0.0</v>
      </c>
      <c r="M1461" s="37">
        <v>0.0</v>
      </c>
    </row>
    <row r="1462" ht="14.25" customHeight="1">
      <c r="A1462" t="s">
        <v>1529</v>
      </c>
      <c r="B1462" t="s">
        <v>1506</v>
      </c>
      <c r="C1462" t="s">
        <v>75</v>
      </c>
      <c r="D1462" t="s">
        <v>63</v>
      </c>
      <c r="E1462">
        <v>18.0</v>
      </c>
      <c r="F1462">
        <v>20.0</v>
      </c>
      <c r="G1462" s="2" t="s">
        <v>64</v>
      </c>
      <c r="H1462" s="2">
        <v>0.0</v>
      </c>
      <c r="I1462" s="2">
        <v>0.0</v>
      </c>
      <c r="J1462" s="37">
        <v>0.0</v>
      </c>
      <c r="K1462" s="2">
        <v>0.0</v>
      </c>
      <c r="L1462" s="2">
        <v>0.0</v>
      </c>
      <c r="M1462" s="37">
        <v>0.0</v>
      </c>
    </row>
    <row r="1463" ht="14.25" customHeight="1">
      <c r="A1463" t="s">
        <v>1530</v>
      </c>
      <c r="B1463" t="s">
        <v>1506</v>
      </c>
      <c r="C1463" t="s">
        <v>62</v>
      </c>
      <c r="D1463" t="s">
        <v>63</v>
      </c>
      <c r="E1463">
        <v>9.0</v>
      </c>
      <c r="F1463">
        <v>9.5</v>
      </c>
      <c r="G1463" s="2" t="s">
        <v>64</v>
      </c>
      <c r="H1463" s="2">
        <v>0.0</v>
      </c>
      <c r="I1463" s="2">
        <v>0.0</v>
      </c>
      <c r="J1463" s="37">
        <v>0.0</v>
      </c>
      <c r="K1463" s="2">
        <v>0.0</v>
      </c>
      <c r="L1463" s="2">
        <v>0.0</v>
      </c>
      <c r="M1463" s="37">
        <v>0.0</v>
      </c>
    </row>
    <row r="1464" ht="14.25" customHeight="1">
      <c r="A1464" t="s">
        <v>1531</v>
      </c>
      <c r="B1464" t="s">
        <v>1506</v>
      </c>
      <c r="C1464" t="s">
        <v>75</v>
      </c>
      <c r="D1464" t="s">
        <v>63</v>
      </c>
      <c r="E1464">
        <v>12.5</v>
      </c>
      <c r="F1464">
        <v>14.0</v>
      </c>
      <c r="G1464" s="2" t="s">
        <v>64</v>
      </c>
      <c r="H1464" s="2">
        <v>0.0</v>
      </c>
      <c r="I1464" s="2">
        <v>0.0</v>
      </c>
      <c r="J1464" s="37">
        <v>0.0</v>
      </c>
      <c r="K1464" s="2">
        <v>0.0</v>
      </c>
      <c r="L1464" s="2">
        <v>0.0</v>
      </c>
      <c r="M1464" s="37">
        <v>0.0</v>
      </c>
    </row>
    <row r="1465" ht="14.25" customHeight="1">
      <c r="A1465" t="s">
        <v>1532</v>
      </c>
      <c r="B1465" t="s">
        <v>1506</v>
      </c>
      <c r="C1465" t="s">
        <v>75</v>
      </c>
      <c r="D1465" t="s">
        <v>63</v>
      </c>
      <c r="E1465">
        <v>20.0</v>
      </c>
      <c r="F1465">
        <v>22.8</v>
      </c>
      <c r="G1465" s="2" t="s">
        <v>64</v>
      </c>
      <c r="H1465" s="2">
        <v>0.0</v>
      </c>
      <c r="I1465" s="2">
        <v>0.0</v>
      </c>
      <c r="J1465" s="37">
        <v>0.0</v>
      </c>
      <c r="K1465" s="2">
        <v>0.0</v>
      </c>
      <c r="L1465" s="2">
        <v>0.0</v>
      </c>
      <c r="M1465" s="37">
        <v>0.0</v>
      </c>
    </row>
    <row r="1466" ht="14.25" customHeight="1">
      <c r="A1466" t="s">
        <v>1533</v>
      </c>
      <c r="B1466" t="s">
        <v>1506</v>
      </c>
      <c r="C1466" t="s">
        <v>62</v>
      </c>
      <c r="D1466" t="s">
        <v>63</v>
      </c>
      <c r="E1466">
        <v>6.0</v>
      </c>
      <c r="F1466">
        <v>7.0</v>
      </c>
      <c r="G1466" s="2" t="s">
        <v>67</v>
      </c>
      <c r="H1466" s="2">
        <v>37.0</v>
      </c>
      <c r="I1466" s="2">
        <v>209.0</v>
      </c>
      <c r="J1466" s="37">
        <v>1102.72</v>
      </c>
      <c r="K1466" s="2">
        <v>43.0</v>
      </c>
      <c r="L1466" s="2">
        <v>312.0</v>
      </c>
      <c r="M1466" s="37">
        <v>1371.38</v>
      </c>
    </row>
    <row r="1467" ht="14.25" customHeight="1">
      <c r="A1467" t="s">
        <v>1534</v>
      </c>
      <c r="B1467" t="s">
        <v>1506</v>
      </c>
      <c r="C1467" t="s">
        <v>62</v>
      </c>
      <c r="D1467" t="s">
        <v>63</v>
      </c>
      <c r="E1467">
        <v>7.1</v>
      </c>
      <c r="F1467">
        <v>8.0</v>
      </c>
      <c r="G1467" s="2" t="s">
        <v>64</v>
      </c>
      <c r="H1467" s="2">
        <v>0.0</v>
      </c>
      <c r="I1467" s="2">
        <v>0.0</v>
      </c>
      <c r="J1467" s="37">
        <v>0.0</v>
      </c>
      <c r="K1467" s="2">
        <v>0.0</v>
      </c>
      <c r="L1467" s="2">
        <v>0.0</v>
      </c>
      <c r="M1467" s="37">
        <v>0.0</v>
      </c>
    </row>
    <row r="1468" ht="14.25" customHeight="1">
      <c r="A1468" t="s">
        <v>1535</v>
      </c>
      <c r="B1468" t="s">
        <v>1506</v>
      </c>
      <c r="C1468" t="s">
        <v>62</v>
      </c>
      <c r="D1468" t="s">
        <v>63</v>
      </c>
      <c r="E1468">
        <v>10.0</v>
      </c>
      <c r="F1468">
        <v>11.5</v>
      </c>
      <c r="G1468" s="2" t="s">
        <v>64</v>
      </c>
      <c r="H1468" s="2">
        <v>0.0</v>
      </c>
      <c r="I1468" s="2">
        <v>0.0</v>
      </c>
      <c r="J1468" s="37">
        <v>0.0</v>
      </c>
      <c r="K1468" s="2">
        <v>0.0</v>
      </c>
      <c r="L1468" s="2">
        <v>0.0</v>
      </c>
      <c r="M1468" s="37">
        <v>0.0</v>
      </c>
    </row>
    <row r="1469" ht="14.25" customHeight="1">
      <c r="A1469" t="s">
        <v>1536</v>
      </c>
      <c r="B1469" t="s">
        <v>1506</v>
      </c>
      <c r="C1469" t="s">
        <v>62</v>
      </c>
      <c r="D1469" t="s">
        <v>63</v>
      </c>
      <c r="E1469">
        <v>12.0</v>
      </c>
      <c r="F1469">
        <v>13.0</v>
      </c>
      <c r="G1469" s="2" t="s">
        <v>64</v>
      </c>
      <c r="H1469" s="2">
        <v>0.0</v>
      </c>
      <c r="I1469" s="2">
        <v>0.0</v>
      </c>
      <c r="J1469" s="37">
        <v>0.0</v>
      </c>
      <c r="K1469" s="2">
        <v>0.0</v>
      </c>
      <c r="L1469" s="2">
        <v>0.0</v>
      </c>
      <c r="M1469" s="37">
        <v>0.0</v>
      </c>
    </row>
    <row r="1470" ht="14.25" customHeight="1">
      <c r="A1470" t="s">
        <v>1537</v>
      </c>
      <c r="B1470" t="s">
        <v>1506</v>
      </c>
      <c r="C1470" t="s">
        <v>62</v>
      </c>
      <c r="D1470" t="s">
        <v>63</v>
      </c>
      <c r="E1470">
        <v>2.5</v>
      </c>
      <c r="F1470">
        <v>3.0</v>
      </c>
      <c r="G1470" s="2" t="s">
        <v>64</v>
      </c>
      <c r="H1470" s="2">
        <v>0.0</v>
      </c>
      <c r="I1470" s="2">
        <v>0.0</v>
      </c>
      <c r="J1470" s="37">
        <v>0.0</v>
      </c>
      <c r="K1470" s="2">
        <v>0.0</v>
      </c>
      <c r="L1470" s="2">
        <v>0.0</v>
      </c>
      <c r="M1470" s="37">
        <v>0.0</v>
      </c>
    </row>
    <row r="1471" ht="14.25" customHeight="1">
      <c r="A1471" t="s">
        <v>1538</v>
      </c>
      <c r="B1471" t="s">
        <v>1506</v>
      </c>
      <c r="C1471" t="s">
        <v>62</v>
      </c>
      <c r="D1471" t="s">
        <v>63</v>
      </c>
      <c r="E1471">
        <v>3.5</v>
      </c>
      <c r="F1471">
        <v>3.7</v>
      </c>
      <c r="G1471" s="2" t="s">
        <v>64</v>
      </c>
      <c r="H1471" s="2">
        <v>0.0</v>
      </c>
      <c r="I1471" s="2">
        <v>0.0</v>
      </c>
      <c r="J1471" s="37">
        <v>0.0</v>
      </c>
      <c r="K1471" s="2">
        <v>0.0</v>
      </c>
      <c r="L1471" s="2">
        <v>0.0</v>
      </c>
      <c r="M1471" s="37">
        <v>0.0</v>
      </c>
    </row>
    <row r="1472" ht="14.25" customHeight="1">
      <c r="A1472" t="s">
        <v>1539</v>
      </c>
      <c r="B1472" t="s">
        <v>1506</v>
      </c>
      <c r="C1472" t="s">
        <v>62</v>
      </c>
      <c r="D1472" t="s">
        <v>63</v>
      </c>
      <c r="E1472">
        <v>5.0</v>
      </c>
      <c r="F1472">
        <v>5.2</v>
      </c>
      <c r="G1472" s="2" t="s">
        <v>64</v>
      </c>
      <c r="H1472" s="2">
        <v>0.0</v>
      </c>
      <c r="I1472" s="2">
        <v>0.0</v>
      </c>
      <c r="J1472" s="37">
        <v>0.0</v>
      </c>
      <c r="K1472" s="2">
        <v>0.0</v>
      </c>
      <c r="L1472" s="2">
        <v>0.0</v>
      </c>
      <c r="M1472" s="37">
        <v>0.0</v>
      </c>
    </row>
    <row r="1473" ht="14.25" customHeight="1">
      <c r="A1473" t="s">
        <v>1540</v>
      </c>
      <c r="B1473" t="s">
        <v>1506</v>
      </c>
      <c r="C1473" t="s">
        <v>62</v>
      </c>
      <c r="D1473" t="s">
        <v>63</v>
      </c>
      <c r="E1473">
        <v>7.0</v>
      </c>
      <c r="F1473">
        <v>7.5</v>
      </c>
      <c r="G1473" s="2" t="s">
        <v>64</v>
      </c>
      <c r="H1473" s="2">
        <v>0.0</v>
      </c>
      <c r="I1473" s="2">
        <v>0.0</v>
      </c>
      <c r="J1473" s="37">
        <v>0.0</v>
      </c>
      <c r="K1473" s="2">
        <v>0.0</v>
      </c>
      <c r="L1473" s="2">
        <v>0.0</v>
      </c>
      <c r="M1473" s="37">
        <v>0.0</v>
      </c>
    </row>
    <row r="1474" ht="14.25" customHeight="1">
      <c r="A1474" t="s">
        <v>1541</v>
      </c>
      <c r="B1474" t="s">
        <v>1506</v>
      </c>
      <c r="C1474" t="s">
        <v>62</v>
      </c>
      <c r="D1474" t="s">
        <v>63</v>
      </c>
      <c r="E1474">
        <v>14.0</v>
      </c>
      <c r="F1474">
        <v>14.5</v>
      </c>
      <c r="G1474" s="2" t="s">
        <v>67</v>
      </c>
      <c r="H1474" s="2">
        <v>72.0</v>
      </c>
      <c r="I1474" s="2">
        <v>238.0</v>
      </c>
      <c r="J1474" s="37">
        <v>1926.5200000000002</v>
      </c>
      <c r="K1474" s="2">
        <v>85.0</v>
      </c>
      <c r="L1474" s="2">
        <v>510.0</v>
      </c>
      <c r="M1474" s="37">
        <v>2572.1000000000004</v>
      </c>
    </row>
    <row r="1475" ht="14.25" customHeight="1">
      <c r="A1475" t="s">
        <v>1542</v>
      </c>
      <c r="B1475" t="s">
        <v>1506</v>
      </c>
      <c r="C1475" t="s">
        <v>62</v>
      </c>
      <c r="D1475" t="s">
        <v>63</v>
      </c>
      <c r="E1475">
        <v>8.0</v>
      </c>
      <c r="F1475">
        <v>9.0</v>
      </c>
      <c r="G1475" s="2" t="s">
        <v>67</v>
      </c>
      <c r="H1475" s="2">
        <v>49.0</v>
      </c>
      <c r="I1475" s="2">
        <v>215.0</v>
      </c>
      <c r="J1475" s="37">
        <v>1380.04</v>
      </c>
      <c r="K1475" s="2">
        <v>56.0</v>
      </c>
      <c r="L1475" s="2">
        <v>353.0</v>
      </c>
      <c r="M1475" s="37">
        <v>1716.66</v>
      </c>
    </row>
    <row r="1476" ht="14.25" customHeight="1">
      <c r="A1476" t="s">
        <v>1543</v>
      </c>
      <c r="B1476" t="s">
        <v>1506</v>
      </c>
      <c r="C1476" t="s">
        <v>62</v>
      </c>
      <c r="D1476" t="s">
        <v>63</v>
      </c>
      <c r="E1476">
        <v>2.5</v>
      </c>
      <c r="F1476">
        <v>3.2</v>
      </c>
      <c r="G1476" s="2" t="s">
        <v>67</v>
      </c>
      <c r="H1476" s="2">
        <v>16.0</v>
      </c>
      <c r="I1476" s="2">
        <v>108.0</v>
      </c>
      <c r="J1476" s="37">
        <v>499.76</v>
      </c>
      <c r="K1476" s="2">
        <v>19.0</v>
      </c>
      <c r="L1476" s="2">
        <v>146.0</v>
      </c>
      <c r="M1476" s="37">
        <v>616.54</v>
      </c>
    </row>
    <row r="1477" ht="14.25" customHeight="1">
      <c r="A1477" t="s">
        <v>1544</v>
      </c>
      <c r="B1477" t="s">
        <v>1506</v>
      </c>
      <c r="C1477" t="s">
        <v>62</v>
      </c>
      <c r="D1477" t="s">
        <v>63</v>
      </c>
      <c r="E1477">
        <v>3.5</v>
      </c>
      <c r="F1477">
        <v>3.7</v>
      </c>
      <c r="G1477" s="2" t="s">
        <v>67</v>
      </c>
      <c r="H1477" s="2">
        <v>18.0</v>
      </c>
      <c r="I1477" s="2">
        <v>87.0</v>
      </c>
      <c r="J1477" s="37">
        <v>517.38</v>
      </c>
      <c r="K1477" s="2">
        <v>21.0</v>
      </c>
      <c r="L1477" s="2">
        <v>140.0</v>
      </c>
      <c r="M1477" s="37">
        <v>653.6600000000001</v>
      </c>
    </row>
    <row r="1478" ht="14.25" customHeight="1">
      <c r="A1478" t="s">
        <v>1545</v>
      </c>
      <c r="B1478" t="s">
        <v>1506</v>
      </c>
      <c r="C1478" t="s">
        <v>62</v>
      </c>
      <c r="D1478" t="s">
        <v>63</v>
      </c>
      <c r="E1478">
        <v>5.0</v>
      </c>
      <c r="F1478">
        <v>6.0</v>
      </c>
      <c r="G1478" s="2" t="s">
        <v>67</v>
      </c>
      <c r="H1478" s="2">
        <v>34.0</v>
      </c>
      <c r="I1478" s="2">
        <v>220.0</v>
      </c>
      <c r="J1478" s="37">
        <v>1049.6399999999999</v>
      </c>
      <c r="K1478" s="2">
        <v>39.0</v>
      </c>
      <c r="L1478" s="2">
        <v>306.0</v>
      </c>
      <c r="M1478" s="37">
        <v>1273.74</v>
      </c>
    </row>
    <row r="1479" ht="14.25" customHeight="1">
      <c r="A1479" t="s">
        <v>1546</v>
      </c>
      <c r="B1479" t="s">
        <v>1506</v>
      </c>
      <c r="C1479" t="s">
        <v>62</v>
      </c>
      <c r="D1479" t="s">
        <v>63</v>
      </c>
      <c r="E1479">
        <v>7.1</v>
      </c>
      <c r="F1479">
        <v>8.0</v>
      </c>
      <c r="G1479" s="2" t="s">
        <v>67</v>
      </c>
      <c r="H1479" s="2">
        <v>43.0</v>
      </c>
      <c r="I1479" s="2">
        <v>159.0</v>
      </c>
      <c r="J1479" s="37">
        <v>1172.48</v>
      </c>
      <c r="K1479" s="2">
        <v>49.0</v>
      </c>
      <c r="L1479" s="2">
        <v>282.0</v>
      </c>
      <c r="M1479" s="37">
        <v>1467.1399999999999</v>
      </c>
    </row>
    <row r="1480" ht="14.25" customHeight="1">
      <c r="A1480" t="s">
        <v>1531</v>
      </c>
      <c r="B1480" t="s">
        <v>1506</v>
      </c>
      <c r="C1480" t="s">
        <v>75</v>
      </c>
      <c r="D1480" t="s">
        <v>63</v>
      </c>
      <c r="E1480">
        <v>12.5</v>
      </c>
      <c r="F1480">
        <v>14.0</v>
      </c>
      <c r="G1480" s="2" t="s">
        <v>67</v>
      </c>
      <c r="H1480" s="2">
        <v>0.0</v>
      </c>
      <c r="I1480" s="2">
        <v>0.0</v>
      </c>
      <c r="J1480" s="37">
        <v>0.0</v>
      </c>
      <c r="K1480" s="2">
        <v>0.0</v>
      </c>
      <c r="L1480" s="2">
        <v>0.0</v>
      </c>
      <c r="M1480" s="37">
        <v>0.0</v>
      </c>
    </row>
    <row r="1481" ht="14.25" customHeight="1">
      <c r="A1481" t="s">
        <v>1513</v>
      </c>
      <c r="B1481" t="s">
        <v>1506</v>
      </c>
      <c r="C1481" t="s">
        <v>75</v>
      </c>
      <c r="D1481" t="s">
        <v>63</v>
      </c>
      <c r="E1481">
        <v>12.5</v>
      </c>
      <c r="F1481">
        <v>14.0</v>
      </c>
      <c r="G1481" s="2" t="s">
        <v>67</v>
      </c>
      <c r="H1481" s="2">
        <v>0.0</v>
      </c>
      <c r="I1481" s="2">
        <v>0.0</v>
      </c>
      <c r="J1481" s="37">
        <v>0.0</v>
      </c>
      <c r="K1481" s="2">
        <v>0.0</v>
      </c>
      <c r="L1481" s="2">
        <v>0.0</v>
      </c>
      <c r="M1481" s="37">
        <v>0.0</v>
      </c>
    </row>
    <row r="1482" ht="14.25" customHeight="1">
      <c r="A1482" t="s">
        <v>1515</v>
      </c>
      <c r="B1482" t="s">
        <v>1506</v>
      </c>
      <c r="C1482" t="s">
        <v>75</v>
      </c>
      <c r="D1482" t="s">
        <v>63</v>
      </c>
      <c r="E1482">
        <v>14.0</v>
      </c>
      <c r="F1482">
        <v>15.0</v>
      </c>
      <c r="G1482" s="2" t="s">
        <v>67</v>
      </c>
      <c r="H1482" s="2">
        <v>0.0</v>
      </c>
      <c r="I1482" s="2">
        <v>0.0</v>
      </c>
      <c r="J1482" s="37">
        <v>0.0</v>
      </c>
      <c r="K1482" s="2">
        <v>0.0</v>
      </c>
      <c r="L1482" s="2">
        <v>0.0</v>
      </c>
      <c r="M1482" s="37">
        <v>0.0</v>
      </c>
    </row>
    <row r="1483" ht="14.25" customHeight="1">
      <c r="A1483" t="s">
        <v>1517</v>
      </c>
      <c r="B1483" t="s">
        <v>1506</v>
      </c>
      <c r="C1483" t="s">
        <v>75</v>
      </c>
      <c r="D1483" t="s">
        <v>63</v>
      </c>
      <c r="E1483">
        <v>15.5</v>
      </c>
      <c r="F1483">
        <v>17.0</v>
      </c>
      <c r="G1483" s="2" t="s">
        <v>67</v>
      </c>
      <c r="H1483" s="2">
        <v>0.0</v>
      </c>
      <c r="I1483" s="2">
        <v>0.0</v>
      </c>
      <c r="J1483" s="37">
        <v>0.0</v>
      </c>
      <c r="K1483" s="2">
        <v>0.0</v>
      </c>
      <c r="L1483" s="2">
        <v>0.0</v>
      </c>
      <c r="M1483" s="37">
        <v>0.0</v>
      </c>
    </row>
    <row r="1484" ht="14.25" customHeight="1">
      <c r="A1484" t="s">
        <v>1523</v>
      </c>
      <c r="B1484" t="s">
        <v>1506</v>
      </c>
      <c r="C1484" t="s">
        <v>62</v>
      </c>
      <c r="D1484" t="s">
        <v>63</v>
      </c>
      <c r="E1484">
        <v>5.0</v>
      </c>
      <c r="F1484">
        <v>6.0</v>
      </c>
      <c r="G1484" s="2" t="s">
        <v>67</v>
      </c>
      <c r="H1484" s="2">
        <v>32.0</v>
      </c>
      <c r="I1484" s="2">
        <v>175.0</v>
      </c>
      <c r="J1484" s="37">
        <v>946.22</v>
      </c>
      <c r="K1484" s="2">
        <v>37.0</v>
      </c>
      <c r="L1484" s="2">
        <v>261.0</v>
      </c>
      <c r="M1484" s="37">
        <v>1170.32</v>
      </c>
    </row>
    <row r="1485" ht="14.25" customHeight="1">
      <c r="A1485" t="s">
        <v>1547</v>
      </c>
      <c r="B1485" t="s">
        <v>1506</v>
      </c>
      <c r="C1485" t="s">
        <v>75</v>
      </c>
      <c r="D1485" t="s">
        <v>63</v>
      </c>
      <c r="E1485">
        <v>10.5</v>
      </c>
      <c r="F1485">
        <v>12.0</v>
      </c>
      <c r="G1485" s="2" t="s">
        <v>64</v>
      </c>
      <c r="H1485" s="2">
        <v>0.0</v>
      </c>
      <c r="I1485" s="2">
        <v>0.0</v>
      </c>
      <c r="J1485" s="37">
        <v>0.0</v>
      </c>
      <c r="K1485" s="2">
        <v>0.0</v>
      </c>
      <c r="L1485" s="2">
        <v>0.0</v>
      </c>
      <c r="M1485" s="37">
        <v>0.0</v>
      </c>
    </row>
    <row r="1486" ht="14.25" customHeight="1">
      <c r="A1486" t="s">
        <v>1548</v>
      </c>
      <c r="B1486" t="s">
        <v>1506</v>
      </c>
      <c r="C1486" t="s">
        <v>62</v>
      </c>
      <c r="D1486" t="s">
        <v>63</v>
      </c>
      <c r="E1486">
        <v>10.0</v>
      </c>
      <c r="F1486">
        <v>11.5</v>
      </c>
      <c r="G1486" s="2" t="s">
        <v>64</v>
      </c>
      <c r="H1486" s="2">
        <v>0.0</v>
      </c>
      <c r="I1486" s="2">
        <v>0.0</v>
      </c>
      <c r="J1486" s="37">
        <v>0.0</v>
      </c>
      <c r="K1486" s="2">
        <v>0.0</v>
      </c>
      <c r="L1486" s="2">
        <v>0.0</v>
      </c>
      <c r="M1486" s="37">
        <v>0.0</v>
      </c>
    </row>
    <row r="1487" ht="14.25" customHeight="1">
      <c r="A1487" t="s">
        <v>1549</v>
      </c>
      <c r="B1487" t="s">
        <v>1506</v>
      </c>
      <c r="C1487" t="s">
        <v>75</v>
      </c>
      <c r="D1487" t="s">
        <v>63</v>
      </c>
      <c r="E1487">
        <v>10.3</v>
      </c>
      <c r="F1487">
        <v>10.8</v>
      </c>
      <c r="G1487" s="2" t="s">
        <v>67</v>
      </c>
      <c r="H1487" s="2">
        <v>57.0</v>
      </c>
      <c r="I1487" s="2">
        <v>152.0</v>
      </c>
      <c r="J1487" s="37">
        <v>1477.82</v>
      </c>
      <c r="K1487" s="2">
        <v>67.0</v>
      </c>
      <c r="L1487" s="2">
        <v>352.0</v>
      </c>
      <c r="M1487" s="37">
        <v>1962.42</v>
      </c>
    </row>
    <row r="1488" ht="14.25" customHeight="1">
      <c r="A1488" t="s">
        <v>1549</v>
      </c>
      <c r="B1488" t="s">
        <v>1506</v>
      </c>
      <c r="C1488" t="s">
        <v>75</v>
      </c>
      <c r="D1488" t="s">
        <v>63</v>
      </c>
      <c r="E1488">
        <v>10.5</v>
      </c>
      <c r="F1488">
        <v>11.2</v>
      </c>
      <c r="G1488" s="2" t="s">
        <v>67</v>
      </c>
      <c r="H1488" s="2">
        <v>61.0</v>
      </c>
      <c r="I1488" s="2">
        <v>233.0</v>
      </c>
      <c r="J1488" s="37">
        <v>1672.96</v>
      </c>
      <c r="K1488" s="2">
        <v>71.0</v>
      </c>
      <c r="L1488" s="2">
        <v>437.0</v>
      </c>
      <c r="M1488" s="37">
        <v>2162.76</v>
      </c>
    </row>
    <row r="1489" ht="14.25" customHeight="1">
      <c r="A1489" t="s">
        <v>1550</v>
      </c>
      <c r="B1489" t="s">
        <v>1551</v>
      </c>
      <c r="C1489" t="s">
        <v>62</v>
      </c>
      <c r="D1489" t="s">
        <v>63</v>
      </c>
      <c r="E1489">
        <v>3.5</v>
      </c>
      <c r="F1489">
        <v>4.0</v>
      </c>
      <c r="G1489" s="2" t="s">
        <v>67</v>
      </c>
      <c r="H1489" s="2">
        <v>19.0</v>
      </c>
      <c r="I1489" s="2">
        <v>76.0</v>
      </c>
      <c r="J1489" s="37">
        <v>525.54</v>
      </c>
      <c r="K1489" s="2">
        <v>22.0</v>
      </c>
      <c r="L1489" s="2">
        <v>129.0</v>
      </c>
      <c r="M1489" s="37">
        <v>661.82</v>
      </c>
    </row>
    <row r="1490" ht="14.25" customHeight="1">
      <c r="A1490" t="s">
        <v>1552</v>
      </c>
      <c r="B1490" t="s">
        <v>1551</v>
      </c>
      <c r="C1490" t="s">
        <v>62</v>
      </c>
      <c r="D1490" t="s">
        <v>63</v>
      </c>
      <c r="E1490">
        <v>5.0</v>
      </c>
      <c r="F1490">
        <v>6.0</v>
      </c>
      <c r="G1490" s="2" t="s">
        <v>67</v>
      </c>
      <c r="H1490" s="2">
        <v>31.0</v>
      </c>
      <c r="I1490" s="2">
        <v>214.0</v>
      </c>
      <c r="J1490" s="37">
        <v>974.46</v>
      </c>
      <c r="K1490" s="2">
        <v>35.0</v>
      </c>
      <c r="L1490" s="2">
        <v>300.0</v>
      </c>
      <c r="M1490" s="37">
        <v>1176.1</v>
      </c>
    </row>
    <row r="1491" ht="14.25" customHeight="1">
      <c r="A1491" t="s">
        <v>1553</v>
      </c>
      <c r="B1491" t="s">
        <v>1551</v>
      </c>
      <c r="C1491" t="s">
        <v>62</v>
      </c>
      <c r="D1491" t="s">
        <v>63</v>
      </c>
      <c r="E1491">
        <v>7.1</v>
      </c>
      <c r="F1491">
        <v>8.0</v>
      </c>
      <c r="G1491" s="2" t="s">
        <v>64</v>
      </c>
      <c r="H1491" s="2">
        <v>0.0</v>
      </c>
      <c r="I1491" s="2">
        <v>0.0</v>
      </c>
      <c r="J1491" s="37">
        <v>0.0</v>
      </c>
      <c r="K1491" s="2">
        <v>0.0</v>
      </c>
      <c r="L1491" s="2">
        <v>0.0</v>
      </c>
      <c r="M1491" s="37">
        <v>0.0</v>
      </c>
    </row>
    <row r="1492" ht="14.25" customHeight="1">
      <c r="A1492" t="s">
        <v>1554</v>
      </c>
      <c r="B1492" t="s">
        <v>1555</v>
      </c>
      <c r="C1492" t="s">
        <v>62</v>
      </c>
      <c r="D1492" t="s">
        <v>467</v>
      </c>
      <c r="E1492">
        <v>2.6</v>
      </c>
      <c r="F1492">
        <v>2.4</v>
      </c>
      <c r="G1492" s="2" t="s">
        <v>64</v>
      </c>
      <c r="H1492" s="2">
        <v>0.0</v>
      </c>
      <c r="I1492" s="2">
        <v>0.0</v>
      </c>
      <c r="J1492" s="37">
        <v>0.0</v>
      </c>
      <c r="K1492" s="2">
        <v>0.0</v>
      </c>
      <c r="L1492" s="2">
        <v>0.0</v>
      </c>
      <c r="M1492" s="37">
        <v>0.0</v>
      </c>
    </row>
    <row r="1493" ht="14.25" customHeight="1">
      <c r="A1493" t="s">
        <v>1556</v>
      </c>
      <c r="B1493" t="s">
        <v>1555</v>
      </c>
      <c r="C1493" t="s">
        <v>62</v>
      </c>
      <c r="D1493" t="s">
        <v>467</v>
      </c>
      <c r="E1493">
        <v>4.1</v>
      </c>
      <c r="F1493">
        <v>3.6</v>
      </c>
      <c r="G1493" s="2" t="s">
        <v>64</v>
      </c>
      <c r="H1493" s="2">
        <v>0.0</v>
      </c>
      <c r="I1493" s="2">
        <v>0.0</v>
      </c>
      <c r="J1493" s="37">
        <v>0.0</v>
      </c>
      <c r="K1493" s="2">
        <v>0.0</v>
      </c>
      <c r="L1493" s="2">
        <v>0.0</v>
      </c>
      <c r="M1493" s="37">
        <v>0.0</v>
      </c>
    </row>
    <row r="1494" ht="14.25" customHeight="1">
      <c r="A1494" t="s">
        <v>1557</v>
      </c>
      <c r="B1494" t="s">
        <v>1555</v>
      </c>
      <c r="C1494" t="s">
        <v>62</v>
      </c>
      <c r="D1494" t="s">
        <v>467</v>
      </c>
      <c r="E1494">
        <v>2.7</v>
      </c>
      <c r="F1494">
        <v>2.4</v>
      </c>
      <c r="G1494" s="2" t="s">
        <v>64</v>
      </c>
      <c r="H1494" s="2">
        <v>0.0</v>
      </c>
      <c r="I1494" s="2">
        <v>0.0</v>
      </c>
      <c r="J1494" s="37">
        <v>0.0</v>
      </c>
      <c r="K1494" s="2">
        <v>0.0</v>
      </c>
      <c r="L1494" s="2">
        <v>0.0</v>
      </c>
      <c r="M1494" s="37">
        <v>0.0</v>
      </c>
    </row>
    <row r="1495" ht="14.25" customHeight="1">
      <c r="A1495" t="s">
        <v>1558</v>
      </c>
      <c r="B1495" t="s">
        <v>1559</v>
      </c>
      <c r="C1495" t="s">
        <v>62</v>
      </c>
      <c r="D1495" t="s">
        <v>63</v>
      </c>
      <c r="E1495">
        <v>2.5</v>
      </c>
      <c r="F1495">
        <v>3.2</v>
      </c>
      <c r="G1495" s="2" t="s">
        <v>67</v>
      </c>
      <c r="H1495" s="2">
        <v>16.0</v>
      </c>
      <c r="I1495" s="2">
        <v>91.0</v>
      </c>
      <c r="J1495" s="37">
        <v>477.66</v>
      </c>
      <c r="K1495" s="2">
        <v>18.0</v>
      </c>
      <c r="L1495" s="2">
        <v>129.0</v>
      </c>
      <c r="M1495" s="37">
        <v>571.98</v>
      </c>
    </row>
    <row r="1496" ht="14.25" customHeight="1">
      <c r="A1496" t="s">
        <v>1560</v>
      </c>
      <c r="B1496" t="s">
        <v>1559</v>
      </c>
      <c r="C1496" t="s">
        <v>62</v>
      </c>
      <c r="D1496" t="s">
        <v>63</v>
      </c>
      <c r="E1496">
        <v>3.5</v>
      </c>
      <c r="F1496">
        <v>4.0</v>
      </c>
      <c r="G1496" s="2" t="s">
        <v>67</v>
      </c>
      <c r="H1496" s="2">
        <v>19.0</v>
      </c>
      <c r="I1496" s="2">
        <v>82.0</v>
      </c>
      <c r="J1496" s="37">
        <v>533.34</v>
      </c>
      <c r="K1496" s="2">
        <v>22.0</v>
      </c>
      <c r="L1496" s="2">
        <v>135.0</v>
      </c>
      <c r="M1496" s="37">
        <v>669.62</v>
      </c>
    </row>
    <row r="1497" ht="14.25" customHeight="1">
      <c r="A1497" t="s">
        <v>1561</v>
      </c>
      <c r="B1497" t="s">
        <v>1559</v>
      </c>
      <c r="C1497" t="s">
        <v>62</v>
      </c>
      <c r="D1497" t="s">
        <v>63</v>
      </c>
      <c r="E1497">
        <v>5.0</v>
      </c>
      <c r="F1497">
        <v>6.4</v>
      </c>
      <c r="G1497" s="2" t="s">
        <v>67</v>
      </c>
      <c r="H1497" s="2">
        <v>32.0</v>
      </c>
      <c r="I1497" s="2">
        <v>180.0</v>
      </c>
      <c r="J1497" s="37">
        <v>952.72</v>
      </c>
      <c r="K1497" s="2">
        <v>37.0</v>
      </c>
      <c r="L1497" s="2">
        <v>267.0</v>
      </c>
      <c r="M1497" s="37">
        <v>1178.12</v>
      </c>
    </row>
    <row r="1498" ht="14.25" customHeight="1">
      <c r="A1498" t="s">
        <v>1562</v>
      </c>
      <c r="B1498" t="s">
        <v>1559</v>
      </c>
      <c r="C1498" t="s">
        <v>62</v>
      </c>
      <c r="D1498" t="s">
        <v>63</v>
      </c>
      <c r="E1498">
        <v>8.0</v>
      </c>
      <c r="F1498">
        <v>8.0</v>
      </c>
      <c r="G1498" s="2" t="s">
        <v>64</v>
      </c>
      <c r="H1498" s="2">
        <v>0.0</v>
      </c>
      <c r="I1498" s="2">
        <v>0.0</v>
      </c>
      <c r="J1498" s="37">
        <v>0.0</v>
      </c>
      <c r="K1498" s="2">
        <v>0.0</v>
      </c>
      <c r="L1498" s="2">
        <v>0.0</v>
      </c>
      <c r="M1498" s="37">
        <v>0.0</v>
      </c>
    </row>
    <row r="1499" ht="14.25" customHeight="1">
      <c r="A1499" t="s">
        <v>1563</v>
      </c>
      <c r="B1499" t="s">
        <v>1559</v>
      </c>
      <c r="C1499" t="s">
        <v>62</v>
      </c>
      <c r="D1499" t="s">
        <v>63</v>
      </c>
      <c r="E1499">
        <v>7.1</v>
      </c>
      <c r="F1499">
        <v>7.7</v>
      </c>
      <c r="G1499" s="2" t="s">
        <v>64</v>
      </c>
      <c r="H1499" s="2">
        <v>0.0</v>
      </c>
      <c r="I1499" s="2">
        <v>0.0</v>
      </c>
      <c r="J1499" s="37">
        <v>0.0</v>
      </c>
      <c r="K1499" s="2">
        <v>0.0</v>
      </c>
      <c r="L1499" s="2">
        <v>0.0</v>
      </c>
      <c r="M1499" s="37">
        <v>0.0</v>
      </c>
    </row>
    <row r="1500" ht="14.25" customHeight="1">
      <c r="A1500" t="s">
        <v>1564</v>
      </c>
      <c r="B1500" t="s">
        <v>1559</v>
      </c>
      <c r="C1500" t="s">
        <v>62</v>
      </c>
      <c r="D1500" t="s">
        <v>63</v>
      </c>
      <c r="E1500">
        <v>2.5</v>
      </c>
      <c r="F1500">
        <v>3.1</v>
      </c>
      <c r="G1500" s="2" t="s">
        <v>64</v>
      </c>
      <c r="H1500" s="2">
        <v>0.0</v>
      </c>
      <c r="I1500" s="2">
        <v>0.0</v>
      </c>
      <c r="J1500" s="37">
        <v>0.0</v>
      </c>
      <c r="K1500" s="2">
        <v>0.0</v>
      </c>
      <c r="L1500" s="2">
        <v>0.0</v>
      </c>
      <c r="M1500" s="37">
        <v>0.0</v>
      </c>
    </row>
    <row r="1501" ht="14.25" customHeight="1">
      <c r="A1501" t="s">
        <v>1565</v>
      </c>
      <c r="B1501" t="s">
        <v>1559</v>
      </c>
      <c r="C1501" t="s">
        <v>62</v>
      </c>
      <c r="D1501" t="s">
        <v>63</v>
      </c>
      <c r="E1501">
        <v>3.5</v>
      </c>
      <c r="F1501">
        <v>3.8</v>
      </c>
      <c r="G1501" s="2" t="s">
        <v>64</v>
      </c>
      <c r="H1501" s="2">
        <v>0.0</v>
      </c>
      <c r="I1501" s="2">
        <v>0.0</v>
      </c>
      <c r="J1501" s="37">
        <v>0.0</v>
      </c>
      <c r="K1501" s="2">
        <v>0.0</v>
      </c>
      <c r="L1501" s="2">
        <v>0.0</v>
      </c>
      <c r="M1501" s="37">
        <v>0.0</v>
      </c>
    </row>
    <row r="1502" ht="14.25" customHeight="1">
      <c r="A1502" t="s">
        <v>1566</v>
      </c>
      <c r="B1502" t="s">
        <v>1559</v>
      </c>
      <c r="C1502" t="s">
        <v>62</v>
      </c>
      <c r="D1502" t="s">
        <v>63</v>
      </c>
      <c r="E1502">
        <v>5.3</v>
      </c>
      <c r="F1502">
        <v>5.4</v>
      </c>
      <c r="G1502" s="2" t="s">
        <v>64</v>
      </c>
      <c r="H1502" s="2">
        <v>0.0</v>
      </c>
      <c r="I1502" s="2">
        <v>0.0</v>
      </c>
      <c r="J1502" s="37">
        <v>0.0</v>
      </c>
      <c r="K1502" s="2">
        <v>0.0</v>
      </c>
      <c r="L1502" s="2">
        <v>0.0</v>
      </c>
      <c r="M1502" s="37">
        <v>0.0</v>
      </c>
    </row>
    <row r="1503" ht="14.25" customHeight="1">
      <c r="A1503" t="s">
        <v>1567</v>
      </c>
      <c r="B1503" t="s">
        <v>1559</v>
      </c>
      <c r="C1503" t="s">
        <v>62</v>
      </c>
      <c r="D1503" t="s">
        <v>63</v>
      </c>
      <c r="E1503">
        <v>7.1</v>
      </c>
      <c r="F1503">
        <v>7.2</v>
      </c>
      <c r="G1503" s="2" t="s">
        <v>64</v>
      </c>
      <c r="H1503" s="2">
        <v>0.0</v>
      </c>
      <c r="I1503" s="2">
        <v>0.0</v>
      </c>
      <c r="J1503" s="37">
        <v>0.0</v>
      </c>
      <c r="K1503" s="2">
        <v>0.0</v>
      </c>
      <c r="L1503" s="2">
        <v>0.0</v>
      </c>
      <c r="M1503" s="37">
        <v>0.0</v>
      </c>
    </row>
    <row r="1504" ht="14.25" customHeight="1">
      <c r="A1504" t="s">
        <v>1568</v>
      </c>
      <c r="B1504" t="s">
        <v>1559</v>
      </c>
      <c r="C1504" t="s">
        <v>62</v>
      </c>
      <c r="D1504" t="s">
        <v>63</v>
      </c>
      <c r="E1504">
        <v>8.0</v>
      </c>
      <c r="F1504">
        <v>8.0</v>
      </c>
      <c r="G1504" s="2" t="s">
        <v>64</v>
      </c>
      <c r="H1504" s="2">
        <v>0.0</v>
      </c>
      <c r="I1504" s="2">
        <v>0.0</v>
      </c>
      <c r="J1504" s="37">
        <v>0.0</v>
      </c>
      <c r="K1504" s="2">
        <v>0.0</v>
      </c>
      <c r="L1504" s="2">
        <v>0.0</v>
      </c>
      <c r="M1504" s="37">
        <v>0.0</v>
      </c>
    </row>
    <row r="1505" ht="14.25" customHeight="1">
      <c r="A1505" t="s">
        <v>1569</v>
      </c>
      <c r="B1505" t="s">
        <v>1559</v>
      </c>
      <c r="C1505" t="s">
        <v>62</v>
      </c>
      <c r="D1505" t="s">
        <v>63</v>
      </c>
      <c r="E1505">
        <v>12.5</v>
      </c>
      <c r="F1505">
        <v>14.0</v>
      </c>
      <c r="G1505" s="2" t="s">
        <v>64</v>
      </c>
      <c r="H1505" s="2">
        <v>0.0</v>
      </c>
      <c r="I1505" s="2">
        <v>0.0</v>
      </c>
      <c r="J1505" s="37">
        <v>0.0</v>
      </c>
      <c r="K1505" s="2">
        <v>0.0</v>
      </c>
      <c r="L1505" s="2">
        <v>0.0</v>
      </c>
      <c r="M1505" s="37">
        <v>0.0</v>
      </c>
    </row>
    <row r="1506" ht="14.25" customHeight="1">
      <c r="A1506" t="s">
        <v>1570</v>
      </c>
      <c r="B1506" t="s">
        <v>1559</v>
      </c>
      <c r="C1506" t="s">
        <v>62</v>
      </c>
      <c r="D1506" t="s">
        <v>63</v>
      </c>
      <c r="E1506">
        <v>13.5</v>
      </c>
      <c r="F1506">
        <v>15.0</v>
      </c>
      <c r="G1506" s="2" t="s">
        <v>64</v>
      </c>
      <c r="H1506" s="2">
        <v>0.0</v>
      </c>
      <c r="I1506" s="2">
        <v>0.0</v>
      </c>
      <c r="J1506" s="37">
        <v>0.0</v>
      </c>
      <c r="K1506" s="2">
        <v>0.0</v>
      </c>
      <c r="L1506" s="2">
        <v>0.0</v>
      </c>
      <c r="M1506" s="37">
        <v>0.0</v>
      </c>
    </row>
    <row r="1507" ht="14.25" customHeight="1">
      <c r="A1507" t="s">
        <v>1571</v>
      </c>
      <c r="B1507" t="s">
        <v>1559</v>
      </c>
      <c r="C1507" t="s">
        <v>62</v>
      </c>
      <c r="D1507" t="s">
        <v>63</v>
      </c>
      <c r="E1507">
        <v>7.3</v>
      </c>
      <c r="F1507">
        <v>8.3</v>
      </c>
      <c r="G1507" s="2" t="s">
        <v>64</v>
      </c>
      <c r="H1507" s="2">
        <v>0.0</v>
      </c>
      <c r="I1507" s="2">
        <v>0.0</v>
      </c>
      <c r="J1507" s="37">
        <v>0.0</v>
      </c>
      <c r="K1507" s="2">
        <v>0.0</v>
      </c>
      <c r="L1507" s="2">
        <v>0.0</v>
      </c>
      <c r="M1507" s="37">
        <v>0.0</v>
      </c>
    </row>
    <row r="1508" ht="14.25" customHeight="1">
      <c r="A1508" t="s">
        <v>1572</v>
      </c>
      <c r="B1508" t="s">
        <v>1559</v>
      </c>
      <c r="C1508" t="s">
        <v>62</v>
      </c>
      <c r="D1508" t="s">
        <v>63</v>
      </c>
      <c r="E1508">
        <v>10.2</v>
      </c>
      <c r="F1508">
        <v>11.0</v>
      </c>
      <c r="G1508" s="2" t="s">
        <v>64</v>
      </c>
      <c r="H1508" s="2">
        <v>0.0</v>
      </c>
      <c r="I1508" s="2">
        <v>0.0</v>
      </c>
      <c r="J1508" s="37">
        <v>0.0</v>
      </c>
      <c r="K1508" s="2">
        <v>0.0</v>
      </c>
      <c r="L1508" s="2">
        <v>0.0</v>
      </c>
      <c r="M1508" s="37">
        <v>0.0</v>
      </c>
    </row>
    <row r="1509" ht="14.25" customHeight="1">
      <c r="A1509" t="s">
        <v>1573</v>
      </c>
      <c r="B1509" t="s">
        <v>1559</v>
      </c>
      <c r="C1509" t="s">
        <v>62</v>
      </c>
      <c r="D1509" t="s">
        <v>63</v>
      </c>
      <c r="E1509">
        <v>2.5</v>
      </c>
      <c r="F1509">
        <v>3.2</v>
      </c>
      <c r="G1509" s="2" t="s">
        <v>67</v>
      </c>
      <c r="H1509" s="2">
        <v>16.0</v>
      </c>
      <c r="I1509" s="2">
        <v>91.0</v>
      </c>
      <c r="J1509" s="37">
        <v>477.66</v>
      </c>
      <c r="K1509" s="2">
        <v>18.0</v>
      </c>
      <c r="L1509" s="2">
        <v>129.0</v>
      </c>
      <c r="M1509" s="37">
        <v>571.98</v>
      </c>
    </row>
    <row r="1510" ht="14.25" customHeight="1">
      <c r="A1510" t="s">
        <v>1574</v>
      </c>
      <c r="B1510" t="s">
        <v>1559</v>
      </c>
      <c r="C1510" t="s">
        <v>62</v>
      </c>
      <c r="D1510" t="s">
        <v>63</v>
      </c>
      <c r="E1510">
        <v>3.5</v>
      </c>
      <c r="F1510">
        <v>3.7</v>
      </c>
      <c r="G1510" s="2" t="s">
        <v>67</v>
      </c>
      <c r="H1510" s="2">
        <v>18.0</v>
      </c>
      <c r="I1510" s="2">
        <v>82.0</v>
      </c>
      <c r="J1510" s="37">
        <v>510.88000000000005</v>
      </c>
      <c r="K1510" s="2">
        <v>21.0</v>
      </c>
      <c r="L1510" s="2">
        <v>135.0</v>
      </c>
      <c r="M1510" s="37">
        <v>647.1600000000001</v>
      </c>
    </row>
    <row r="1511" ht="14.25" customHeight="1">
      <c r="A1511" t="s">
        <v>1575</v>
      </c>
      <c r="B1511" t="s">
        <v>1559</v>
      </c>
      <c r="C1511" t="s">
        <v>62</v>
      </c>
      <c r="D1511" t="s">
        <v>63</v>
      </c>
      <c r="E1511">
        <v>7.1</v>
      </c>
      <c r="F1511">
        <v>7.2</v>
      </c>
      <c r="G1511" s="2" t="s">
        <v>64</v>
      </c>
      <c r="H1511" s="2">
        <v>0.0</v>
      </c>
      <c r="I1511" s="2">
        <v>0.0</v>
      </c>
      <c r="J1511" s="37">
        <v>0.0</v>
      </c>
      <c r="K1511" s="2">
        <v>0.0</v>
      </c>
      <c r="L1511" s="2">
        <v>0.0</v>
      </c>
      <c r="M1511" s="37">
        <v>0.0</v>
      </c>
    </row>
    <row r="1512" ht="14.25" customHeight="1">
      <c r="A1512" t="s">
        <v>1576</v>
      </c>
      <c r="B1512" t="s">
        <v>1559</v>
      </c>
      <c r="C1512" t="s">
        <v>62</v>
      </c>
      <c r="D1512" t="s">
        <v>63</v>
      </c>
      <c r="E1512">
        <v>3.5</v>
      </c>
      <c r="F1512">
        <v>3.7</v>
      </c>
      <c r="G1512" s="2" t="s">
        <v>67</v>
      </c>
      <c r="H1512" s="2">
        <v>18.0</v>
      </c>
      <c r="I1512" s="2">
        <v>82.0</v>
      </c>
      <c r="J1512" s="37">
        <v>510.88000000000005</v>
      </c>
      <c r="K1512" s="2">
        <v>21.0</v>
      </c>
      <c r="L1512" s="2">
        <v>135.0</v>
      </c>
      <c r="M1512" s="37">
        <v>647.1600000000001</v>
      </c>
    </row>
    <row r="1513" ht="14.25" customHeight="1">
      <c r="A1513" t="s">
        <v>1577</v>
      </c>
      <c r="B1513" t="s">
        <v>1559</v>
      </c>
      <c r="C1513" t="s">
        <v>62</v>
      </c>
      <c r="D1513" t="s">
        <v>63</v>
      </c>
      <c r="E1513">
        <v>5.0</v>
      </c>
      <c r="F1513">
        <v>5.3</v>
      </c>
      <c r="G1513" s="2" t="s">
        <v>67</v>
      </c>
      <c r="H1513" s="2">
        <v>30.0</v>
      </c>
      <c r="I1513" s="2">
        <v>180.0</v>
      </c>
      <c r="J1513" s="37">
        <v>907.8000000000001</v>
      </c>
      <c r="K1513" s="2">
        <v>34.0</v>
      </c>
      <c r="L1513" s="2">
        <v>267.0</v>
      </c>
      <c r="M1513" s="37">
        <v>1110.74</v>
      </c>
    </row>
    <row r="1514" ht="14.25" customHeight="1">
      <c r="A1514" t="s">
        <v>1578</v>
      </c>
      <c r="B1514" t="s">
        <v>1559</v>
      </c>
      <c r="C1514" t="s">
        <v>75</v>
      </c>
      <c r="D1514" t="s">
        <v>63</v>
      </c>
      <c r="E1514">
        <v>8.5</v>
      </c>
      <c r="F1514">
        <v>10.0</v>
      </c>
      <c r="G1514" s="2" t="s">
        <v>64</v>
      </c>
      <c r="H1514" s="2">
        <v>0.0</v>
      </c>
      <c r="I1514" s="2">
        <v>0.0</v>
      </c>
      <c r="J1514" s="37">
        <v>0.0</v>
      </c>
      <c r="K1514" s="2">
        <v>0.0</v>
      </c>
      <c r="L1514" s="2">
        <v>0.0</v>
      </c>
      <c r="M1514" s="37">
        <v>0.0</v>
      </c>
    </row>
    <row r="1515" ht="14.25" customHeight="1">
      <c r="A1515" t="s">
        <v>1579</v>
      </c>
      <c r="B1515" t="s">
        <v>1559</v>
      </c>
      <c r="C1515" t="s">
        <v>75</v>
      </c>
      <c r="D1515" t="s">
        <v>63</v>
      </c>
      <c r="E1515">
        <v>10.0</v>
      </c>
      <c r="F1515">
        <v>11.0</v>
      </c>
      <c r="G1515" s="2" t="s">
        <v>64</v>
      </c>
      <c r="H1515" s="2">
        <v>0.0</v>
      </c>
      <c r="I1515" s="2">
        <v>0.0</v>
      </c>
      <c r="J1515" s="37">
        <v>0.0</v>
      </c>
      <c r="K1515" s="2">
        <v>0.0</v>
      </c>
      <c r="L1515" s="2">
        <v>0.0</v>
      </c>
      <c r="M1515" s="37">
        <v>0.0</v>
      </c>
    </row>
    <row r="1516" ht="14.25" customHeight="1">
      <c r="A1516" t="s">
        <v>1580</v>
      </c>
      <c r="B1516" t="s">
        <v>1559</v>
      </c>
      <c r="C1516" t="s">
        <v>75</v>
      </c>
      <c r="D1516" t="s">
        <v>63</v>
      </c>
      <c r="E1516">
        <v>13.0</v>
      </c>
      <c r="F1516">
        <v>15.5</v>
      </c>
      <c r="G1516" s="2" t="s">
        <v>67</v>
      </c>
      <c r="H1516" s="2">
        <v>86.0</v>
      </c>
      <c r="I1516" s="2">
        <v>326.0</v>
      </c>
      <c r="J1516" s="37">
        <v>2355.36</v>
      </c>
      <c r="K1516" s="2">
        <v>100.0</v>
      </c>
      <c r="L1516" s="2">
        <v>578.0</v>
      </c>
      <c r="M1516" s="37">
        <v>2997.4</v>
      </c>
    </row>
    <row r="1517" ht="14.25" customHeight="1">
      <c r="A1517" t="s">
        <v>1581</v>
      </c>
      <c r="B1517" t="s">
        <v>1559</v>
      </c>
      <c r="C1517" t="s">
        <v>75</v>
      </c>
      <c r="D1517" t="s">
        <v>63</v>
      </c>
      <c r="E1517">
        <v>14.5</v>
      </c>
      <c r="F1517">
        <v>17.0</v>
      </c>
      <c r="G1517" s="2" t="s">
        <v>67</v>
      </c>
      <c r="H1517" s="2">
        <v>93.0</v>
      </c>
      <c r="I1517" s="2">
        <v>332.0</v>
      </c>
      <c r="J1517" s="37">
        <v>2520.38</v>
      </c>
      <c r="K1517" s="2">
        <v>108.0</v>
      </c>
      <c r="L1517" s="2">
        <v>613.0</v>
      </c>
      <c r="M1517" s="37">
        <v>3222.5800000000004</v>
      </c>
    </row>
    <row r="1518" ht="14.25" customHeight="1">
      <c r="A1518" t="s">
        <v>1582</v>
      </c>
      <c r="B1518" t="s">
        <v>1559</v>
      </c>
      <c r="C1518" t="s">
        <v>75</v>
      </c>
      <c r="D1518" t="s">
        <v>63</v>
      </c>
      <c r="E1518">
        <v>16.0</v>
      </c>
      <c r="F1518">
        <v>18.9</v>
      </c>
      <c r="G1518" s="2" t="s">
        <v>67</v>
      </c>
      <c r="H1518" s="2">
        <v>97.0</v>
      </c>
      <c r="I1518" s="2">
        <v>216.0</v>
      </c>
      <c r="J1518" s="37">
        <v>2459.42</v>
      </c>
      <c r="K1518" s="2">
        <v>114.0</v>
      </c>
      <c r="L1518" s="2">
        <v>526.0</v>
      </c>
      <c r="M1518" s="37">
        <v>3244.2400000000002</v>
      </c>
    </row>
    <row r="1519" ht="14.25" customHeight="1">
      <c r="A1519" t="s">
        <v>1583</v>
      </c>
      <c r="B1519" t="s">
        <v>1559</v>
      </c>
      <c r="C1519" t="s">
        <v>62</v>
      </c>
      <c r="D1519" t="s">
        <v>63</v>
      </c>
      <c r="E1519">
        <v>2.5</v>
      </c>
      <c r="F1519">
        <v>3.2</v>
      </c>
      <c r="G1519" s="2" t="s">
        <v>67</v>
      </c>
      <c r="H1519" s="2">
        <v>16.0</v>
      </c>
      <c r="I1519" s="2">
        <v>91.0</v>
      </c>
      <c r="J1519" s="37">
        <v>477.66</v>
      </c>
      <c r="K1519" s="2">
        <v>18.0</v>
      </c>
      <c r="L1519" s="2">
        <v>129.0</v>
      </c>
      <c r="M1519" s="37">
        <v>571.98</v>
      </c>
    </row>
    <row r="1520" ht="14.25" customHeight="1">
      <c r="A1520" t="s">
        <v>1584</v>
      </c>
      <c r="B1520" t="s">
        <v>1559</v>
      </c>
      <c r="C1520" t="s">
        <v>62</v>
      </c>
      <c r="D1520" t="s">
        <v>63</v>
      </c>
      <c r="E1520">
        <v>7.2</v>
      </c>
      <c r="F1520">
        <v>7.5</v>
      </c>
      <c r="G1520" s="2" t="s">
        <v>67</v>
      </c>
      <c r="H1520" s="2">
        <v>41.0</v>
      </c>
      <c r="I1520" s="2">
        <v>222.0</v>
      </c>
      <c r="J1520" s="37">
        <v>1209.46</v>
      </c>
      <c r="K1520" s="2">
        <v>47.0</v>
      </c>
      <c r="L1520" s="2">
        <v>346.0</v>
      </c>
      <c r="M1520" s="37">
        <v>1505.42</v>
      </c>
    </row>
    <row r="1521" ht="14.25" customHeight="1">
      <c r="A1521" t="s">
        <v>1585</v>
      </c>
      <c r="B1521" t="s">
        <v>1559</v>
      </c>
      <c r="C1521" t="s">
        <v>62</v>
      </c>
      <c r="D1521" t="s">
        <v>63</v>
      </c>
      <c r="E1521">
        <v>8.0</v>
      </c>
      <c r="F1521">
        <v>8.0</v>
      </c>
      <c r="G1521" s="2" t="s">
        <v>64</v>
      </c>
      <c r="H1521" s="2">
        <v>0.0</v>
      </c>
      <c r="I1521" s="2">
        <v>0.0</v>
      </c>
      <c r="J1521" s="37">
        <v>0.0</v>
      </c>
      <c r="K1521" s="2">
        <v>0.0</v>
      </c>
      <c r="L1521" s="2">
        <v>0.0</v>
      </c>
      <c r="M1521" s="37">
        <v>0.0</v>
      </c>
    </row>
    <row r="1522" ht="14.25" customHeight="1">
      <c r="A1522" t="s">
        <v>1586</v>
      </c>
      <c r="B1522" t="s">
        <v>1559</v>
      </c>
      <c r="C1522" t="s">
        <v>75</v>
      </c>
      <c r="D1522" t="s">
        <v>63</v>
      </c>
      <c r="E1522">
        <v>8.5</v>
      </c>
      <c r="F1522">
        <v>10.0</v>
      </c>
      <c r="G1522" s="2" t="s">
        <v>64</v>
      </c>
      <c r="H1522" s="2">
        <v>0.0</v>
      </c>
      <c r="I1522" s="2">
        <v>0.0</v>
      </c>
      <c r="J1522" s="37">
        <v>0.0</v>
      </c>
      <c r="K1522" s="2">
        <v>0.0</v>
      </c>
      <c r="L1522" s="2">
        <v>0.0</v>
      </c>
      <c r="M1522" s="37">
        <v>0.0</v>
      </c>
    </row>
    <row r="1523" ht="14.25" customHeight="1">
      <c r="A1523" t="s">
        <v>1587</v>
      </c>
      <c r="B1523" t="s">
        <v>1559</v>
      </c>
      <c r="C1523" t="s">
        <v>75</v>
      </c>
      <c r="D1523" t="s">
        <v>63</v>
      </c>
      <c r="E1523">
        <v>10.0</v>
      </c>
      <c r="F1523">
        <v>11.0</v>
      </c>
      <c r="G1523" s="2" t="s">
        <v>64</v>
      </c>
      <c r="H1523" s="2">
        <v>0.0</v>
      </c>
      <c r="I1523" s="2">
        <v>0.0</v>
      </c>
      <c r="J1523" s="37">
        <v>0.0</v>
      </c>
      <c r="K1523" s="2">
        <v>0.0</v>
      </c>
      <c r="L1523" s="2">
        <v>0.0</v>
      </c>
      <c r="M1523" s="37">
        <v>0.0</v>
      </c>
    </row>
    <row r="1524" ht="14.25" customHeight="1">
      <c r="A1524" t="s">
        <v>1588</v>
      </c>
      <c r="B1524" t="s">
        <v>1559</v>
      </c>
      <c r="C1524" t="s">
        <v>75</v>
      </c>
      <c r="D1524" t="s">
        <v>63</v>
      </c>
      <c r="E1524">
        <v>12.3</v>
      </c>
      <c r="F1524">
        <v>14.0</v>
      </c>
      <c r="G1524" s="2" t="s">
        <v>64</v>
      </c>
      <c r="H1524" s="2">
        <v>0.0</v>
      </c>
      <c r="I1524" s="2">
        <v>0.0</v>
      </c>
      <c r="J1524" s="37">
        <v>0.0</v>
      </c>
      <c r="K1524" s="2">
        <v>0.0</v>
      </c>
      <c r="L1524" s="2">
        <v>0.0</v>
      </c>
      <c r="M1524" s="37">
        <v>0.0</v>
      </c>
    </row>
    <row r="1525" ht="14.25" customHeight="1">
      <c r="A1525" t="s">
        <v>1589</v>
      </c>
      <c r="B1525" t="s">
        <v>1559</v>
      </c>
      <c r="C1525" t="s">
        <v>62</v>
      </c>
      <c r="D1525" t="s">
        <v>63</v>
      </c>
      <c r="E1525">
        <v>2.5</v>
      </c>
      <c r="F1525">
        <v>3.2</v>
      </c>
      <c r="G1525" s="2" t="s">
        <v>67</v>
      </c>
      <c r="H1525" s="2">
        <v>16.0</v>
      </c>
      <c r="I1525" s="2">
        <v>85.0</v>
      </c>
      <c r="J1525" s="37">
        <v>469.86</v>
      </c>
      <c r="K1525" s="2">
        <v>18.0</v>
      </c>
      <c r="L1525" s="2">
        <v>123.0</v>
      </c>
      <c r="M1525" s="37">
        <v>564.1800000000001</v>
      </c>
    </row>
    <row r="1526" ht="14.25" customHeight="1">
      <c r="A1526" t="s">
        <v>1590</v>
      </c>
      <c r="B1526" t="s">
        <v>1559</v>
      </c>
      <c r="C1526" t="s">
        <v>62</v>
      </c>
      <c r="D1526" t="s">
        <v>63</v>
      </c>
      <c r="E1526">
        <v>3.7</v>
      </c>
      <c r="F1526">
        <v>3.9</v>
      </c>
      <c r="G1526" s="2" t="s">
        <v>67</v>
      </c>
      <c r="H1526" s="2">
        <v>19.0</v>
      </c>
      <c r="I1526" s="2">
        <v>73.0</v>
      </c>
      <c r="J1526" s="37">
        <v>521.64</v>
      </c>
      <c r="K1526" s="2">
        <v>22.0</v>
      </c>
      <c r="L1526" s="2">
        <v>129.0</v>
      </c>
      <c r="M1526" s="37">
        <v>661.82</v>
      </c>
    </row>
    <row r="1527" ht="14.25" customHeight="1">
      <c r="A1527" t="s">
        <v>1591</v>
      </c>
      <c r="B1527" t="s">
        <v>1559</v>
      </c>
      <c r="C1527" t="s">
        <v>62</v>
      </c>
      <c r="D1527" t="s">
        <v>63</v>
      </c>
      <c r="E1527">
        <v>2.5</v>
      </c>
      <c r="F1527">
        <v>3.2</v>
      </c>
      <c r="G1527" s="2" t="s">
        <v>67</v>
      </c>
      <c r="H1527" s="2">
        <v>16.0</v>
      </c>
      <c r="I1527" s="2">
        <v>85.0</v>
      </c>
      <c r="J1527" s="37">
        <v>469.86</v>
      </c>
      <c r="K1527" s="2">
        <v>18.0</v>
      </c>
      <c r="L1527" s="2">
        <v>123.0</v>
      </c>
      <c r="M1527" s="37">
        <v>564.1800000000001</v>
      </c>
    </row>
    <row r="1528" ht="14.25" customHeight="1">
      <c r="A1528" t="s">
        <v>1592</v>
      </c>
      <c r="B1528" t="s">
        <v>1559</v>
      </c>
      <c r="C1528" t="s">
        <v>62</v>
      </c>
      <c r="D1528" t="s">
        <v>63</v>
      </c>
      <c r="E1528">
        <v>3.7</v>
      </c>
      <c r="F1528">
        <v>3.9</v>
      </c>
      <c r="G1528" s="2" t="s">
        <v>67</v>
      </c>
      <c r="H1528" s="2">
        <v>19.0</v>
      </c>
      <c r="I1528" s="2">
        <v>73.0</v>
      </c>
      <c r="J1528" s="37">
        <v>521.64</v>
      </c>
      <c r="K1528" s="2">
        <v>22.0</v>
      </c>
      <c r="L1528" s="2">
        <v>129.0</v>
      </c>
      <c r="M1528" s="37">
        <v>661.82</v>
      </c>
    </row>
    <row r="1529" ht="14.25" customHeight="1">
      <c r="A1529" t="s">
        <v>1593</v>
      </c>
      <c r="B1529" t="s">
        <v>1559</v>
      </c>
      <c r="C1529" t="s">
        <v>62</v>
      </c>
      <c r="D1529" t="s">
        <v>63</v>
      </c>
      <c r="E1529">
        <v>5.1</v>
      </c>
      <c r="F1529">
        <v>5.8</v>
      </c>
      <c r="G1529" s="2" t="s">
        <v>67</v>
      </c>
      <c r="H1529" s="2">
        <v>32.0</v>
      </c>
      <c r="I1529" s="2">
        <v>203.0</v>
      </c>
      <c r="J1529" s="37">
        <v>982.6200000000001</v>
      </c>
      <c r="K1529" s="2">
        <v>37.0</v>
      </c>
      <c r="L1529" s="2">
        <v>291.0</v>
      </c>
      <c r="M1529" s="37">
        <v>1209.32</v>
      </c>
    </row>
    <row r="1530" ht="14.25" customHeight="1">
      <c r="A1530" t="s">
        <v>1594</v>
      </c>
      <c r="B1530" t="s">
        <v>1559</v>
      </c>
      <c r="C1530" t="s">
        <v>62</v>
      </c>
      <c r="D1530" t="s">
        <v>63</v>
      </c>
      <c r="E1530">
        <v>5.1</v>
      </c>
      <c r="F1530">
        <v>5.8</v>
      </c>
      <c r="G1530" s="2" t="s">
        <v>67</v>
      </c>
      <c r="H1530" s="2">
        <v>32.0</v>
      </c>
      <c r="I1530" s="2">
        <v>203.0</v>
      </c>
      <c r="J1530" s="37">
        <v>982.6200000000001</v>
      </c>
      <c r="K1530" s="2">
        <v>37.0</v>
      </c>
      <c r="L1530" s="2">
        <v>291.0</v>
      </c>
      <c r="M1530" s="37">
        <v>1209.32</v>
      </c>
    </row>
    <row r="1531" ht="14.25" customHeight="1">
      <c r="A1531" t="s">
        <v>1595</v>
      </c>
      <c r="B1531" t="s">
        <v>1559</v>
      </c>
      <c r="C1531" t="s">
        <v>62</v>
      </c>
      <c r="D1531" t="s">
        <v>63</v>
      </c>
      <c r="E1531">
        <v>5.1</v>
      </c>
      <c r="F1531">
        <v>5.8</v>
      </c>
      <c r="G1531" s="2" t="s">
        <v>67</v>
      </c>
      <c r="H1531" s="2">
        <v>26.0</v>
      </c>
      <c r="I1531" s="2">
        <v>203.0</v>
      </c>
      <c r="J1531" s="37">
        <v>847.8600000000001</v>
      </c>
      <c r="K1531" s="2">
        <v>31.0</v>
      </c>
      <c r="L1531" s="2">
        <v>291.0</v>
      </c>
      <c r="M1531" s="37">
        <v>1074.56</v>
      </c>
    </row>
    <row r="1532" ht="14.25" customHeight="1">
      <c r="A1532" t="s">
        <v>1596</v>
      </c>
      <c r="B1532" t="s">
        <v>1559</v>
      </c>
      <c r="C1532" t="s">
        <v>62</v>
      </c>
      <c r="D1532" t="s">
        <v>63</v>
      </c>
      <c r="E1532">
        <v>7.2</v>
      </c>
      <c r="F1532">
        <v>8.0</v>
      </c>
      <c r="G1532" s="2" t="s">
        <v>67</v>
      </c>
      <c r="H1532" s="2">
        <v>41.0</v>
      </c>
      <c r="I1532" s="2">
        <v>188.0</v>
      </c>
      <c r="J1532" s="37">
        <v>1165.26</v>
      </c>
      <c r="K1532" s="2">
        <v>48.0</v>
      </c>
      <c r="L1532" s="2">
        <v>312.0</v>
      </c>
      <c r="M1532" s="37">
        <v>1483.6799999999998</v>
      </c>
    </row>
    <row r="1533" ht="14.25" customHeight="1">
      <c r="A1533" t="s">
        <v>1597</v>
      </c>
      <c r="B1533" t="s">
        <v>1559</v>
      </c>
      <c r="C1533" t="s">
        <v>62</v>
      </c>
      <c r="D1533" t="s">
        <v>63</v>
      </c>
      <c r="E1533">
        <v>7.2</v>
      </c>
      <c r="F1533">
        <v>8.0</v>
      </c>
      <c r="G1533" s="2" t="s">
        <v>67</v>
      </c>
      <c r="H1533" s="2">
        <v>41.0</v>
      </c>
      <c r="I1533" s="2">
        <v>188.0</v>
      </c>
      <c r="J1533" s="37">
        <v>1165.26</v>
      </c>
      <c r="K1533" s="2">
        <v>48.0</v>
      </c>
      <c r="L1533" s="2">
        <v>312.0</v>
      </c>
      <c r="M1533" s="37">
        <v>1483.6799999999998</v>
      </c>
    </row>
    <row r="1534" ht="14.25" customHeight="1">
      <c r="A1534" t="s">
        <v>1598</v>
      </c>
      <c r="B1534" t="s">
        <v>1559</v>
      </c>
      <c r="C1534" t="s">
        <v>62</v>
      </c>
      <c r="D1534" t="s">
        <v>63</v>
      </c>
      <c r="E1534">
        <v>7.2</v>
      </c>
      <c r="F1534">
        <v>8.0</v>
      </c>
      <c r="G1534" s="2" t="s">
        <v>67</v>
      </c>
      <c r="H1534" s="2">
        <v>0.0</v>
      </c>
      <c r="I1534" s="2">
        <v>0.0</v>
      </c>
      <c r="J1534" s="37">
        <v>0.0</v>
      </c>
      <c r="K1534" s="2">
        <v>0.0</v>
      </c>
      <c r="L1534" s="2">
        <v>0.0</v>
      </c>
      <c r="M1534" s="37">
        <v>0.0</v>
      </c>
    </row>
    <row r="1535" ht="14.25" customHeight="1">
      <c r="A1535" t="s">
        <v>1599</v>
      </c>
      <c r="B1535" t="s">
        <v>1559</v>
      </c>
      <c r="C1535" t="s">
        <v>62</v>
      </c>
      <c r="D1535" t="s">
        <v>63</v>
      </c>
      <c r="E1535">
        <v>8.0</v>
      </c>
      <c r="F1535">
        <v>8.5</v>
      </c>
      <c r="G1535" s="2" t="s">
        <v>64</v>
      </c>
      <c r="H1535" s="2">
        <v>0.0</v>
      </c>
      <c r="I1535" s="2">
        <v>0.0</v>
      </c>
      <c r="J1535" s="37">
        <v>0.0</v>
      </c>
      <c r="K1535" s="2">
        <v>0.0</v>
      </c>
      <c r="L1535" s="2">
        <v>0.0</v>
      </c>
      <c r="M1535" s="37">
        <v>0.0</v>
      </c>
    </row>
    <row r="1536" ht="14.25" customHeight="1">
      <c r="A1536" t="s">
        <v>1600</v>
      </c>
      <c r="B1536" t="s">
        <v>1559</v>
      </c>
      <c r="C1536" t="s">
        <v>62</v>
      </c>
      <c r="D1536" t="s">
        <v>63</v>
      </c>
      <c r="E1536">
        <v>8.0</v>
      </c>
      <c r="F1536">
        <v>8.5</v>
      </c>
      <c r="G1536" s="2" t="s">
        <v>64</v>
      </c>
      <c r="H1536" s="2">
        <v>0.0</v>
      </c>
      <c r="I1536" s="2">
        <v>0.0</v>
      </c>
      <c r="J1536" s="37">
        <v>0.0</v>
      </c>
      <c r="K1536" s="2">
        <v>0.0</v>
      </c>
      <c r="L1536" s="2">
        <v>0.0</v>
      </c>
      <c r="M1536" s="37">
        <v>0.0</v>
      </c>
    </row>
    <row r="1537" ht="14.25" customHeight="1">
      <c r="A1537" t="s">
        <v>1601</v>
      </c>
      <c r="B1537" t="s">
        <v>1559</v>
      </c>
      <c r="C1537" t="s">
        <v>62</v>
      </c>
      <c r="D1537" t="s">
        <v>63</v>
      </c>
      <c r="E1537">
        <v>8.0</v>
      </c>
      <c r="F1537">
        <v>8.5</v>
      </c>
      <c r="G1537" s="2" t="s">
        <v>64</v>
      </c>
      <c r="H1537" s="2">
        <v>0.0</v>
      </c>
      <c r="I1537" s="2">
        <v>0.0</v>
      </c>
      <c r="J1537" s="37">
        <v>0.0</v>
      </c>
      <c r="K1537" s="2">
        <v>0.0</v>
      </c>
      <c r="L1537" s="2">
        <v>0.0</v>
      </c>
      <c r="M1537" s="37">
        <v>0.0</v>
      </c>
    </row>
    <row r="1538" ht="14.25" customHeight="1">
      <c r="A1538" t="s">
        <v>1602</v>
      </c>
      <c r="B1538" t="s">
        <v>1559</v>
      </c>
      <c r="C1538" t="s">
        <v>75</v>
      </c>
      <c r="D1538" t="s">
        <v>63</v>
      </c>
      <c r="E1538">
        <v>18.0</v>
      </c>
      <c r="F1538">
        <v>21.0</v>
      </c>
      <c r="G1538" s="2" t="s">
        <v>67</v>
      </c>
      <c r="H1538" s="2">
        <v>108.0</v>
      </c>
      <c r="I1538" s="2">
        <v>101.0</v>
      </c>
      <c r="J1538" s="37">
        <v>2556.9800000000005</v>
      </c>
      <c r="K1538" s="2">
        <v>126.0</v>
      </c>
      <c r="L1538" s="2">
        <v>450.0</v>
      </c>
      <c r="M1538" s="37">
        <v>3414.96</v>
      </c>
    </row>
    <row r="1539" ht="14.25" customHeight="1">
      <c r="A1539" t="s">
        <v>1603</v>
      </c>
      <c r="B1539" t="s">
        <v>1604</v>
      </c>
      <c r="C1539" t="s">
        <v>62</v>
      </c>
      <c r="D1539" t="s">
        <v>63</v>
      </c>
      <c r="E1539">
        <v>7.1</v>
      </c>
      <c r="F1539">
        <v>8.0</v>
      </c>
      <c r="G1539" s="2" t="s">
        <v>64</v>
      </c>
      <c r="H1539" s="2">
        <v>0.0</v>
      </c>
      <c r="I1539" s="2">
        <v>0.0</v>
      </c>
      <c r="J1539" s="37">
        <v>0.0</v>
      </c>
      <c r="K1539" s="2">
        <v>0.0</v>
      </c>
      <c r="L1539" s="2">
        <v>0.0</v>
      </c>
      <c r="M1539" s="37">
        <v>0.0</v>
      </c>
    </row>
    <row r="1540" ht="14.25" customHeight="1">
      <c r="A1540" t="s">
        <v>1605</v>
      </c>
      <c r="B1540" t="s">
        <v>1604</v>
      </c>
      <c r="C1540" t="s">
        <v>62</v>
      </c>
      <c r="D1540" t="s">
        <v>63</v>
      </c>
      <c r="E1540">
        <v>10.0</v>
      </c>
      <c r="F1540">
        <v>11.2</v>
      </c>
      <c r="G1540" s="2" t="s">
        <v>64</v>
      </c>
      <c r="H1540" s="2">
        <v>0.0</v>
      </c>
      <c r="I1540" s="2">
        <v>0.0</v>
      </c>
      <c r="J1540" s="37">
        <v>0.0</v>
      </c>
      <c r="K1540" s="2">
        <v>0.0</v>
      </c>
      <c r="L1540" s="2">
        <v>0.0</v>
      </c>
      <c r="M1540" s="37">
        <v>0.0</v>
      </c>
    </row>
    <row r="1541" ht="14.25" customHeight="1">
      <c r="A1541" t="s">
        <v>1606</v>
      </c>
      <c r="B1541" t="s">
        <v>1604</v>
      </c>
      <c r="C1541" t="s">
        <v>62</v>
      </c>
      <c r="D1541" t="s">
        <v>63</v>
      </c>
      <c r="E1541">
        <v>12.5</v>
      </c>
      <c r="F1541">
        <v>14.0</v>
      </c>
      <c r="G1541" s="2" t="s">
        <v>64</v>
      </c>
      <c r="H1541" s="2">
        <v>0.0</v>
      </c>
      <c r="I1541" s="2">
        <v>0.0</v>
      </c>
      <c r="J1541" s="37">
        <v>0.0</v>
      </c>
      <c r="K1541" s="2">
        <v>0.0</v>
      </c>
      <c r="L1541" s="2">
        <v>0.0</v>
      </c>
      <c r="M1541" s="37">
        <v>0.0</v>
      </c>
    </row>
    <row r="1542" ht="14.25" customHeight="1">
      <c r="A1542" t="s">
        <v>1607</v>
      </c>
      <c r="B1542" t="s">
        <v>1604</v>
      </c>
      <c r="C1542" t="s">
        <v>62</v>
      </c>
      <c r="D1542" t="s">
        <v>63</v>
      </c>
      <c r="E1542">
        <v>13.0</v>
      </c>
      <c r="F1542">
        <v>16.0</v>
      </c>
      <c r="G1542" s="2" t="s">
        <v>64</v>
      </c>
      <c r="H1542" s="2">
        <v>0.0</v>
      </c>
      <c r="I1542" s="2">
        <v>0.0</v>
      </c>
      <c r="J1542" s="37">
        <v>0.0</v>
      </c>
      <c r="K1542" s="2">
        <v>0.0</v>
      </c>
      <c r="L1542" s="2">
        <v>0.0</v>
      </c>
      <c r="M1542" s="37">
        <v>0.0</v>
      </c>
    </row>
    <row r="1543" ht="14.25" customHeight="1">
      <c r="A1543" t="s">
        <v>1608</v>
      </c>
      <c r="B1543" t="s">
        <v>1604</v>
      </c>
      <c r="C1543" t="s">
        <v>62</v>
      </c>
      <c r="D1543" t="s">
        <v>63</v>
      </c>
      <c r="E1543">
        <v>3.5</v>
      </c>
      <c r="F1543">
        <v>4.2</v>
      </c>
      <c r="G1543" s="2" t="s">
        <v>64</v>
      </c>
      <c r="H1543" s="2">
        <v>0.0</v>
      </c>
      <c r="I1543" s="2">
        <v>0.0</v>
      </c>
      <c r="J1543" s="37">
        <v>0.0</v>
      </c>
      <c r="K1543" s="2">
        <v>0.0</v>
      </c>
      <c r="L1543" s="2">
        <v>0.0</v>
      </c>
      <c r="M1543" s="37">
        <v>0.0</v>
      </c>
    </row>
    <row r="1544" ht="14.25" customHeight="1">
      <c r="A1544" t="s">
        <v>1609</v>
      </c>
      <c r="B1544" t="s">
        <v>1604</v>
      </c>
      <c r="C1544" t="s">
        <v>62</v>
      </c>
      <c r="D1544" t="s">
        <v>63</v>
      </c>
      <c r="E1544">
        <v>5.0</v>
      </c>
      <c r="F1544">
        <v>6.0</v>
      </c>
      <c r="G1544" s="2" t="s">
        <v>64</v>
      </c>
      <c r="H1544" s="2">
        <v>0.0</v>
      </c>
      <c r="I1544" s="2">
        <v>0.0</v>
      </c>
      <c r="J1544" s="37">
        <v>0.0</v>
      </c>
      <c r="K1544" s="2">
        <v>0.0</v>
      </c>
      <c r="L1544" s="2">
        <v>0.0</v>
      </c>
      <c r="M1544" s="37">
        <v>0.0</v>
      </c>
    </row>
    <row r="1545" ht="14.25" customHeight="1">
      <c r="A1545" t="s">
        <v>1610</v>
      </c>
      <c r="B1545" t="s">
        <v>1604</v>
      </c>
      <c r="C1545" t="s">
        <v>62</v>
      </c>
      <c r="D1545" t="s">
        <v>63</v>
      </c>
      <c r="E1545">
        <v>2.5</v>
      </c>
      <c r="F1545">
        <v>3.2</v>
      </c>
      <c r="G1545" s="2" t="s">
        <v>64</v>
      </c>
      <c r="H1545" s="2">
        <v>0.0</v>
      </c>
      <c r="I1545" s="2">
        <v>0.0</v>
      </c>
      <c r="J1545" s="37">
        <v>0.0</v>
      </c>
      <c r="K1545" s="2">
        <v>0.0</v>
      </c>
      <c r="L1545" s="2">
        <v>0.0</v>
      </c>
      <c r="M1545" s="37">
        <v>0.0</v>
      </c>
    </row>
    <row r="1546" ht="14.25" customHeight="1">
      <c r="A1546" t="s">
        <v>1611</v>
      </c>
      <c r="B1546" t="s">
        <v>1604</v>
      </c>
      <c r="C1546" t="s">
        <v>62</v>
      </c>
      <c r="D1546" t="s">
        <v>63</v>
      </c>
      <c r="E1546">
        <v>3.5</v>
      </c>
      <c r="F1546">
        <v>3.8</v>
      </c>
      <c r="G1546" s="2" t="s">
        <v>64</v>
      </c>
      <c r="H1546" s="2">
        <v>0.0</v>
      </c>
      <c r="I1546" s="2">
        <v>0.0</v>
      </c>
      <c r="J1546" s="37">
        <v>0.0</v>
      </c>
      <c r="K1546" s="2">
        <v>0.0</v>
      </c>
      <c r="L1546" s="2">
        <v>0.0</v>
      </c>
      <c r="M1546" s="37">
        <v>0.0</v>
      </c>
    </row>
    <row r="1547" ht="14.25" customHeight="1">
      <c r="A1547" t="s">
        <v>1612</v>
      </c>
      <c r="B1547" t="s">
        <v>1604</v>
      </c>
      <c r="C1547" t="s">
        <v>62</v>
      </c>
      <c r="D1547" t="s">
        <v>63</v>
      </c>
      <c r="E1547">
        <v>5.0</v>
      </c>
      <c r="F1547">
        <v>6.0</v>
      </c>
      <c r="G1547" s="2" t="s">
        <v>64</v>
      </c>
      <c r="H1547" s="2">
        <v>0.0</v>
      </c>
      <c r="I1547" s="2">
        <v>0.0</v>
      </c>
      <c r="J1547" s="37">
        <v>0.0</v>
      </c>
      <c r="K1547" s="2">
        <v>0.0</v>
      </c>
      <c r="L1547" s="2">
        <v>0.0</v>
      </c>
      <c r="M1547" s="37">
        <v>0.0</v>
      </c>
    </row>
    <row r="1548" ht="14.25" customHeight="1">
      <c r="A1548" t="s">
        <v>1613</v>
      </c>
      <c r="B1548" t="s">
        <v>1604</v>
      </c>
      <c r="C1548" t="s">
        <v>62</v>
      </c>
      <c r="D1548" t="s">
        <v>63</v>
      </c>
      <c r="E1548">
        <v>6.0</v>
      </c>
      <c r="F1548">
        <v>7.0</v>
      </c>
      <c r="G1548" s="2" t="s">
        <v>64</v>
      </c>
      <c r="H1548" s="2">
        <v>0.0</v>
      </c>
      <c r="I1548" s="2">
        <v>0.0</v>
      </c>
      <c r="J1548" s="37">
        <v>0.0</v>
      </c>
      <c r="K1548" s="2">
        <v>0.0</v>
      </c>
      <c r="L1548" s="2">
        <v>0.0</v>
      </c>
      <c r="M1548" s="37">
        <v>0.0</v>
      </c>
    </row>
    <row r="1549" ht="14.25" customHeight="1">
      <c r="A1549" t="s">
        <v>1614</v>
      </c>
      <c r="B1549" t="s">
        <v>1604</v>
      </c>
      <c r="C1549" t="s">
        <v>62</v>
      </c>
      <c r="D1549" t="s">
        <v>63</v>
      </c>
      <c r="E1549">
        <v>7.0</v>
      </c>
      <c r="F1549">
        <v>8.0</v>
      </c>
      <c r="G1549" s="2" t="s">
        <v>64</v>
      </c>
      <c r="H1549" s="2">
        <v>0.0</v>
      </c>
      <c r="I1549" s="2">
        <v>0.0</v>
      </c>
      <c r="J1549" s="37">
        <v>0.0</v>
      </c>
      <c r="K1549" s="2">
        <v>0.0</v>
      </c>
      <c r="L1549" s="2">
        <v>0.0</v>
      </c>
      <c r="M1549" s="37">
        <v>0.0</v>
      </c>
    </row>
    <row r="1550" ht="14.25" customHeight="1">
      <c r="A1550" t="s">
        <v>1615</v>
      </c>
      <c r="B1550" t="s">
        <v>1604</v>
      </c>
      <c r="C1550" t="s">
        <v>62</v>
      </c>
      <c r="D1550" t="s">
        <v>63</v>
      </c>
      <c r="E1550">
        <v>8.0</v>
      </c>
      <c r="F1550">
        <v>9.0</v>
      </c>
      <c r="G1550" s="2" t="s">
        <v>64</v>
      </c>
      <c r="H1550" s="2">
        <v>0.0</v>
      </c>
      <c r="I1550" s="2">
        <v>0.0</v>
      </c>
      <c r="J1550" s="37">
        <v>0.0</v>
      </c>
      <c r="K1550" s="2">
        <v>0.0</v>
      </c>
      <c r="L1550" s="2">
        <v>0.0</v>
      </c>
      <c r="M1550" s="37">
        <v>0.0</v>
      </c>
    </row>
    <row r="1551" ht="14.25" customHeight="1">
      <c r="A1551" t="s">
        <v>1616</v>
      </c>
      <c r="B1551" t="s">
        <v>1604</v>
      </c>
      <c r="C1551" t="s">
        <v>62</v>
      </c>
      <c r="D1551" t="s">
        <v>63</v>
      </c>
      <c r="E1551">
        <v>5.0</v>
      </c>
      <c r="F1551">
        <v>6.2</v>
      </c>
      <c r="G1551" s="2" t="s">
        <v>67</v>
      </c>
      <c r="H1551" s="2">
        <v>33.0</v>
      </c>
      <c r="I1551" s="2">
        <v>141.0</v>
      </c>
      <c r="J1551" s="37">
        <v>924.48</v>
      </c>
      <c r="K1551" s="2">
        <v>38.0</v>
      </c>
      <c r="L1551" s="2">
        <v>227.0</v>
      </c>
      <c r="M1551" s="37">
        <v>1148.58</v>
      </c>
    </row>
    <row r="1552" ht="14.25" customHeight="1">
      <c r="A1552" t="s">
        <v>1617</v>
      </c>
      <c r="B1552" t="s">
        <v>1604</v>
      </c>
      <c r="C1552" t="s">
        <v>62</v>
      </c>
      <c r="D1552" t="s">
        <v>63</v>
      </c>
      <c r="E1552">
        <v>2.5</v>
      </c>
      <c r="F1552">
        <v>3.3</v>
      </c>
      <c r="G1552" s="2" t="s">
        <v>67</v>
      </c>
      <c r="H1552" s="2">
        <v>17.0</v>
      </c>
      <c r="I1552" s="2">
        <v>113.0</v>
      </c>
      <c r="J1552" s="37">
        <v>528.72</v>
      </c>
      <c r="K1552" s="2">
        <v>20.0</v>
      </c>
      <c r="L1552" s="2">
        <v>151.0</v>
      </c>
      <c r="M1552" s="37">
        <v>645.5</v>
      </c>
    </row>
    <row r="1553" ht="14.25" customHeight="1">
      <c r="A1553" t="s">
        <v>1618</v>
      </c>
      <c r="B1553" t="s">
        <v>1604</v>
      </c>
      <c r="C1553" t="s">
        <v>62</v>
      </c>
      <c r="D1553" t="s">
        <v>63</v>
      </c>
      <c r="E1553">
        <v>3.5</v>
      </c>
      <c r="F1553">
        <v>4.3</v>
      </c>
      <c r="G1553" s="2" t="s">
        <v>67</v>
      </c>
      <c r="H1553" s="2">
        <v>23.0</v>
      </c>
      <c r="I1553" s="2">
        <v>115.0</v>
      </c>
      <c r="J1553" s="37">
        <v>666.08</v>
      </c>
      <c r="K1553" s="2">
        <v>26.0</v>
      </c>
      <c r="L1553" s="2">
        <v>168.0</v>
      </c>
      <c r="M1553" s="37">
        <v>802.36</v>
      </c>
    </row>
    <row r="1554" ht="14.25" customHeight="1">
      <c r="A1554" t="s">
        <v>1619</v>
      </c>
      <c r="B1554" t="s">
        <v>1604</v>
      </c>
      <c r="C1554" t="s">
        <v>62</v>
      </c>
      <c r="D1554" t="s">
        <v>63</v>
      </c>
      <c r="E1554">
        <v>5.0</v>
      </c>
      <c r="F1554">
        <v>6.0</v>
      </c>
      <c r="G1554" s="2" t="s">
        <v>67</v>
      </c>
      <c r="H1554" s="2">
        <v>34.0</v>
      </c>
      <c r="I1554" s="2">
        <v>130.0</v>
      </c>
      <c r="J1554" s="37">
        <v>932.64</v>
      </c>
      <c r="K1554" s="2">
        <v>38.0</v>
      </c>
      <c r="L1554" s="2">
        <v>216.0</v>
      </c>
      <c r="M1554" s="37">
        <v>1134.28</v>
      </c>
    </row>
    <row r="1555" ht="14.25" customHeight="1">
      <c r="A1555" t="s">
        <v>1620</v>
      </c>
      <c r="B1555" t="s">
        <v>1604</v>
      </c>
      <c r="C1555" t="s">
        <v>62</v>
      </c>
      <c r="D1555" t="s">
        <v>63</v>
      </c>
      <c r="E1555">
        <v>2.5</v>
      </c>
      <c r="F1555">
        <v>3.2</v>
      </c>
      <c r="G1555" s="2" t="s">
        <v>67</v>
      </c>
      <c r="H1555" s="2">
        <v>16.0</v>
      </c>
      <c r="I1555" s="2">
        <v>91.0</v>
      </c>
      <c r="J1555" s="37">
        <v>477.66</v>
      </c>
      <c r="K1555" s="2">
        <v>19.0</v>
      </c>
      <c r="L1555" s="2">
        <v>129.0</v>
      </c>
      <c r="M1555" s="37">
        <v>594.44</v>
      </c>
    </row>
    <row r="1556" ht="14.25" customHeight="1">
      <c r="A1556" t="s">
        <v>1621</v>
      </c>
      <c r="B1556" t="s">
        <v>1604</v>
      </c>
      <c r="C1556" t="s">
        <v>62</v>
      </c>
      <c r="D1556" t="s">
        <v>63</v>
      </c>
      <c r="E1556">
        <v>3.5</v>
      </c>
      <c r="F1556">
        <v>4.0</v>
      </c>
      <c r="G1556" s="2" t="s">
        <v>67</v>
      </c>
      <c r="H1556" s="2">
        <v>20.0</v>
      </c>
      <c r="I1556" s="2">
        <v>37.0</v>
      </c>
      <c r="J1556" s="37">
        <v>497.30000000000007</v>
      </c>
      <c r="K1556" s="2">
        <v>22.0</v>
      </c>
      <c r="L1556" s="2">
        <v>90.0</v>
      </c>
      <c r="M1556" s="37">
        <v>611.12</v>
      </c>
    </row>
    <row r="1557" ht="14.25" customHeight="1">
      <c r="A1557" t="s">
        <v>1622</v>
      </c>
      <c r="B1557" t="s">
        <v>1604</v>
      </c>
      <c r="C1557" t="s">
        <v>62</v>
      </c>
      <c r="D1557" t="s">
        <v>63</v>
      </c>
      <c r="E1557">
        <v>5.0</v>
      </c>
      <c r="F1557">
        <v>5.3</v>
      </c>
      <c r="G1557" s="2" t="s">
        <v>67</v>
      </c>
      <c r="H1557" s="2">
        <v>28.0</v>
      </c>
      <c r="I1557" s="2">
        <v>77.0</v>
      </c>
      <c r="J1557" s="37">
        <v>728.98</v>
      </c>
      <c r="K1557" s="2">
        <v>33.0</v>
      </c>
      <c r="L1557" s="2">
        <v>163.0</v>
      </c>
      <c r="M1557" s="37">
        <v>953.08</v>
      </c>
    </row>
    <row r="1558" ht="14.25" customHeight="1">
      <c r="A1558" t="s">
        <v>1623</v>
      </c>
      <c r="B1558" t="s">
        <v>1604</v>
      </c>
      <c r="C1558" t="s">
        <v>62</v>
      </c>
      <c r="D1558" t="s">
        <v>63</v>
      </c>
      <c r="E1558">
        <v>2.5</v>
      </c>
      <c r="F1558">
        <v>3.2</v>
      </c>
      <c r="G1558" s="2" t="s">
        <v>67</v>
      </c>
      <c r="H1558" s="2">
        <v>17.0</v>
      </c>
      <c r="I1558" s="2">
        <v>111.0</v>
      </c>
      <c r="J1558" s="37">
        <v>526.12</v>
      </c>
      <c r="K1558" s="2">
        <v>19.0</v>
      </c>
      <c r="L1558" s="2">
        <v>148.0</v>
      </c>
      <c r="M1558" s="37">
        <v>619.14</v>
      </c>
    </row>
    <row r="1559" ht="14.25" customHeight="1">
      <c r="A1559" t="s">
        <v>1624</v>
      </c>
      <c r="B1559" t="s">
        <v>1604</v>
      </c>
      <c r="C1559" t="s">
        <v>62</v>
      </c>
      <c r="D1559" t="s">
        <v>63</v>
      </c>
      <c r="E1559">
        <v>3.5</v>
      </c>
      <c r="F1559">
        <v>3.8</v>
      </c>
      <c r="G1559" s="2" t="s">
        <v>67</v>
      </c>
      <c r="H1559" s="2">
        <v>20.0</v>
      </c>
      <c r="I1559" s="2">
        <v>73.0</v>
      </c>
      <c r="J1559" s="37">
        <v>544.1</v>
      </c>
      <c r="K1559" s="2">
        <v>22.0</v>
      </c>
      <c r="L1559" s="2">
        <v>126.0</v>
      </c>
      <c r="M1559" s="37">
        <v>657.9200000000001</v>
      </c>
    </row>
    <row r="1560" ht="14.25" customHeight="1">
      <c r="A1560" t="s">
        <v>1625</v>
      </c>
      <c r="B1560" t="s">
        <v>1604</v>
      </c>
      <c r="C1560" t="s">
        <v>62</v>
      </c>
      <c r="D1560" t="s">
        <v>63</v>
      </c>
      <c r="E1560">
        <v>6.0</v>
      </c>
      <c r="F1560">
        <v>7.0</v>
      </c>
      <c r="G1560" s="2" t="s">
        <v>64</v>
      </c>
      <c r="H1560" s="2">
        <v>0.0</v>
      </c>
      <c r="I1560" s="2">
        <v>0.0</v>
      </c>
      <c r="J1560" s="37">
        <v>0.0</v>
      </c>
      <c r="K1560" s="2">
        <v>0.0</v>
      </c>
      <c r="L1560" s="2">
        <v>0.0</v>
      </c>
      <c r="M1560" s="37">
        <v>0.0</v>
      </c>
    </row>
    <row r="1561" ht="14.25" customHeight="1">
      <c r="A1561" t="s">
        <v>1624</v>
      </c>
      <c r="B1561" t="s">
        <v>1604</v>
      </c>
      <c r="C1561" t="s">
        <v>62</v>
      </c>
      <c r="D1561" t="s">
        <v>63</v>
      </c>
      <c r="E1561">
        <v>3.5</v>
      </c>
      <c r="F1561">
        <v>3.8</v>
      </c>
      <c r="G1561" s="2" t="s">
        <v>67</v>
      </c>
      <c r="H1561" s="2">
        <v>20.0</v>
      </c>
      <c r="I1561" s="2">
        <v>73.0</v>
      </c>
      <c r="J1561" s="37">
        <v>544.1</v>
      </c>
      <c r="K1561" s="2">
        <v>22.0</v>
      </c>
      <c r="L1561" s="2">
        <v>126.0</v>
      </c>
      <c r="M1561" s="37">
        <v>657.9200000000001</v>
      </c>
    </row>
    <row r="1562" ht="14.25" customHeight="1">
      <c r="A1562" t="s">
        <v>1626</v>
      </c>
      <c r="B1562" t="s">
        <v>1604</v>
      </c>
      <c r="C1562" t="s">
        <v>62</v>
      </c>
      <c r="D1562" t="s">
        <v>63</v>
      </c>
      <c r="E1562">
        <v>7.0</v>
      </c>
      <c r="F1562">
        <v>8.0</v>
      </c>
      <c r="G1562" s="2" t="s">
        <v>67</v>
      </c>
      <c r="H1562" s="2">
        <v>41.0</v>
      </c>
      <c r="I1562" s="2">
        <v>7.0</v>
      </c>
      <c r="J1562" s="37">
        <v>929.96</v>
      </c>
      <c r="K1562" s="2">
        <v>47.0</v>
      </c>
      <c r="L1562" s="2">
        <v>128.0</v>
      </c>
      <c r="M1562" s="37">
        <v>1222.0200000000002</v>
      </c>
    </row>
    <row r="1563" ht="14.25" customHeight="1">
      <c r="A1563" t="s">
        <v>1625</v>
      </c>
      <c r="B1563" t="s">
        <v>1604</v>
      </c>
      <c r="C1563" t="s">
        <v>62</v>
      </c>
      <c r="D1563" t="s">
        <v>63</v>
      </c>
      <c r="E1563">
        <v>6.0</v>
      </c>
      <c r="F1563">
        <v>7.0</v>
      </c>
      <c r="G1563" s="2" t="s">
        <v>67</v>
      </c>
      <c r="H1563" s="2">
        <v>0.0</v>
      </c>
      <c r="I1563" s="2">
        <v>0.0</v>
      </c>
      <c r="J1563" s="37">
        <v>0.0</v>
      </c>
      <c r="K1563" s="2">
        <v>0.0</v>
      </c>
      <c r="L1563" s="2">
        <v>0.0</v>
      </c>
      <c r="M1563" s="37">
        <v>0.0</v>
      </c>
    </row>
    <row r="1564" ht="14.25" customHeight="1">
      <c r="A1564" t="s">
        <v>1627</v>
      </c>
      <c r="B1564" t="s">
        <v>1604</v>
      </c>
      <c r="C1564" t="s">
        <v>62</v>
      </c>
      <c r="D1564" t="s">
        <v>63</v>
      </c>
      <c r="E1564">
        <v>2.5</v>
      </c>
      <c r="F1564">
        <v>3.2</v>
      </c>
      <c r="G1564" s="2" t="s">
        <v>67</v>
      </c>
      <c r="H1564" s="2">
        <v>16.0</v>
      </c>
      <c r="I1564" s="2">
        <v>108.0</v>
      </c>
      <c r="J1564" s="37">
        <v>499.76</v>
      </c>
      <c r="K1564" s="2">
        <v>19.0</v>
      </c>
      <c r="L1564" s="2">
        <v>146.0</v>
      </c>
      <c r="M1564" s="37">
        <v>616.54</v>
      </c>
    </row>
    <row r="1565" ht="14.25" customHeight="1">
      <c r="A1565" t="s">
        <v>1628</v>
      </c>
      <c r="B1565" t="s">
        <v>1604</v>
      </c>
      <c r="C1565" t="s">
        <v>62</v>
      </c>
      <c r="D1565" t="s">
        <v>63</v>
      </c>
      <c r="E1565">
        <v>3.5</v>
      </c>
      <c r="F1565">
        <v>3.8</v>
      </c>
      <c r="G1565" s="2" t="s">
        <v>67</v>
      </c>
      <c r="H1565" s="2">
        <v>19.0</v>
      </c>
      <c r="I1565" s="2">
        <v>70.0</v>
      </c>
      <c r="J1565" s="37">
        <v>517.74</v>
      </c>
      <c r="K1565" s="2">
        <v>22.0</v>
      </c>
      <c r="L1565" s="2">
        <v>123.0</v>
      </c>
      <c r="M1565" s="37">
        <v>654.02</v>
      </c>
    </row>
    <row r="1566" ht="14.25" customHeight="1">
      <c r="A1566" t="s">
        <v>1629</v>
      </c>
      <c r="B1566" t="s">
        <v>1604</v>
      </c>
      <c r="C1566" t="s">
        <v>62</v>
      </c>
      <c r="D1566" t="s">
        <v>63</v>
      </c>
      <c r="E1566">
        <v>5.0</v>
      </c>
      <c r="F1566">
        <v>6.0</v>
      </c>
      <c r="G1566" s="2" t="s">
        <v>67</v>
      </c>
      <c r="H1566" s="2">
        <v>33.0</v>
      </c>
      <c r="I1566" s="2">
        <v>220.0</v>
      </c>
      <c r="J1566" s="37">
        <v>1027.18</v>
      </c>
      <c r="K1566" s="2">
        <v>38.0</v>
      </c>
      <c r="L1566" s="2">
        <v>306.0</v>
      </c>
      <c r="M1566" s="37">
        <v>1251.28</v>
      </c>
    </row>
    <row r="1567" ht="14.25" customHeight="1">
      <c r="A1567" t="s">
        <v>1630</v>
      </c>
      <c r="B1567" t="s">
        <v>1604</v>
      </c>
      <c r="C1567" t="s">
        <v>62</v>
      </c>
      <c r="D1567" t="s">
        <v>63</v>
      </c>
      <c r="E1567">
        <v>6.0</v>
      </c>
      <c r="F1567">
        <v>7.0</v>
      </c>
      <c r="G1567" s="2" t="s">
        <v>67</v>
      </c>
      <c r="H1567" s="2">
        <v>39.0</v>
      </c>
      <c r="I1567" s="2">
        <v>158.0</v>
      </c>
      <c r="J1567" s="37">
        <v>1081.3400000000001</v>
      </c>
      <c r="K1567" s="2">
        <v>44.0</v>
      </c>
      <c r="L1567" s="2">
        <v>262.0</v>
      </c>
      <c r="M1567" s="37">
        <v>1328.8400000000001</v>
      </c>
    </row>
    <row r="1568" ht="14.25" customHeight="1">
      <c r="A1568" t="s">
        <v>1631</v>
      </c>
      <c r="B1568" t="s">
        <v>1604</v>
      </c>
      <c r="C1568" t="s">
        <v>62</v>
      </c>
      <c r="D1568" t="s">
        <v>63</v>
      </c>
      <c r="E1568">
        <v>7.0</v>
      </c>
      <c r="F1568">
        <v>8.0</v>
      </c>
      <c r="G1568" s="2" t="s">
        <v>67</v>
      </c>
      <c r="H1568" s="2">
        <v>41.0</v>
      </c>
      <c r="I1568" s="2">
        <v>108.0</v>
      </c>
      <c r="J1568" s="37">
        <v>1061.26</v>
      </c>
      <c r="K1568" s="2">
        <v>48.0</v>
      </c>
      <c r="L1568" s="2">
        <v>229.0</v>
      </c>
      <c r="M1568" s="37">
        <v>1375.78</v>
      </c>
    </row>
    <row r="1569" ht="14.25" customHeight="1">
      <c r="A1569" t="s">
        <v>1632</v>
      </c>
      <c r="B1569" t="s">
        <v>1604</v>
      </c>
      <c r="C1569" t="s">
        <v>62</v>
      </c>
      <c r="D1569" t="s">
        <v>63</v>
      </c>
      <c r="E1569">
        <v>8.0</v>
      </c>
      <c r="F1569">
        <v>9.0</v>
      </c>
      <c r="G1569" s="2" t="s">
        <v>64</v>
      </c>
      <c r="H1569" s="2">
        <v>0.0</v>
      </c>
      <c r="I1569" s="2">
        <v>0.0</v>
      </c>
      <c r="J1569" s="37">
        <v>0.0</v>
      </c>
      <c r="K1569" s="2">
        <v>0.0</v>
      </c>
      <c r="L1569" s="2">
        <v>0.0</v>
      </c>
      <c r="M1569" s="37">
        <v>0.0</v>
      </c>
    </row>
    <row r="1570" ht="14.25" customHeight="1">
      <c r="A1570" t="s">
        <v>1633</v>
      </c>
      <c r="B1570" t="s">
        <v>1604</v>
      </c>
      <c r="C1570" t="s">
        <v>62</v>
      </c>
      <c r="D1570" t="s">
        <v>63</v>
      </c>
      <c r="E1570">
        <v>5.0</v>
      </c>
      <c r="F1570">
        <v>6.0</v>
      </c>
      <c r="G1570" s="2" t="s">
        <v>67</v>
      </c>
      <c r="H1570" s="2">
        <v>35.0</v>
      </c>
      <c r="I1570" s="2">
        <v>220.0</v>
      </c>
      <c r="J1570" s="37">
        <v>1072.1</v>
      </c>
      <c r="K1570" s="2">
        <v>39.0</v>
      </c>
      <c r="L1570" s="2">
        <v>306.0</v>
      </c>
      <c r="M1570" s="37">
        <v>1273.74</v>
      </c>
    </row>
    <row r="1571" ht="14.25" customHeight="1">
      <c r="A1571" t="s">
        <v>1634</v>
      </c>
      <c r="B1571" t="s">
        <v>1604</v>
      </c>
      <c r="C1571" t="s">
        <v>62</v>
      </c>
      <c r="D1571" t="s">
        <v>63</v>
      </c>
      <c r="E1571">
        <v>6.0</v>
      </c>
      <c r="F1571">
        <v>7.5</v>
      </c>
      <c r="G1571" s="2" t="s">
        <v>67</v>
      </c>
      <c r="H1571" s="2">
        <v>42.0</v>
      </c>
      <c r="I1571" s="2">
        <v>240.0</v>
      </c>
      <c r="J1571" s="37">
        <v>1255.3200000000002</v>
      </c>
      <c r="K1571" s="2">
        <v>47.0</v>
      </c>
      <c r="L1571" s="2">
        <v>343.0</v>
      </c>
      <c r="M1571" s="37">
        <v>1501.5200000000002</v>
      </c>
    </row>
    <row r="1572" ht="14.25" customHeight="1">
      <c r="A1572" t="s">
        <v>1635</v>
      </c>
      <c r="B1572" t="s">
        <v>1604</v>
      </c>
      <c r="C1572" t="s">
        <v>62</v>
      </c>
      <c r="D1572" t="s">
        <v>63</v>
      </c>
      <c r="E1572">
        <v>7.2</v>
      </c>
      <c r="F1572">
        <v>8.6</v>
      </c>
      <c r="G1572" s="2" t="s">
        <v>67</v>
      </c>
      <c r="H1572" s="2">
        <v>44.0</v>
      </c>
      <c r="I1572" s="2">
        <v>177.0</v>
      </c>
      <c r="J1572" s="37">
        <v>1218.34</v>
      </c>
      <c r="K1572" s="2">
        <v>51.0</v>
      </c>
      <c r="L1572" s="2">
        <v>301.0</v>
      </c>
      <c r="M1572" s="37">
        <v>1536.76</v>
      </c>
    </row>
    <row r="1573" ht="14.25" customHeight="1">
      <c r="A1573" t="s">
        <v>1636</v>
      </c>
      <c r="B1573" t="s">
        <v>1604</v>
      </c>
      <c r="C1573" t="s">
        <v>62</v>
      </c>
      <c r="D1573" t="s">
        <v>63</v>
      </c>
      <c r="E1573">
        <v>10.0</v>
      </c>
      <c r="F1573">
        <v>11.5</v>
      </c>
      <c r="G1573" s="2" t="s">
        <v>64</v>
      </c>
      <c r="H1573" s="2">
        <v>0.0</v>
      </c>
      <c r="I1573" s="2">
        <v>0.0</v>
      </c>
      <c r="J1573" s="37">
        <v>0.0</v>
      </c>
      <c r="K1573" s="2">
        <v>0.0</v>
      </c>
      <c r="L1573" s="2">
        <v>0.0</v>
      </c>
      <c r="M1573" s="37">
        <v>0.0</v>
      </c>
    </row>
    <row r="1574" ht="14.25" customHeight="1">
      <c r="A1574" t="s">
        <v>1637</v>
      </c>
      <c r="B1574" t="s">
        <v>1604</v>
      </c>
      <c r="C1574" t="s">
        <v>62</v>
      </c>
      <c r="D1574" t="s">
        <v>63</v>
      </c>
      <c r="E1574">
        <v>12.5</v>
      </c>
      <c r="F1574">
        <v>14.0</v>
      </c>
      <c r="G1574" s="2" t="s">
        <v>67</v>
      </c>
      <c r="H1574" s="2">
        <v>78.0</v>
      </c>
      <c r="I1574" s="2">
        <v>365.0</v>
      </c>
      <c r="J1574" s="37">
        <v>2226.38</v>
      </c>
      <c r="K1574" s="2">
        <v>91.0</v>
      </c>
      <c r="L1574" s="2">
        <v>607.0</v>
      </c>
      <c r="M1574" s="37">
        <v>2832.96</v>
      </c>
    </row>
    <row r="1575" ht="14.25" customHeight="1">
      <c r="A1575" t="s">
        <v>1638</v>
      </c>
      <c r="B1575" t="s">
        <v>1604</v>
      </c>
      <c r="C1575" t="s">
        <v>62</v>
      </c>
      <c r="D1575" t="s">
        <v>63</v>
      </c>
      <c r="E1575">
        <v>14.0</v>
      </c>
      <c r="F1575">
        <v>16.0</v>
      </c>
      <c r="G1575" s="2" t="s">
        <v>67</v>
      </c>
      <c r="H1575" s="2">
        <v>87.0</v>
      </c>
      <c r="I1575" s="2">
        <v>289.0</v>
      </c>
      <c r="J1575" s="37">
        <v>2329.72</v>
      </c>
      <c r="K1575" s="2">
        <v>101.0</v>
      </c>
      <c r="L1575" s="2">
        <v>560.0</v>
      </c>
      <c r="M1575" s="37">
        <v>2996.46</v>
      </c>
    </row>
    <row r="1576" ht="14.25" customHeight="1">
      <c r="A1576" t="s">
        <v>1639</v>
      </c>
      <c r="B1576" t="s">
        <v>1604</v>
      </c>
      <c r="C1576" t="s">
        <v>62</v>
      </c>
      <c r="D1576" t="s">
        <v>63</v>
      </c>
      <c r="E1576">
        <v>16.0</v>
      </c>
      <c r="F1576">
        <v>18.0</v>
      </c>
      <c r="G1576" s="2" t="s">
        <v>67</v>
      </c>
      <c r="H1576" s="2">
        <v>97.0</v>
      </c>
      <c r="I1576" s="2">
        <v>202.0</v>
      </c>
      <c r="J1576" s="37">
        <v>2441.22</v>
      </c>
      <c r="K1576" s="2">
        <v>113.0</v>
      </c>
      <c r="L1576" s="2">
        <v>512.0</v>
      </c>
      <c r="M1576" s="37">
        <v>3203.58</v>
      </c>
    </row>
    <row r="1577" ht="14.25" customHeight="1">
      <c r="A1577" t="s">
        <v>1640</v>
      </c>
      <c r="B1577" t="s">
        <v>1604</v>
      </c>
      <c r="C1577" t="s">
        <v>75</v>
      </c>
      <c r="D1577" t="s">
        <v>63</v>
      </c>
      <c r="E1577">
        <v>7.2</v>
      </c>
      <c r="F1577">
        <v>8.6</v>
      </c>
      <c r="G1577" s="2" t="s">
        <v>64</v>
      </c>
      <c r="H1577" s="2">
        <v>0.0</v>
      </c>
      <c r="I1577" s="2">
        <v>0.0</v>
      </c>
      <c r="J1577" s="37">
        <v>0.0</v>
      </c>
      <c r="K1577" s="2">
        <v>0.0</v>
      </c>
      <c r="L1577" s="2">
        <v>0.0</v>
      </c>
      <c r="M1577" s="37">
        <v>0.0</v>
      </c>
    </row>
    <row r="1578" ht="14.25" customHeight="1">
      <c r="A1578" t="s">
        <v>1641</v>
      </c>
      <c r="B1578" t="s">
        <v>1604</v>
      </c>
      <c r="C1578" t="s">
        <v>75</v>
      </c>
      <c r="D1578" t="s">
        <v>63</v>
      </c>
      <c r="E1578">
        <v>10.0</v>
      </c>
      <c r="F1578">
        <v>12.5</v>
      </c>
      <c r="G1578" s="2" t="s">
        <v>64</v>
      </c>
      <c r="H1578" s="2">
        <v>0.0</v>
      </c>
      <c r="I1578" s="2">
        <v>0.0</v>
      </c>
      <c r="J1578" s="37">
        <v>0.0</v>
      </c>
      <c r="K1578" s="2">
        <v>0.0</v>
      </c>
      <c r="L1578" s="2">
        <v>0.0</v>
      </c>
      <c r="M1578" s="37">
        <v>0.0</v>
      </c>
    </row>
    <row r="1579" ht="14.25" customHeight="1">
      <c r="A1579" t="s">
        <v>1642</v>
      </c>
      <c r="B1579" t="s">
        <v>1604</v>
      </c>
      <c r="C1579" t="s">
        <v>75</v>
      </c>
      <c r="D1579" t="s">
        <v>63</v>
      </c>
      <c r="E1579">
        <v>12.5</v>
      </c>
      <c r="F1579">
        <v>14.0</v>
      </c>
      <c r="G1579" s="2" t="s">
        <v>64</v>
      </c>
      <c r="H1579" s="2">
        <v>0.0</v>
      </c>
      <c r="I1579" s="2">
        <v>0.0</v>
      </c>
      <c r="J1579" s="37">
        <v>0.0</v>
      </c>
      <c r="K1579" s="2">
        <v>0.0</v>
      </c>
      <c r="L1579" s="2">
        <v>0.0</v>
      </c>
      <c r="M1579" s="37">
        <v>0.0</v>
      </c>
    </row>
    <row r="1580" ht="14.25" customHeight="1">
      <c r="A1580" t="s">
        <v>1643</v>
      </c>
      <c r="B1580" t="s">
        <v>1604</v>
      </c>
      <c r="C1580" t="s">
        <v>75</v>
      </c>
      <c r="D1580" t="s">
        <v>63</v>
      </c>
      <c r="E1580">
        <v>14.0</v>
      </c>
      <c r="F1580">
        <v>16.5</v>
      </c>
      <c r="G1580" s="2" t="s">
        <v>67</v>
      </c>
      <c r="H1580" s="2">
        <v>78.0</v>
      </c>
      <c r="I1580" s="2">
        <v>412.0</v>
      </c>
      <c r="J1580" s="37">
        <v>2287.48</v>
      </c>
      <c r="K1580" s="2">
        <v>93.0</v>
      </c>
      <c r="L1580" s="2">
        <v>683.0</v>
      </c>
      <c r="M1580" s="37">
        <v>2976.6800000000003</v>
      </c>
    </row>
    <row r="1581" ht="14.25" customHeight="1">
      <c r="A1581" t="s">
        <v>1644</v>
      </c>
      <c r="B1581" t="s">
        <v>1604</v>
      </c>
      <c r="C1581" t="s">
        <v>75</v>
      </c>
      <c r="D1581" t="s">
        <v>63</v>
      </c>
      <c r="E1581">
        <v>5.0</v>
      </c>
      <c r="F1581">
        <v>6.0</v>
      </c>
      <c r="G1581" s="2" t="s">
        <v>67</v>
      </c>
      <c r="H1581" s="2">
        <v>32.0</v>
      </c>
      <c r="I1581" s="2">
        <v>186.0</v>
      </c>
      <c r="J1581" s="37">
        <v>960.52</v>
      </c>
      <c r="K1581" s="2">
        <v>38.0</v>
      </c>
      <c r="L1581" s="2">
        <v>283.0</v>
      </c>
      <c r="M1581" s="37">
        <v>1221.38</v>
      </c>
    </row>
    <row r="1582" ht="14.25" customHeight="1">
      <c r="A1582" t="s">
        <v>1645</v>
      </c>
      <c r="B1582" t="s">
        <v>1604</v>
      </c>
      <c r="C1582" t="s">
        <v>62</v>
      </c>
      <c r="D1582" t="s">
        <v>63</v>
      </c>
      <c r="E1582">
        <v>5.0</v>
      </c>
      <c r="F1582">
        <v>6.0</v>
      </c>
      <c r="G1582" s="2" t="s">
        <v>67</v>
      </c>
      <c r="H1582" s="2">
        <v>33.0</v>
      </c>
      <c r="I1582" s="2">
        <v>178.0</v>
      </c>
      <c r="J1582" s="37">
        <v>972.58</v>
      </c>
      <c r="K1582" s="2">
        <v>38.0</v>
      </c>
      <c r="L1582" s="2">
        <v>264.0</v>
      </c>
      <c r="M1582" s="37">
        <v>1196.68</v>
      </c>
    </row>
    <row r="1583" ht="14.25" customHeight="1">
      <c r="A1583" t="s">
        <v>1646</v>
      </c>
      <c r="B1583" t="s">
        <v>1604</v>
      </c>
      <c r="C1583" t="s">
        <v>62</v>
      </c>
      <c r="D1583" t="s">
        <v>63</v>
      </c>
      <c r="E1583">
        <v>7.0</v>
      </c>
      <c r="F1583">
        <v>8.0</v>
      </c>
      <c r="G1583" s="2" t="s">
        <v>67</v>
      </c>
      <c r="H1583" s="2">
        <v>43.0</v>
      </c>
      <c r="I1583" s="2">
        <v>19.0</v>
      </c>
      <c r="J1583" s="37">
        <v>990.4800000000001</v>
      </c>
      <c r="K1583" s="2">
        <v>49.0</v>
      </c>
      <c r="L1583" s="2">
        <v>139.0</v>
      </c>
      <c r="M1583" s="37">
        <v>1281.24</v>
      </c>
    </row>
    <row r="1584" ht="14.25" customHeight="1">
      <c r="A1584" t="s">
        <v>1647</v>
      </c>
      <c r="B1584" t="s">
        <v>1604</v>
      </c>
      <c r="C1584" t="s">
        <v>62</v>
      </c>
      <c r="D1584" t="s">
        <v>63</v>
      </c>
      <c r="E1584">
        <v>6.0</v>
      </c>
      <c r="F1584">
        <v>7.0</v>
      </c>
      <c r="G1584" s="2" t="s">
        <v>67</v>
      </c>
      <c r="H1584" s="2">
        <v>39.0</v>
      </c>
      <c r="I1584" s="2">
        <v>91.0</v>
      </c>
      <c r="J1584" s="37">
        <v>994.24</v>
      </c>
      <c r="K1584" s="2">
        <v>44.0</v>
      </c>
      <c r="L1584" s="2">
        <v>194.0</v>
      </c>
      <c r="M1584" s="37">
        <v>1240.44</v>
      </c>
    </row>
    <row r="1585" ht="14.25" customHeight="1">
      <c r="A1585" t="s">
        <v>1648</v>
      </c>
      <c r="B1585" t="s">
        <v>1604</v>
      </c>
      <c r="C1585" t="s">
        <v>62</v>
      </c>
      <c r="D1585" t="s">
        <v>63</v>
      </c>
      <c r="E1585">
        <v>6.0</v>
      </c>
      <c r="F1585">
        <v>7.5</v>
      </c>
      <c r="G1585" s="2" t="s">
        <v>64</v>
      </c>
      <c r="H1585" s="2">
        <v>0.0</v>
      </c>
      <c r="I1585" s="2">
        <v>0.0</v>
      </c>
      <c r="J1585" s="37">
        <v>0.0</v>
      </c>
      <c r="K1585" s="2">
        <v>0.0</v>
      </c>
      <c r="L1585" s="2">
        <v>0.0</v>
      </c>
      <c r="M1585" s="37">
        <v>0.0</v>
      </c>
    </row>
    <row r="1586" ht="14.25" customHeight="1">
      <c r="A1586" t="s">
        <v>1649</v>
      </c>
      <c r="B1586" t="s">
        <v>1604</v>
      </c>
      <c r="C1586" t="s">
        <v>62</v>
      </c>
      <c r="D1586" t="s">
        <v>63</v>
      </c>
      <c r="E1586">
        <v>10.0</v>
      </c>
      <c r="F1586">
        <v>11.5</v>
      </c>
      <c r="G1586" s="2" t="s">
        <v>64</v>
      </c>
      <c r="H1586" s="2">
        <v>0.0</v>
      </c>
      <c r="I1586" s="2">
        <v>0.0</v>
      </c>
      <c r="J1586" s="37">
        <v>0.0</v>
      </c>
      <c r="K1586" s="2">
        <v>0.0</v>
      </c>
      <c r="L1586" s="2">
        <v>0.0</v>
      </c>
      <c r="M1586" s="37">
        <v>0.0</v>
      </c>
    </row>
    <row r="1587" ht="14.25" customHeight="1">
      <c r="A1587" t="s">
        <v>1650</v>
      </c>
      <c r="B1587" t="s">
        <v>1604</v>
      </c>
      <c r="C1587" t="s">
        <v>62</v>
      </c>
      <c r="D1587" t="s">
        <v>63</v>
      </c>
      <c r="E1587">
        <v>12.5</v>
      </c>
      <c r="F1587">
        <v>14.0</v>
      </c>
      <c r="G1587" s="2" t="s">
        <v>67</v>
      </c>
      <c r="H1587" s="2">
        <v>79.0</v>
      </c>
      <c r="I1587" s="2">
        <v>365.0</v>
      </c>
      <c r="J1587" s="37">
        <v>2248.84</v>
      </c>
      <c r="K1587" s="2">
        <v>91.0</v>
      </c>
      <c r="L1587" s="2">
        <v>607.0</v>
      </c>
      <c r="M1587" s="37">
        <v>2832.96</v>
      </c>
    </row>
    <row r="1588" ht="14.25" customHeight="1">
      <c r="A1588" t="s">
        <v>1651</v>
      </c>
      <c r="B1588" t="s">
        <v>1604</v>
      </c>
      <c r="C1588" t="s">
        <v>62</v>
      </c>
      <c r="D1588" t="s">
        <v>63</v>
      </c>
      <c r="E1588">
        <v>14.0</v>
      </c>
      <c r="F1588">
        <v>16.0</v>
      </c>
      <c r="G1588" s="2" t="s">
        <v>67</v>
      </c>
      <c r="H1588" s="2">
        <v>78.0</v>
      </c>
      <c r="I1588" s="2">
        <v>289.0</v>
      </c>
      <c r="J1588" s="37">
        <v>2127.58</v>
      </c>
      <c r="K1588" s="2">
        <v>93.0</v>
      </c>
      <c r="L1588" s="2">
        <v>560.0</v>
      </c>
      <c r="M1588" s="37">
        <v>2816.78</v>
      </c>
    </row>
    <row r="1589" ht="14.25" customHeight="1">
      <c r="A1589" t="s">
        <v>1652</v>
      </c>
      <c r="B1589" t="s">
        <v>1604</v>
      </c>
      <c r="C1589" t="s">
        <v>62</v>
      </c>
      <c r="D1589" t="s">
        <v>63</v>
      </c>
      <c r="E1589">
        <v>16.0</v>
      </c>
      <c r="F1589">
        <v>18.0</v>
      </c>
      <c r="G1589" s="2" t="s">
        <v>67</v>
      </c>
      <c r="H1589" s="2">
        <v>101.0</v>
      </c>
      <c r="I1589" s="2">
        <v>74.0</v>
      </c>
      <c r="J1589" s="37">
        <v>2364.66</v>
      </c>
      <c r="K1589" s="2">
        <v>117.0</v>
      </c>
      <c r="L1589" s="2">
        <v>384.0</v>
      </c>
      <c r="M1589" s="37">
        <v>3127.0200000000004</v>
      </c>
    </row>
    <row r="1590" ht="14.25" customHeight="1">
      <c r="A1590" t="s">
        <v>1653</v>
      </c>
      <c r="B1590" t="s">
        <v>1604</v>
      </c>
      <c r="C1590" t="s">
        <v>75</v>
      </c>
      <c r="D1590" t="s">
        <v>63</v>
      </c>
      <c r="E1590">
        <v>7.2</v>
      </c>
      <c r="F1590">
        <v>8.6</v>
      </c>
      <c r="G1590" s="2" t="s">
        <v>64</v>
      </c>
      <c r="H1590" s="2">
        <v>0.0</v>
      </c>
      <c r="I1590" s="2">
        <v>0.0</v>
      </c>
      <c r="J1590" s="37">
        <v>0.0</v>
      </c>
      <c r="K1590" s="2">
        <v>0.0</v>
      </c>
      <c r="L1590" s="2">
        <v>0.0</v>
      </c>
      <c r="M1590" s="37">
        <v>0.0</v>
      </c>
    </row>
    <row r="1591" ht="14.25" customHeight="1">
      <c r="A1591" t="s">
        <v>1654</v>
      </c>
      <c r="B1591" t="s">
        <v>1604</v>
      </c>
      <c r="C1591" t="s">
        <v>75</v>
      </c>
      <c r="D1591" t="s">
        <v>63</v>
      </c>
      <c r="E1591">
        <v>16.0</v>
      </c>
      <c r="F1591">
        <v>18.0</v>
      </c>
      <c r="G1591" s="2" t="s">
        <v>67</v>
      </c>
      <c r="H1591" s="2">
        <v>82.0</v>
      </c>
      <c r="I1591" s="2">
        <v>129.0</v>
      </c>
      <c r="J1591" s="37">
        <v>2009.42</v>
      </c>
      <c r="K1591" s="2">
        <v>98.0</v>
      </c>
      <c r="L1591" s="2">
        <v>439.0</v>
      </c>
      <c r="M1591" s="37">
        <v>2771.7799999999997</v>
      </c>
    </row>
    <row r="1592" ht="14.25" customHeight="1">
      <c r="A1592" t="s">
        <v>1655</v>
      </c>
      <c r="B1592" t="s">
        <v>1604</v>
      </c>
      <c r="C1592" t="s">
        <v>75</v>
      </c>
      <c r="D1592" t="s">
        <v>63</v>
      </c>
      <c r="E1592">
        <v>6.0</v>
      </c>
      <c r="F1592">
        <v>7.5</v>
      </c>
      <c r="G1592" s="2" t="s">
        <v>64</v>
      </c>
      <c r="H1592" s="2">
        <v>0.0</v>
      </c>
      <c r="I1592" s="2">
        <v>0.0</v>
      </c>
      <c r="J1592" s="37">
        <v>0.0</v>
      </c>
      <c r="K1592" s="2">
        <v>0.0</v>
      </c>
      <c r="L1592" s="2">
        <v>0.0</v>
      </c>
      <c r="M1592" s="37">
        <v>0.0</v>
      </c>
    </row>
    <row r="1593" ht="14.25" customHeight="1">
      <c r="A1593" t="s">
        <v>1656</v>
      </c>
      <c r="B1593" t="s">
        <v>1604</v>
      </c>
      <c r="C1593" t="s">
        <v>75</v>
      </c>
      <c r="D1593" t="s">
        <v>63</v>
      </c>
      <c r="E1593">
        <v>10.0</v>
      </c>
      <c r="F1593">
        <v>11.5</v>
      </c>
      <c r="G1593" s="2" t="s">
        <v>64</v>
      </c>
      <c r="H1593" s="2">
        <v>0.0</v>
      </c>
      <c r="I1593" s="2">
        <v>0.0</v>
      </c>
      <c r="J1593" s="37">
        <v>0.0</v>
      </c>
      <c r="K1593" s="2">
        <v>0.0</v>
      </c>
      <c r="L1593" s="2">
        <v>0.0</v>
      </c>
      <c r="M1593" s="37">
        <v>0.0</v>
      </c>
    </row>
    <row r="1594" ht="14.25" customHeight="1">
      <c r="A1594" t="s">
        <v>1657</v>
      </c>
      <c r="B1594" t="s">
        <v>1604</v>
      </c>
      <c r="C1594" t="s">
        <v>75</v>
      </c>
      <c r="D1594" t="s">
        <v>63</v>
      </c>
      <c r="E1594">
        <v>12.5</v>
      </c>
      <c r="F1594">
        <v>14.0</v>
      </c>
      <c r="G1594" s="2" t="s">
        <v>67</v>
      </c>
      <c r="H1594" s="2">
        <v>75.0</v>
      </c>
      <c r="I1594" s="2">
        <v>415.0</v>
      </c>
      <c r="J1594" s="37">
        <v>2224.0</v>
      </c>
      <c r="K1594" s="2">
        <v>88.0</v>
      </c>
      <c r="L1594" s="2">
        <v>657.0</v>
      </c>
      <c r="M1594" s="37">
        <v>2830.58</v>
      </c>
    </row>
    <row r="1595" ht="14.25" customHeight="1">
      <c r="A1595" t="s">
        <v>1658</v>
      </c>
      <c r="B1595" t="s">
        <v>1604</v>
      </c>
      <c r="C1595" t="s">
        <v>75</v>
      </c>
      <c r="D1595" t="s">
        <v>63</v>
      </c>
      <c r="E1595">
        <v>14.0</v>
      </c>
      <c r="F1595">
        <v>16.0</v>
      </c>
      <c r="G1595" s="2" t="s">
        <v>67</v>
      </c>
      <c r="H1595" s="2">
        <v>84.0</v>
      </c>
      <c r="I1595" s="2">
        <v>188.0</v>
      </c>
      <c r="J1595" s="37">
        <v>2131.04</v>
      </c>
      <c r="K1595" s="2">
        <v>98.0</v>
      </c>
      <c r="L1595" s="2">
        <v>459.0</v>
      </c>
      <c r="M1595" s="37">
        <v>2797.7799999999997</v>
      </c>
    </row>
    <row r="1596" ht="14.25" customHeight="1">
      <c r="A1596" t="s">
        <v>1659</v>
      </c>
      <c r="B1596" t="s">
        <v>1604</v>
      </c>
      <c r="C1596" t="s">
        <v>62</v>
      </c>
      <c r="D1596" t="s">
        <v>63</v>
      </c>
      <c r="E1596">
        <v>5.0</v>
      </c>
      <c r="F1596">
        <v>6.0</v>
      </c>
      <c r="G1596" s="2" t="s">
        <v>64</v>
      </c>
      <c r="H1596" s="2">
        <v>0.0</v>
      </c>
      <c r="I1596" s="2">
        <v>0.0</v>
      </c>
      <c r="J1596" s="37">
        <v>0.0</v>
      </c>
      <c r="K1596" s="2">
        <v>0.0</v>
      </c>
      <c r="L1596" s="2">
        <v>0.0</v>
      </c>
      <c r="M1596" s="37">
        <v>0.0</v>
      </c>
    </row>
    <row r="1597" ht="14.25" customHeight="1">
      <c r="A1597" t="s">
        <v>1660</v>
      </c>
      <c r="B1597" t="s">
        <v>1604</v>
      </c>
      <c r="C1597" t="s">
        <v>62</v>
      </c>
      <c r="D1597" t="s">
        <v>63</v>
      </c>
      <c r="E1597">
        <v>7.2</v>
      </c>
      <c r="F1597">
        <v>8.6</v>
      </c>
      <c r="G1597" s="2" t="s">
        <v>64</v>
      </c>
      <c r="H1597" s="2">
        <v>0.0</v>
      </c>
      <c r="I1597" s="2">
        <v>0.0</v>
      </c>
      <c r="J1597" s="37">
        <v>0.0</v>
      </c>
      <c r="K1597" s="2">
        <v>0.0</v>
      </c>
      <c r="L1597" s="2">
        <v>0.0</v>
      </c>
      <c r="M1597" s="37">
        <v>0.0</v>
      </c>
    </row>
    <row r="1598" ht="14.25" customHeight="1">
      <c r="A1598" t="s">
        <v>1661</v>
      </c>
      <c r="B1598" t="s">
        <v>1604</v>
      </c>
      <c r="C1598" t="s">
        <v>62</v>
      </c>
      <c r="D1598" t="s">
        <v>63</v>
      </c>
      <c r="E1598">
        <v>10.0</v>
      </c>
      <c r="F1598">
        <v>11.5</v>
      </c>
      <c r="G1598" s="2" t="s">
        <v>67</v>
      </c>
      <c r="H1598" s="2">
        <v>62.0</v>
      </c>
      <c r="I1598" s="2">
        <v>294.0</v>
      </c>
      <c r="J1598" s="37">
        <v>1774.72</v>
      </c>
      <c r="K1598" s="2">
        <v>73.0</v>
      </c>
      <c r="L1598" s="2">
        <v>488.0</v>
      </c>
      <c r="M1598" s="37">
        <v>2273.98</v>
      </c>
    </row>
    <row r="1599" ht="14.25" customHeight="1">
      <c r="A1599" t="s">
        <v>1662</v>
      </c>
      <c r="B1599" t="s">
        <v>1604</v>
      </c>
      <c r="C1599" t="s">
        <v>62</v>
      </c>
      <c r="D1599" t="s">
        <v>63</v>
      </c>
      <c r="E1599">
        <v>12.5</v>
      </c>
      <c r="F1599">
        <v>14.0</v>
      </c>
      <c r="G1599" s="2" t="s">
        <v>64</v>
      </c>
      <c r="H1599" s="2">
        <v>0.0</v>
      </c>
      <c r="I1599" s="2">
        <v>0.0</v>
      </c>
      <c r="J1599" s="37">
        <v>0.0</v>
      </c>
      <c r="K1599" s="2">
        <v>0.0</v>
      </c>
      <c r="L1599" s="2">
        <v>0.0</v>
      </c>
      <c r="M1599" s="37">
        <v>0.0</v>
      </c>
    </row>
    <row r="1600" ht="14.25" customHeight="1">
      <c r="A1600" t="s">
        <v>1663</v>
      </c>
      <c r="B1600" t="s">
        <v>1604</v>
      </c>
      <c r="C1600" t="s">
        <v>62</v>
      </c>
      <c r="D1600" t="s">
        <v>63</v>
      </c>
      <c r="E1600">
        <v>14.0</v>
      </c>
      <c r="F1600">
        <v>16.0</v>
      </c>
      <c r="G1600" s="2" t="s">
        <v>67</v>
      </c>
      <c r="H1600" s="2">
        <v>73.0</v>
      </c>
      <c r="I1600" s="2">
        <v>93.0</v>
      </c>
      <c r="J1600" s="37">
        <v>1760.4800000000002</v>
      </c>
      <c r="K1600" s="2">
        <v>87.0</v>
      </c>
      <c r="L1600" s="2">
        <v>364.0</v>
      </c>
      <c r="M1600" s="37">
        <v>2427.22</v>
      </c>
    </row>
    <row r="1601" ht="14.25" customHeight="1">
      <c r="A1601" t="s">
        <v>1664</v>
      </c>
      <c r="B1601" t="s">
        <v>1604</v>
      </c>
      <c r="C1601" t="s">
        <v>62</v>
      </c>
      <c r="D1601" t="s">
        <v>63</v>
      </c>
      <c r="E1601">
        <v>8.0</v>
      </c>
      <c r="F1601">
        <v>9.0</v>
      </c>
      <c r="G1601" s="2" t="s">
        <v>67</v>
      </c>
      <c r="H1601" s="2">
        <v>48.0</v>
      </c>
      <c r="I1601" s="2">
        <v>19.0</v>
      </c>
      <c r="J1601" s="37">
        <v>1102.78</v>
      </c>
      <c r="K1601" s="2">
        <v>55.0</v>
      </c>
      <c r="L1601" s="2">
        <v>157.0</v>
      </c>
      <c r="M1601" s="37">
        <v>1439.3999999999999</v>
      </c>
    </row>
    <row r="1602" ht="14.25" customHeight="1">
      <c r="A1602" t="s">
        <v>1665</v>
      </c>
      <c r="B1602" t="s">
        <v>1604</v>
      </c>
      <c r="C1602" t="s">
        <v>62</v>
      </c>
      <c r="D1602" t="s">
        <v>63</v>
      </c>
      <c r="E1602">
        <v>14.0</v>
      </c>
      <c r="F1602">
        <v>16.0</v>
      </c>
      <c r="G1602" s="2" t="s">
        <v>67</v>
      </c>
      <c r="H1602" s="2">
        <v>74.0</v>
      </c>
      <c r="I1602" s="2">
        <v>177.0</v>
      </c>
      <c r="J1602" s="37">
        <v>1892.1399999999999</v>
      </c>
      <c r="K1602" s="2">
        <v>88.0</v>
      </c>
      <c r="L1602" s="2">
        <v>448.0</v>
      </c>
      <c r="M1602" s="37">
        <v>2558.88</v>
      </c>
    </row>
    <row r="1603" ht="14.25" customHeight="1">
      <c r="A1603" t="s">
        <v>1666</v>
      </c>
      <c r="B1603" t="s">
        <v>1604</v>
      </c>
      <c r="C1603" t="s">
        <v>62</v>
      </c>
      <c r="D1603" t="s">
        <v>63</v>
      </c>
      <c r="E1603">
        <v>12.5</v>
      </c>
      <c r="F1603">
        <v>14.0</v>
      </c>
      <c r="G1603" s="2" t="s">
        <v>64</v>
      </c>
      <c r="H1603" s="2">
        <v>0.0</v>
      </c>
      <c r="I1603" s="2">
        <v>0.0</v>
      </c>
      <c r="J1603" s="37">
        <v>0.0</v>
      </c>
      <c r="K1603" s="2">
        <v>0.0</v>
      </c>
      <c r="L1603" s="2">
        <v>0.0</v>
      </c>
      <c r="M1603" s="37">
        <v>0.0</v>
      </c>
    </row>
    <row r="1604" ht="14.25" customHeight="1">
      <c r="A1604" t="s">
        <v>1667</v>
      </c>
      <c r="B1604" t="s">
        <v>1604</v>
      </c>
      <c r="C1604" t="s">
        <v>62</v>
      </c>
      <c r="D1604" t="s">
        <v>63</v>
      </c>
      <c r="E1604">
        <v>10.0</v>
      </c>
      <c r="F1604">
        <v>11.5</v>
      </c>
      <c r="G1604" s="2" t="s">
        <v>64</v>
      </c>
      <c r="H1604" s="2">
        <v>0.0</v>
      </c>
      <c r="I1604" s="2">
        <v>0.0</v>
      </c>
      <c r="J1604" s="37">
        <v>0.0</v>
      </c>
      <c r="K1604" s="2">
        <v>0.0</v>
      </c>
      <c r="L1604" s="2">
        <v>0.0</v>
      </c>
      <c r="M1604" s="37">
        <v>0.0</v>
      </c>
    </row>
    <row r="1605" ht="14.25" customHeight="1">
      <c r="A1605" t="s">
        <v>1668</v>
      </c>
      <c r="B1605" t="s">
        <v>1604</v>
      </c>
      <c r="C1605" t="s">
        <v>75</v>
      </c>
      <c r="D1605" t="s">
        <v>63</v>
      </c>
      <c r="E1605">
        <v>14.0</v>
      </c>
      <c r="F1605">
        <v>16.0</v>
      </c>
      <c r="G1605" s="2" t="s">
        <v>67</v>
      </c>
      <c r="H1605" s="2">
        <v>74.0</v>
      </c>
      <c r="I1605" s="2">
        <v>188.0</v>
      </c>
      <c r="J1605" s="37">
        <v>1906.44</v>
      </c>
      <c r="K1605" s="2">
        <v>88.0</v>
      </c>
      <c r="L1605" s="2">
        <v>459.0</v>
      </c>
      <c r="M1605" s="37">
        <v>2573.1800000000003</v>
      </c>
    </row>
    <row r="1606" ht="14.25" customHeight="1">
      <c r="A1606" t="s">
        <v>1669</v>
      </c>
      <c r="B1606" t="s">
        <v>1604</v>
      </c>
      <c r="C1606" t="s">
        <v>75</v>
      </c>
      <c r="D1606" t="s">
        <v>63</v>
      </c>
      <c r="E1606">
        <v>12.5</v>
      </c>
      <c r="F1606">
        <v>14.0</v>
      </c>
      <c r="G1606" s="2" t="s">
        <v>67</v>
      </c>
      <c r="H1606" s="2">
        <v>74.0</v>
      </c>
      <c r="I1606" s="2">
        <v>415.0</v>
      </c>
      <c r="J1606" s="37">
        <v>2201.54</v>
      </c>
      <c r="K1606" s="2">
        <v>87.0</v>
      </c>
      <c r="L1606" s="2">
        <v>657.0</v>
      </c>
      <c r="M1606" s="37">
        <v>2808.12</v>
      </c>
    </row>
    <row r="1607" ht="14.25" customHeight="1">
      <c r="A1607" t="s">
        <v>1670</v>
      </c>
      <c r="B1607" t="s">
        <v>1604</v>
      </c>
      <c r="C1607" t="s">
        <v>75</v>
      </c>
      <c r="D1607" t="s">
        <v>63</v>
      </c>
      <c r="E1607">
        <v>10.0</v>
      </c>
      <c r="F1607">
        <v>11.5</v>
      </c>
      <c r="G1607" s="2" t="s">
        <v>64</v>
      </c>
      <c r="H1607" s="2">
        <v>0.0</v>
      </c>
      <c r="I1607" s="2">
        <v>0.0</v>
      </c>
      <c r="J1607" s="37">
        <v>0.0</v>
      </c>
      <c r="K1607" s="2">
        <v>0.0</v>
      </c>
      <c r="L1607" s="2">
        <v>0.0</v>
      </c>
      <c r="M1607" s="37">
        <v>0.0</v>
      </c>
    </row>
    <row r="1608" ht="14.25" customHeight="1">
      <c r="A1608" t="s">
        <v>1671</v>
      </c>
      <c r="B1608" t="s">
        <v>1604</v>
      </c>
      <c r="C1608" t="s">
        <v>75</v>
      </c>
      <c r="D1608" t="s">
        <v>63</v>
      </c>
      <c r="E1608">
        <v>12.5</v>
      </c>
      <c r="F1608">
        <v>14.0</v>
      </c>
      <c r="G1608" s="2" t="s">
        <v>67</v>
      </c>
      <c r="H1608" s="2">
        <v>74.0</v>
      </c>
      <c r="I1608" s="2">
        <v>416.0</v>
      </c>
      <c r="J1608" s="37">
        <v>2202.84</v>
      </c>
      <c r="K1608" s="2">
        <v>87.0</v>
      </c>
      <c r="L1608" s="2">
        <v>658.0</v>
      </c>
      <c r="M1608" s="37">
        <v>2809.42</v>
      </c>
    </row>
    <row r="1609" ht="14.25" customHeight="1">
      <c r="A1609" t="s">
        <v>1672</v>
      </c>
      <c r="B1609" t="s">
        <v>1604</v>
      </c>
      <c r="C1609" t="s">
        <v>75</v>
      </c>
      <c r="D1609" t="s">
        <v>63</v>
      </c>
      <c r="E1609">
        <v>10.0</v>
      </c>
      <c r="F1609">
        <v>12.5</v>
      </c>
      <c r="G1609" s="2" t="s">
        <v>64</v>
      </c>
      <c r="H1609" s="2">
        <v>0.0</v>
      </c>
      <c r="I1609" s="2">
        <v>0.0</v>
      </c>
      <c r="J1609" s="37">
        <v>0.0</v>
      </c>
      <c r="K1609" s="2">
        <v>0.0</v>
      </c>
      <c r="L1609" s="2">
        <v>0.0</v>
      </c>
      <c r="M1609" s="37">
        <v>0.0</v>
      </c>
    </row>
    <row r="1610" ht="14.25" customHeight="1">
      <c r="A1610" t="s">
        <v>1673</v>
      </c>
      <c r="B1610" t="s">
        <v>1604</v>
      </c>
      <c r="C1610" t="s">
        <v>75</v>
      </c>
      <c r="D1610" t="s">
        <v>63</v>
      </c>
      <c r="E1610">
        <v>14.0</v>
      </c>
      <c r="F1610">
        <v>16.5</v>
      </c>
      <c r="G1610" s="2" t="s">
        <v>67</v>
      </c>
      <c r="H1610" s="2">
        <v>77.0</v>
      </c>
      <c r="I1610" s="2">
        <v>412.0</v>
      </c>
      <c r="J1610" s="37">
        <v>2265.02</v>
      </c>
      <c r="K1610" s="2">
        <v>91.0</v>
      </c>
      <c r="L1610" s="2">
        <v>683.0</v>
      </c>
      <c r="M1610" s="37">
        <v>2931.76</v>
      </c>
    </row>
    <row r="1611" ht="14.25" customHeight="1">
      <c r="A1611" t="s">
        <v>1674</v>
      </c>
      <c r="B1611" t="s">
        <v>1604</v>
      </c>
      <c r="C1611" t="s">
        <v>75</v>
      </c>
      <c r="D1611" t="s">
        <v>63</v>
      </c>
      <c r="E1611">
        <v>16.0</v>
      </c>
      <c r="F1611">
        <v>18.0</v>
      </c>
      <c r="G1611" s="2" t="s">
        <v>67</v>
      </c>
      <c r="H1611" s="2">
        <v>85.0</v>
      </c>
      <c r="I1611" s="2">
        <v>129.0</v>
      </c>
      <c r="J1611" s="37">
        <v>2076.8</v>
      </c>
      <c r="K1611" s="2">
        <v>101.0</v>
      </c>
      <c r="L1611" s="2">
        <v>439.0</v>
      </c>
      <c r="M1611" s="37">
        <v>2839.16</v>
      </c>
    </row>
    <row r="1612" ht="14.25" customHeight="1">
      <c r="A1612" t="s">
        <v>1642</v>
      </c>
      <c r="B1612" t="s">
        <v>1604</v>
      </c>
      <c r="C1612" t="s">
        <v>75</v>
      </c>
      <c r="D1612" t="s">
        <v>63</v>
      </c>
      <c r="E1612">
        <v>12.5</v>
      </c>
      <c r="F1612">
        <v>14.0</v>
      </c>
      <c r="G1612" s="2" t="s">
        <v>67</v>
      </c>
      <c r="H1612" s="2">
        <v>0.0</v>
      </c>
      <c r="I1612" s="2">
        <v>0.0</v>
      </c>
      <c r="J1612" s="37">
        <v>0.0</v>
      </c>
      <c r="K1612" s="2">
        <v>0.0</v>
      </c>
      <c r="L1612" s="2">
        <v>0.0</v>
      </c>
      <c r="M1612" s="37">
        <v>0.0</v>
      </c>
    </row>
    <row r="1613" ht="14.25" customHeight="1">
      <c r="A1613" t="s">
        <v>1654</v>
      </c>
      <c r="B1613" t="s">
        <v>1604</v>
      </c>
      <c r="C1613" t="s">
        <v>75</v>
      </c>
      <c r="D1613" t="s">
        <v>63</v>
      </c>
      <c r="E1613">
        <v>16.0</v>
      </c>
      <c r="F1613">
        <v>18.0</v>
      </c>
      <c r="G1613" s="2" t="s">
        <v>67</v>
      </c>
      <c r="H1613" s="2">
        <v>82.0</v>
      </c>
      <c r="I1613" s="2">
        <v>129.0</v>
      </c>
      <c r="J1613" s="37">
        <v>2009.42</v>
      </c>
      <c r="K1613" s="2">
        <v>98.0</v>
      </c>
      <c r="L1613" s="2">
        <v>439.0</v>
      </c>
      <c r="M1613" s="37">
        <v>2771.7799999999997</v>
      </c>
    </row>
    <row r="1614" ht="14.25" customHeight="1">
      <c r="A1614" t="s">
        <v>1674</v>
      </c>
      <c r="B1614" t="s">
        <v>1604</v>
      </c>
      <c r="C1614" t="s">
        <v>75</v>
      </c>
      <c r="D1614" t="s">
        <v>63</v>
      </c>
      <c r="E1614">
        <v>16.0</v>
      </c>
      <c r="F1614">
        <v>18.0</v>
      </c>
      <c r="G1614" s="2" t="s">
        <v>67</v>
      </c>
      <c r="H1614" s="2">
        <v>85.0</v>
      </c>
      <c r="I1614" s="2">
        <v>129.0</v>
      </c>
      <c r="J1614" s="37">
        <v>2076.8</v>
      </c>
      <c r="K1614" s="2">
        <v>101.0</v>
      </c>
      <c r="L1614" s="2">
        <v>439.0</v>
      </c>
      <c r="M1614" s="37">
        <v>2839.16</v>
      </c>
    </row>
    <row r="1615" ht="14.25" customHeight="1">
      <c r="A1615" t="s">
        <v>1675</v>
      </c>
      <c r="B1615" t="s">
        <v>1604</v>
      </c>
      <c r="C1615" t="s">
        <v>62</v>
      </c>
      <c r="D1615" t="s">
        <v>63</v>
      </c>
      <c r="E1615">
        <v>10.0</v>
      </c>
      <c r="F1615">
        <v>11.5</v>
      </c>
      <c r="G1615" s="2" t="s">
        <v>67</v>
      </c>
      <c r="H1615" s="2">
        <v>63.0</v>
      </c>
      <c r="I1615" s="2">
        <v>384.0</v>
      </c>
      <c r="J1615" s="37">
        <v>1914.18</v>
      </c>
      <c r="K1615" s="2">
        <v>73.0</v>
      </c>
      <c r="L1615" s="2">
        <v>578.0</v>
      </c>
      <c r="M1615" s="37">
        <v>2390.98</v>
      </c>
    </row>
    <row r="1616" ht="14.25" customHeight="1">
      <c r="A1616" t="s">
        <v>1676</v>
      </c>
      <c r="B1616" t="s">
        <v>1604</v>
      </c>
      <c r="C1616" t="s">
        <v>62</v>
      </c>
      <c r="D1616" t="s">
        <v>63</v>
      </c>
      <c r="E1616">
        <v>10.0</v>
      </c>
      <c r="F1616">
        <v>11.5</v>
      </c>
      <c r="G1616" s="2" t="s">
        <v>67</v>
      </c>
      <c r="H1616" s="2">
        <v>60.0</v>
      </c>
      <c r="I1616" s="2">
        <v>317.0</v>
      </c>
      <c r="J1616" s="37">
        <v>1759.7000000000003</v>
      </c>
      <c r="K1616" s="2">
        <v>70.0</v>
      </c>
      <c r="L1616" s="2">
        <v>510.0</v>
      </c>
      <c r="M1616" s="37">
        <v>2235.2</v>
      </c>
    </row>
    <row r="1617" ht="14.25" customHeight="1">
      <c r="A1617" t="s">
        <v>1677</v>
      </c>
      <c r="B1617" t="s">
        <v>1604</v>
      </c>
      <c r="C1617" t="s">
        <v>62</v>
      </c>
      <c r="D1617" t="s">
        <v>63</v>
      </c>
      <c r="E1617">
        <v>7.2</v>
      </c>
      <c r="F1617">
        <v>8.1</v>
      </c>
      <c r="G1617" s="2" t="s">
        <v>64</v>
      </c>
      <c r="H1617" s="2">
        <v>0.0</v>
      </c>
      <c r="I1617" s="2">
        <v>0.0</v>
      </c>
      <c r="J1617" s="37">
        <v>0.0</v>
      </c>
      <c r="K1617" s="2">
        <v>0.0</v>
      </c>
      <c r="L1617" s="2">
        <v>0.0</v>
      </c>
      <c r="M1617" s="37">
        <v>0.0</v>
      </c>
    </row>
    <row r="1618" ht="14.25" customHeight="1">
      <c r="A1618" t="s">
        <v>1678</v>
      </c>
      <c r="B1618" t="s">
        <v>1679</v>
      </c>
      <c r="C1618" t="s">
        <v>62</v>
      </c>
      <c r="D1618" t="s">
        <v>63</v>
      </c>
      <c r="E1618">
        <v>3.5</v>
      </c>
      <c r="F1618">
        <v>4.5</v>
      </c>
      <c r="G1618" s="2" t="s">
        <v>64</v>
      </c>
      <c r="H1618" s="2">
        <v>0.0</v>
      </c>
      <c r="I1618" s="2">
        <v>0.0</v>
      </c>
      <c r="J1618" s="37">
        <v>0.0</v>
      </c>
      <c r="K1618" s="2">
        <v>0.0</v>
      </c>
      <c r="L1618" s="2">
        <v>0.0</v>
      </c>
      <c r="M1618" s="37">
        <v>0.0</v>
      </c>
    </row>
    <row r="1619" ht="14.25" customHeight="1">
      <c r="A1619" t="s">
        <v>1680</v>
      </c>
      <c r="B1619" t="s">
        <v>1679</v>
      </c>
      <c r="C1619" t="s">
        <v>62</v>
      </c>
      <c r="D1619" t="s">
        <v>63</v>
      </c>
      <c r="E1619">
        <v>3.5</v>
      </c>
      <c r="F1619">
        <v>4.5</v>
      </c>
      <c r="G1619" s="2" t="s">
        <v>64</v>
      </c>
      <c r="H1619" s="2">
        <v>0.0</v>
      </c>
      <c r="I1619" s="2">
        <v>0.0</v>
      </c>
      <c r="J1619" s="37">
        <v>0.0</v>
      </c>
      <c r="K1619" s="2">
        <v>0.0</v>
      </c>
      <c r="L1619" s="2">
        <v>0.0</v>
      </c>
      <c r="M1619" s="37">
        <v>0.0</v>
      </c>
    </row>
    <row r="1620" ht="14.25" customHeight="1">
      <c r="A1620" t="s">
        <v>1681</v>
      </c>
      <c r="B1620" t="s">
        <v>1679</v>
      </c>
      <c r="C1620" t="s">
        <v>62</v>
      </c>
      <c r="D1620" t="s">
        <v>63</v>
      </c>
      <c r="E1620">
        <v>3.5</v>
      </c>
      <c r="F1620">
        <v>4.5</v>
      </c>
      <c r="G1620" s="2" t="s">
        <v>64</v>
      </c>
      <c r="H1620" s="2">
        <v>0.0</v>
      </c>
      <c r="I1620" s="2">
        <v>0.0</v>
      </c>
      <c r="J1620" s="37">
        <v>0.0</v>
      </c>
      <c r="K1620" s="2">
        <v>0.0</v>
      </c>
      <c r="L1620" s="2">
        <v>0.0</v>
      </c>
      <c r="M1620" s="37">
        <v>0.0</v>
      </c>
    </row>
    <row r="1621" ht="14.25" customHeight="1">
      <c r="A1621" t="s">
        <v>1682</v>
      </c>
      <c r="B1621" t="s">
        <v>1679</v>
      </c>
      <c r="C1621" t="s">
        <v>62</v>
      </c>
      <c r="D1621" t="s">
        <v>63</v>
      </c>
      <c r="E1621">
        <v>3.5</v>
      </c>
      <c r="F1621">
        <v>4.5</v>
      </c>
      <c r="G1621" s="2" t="s">
        <v>64</v>
      </c>
      <c r="H1621" s="2">
        <v>0.0</v>
      </c>
      <c r="I1621" s="2">
        <v>0.0</v>
      </c>
      <c r="J1621" s="37">
        <v>0.0</v>
      </c>
      <c r="K1621" s="2">
        <v>0.0</v>
      </c>
      <c r="L1621" s="2">
        <v>0.0</v>
      </c>
      <c r="M1621" s="37">
        <v>0.0</v>
      </c>
    </row>
    <row r="1622" ht="14.25" customHeight="1">
      <c r="A1622" t="s">
        <v>1683</v>
      </c>
      <c r="B1622" t="s">
        <v>1679</v>
      </c>
      <c r="C1622" t="s">
        <v>62</v>
      </c>
      <c r="D1622" t="s">
        <v>63</v>
      </c>
      <c r="E1622">
        <v>3.5</v>
      </c>
      <c r="F1622">
        <v>4.5</v>
      </c>
      <c r="G1622" s="2" t="s">
        <v>64</v>
      </c>
      <c r="H1622" s="2">
        <v>0.0</v>
      </c>
      <c r="I1622" s="2">
        <v>0.0</v>
      </c>
      <c r="J1622" s="37">
        <v>0.0</v>
      </c>
      <c r="K1622" s="2">
        <v>0.0</v>
      </c>
      <c r="L1622" s="2">
        <v>0.0</v>
      </c>
      <c r="M1622" s="37">
        <v>0.0</v>
      </c>
    </row>
    <row r="1623" ht="14.25" customHeight="1">
      <c r="A1623" t="s">
        <v>1684</v>
      </c>
      <c r="B1623" t="s">
        <v>1679</v>
      </c>
      <c r="C1623" t="s">
        <v>62</v>
      </c>
      <c r="D1623" t="s">
        <v>63</v>
      </c>
      <c r="E1623">
        <v>5.2</v>
      </c>
      <c r="F1623">
        <v>5.2</v>
      </c>
      <c r="G1623" s="2" t="s">
        <v>67</v>
      </c>
      <c r="H1623" s="2">
        <v>28.0</v>
      </c>
      <c r="I1623" s="2">
        <v>120.0</v>
      </c>
      <c r="J1623" s="37">
        <v>784.88</v>
      </c>
      <c r="K1623" s="2">
        <v>32.0</v>
      </c>
      <c r="L1623" s="2">
        <v>210.0</v>
      </c>
      <c r="M1623" s="37">
        <v>991.72</v>
      </c>
    </row>
    <row r="1624" ht="14.25" customHeight="1">
      <c r="A1624" t="s">
        <v>1685</v>
      </c>
      <c r="B1624" t="s">
        <v>1679</v>
      </c>
      <c r="C1624" t="s">
        <v>62</v>
      </c>
      <c r="D1624" t="s">
        <v>63</v>
      </c>
      <c r="E1624">
        <v>5.2</v>
      </c>
      <c r="F1624">
        <v>5.2</v>
      </c>
      <c r="G1624" s="2" t="s">
        <v>67</v>
      </c>
      <c r="H1624" s="2">
        <v>28.0</v>
      </c>
      <c r="I1624" s="2">
        <v>120.0</v>
      </c>
      <c r="J1624" s="37">
        <v>784.88</v>
      </c>
      <c r="K1624" s="2">
        <v>32.0</v>
      </c>
      <c r="L1624" s="2">
        <v>210.0</v>
      </c>
      <c r="M1624" s="37">
        <v>991.72</v>
      </c>
    </row>
    <row r="1625" ht="14.25" customHeight="1">
      <c r="A1625" t="s">
        <v>1686</v>
      </c>
      <c r="B1625" t="s">
        <v>1679</v>
      </c>
      <c r="C1625" t="s">
        <v>62</v>
      </c>
      <c r="D1625" t="s">
        <v>63</v>
      </c>
      <c r="E1625">
        <v>5.2</v>
      </c>
      <c r="F1625">
        <v>5.2</v>
      </c>
      <c r="G1625" s="2" t="s">
        <v>67</v>
      </c>
      <c r="H1625" s="2">
        <v>28.0</v>
      </c>
      <c r="I1625" s="2">
        <v>120.0</v>
      </c>
      <c r="J1625" s="37">
        <v>784.88</v>
      </c>
      <c r="K1625" s="2">
        <v>32.0</v>
      </c>
      <c r="L1625" s="2">
        <v>210.0</v>
      </c>
      <c r="M1625" s="37">
        <v>991.72</v>
      </c>
    </row>
    <row r="1626" ht="14.25" customHeight="1">
      <c r="A1626" t="s">
        <v>1687</v>
      </c>
      <c r="B1626" t="s">
        <v>1679</v>
      </c>
      <c r="C1626" t="s">
        <v>62</v>
      </c>
      <c r="D1626" t="s">
        <v>63</v>
      </c>
      <c r="E1626">
        <v>5.2</v>
      </c>
      <c r="F1626">
        <v>5.2</v>
      </c>
      <c r="G1626" s="2" t="s">
        <v>67</v>
      </c>
      <c r="H1626" s="2">
        <v>28.0</v>
      </c>
      <c r="I1626" s="2">
        <v>120.0</v>
      </c>
      <c r="J1626" s="37">
        <v>784.88</v>
      </c>
      <c r="K1626" s="2">
        <v>32.0</v>
      </c>
      <c r="L1626" s="2">
        <v>210.0</v>
      </c>
      <c r="M1626" s="37">
        <v>991.72</v>
      </c>
    </row>
    <row r="1627" ht="14.25" customHeight="1">
      <c r="A1627" t="s">
        <v>1688</v>
      </c>
      <c r="B1627" t="s">
        <v>1679</v>
      </c>
      <c r="C1627" t="s">
        <v>62</v>
      </c>
      <c r="D1627" t="s">
        <v>63</v>
      </c>
      <c r="E1627">
        <v>5.2</v>
      </c>
      <c r="F1627">
        <v>5.2</v>
      </c>
      <c r="G1627" s="2" t="s">
        <v>67</v>
      </c>
      <c r="H1627" s="2">
        <v>28.0</v>
      </c>
      <c r="I1627" s="2">
        <v>120.0</v>
      </c>
      <c r="J1627" s="37">
        <v>784.88</v>
      </c>
      <c r="K1627" s="2">
        <v>32.0</v>
      </c>
      <c r="L1627" s="2">
        <v>210.0</v>
      </c>
      <c r="M1627" s="37">
        <v>991.72</v>
      </c>
    </row>
    <row r="1628" ht="14.25" customHeight="1">
      <c r="A1628" t="s">
        <v>1689</v>
      </c>
      <c r="B1628" t="s">
        <v>1679</v>
      </c>
      <c r="C1628" t="s">
        <v>62</v>
      </c>
      <c r="D1628" t="s">
        <v>63</v>
      </c>
      <c r="E1628">
        <v>7.2</v>
      </c>
      <c r="F1628">
        <v>7.2</v>
      </c>
      <c r="G1628" s="2" t="s">
        <v>67</v>
      </c>
      <c r="H1628" s="2">
        <v>38.0</v>
      </c>
      <c r="I1628" s="2">
        <v>188.0</v>
      </c>
      <c r="J1628" s="37">
        <v>1097.88</v>
      </c>
      <c r="K1628" s="2">
        <v>44.0</v>
      </c>
      <c r="L1628" s="2">
        <v>312.0</v>
      </c>
      <c r="M1628" s="37">
        <v>1393.8400000000001</v>
      </c>
    </row>
    <row r="1629" ht="14.25" customHeight="1">
      <c r="A1629" t="s">
        <v>1690</v>
      </c>
      <c r="B1629" t="s">
        <v>1679</v>
      </c>
      <c r="C1629" t="s">
        <v>62</v>
      </c>
      <c r="D1629" t="s">
        <v>63</v>
      </c>
      <c r="E1629">
        <v>7.2</v>
      </c>
      <c r="F1629">
        <v>7.2</v>
      </c>
      <c r="G1629" s="2" t="s">
        <v>67</v>
      </c>
      <c r="H1629" s="2">
        <v>38.0</v>
      </c>
      <c r="I1629" s="2">
        <v>188.0</v>
      </c>
      <c r="J1629" s="37">
        <v>1097.88</v>
      </c>
      <c r="K1629" s="2">
        <v>44.0</v>
      </c>
      <c r="L1629" s="2">
        <v>312.0</v>
      </c>
      <c r="M1629" s="37">
        <v>1393.8400000000001</v>
      </c>
    </row>
    <row r="1630" ht="14.25" customHeight="1">
      <c r="A1630" t="s">
        <v>1691</v>
      </c>
      <c r="B1630" t="s">
        <v>1679</v>
      </c>
      <c r="C1630" t="s">
        <v>62</v>
      </c>
      <c r="D1630" t="s">
        <v>63</v>
      </c>
      <c r="E1630">
        <v>7.2</v>
      </c>
      <c r="F1630">
        <v>7.2</v>
      </c>
      <c r="G1630" s="2" t="s">
        <v>67</v>
      </c>
      <c r="H1630" s="2">
        <v>38.0</v>
      </c>
      <c r="I1630" s="2">
        <v>188.0</v>
      </c>
      <c r="J1630" s="37">
        <v>1097.88</v>
      </c>
      <c r="K1630" s="2">
        <v>44.0</v>
      </c>
      <c r="L1630" s="2">
        <v>312.0</v>
      </c>
      <c r="M1630" s="37">
        <v>1393.8400000000001</v>
      </c>
    </row>
    <row r="1631" ht="14.25" customHeight="1">
      <c r="A1631" t="s">
        <v>1692</v>
      </c>
      <c r="B1631" t="s">
        <v>1679</v>
      </c>
      <c r="C1631" t="s">
        <v>62</v>
      </c>
      <c r="D1631" t="s">
        <v>63</v>
      </c>
      <c r="E1631">
        <v>7.2</v>
      </c>
      <c r="F1631">
        <v>7.2</v>
      </c>
      <c r="G1631" s="2" t="s">
        <v>67</v>
      </c>
      <c r="H1631" s="2">
        <v>38.0</v>
      </c>
      <c r="I1631" s="2">
        <v>188.0</v>
      </c>
      <c r="J1631" s="37">
        <v>1097.88</v>
      </c>
      <c r="K1631" s="2">
        <v>44.0</v>
      </c>
      <c r="L1631" s="2">
        <v>312.0</v>
      </c>
      <c r="M1631" s="37">
        <v>1393.8400000000001</v>
      </c>
    </row>
    <row r="1632" ht="14.25" customHeight="1">
      <c r="A1632" t="s">
        <v>1693</v>
      </c>
      <c r="B1632" t="s">
        <v>1679</v>
      </c>
      <c r="C1632" t="s">
        <v>62</v>
      </c>
      <c r="D1632" t="s">
        <v>63</v>
      </c>
      <c r="E1632">
        <v>7.2</v>
      </c>
      <c r="F1632">
        <v>7.2</v>
      </c>
      <c r="G1632" s="2" t="s">
        <v>67</v>
      </c>
      <c r="H1632" s="2">
        <v>38.0</v>
      </c>
      <c r="I1632" s="2">
        <v>188.0</v>
      </c>
      <c r="J1632" s="37">
        <v>1097.88</v>
      </c>
      <c r="K1632" s="2">
        <v>44.0</v>
      </c>
      <c r="L1632" s="2">
        <v>312.0</v>
      </c>
      <c r="M1632" s="37">
        <v>1393.8400000000001</v>
      </c>
    </row>
    <row r="1633" ht="14.25" customHeight="1">
      <c r="A1633" t="s">
        <v>1694</v>
      </c>
      <c r="B1633" t="s">
        <v>1679</v>
      </c>
      <c r="C1633" t="s">
        <v>62</v>
      </c>
      <c r="D1633" t="s">
        <v>63</v>
      </c>
      <c r="E1633">
        <v>8.8</v>
      </c>
      <c r="F1633">
        <v>8.8</v>
      </c>
      <c r="G1633" s="2" t="s">
        <v>67</v>
      </c>
      <c r="H1633" s="2">
        <v>44.0</v>
      </c>
      <c r="I1633" s="2">
        <v>130.0</v>
      </c>
      <c r="J1633" s="37">
        <v>1157.24</v>
      </c>
      <c r="K1633" s="2">
        <v>51.0</v>
      </c>
      <c r="L1633" s="2">
        <v>282.0</v>
      </c>
      <c r="M1633" s="37">
        <v>1512.06</v>
      </c>
    </row>
    <row r="1634" ht="14.25" customHeight="1">
      <c r="A1634" t="s">
        <v>1695</v>
      </c>
      <c r="B1634" t="s">
        <v>1679</v>
      </c>
      <c r="C1634" t="s">
        <v>62</v>
      </c>
      <c r="D1634" t="s">
        <v>63</v>
      </c>
      <c r="E1634">
        <v>8.8</v>
      </c>
      <c r="F1634">
        <v>8.8</v>
      </c>
      <c r="G1634" s="2" t="s">
        <v>67</v>
      </c>
      <c r="H1634" s="2">
        <v>44.0</v>
      </c>
      <c r="I1634" s="2">
        <v>130.0</v>
      </c>
      <c r="J1634" s="37">
        <v>1157.24</v>
      </c>
      <c r="K1634" s="2">
        <v>51.0</v>
      </c>
      <c r="L1634" s="2">
        <v>282.0</v>
      </c>
      <c r="M1634" s="37">
        <v>1512.06</v>
      </c>
    </row>
    <row r="1635" ht="14.25" customHeight="1">
      <c r="A1635" t="s">
        <v>1696</v>
      </c>
      <c r="B1635" t="s">
        <v>1679</v>
      </c>
      <c r="C1635" t="s">
        <v>62</v>
      </c>
      <c r="D1635" t="s">
        <v>63</v>
      </c>
      <c r="E1635">
        <v>8.8</v>
      </c>
      <c r="F1635">
        <v>8.8</v>
      </c>
      <c r="G1635" s="2" t="s">
        <v>67</v>
      </c>
      <c r="H1635" s="2">
        <v>44.0</v>
      </c>
      <c r="I1635" s="2">
        <v>130.0</v>
      </c>
      <c r="J1635" s="37">
        <v>1157.24</v>
      </c>
      <c r="K1635" s="2">
        <v>51.0</v>
      </c>
      <c r="L1635" s="2">
        <v>282.0</v>
      </c>
      <c r="M1635" s="37">
        <v>1512.06</v>
      </c>
    </row>
    <row r="1636" ht="14.25" customHeight="1">
      <c r="A1636" t="s">
        <v>1697</v>
      </c>
      <c r="B1636" t="s">
        <v>1679</v>
      </c>
      <c r="C1636" t="s">
        <v>62</v>
      </c>
      <c r="D1636" t="s">
        <v>63</v>
      </c>
      <c r="E1636">
        <v>8.8</v>
      </c>
      <c r="F1636">
        <v>8.8</v>
      </c>
      <c r="G1636" s="2" t="s">
        <v>67</v>
      </c>
      <c r="H1636" s="2">
        <v>44.0</v>
      </c>
      <c r="I1636" s="2">
        <v>130.0</v>
      </c>
      <c r="J1636" s="37">
        <v>1157.24</v>
      </c>
      <c r="K1636" s="2">
        <v>51.0</v>
      </c>
      <c r="L1636" s="2">
        <v>282.0</v>
      </c>
      <c r="M1636" s="37">
        <v>1512.06</v>
      </c>
    </row>
    <row r="1637" ht="14.25" customHeight="1">
      <c r="A1637" t="s">
        <v>1698</v>
      </c>
      <c r="B1637" t="s">
        <v>1679</v>
      </c>
      <c r="C1637" t="s">
        <v>62</v>
      </c>
      <c r="D1637" t="s">
        <v>63</v>
      </c>
      <c r="E1637">
        <v>8.8</v>
      </c>
      <c r="F1637">
        <v>8.8</v>
      </c>
      <c r="G1637" s="2" t="s">
        <v>67</v>
      </c>
      <c r="H1637" s="2">
        <v>44.0</v>
      </c>
      <c r="I1637" s="2">
        <v>130.0</v>
      </c>
      <c r="J1637" s="37">
        <v>1157.24</v>
      </c>
      <c r="K1637" s="2">
        <v>51.0</v>
      </c>
      <c r="L1637" s="2">
        <v>282.0</v>
      </c>
      <c r="M1637" s="37">
        <v>1512.06</v>
      </c>
    </row>
    <row r="1638" ht="14.25" customHeight="1">
      <c r="A1638" t="s">
        <v>1699</v>
      </c>
      <c r="B1638" t="s">
        <v>1679</v>
      </c>
      <c r="C1638" t="s">
        <v>62</v>
      </c>
      <c r="D1638" t="s">
        <v>63</v>
      </c>
      <c r="E1638">
        <v>2.64</v>
      </c>
      <c r="F1638">
        <v>4.05</v>
      </c>
      <c r="G1638" s="2" t="s">
        <v>64</v>
      </c>
      <c r="H1638" s="2">
        <v>0.0</v>
      </c>
      <c r="I1638" s="2">
        <v>0.0</v>
      </c>
      <c r="J1638" s="37">
        <v>0.0</v>
      </c>
      <c r="K1638" s="2">
        <v>0.0</v>
      </c>
      <c r="L1638" s="2">
        <v>0.0</v>
      </c>
      <c r="M1638" s="37">
        <v>0.0</v>
      </c>
    </row>
    <row r="1639" ht="14.25" customHeight="1">
      <c r="A1639" t="s">
        <v>1700</v>
      </c>
      <c r="B1639" t="s">
        <v>1679</v>
      </c>
      <c r="C1639" t="s">
        <v>62</v>
      </c>
      <c r="D1639" t="s">
        <v>63</v>
      </c>
      <c r="E1639">
        <v>2.64</v>
      </c>
      <c r="F1639">
        <v>4.05</v>
      </c>
      <c r="G1639" s="2" t="s">
        <v>64</v>
      </c>
      <c r="H1639" s="2">
        <v>0.0</v>
      </c>
      <c r="I1639" s="2">
        <v>0.0</v>
      </c>
      <c r="J1639" s="37">
        <v>0.0</v>
      </c>
      <c r="K1639" s="2">
        <v>0.0</v>
      </c>
      <c r="L1639" s="2">
        <v>0.0</v>
      </c>
      <c r="M1639" s="37">
        <v>0.0</v>
      </c>
    </row>
    <row r="1640" ht="14.25" customHeight="1">
      <c r="A1640" t="s">
        <v>1701</v>
      </c>
      <c r="B1640" t="s">
        <v>1679</v>
      </c>
      <c r="C1640" t="s">
        <v>62</v>
      </c>
      <c r="D1640" t="s">
        <v>63</v>
      </c>
      <c r="E1640">
        <v>2.64</v>
      </c>
      <c r="F1640">
        <v>4.05</v>
      </c>
      <c r="G1640" s="2" t="s">
        <v>64</v>
      </c>
      <c r="H1640" s="2">
        <v>0.0</v>
      </c>
      <c r="I1640" s="2">
        <v>0.0</v>
      </c>
      <c r="J1640" s="37">
        <v>0.0</v>
      </c>
      <c r="K1640" s="2">
        <v>0.0</v>
      </c>
      <c r="L1640" s="2">
        <v>0.0</v>
      </c>
      <c r="M1640" s="37">
        <v>0.0</v>
      </c>
    </row>
    <row r="1641" ht="14.25" customHeight="1">
      <c r="A1641" t="s">
        <v>1702</v>
      </c>
      <c r="B1641" t="s">
        <v>1679</v>
      </c>
      <c r="C1641" t="s">
        <v>62</v>
      </c>
      <c r="D1641" t="s">
        <v>63</v>
      </c>
      <c r="E1641">
        <v>2.64</v>
      </c>
      <c r="F1641">
        <v>4.05</v>
      </c>
      <c r="G1641" s="2" t="s">
        <v>64</v>
      </c>
      <c r="H1641" s="2">
        <v>0.0</v>
      </c>
      <c r="I1641" s="2">
        <v>0.0</v>
      </c>
      <c r="J1641" s="37">
        <v>0.0</v>
      </c>
      <c r="K1641" s="2">
        <v>0.0</v>
      </c>
      <c r="L1641" s="2">
        <v>0.0</v>
      </c>
      <c r="M1641" s="37">
        <v>0.0</v>
      </c>
    </row>
    <row r="1642" ht="14.25" customHeight="1">
      <c r="A1642" t="s">
        <v>1703</v>
      </c>
      <c r="B1642" t="s">
        <v>1679</v>
      </c>
      <c r="C1642" t="s">
        <v>62</v>
      </c>
      <c r="D1642" t="s">
        <v>63</v>
      </c>
      <c r="E1642">
        <v>2.64</v>
      </c>
      <c r="F1642">
        <v>4.05</v>
      </c>
      <c r="G1642" s="2" t="s">
        <v>64</v>
      </c>
      <c r="H1642" s="2">
        <v>0.0</v>
      </c>
      <c r="I1642" s="2">
        <v>0.0</v>
      </c>
      <c r="J1642" s="37">
        <v>0.0</v>
      </c>
      <c r="K1642" s="2">
        <v>0.0</v>
      </c>
      <c r="L1642" s="2">
        <v>0.0</v>
      </c>
      <c r="M1642" s="37">
        <v>0.0</v>
      </c>
    </row>
    <row r="1643" ht="14.25" customHeight="1">
      <c r="A1643" t="s">
        <v>1704</v>
      </c>
      <c r="B1643" t="s">
        <v>1679</v>
      </c>
      <c r="C1643" t="s">
        <v>62</v>
      </c>
      <c r="D1643" t="s">
        <v>63</v>
      </c>
      <c r="E1643">
        <v>2.64</v>
      </c>
      <c r="F1643">
        <v>3.3</v>
      </c>
      <c r="G1643" s="2" t="s">
        <v>67</v>
      </c>
      <c r="H1643" s="2">
        <v>16.0</v>
      </c>
      <c r="I1643" s="2">
        <v>90.0</v>
      </c>
      <c r="J1643" s="37">
        <v>476.36</v>
      </c>
      <c r="K1643" s="2">
        <v>18.0</v>
      </c>
      <c r="L1643" s="2">
        <v>130.0</v>
      </c>
      <c r="M1643" s="37">
        <v>573.28</v>
      </c>
    </row>
    <row r="1644" ht="14.25" customHeight="1">
      <c r="A1644" t="s">
        <v>1705</v>
      </c>
      <c r="B1644" t="s">
        <v>1679</v>
      </c>
      <c r="C1644" t="s">
        <v>62</v>
      </c>
      <c r="D1644" t="s">
        <v>63</v>
      </c>
      <c r="E1644">
        <v>2.64</v>
      </c>
      <c r="F1644">
        <v>3.3</v>
      </c>
      <c r="G1644" s="2" t="s">
        <v>67</v>
      </c>
      <c r="H1644" s="2">
        <v>16.0</v>
      </c>
      <c r="I1644" s="2">
        <v>90.0</v>
      </c>
      <c r="J1644" s="37">
        <v>476.36</v>
      </c>
      <c r="K1644" s="2">
        <v>18.0</v>
      </c>
      <c r="L1644" s="2">
        <v>130.0</v>
      </c>
      <c r="M1644" s="37">
        <v>573.28</v>
      </c>
    </row>
    <row r="1645" ht="14.25" customHeight="1">
      <c r="A1645" t="s">
        <v>1706</v>
      </c>
      <c r="B1645" t="s">
        <v>1679</v>
      </c>
      <c r="C1645" t="s">
        <v>62</v>
      </c>
      <c r="D1645" t="s">
        <v>63</v>
      </c>
      <c r="E1645">
        <v>2.64</v>
      </c>
      <c r="F1645">
        <v>3.3</v>
      </c>
      <c r="G1645" s="2" t="s">
        <v>67</v>
      </c>
      <c r="H1645" s="2">
        <v>16.0</v>
      </c>
      <c r="I1645" s="2">
        <v>90.0</v>
      </c>
      <c r="J1645" s="37">
        <v>476.36</v>
      </c>
      <c r="K1645" s="2">
        <v>18.0</v>
      </c>
      <c r="L1645" s="2">
        <v>130.0</v>
      </c>
      <c r="M1645" s="37">
        <v>573.28</v>
      </c>
    </row>
    <row r="1646" ht="14.25" customHeight="1">
      <c r="A1646" t="s">
        <v>1707</v>
      </c>
      <c r="B1646" t="s">
        <v>1679</v>
      </c>
      <c r="C1646" t="s">
        <v>62</v>
      </c>
      <c r="D1646" t="s">
        <v>63</v>
      </c>
      <c r="E1646">
        <v>2.64</v>
      </c>
      <c r="F1646">
        <v>3.3</v>
      </c>
      <c r="G1646" s="2" t="s">
        <v>67</v>
      </c>
      <c r="H1646" s="2">
        <v>16.0</v>
      </c>
      <c r="I1646" s="2">
        <v>90.0</v>
      </c>
      <c r="J1646" s="37">
        <v>476.36</v>
      </c>
      <c r="K1646" s="2">
        <v>18.0</v>
      </c>
      <c r="L1646" s="2">
        <v>130.0</v>
      </c>
      <c r="M1646" s="37">
        <v>573.28</v>
      </c>
    </row>
    <row r="1647" ht="14.25" customHeight="1">
      <c r="A1647" t="s">
        <v>1708</v>
      </c>
      <c r="B1647" t="s">
        <v>1679</v>
      </c>
      <c r="C1647" t="s">
        <v>62</v>
      </c>
      <c r="D1647" t="s">
        <v>63</v>
      </c>
      <c r="E1647">
        <v>2.64</v>
      </c>
      <c r="F1647">
        <v>3.3</v>
      </c>
      <c r="G1647" s="2" t="s">
        <v>67</v>
      </c>
      <c r="H1647" s="2">
        <v>16.0</v>
      </c>
      <c r="I1647" s="2">
        <v>90.0</v>
      </c>
      <c r="J1647" s="37">
        <v>476.36</v>
      </c>
      <c r="K1647" s="2">
        <v>18.0</v>
      </c>
      <c r="L1647" s="2">
        <v>130.0</v>
      </c>
      <c r="M1647" s="37">
        <v>573.28</v>
      </c>
    </row>
    <row r="1648" ht="14.25" customHeight="1">
      <c r="A1648" t="s">
        <v>1709</v>
      </c>
      <c r="B1648" t="s">
        <v>1679</v>
      </c>
      <c r="C1648" t="s">
        <v>62</v>
      </c>
      <c r="D1648" t="s">
        <v>63</v>
      </c>
      <c r="E1648">
        <v>2.15</v>
      </c>
      <c r="F1648">
        <v>2.1</v>
      </c>
      <c r="G1648" s="2" t="s">
        <v>64</v>
      </c>
      <c r="H1648" s="2">
        <v>0.0</v>
      </c>
      <c r="I1648" s="2">
        <v>0.0</v>
      </c>
      <c r="J1648" s="37">
        <v>0.0</v>
      </c>
      <c r="K1648" s="2">
        <v>0.0</v>
      </c>
      <c r="L1648" s="2">
        <v>0.0</v>
      </c>
      <c r="M1648" s="37">
        <v>0.0</v>
      </c>
    </row>
    <row r="1649" ht="14.25" customHeight="1">
      <c r="A1649" t="s">
        <v>1710</v>
      </c>
      <c r="B1649" t="s">
        <v>1679</v>
      </c>
      <c r="C1649" t="s">
        <v>62</v>
      </c>
      <c r="D1649" t="s">
        <v>63</v>
      </c>
      <c r="E1649">
        <v>2.15</v>
      </c>
      <c r="F1649">
        <v>2.1</v>
      </c>
      <c r="G1649" s="2" t="s">
        <v>64</v>
      </c>
      <c r="H1649" s="2">
        <v>0.0</v>
      </c>
      <c r="I1649" s="2">
        <v>0.0</v>
      </c>
      <c r="J1649" s="37">
        <v>0.0</v>
      </c>
      <c r="K1649" s="2">
        <v>0.0</v>
      </c>
      <c r="L1649" s="2">
        <v>0.0</v>
      </c>
      <c r="M1649" s="37">
        <v>0.0</v>
      </c>
    </row>
    <row r="1650" ht="14.25" customHeight="1">
      <c r="A1650" t="s">
        <v>1711</v>
      </c>
      <c r="B1650" t="s">
        <v>1679</v>
      </c>
      <c r="C1650" t="s">
        <v>62</v>
      </c>
      <c r="D1650" t="s">
        <v>63</v>
      </c>
      <c r="E1650">
        <v>2.15</v>
      </c>
      <c r="F1650">
        <v>2.1</v>
      </c>
      <c r="G1650" s="2" t="s">
        <v>64</v>
      </c>
      <c r="H1650" s="2">
        <v>0.0</v>
      </c>
      <c r="I1650" s="2">
        <v>0.0</v>
      </c>
      <c r="J1650" s="37">
        <v>0.0</v>
      </c>
      <c r="K1650" s="2">
        <v>0.0</v>
      </c>
      <c r="L1650" s="2">
        <v>0.0</v>
      </c>
      <c r="M1650" s="37">
        <v>0.0</v>
      </c>
    </row>
    <row r="1651" ht="14.25" customHeight="1">
      <c r="A1651" t="s">
        <v>1712</v>
      </c>
      <c r="B1651" t="s">
        <v>1679</v>
      </c>
      <c r="C1651" t="s">
        <v>62</v>
      </c>
      <c r="D1651" t="s">
        <v>63</v>
      </c>
      <c r="E1651">
        <v>2.15</v>
      </c>
      <c r="F1651">
        <v>2.1</v>
      </c>
      <c r="G1651" s="2" t="s">
        <v>64</v>
      </c>
      <c r="H1651" s="2">
        <v>0.0</v>
      </c>
      <c r="I1651" s="2">
        <v>0.0</v>
      </c>
      <c r="J1651" s="37">
        <v>0.0</v>
      </c>
      <c r="K1651" s="2">
        <v>0.0</v>
      </c>
      <c r="L1651" s="2">
        <v>0.0</v>
      </c>
      <c r="M1651" s="37">
        <v>0.0</v>
      </c>
    </row>
    <row r="1652" ht="14.25" customHeight="1">
      <c r="A1652" t="s">
        <v>1713</v>
      </c>
      <c r="B1652" t="s">
        <v>1679</v>
      </c>
      <c r="C1652" t="s">
        <v>62</v>
      </c>
      <c r="D1652" t="s">
        <v>63</v>
      </c>
      <c r="E1652">
        <v>2.15</v>
      </c>
      <c r="F1652">
        <v>2.1</v>
      </c>
      <c r="G1652" s="2" t="s">
        <v>64</v>
      </c>
      <c r="H1652" s="2">
        <v>0.0</v>
      </c>
      <c r="I1652" s="2">
        <v>0.0</v>
      </c>
      <c r="J1652" s="37">
        <v>0.0</v>
      </c>
      <c r="K1652" s="2">
        <v>0.0</v>
      </c>
      <c r="L1652" s="2">
        <v>0.0</v>
      </c>
      <c r="M1652" s="37">
        <v>0.0</v>
      </c>
    </row>
    <row r="1653" ht="14.25" customHeight="1">
      <c r="A1653" t="s">
        <v>1714</v>
      </c>
      <c r="B1653" t="s">
        <v>1679</v>
      </c>
      <c r="C1653" t="s">
        <v>62</v>
      </c>
      <c r="D1653" t="s">
        <v>268</v>
      </c>
      <c r="E1653">
        <v>5.2</v>
      </c>
      <c r="F1653">
        <v>4.1</v>
      </c>
      <c r="G1653" s="2" t="s">
        <v>64</v>
      </c>
      <c r="H1653" s="2">
        <v>0.0</v>
      </c>
      <c r="I1653" s="2">
        <v>0.0</v>
      </c>
      <c r="J1653" s="37">
        <v>0.0</v>
      </c>
      <c r="K1653" s="2">
        <v>0.0</v>
      </c>
      <c r="L1653" s="2">
        <v>0.0</v>
      </c>
      <c r="M1653" s="37">
        <v>0.0</v>
      </c>
    </row>
    <row r="1654" ht="14.25" customHeight="1">
      <c r="A1654" t="s">
        <v>1715</v>
      </c>
      <c r="B1654" t="s">
        <v>1679</v>
      </c>
      <c r="C1654" t="s">
        <v>62</v>
      </c>
      <c r="D1654" t="s">
        <v>268</v>
      </c>
      <c r="E1654">
        <v>5.2</v>
      </c>
      <c r="F1654">
        <v>4.1</v>
      </c>
      <c r="G1654" s="2" t="s">
        <v>64</v>
      </c>
      <c r="H1654" s="2">
        <v>0.0</v>
      </c>
      <c r="I1654" s="2">
        <v>0.0</v>
      </c>
      <c r="J1654" s="37">
        <v>0.0</v>
      </c>
      <c r="K1654" s="2">
        <v>0.0</v>
      </c>
      <c r="L1654" s="2">
        <v>0.0</v>
      </c>
      <c r="M1654" s="37">
        <v>0.0</v>
      </c>
    </row>
    <row r="1655" ht="14.25" customHeight="1">
      <c r="A1655" t="s">
        <v>1716</v>
      </c>
      <c r="B1655" t="s">
        <v>1679</v>
      </c>
      <c r="C1655" t="s">
        <v>62</v>
      </c>
      <c r="D1655" t="s">
        <v>268</v>
      </c>
      <c r="E1655">
        <v>5.2</v>
      </c>
      <c r="F1655">
        <v>4.1</v>
      </c>
      <c r="G1655" s="2" t="s">
        <v>64</v>
      </c>
      <c r="H1655" s="2">
        <v>0.0</v>
      </c>
      <c r="I1655" s="2">
        <v>0.0</v>
      </c>
      <c r="J1655" s="37">
        <v>0.0</v>
      </c>
      <c r="K1655" s="2">
        <v>0.0</v>
      </c>
      <c r="L1655" s="2">
        <v>0.0</v>
      </c>
      <c r="M1655" s="37">
        <v>0.0</v>
      </c>
    </row>
    <row r="1656" ht="14.25" customHeight="1">
      <c r="A1656" t="s">
        <v>1717</v>
      </c>
      <c r="B1656" t="s">
        <v>1679</v>
      </c>
      <c r="C1656" t="s">
        <v>62</v>
      </c>
      <c r="D1656" t="s">
        <v>268</v>
      </c>
      <c r="E1656">
        <v>5.2</v>
      </c>
      <c r="F1656">
        <v>4.1</v>
      </c>
      <c r="G1656" s="2" t="s">
        <v>64</v>
      </c>
      <c r="H1656" s="2">
        <v>0.0</v>
      </c>
      <c r="I1656" s="2">
        <v>0.0</v>
      </c>
      <c r="J1656" s="37">
        <v>0.0</v>
      </c>
      <c r="K1656" s="2">
        <v>0.0</v>
      </c>
      <c r="L1656" s="2">
        <v>0.0</v>
      </c>
      <c r="M1656" s="37">
        <v>0.0</v>
      </c>
    </row>
    <row r="1657" ht="14.25" customHeight="1">
      <c r="A1657" t="s">
        <v>1718</v>
      </c>
      <c r="B1657" t="s">
        <v>1679</v>
      </c>
      <c r="C1657" t="s">
        <v>62</v>
      </c>
      <c r="D1657" t="s">
        <v>268</v>
      </c>
      <c r="E1657">
        <v>5.2</v>
      </c>
      <c r="F1657">
        <v>4.1</v>
      </c>
      <c r="G1657" s="2" t="s">
        <v>64</v>
      </c>
      <c r="H1657" s="2">
        <v>0.0</v>
      </c>
      <c r="I1657" s="2">
        <v>0.0</v>
      </c>
      <c r="J1657" s="37">
        <v>0.0</v>
      </c>
      <c r="K1657" s="2">
        <v>0.0</v>
      </c>
      <c r="L1657" s="2">
        <v>0.0</v>
      </c>
      <c r="M1657" s="37">
        <v>0.0</v>
      </c>
    </row>
    <row r="1658" ht="14.25" customHeight="1">
      <c r="A1658" t="s">
        <v>1719</v>
      </c>
      <c r="B1658" t="s">
        <v>1679</v>
      </c>
      <c r="C1658" t="s">
        <v>62</v>
      </c>
      <c r="D1658" t="s">
        <v>268</v>
      </c>
      <c r="E1658">
        <v>3.8</v>
      </c>
      <c r="F1658">
        <v>2.8</v>
      </c>
      <c r="G1658" s="2" t="s">
        <v>64</v>
      </c>
      <c r="H1658" s="2">
        <v>0.0</v>
      </c>
      <c r="I1658" s="2">
        <v>0.0</v>
      </c>
      <c r="J1658" s="37">
        <v>0.0</v>
      </c>
      <c r="K1658" s="2">
        <v>0.0</v>
      </c>
      <c r="L1658" s="2">
        <v>0.0</v>
      </c>
      <c r="M1658" s="37">
        <v>0.0</v>
      </c>
    </row>
    <row r="1659" ht="14.25" customHeight="1">
      <c r="A1659" t="s">
        <v>1720</v>
      </c>
      <c r="B1659" t="s">
        <v>1679</v>
      </c>
      <c r="C1659" t="s">
        <v>62</v>
      </c>
      <c r="D1659" t="s">
        <v>268</v>
      </c>
      <c r="E1659">
        <v>3.8</v>
      </c>
      <c r="F1659">
        <v>2.8</v>
      </c>
      <c r="G1659" s="2" t="s">
        <v>64</v>
      </c>
      <c r="H1659" s="2">
        <v>0.0</v>
      </c>
      <c r="I1659" s="2">
        <v>0.0</v>
      </c>
      <c r="J1659" s="37">
        <v>0.0</v>
      </c>
      <c r="K1659" s="2">
        <v>0.0</v>
      </c>
      <c r="L1659" s="2">
        <v>0.0</v>
      </c>
      <c r="M1659" s="37">
        <v>0.0</v>
      </c>
    </row>
    <row r="1660" ht="14.25" customHeight="1">
      <c r="A1660" t="s">
        <v>1721</v>
      </c>
      <c r="B1660" t="s">
        <v>1679</v>
      </c>
      <c r="C1660" t="s">
        <v>62</v>
      </c>
      <c r="D1660" t="s">
        <v>268</v>
      </c>
      <c r="E1660">
        <v>3.8</v>
      </c>
      <c r="F1660">
        <v>2.8</v>
      </c>
      <c r="G1660" s="2" t="s">
        <v>64</v>
      </c>
      <c r="H1660" s="2">
        <v>0.0</v>
      </c>
      <c r="I1660" s="2">
        <v>0.0</v>
      </c>
      <c r="J1660" s="37">
        <v>0.0</v>
      </c>
      <c r="K1660" s="2">
        <v>0.0</v>
      </c>
      <c r="L1660" s="2">
        <v>0.0</v>
      </c>
      <c r="M1660" s="37">
        <v>0.0</v>
      </c>
    </row>
    <row r="1661" ht="14.25" customHeight="1">
      <c r="A1661" t="s">
        <v>1722</v>
      </c>
      <c r="B1661" t="s">
        <v>1679</v>
      </c>
      <c r="C1661" t="s">
        <v>62</v>
      </c>
      <c r="D1661" t="s">
        <v>268</v>
      </c>
      <c r="E1661">
        <v>3.8</v>
      </c>
      <c r="F1661">
        <v>2.8</v>
      </c>
      <c r="G1661" s="2" t="s">
        <v>64</v>
      </c>
      <c r="H1661" s="2">
        <v>0.0</v>
      </c>
      <c r="I1661" s="2">
        <v>0.0</v>
      </c>
      <c r="J1661" s="37">
        <v>0.0</v>
      </c>
      <c r="K1661" s="2">
        <v>0.0</v>
      </c>
      <c r="L1661" s="2">
        <v>0.0</v>
      </c>
      <c r="M1661" s="37">
        <v>0.0</v>
      </c>
    </row>
    <row r="1662" ht="14.25" customHeight="1">
      <c r="A1662" t="s">
        <v>1723</v>
      </c>
      <c r="B1662" t="s">
        <v>1679</v>
      </c>
      <c r="C1662" t="s">
        <v>62</v>
      </c>
      <c r="D1662" t="s">
        <v>268</v>
      </c>
      <c r="E1662">
        <v>3.8</v>
      </c>
      <c r="F1662">
        <v>2.8</v>
      </c>
      <c r="G1662" s="2" t="s">
        <v>64</v>
      </c>
      <c r="H1662" s="2">
        <v>0.0</v>
      </c>
      <c r="I1662" s="2">
        <v>0.0</v>
      </c>
      <c r="J1662" s="37">
        <v>0.0</v>
      </c>
      <c r="K1662" s="2">
        <v>0.0</v>
      </c>
      <c r="L1662" s="2">
        <v>0.0</v>
      </c>
      <c r="M1662" s="37">
        <v>0.0</v>
      </c>
    </row>
    <row r="1663" ht="14.25" customHeight="1">
      <c r="A1663" t="s">
        <v>1724</v>
      </c>
      <c r="B1663" t="s">
        <v>1679</v>
      </c>
      <c r="C1663" t="s">
        <v>62</v>
      </c>
      <c r="D1663" t="s">
        <v>63</v>
      </c>
      <c r="E1663">
        <v>3.53</v>
      </c>
      <c r="F1663">
        <v>3.65</v>
      </c>
      <c r="G1663" s="2" t="s">
        <v>67</v>
      </c>
      <c r="H1663" s="2">
        <v>18.0</v>
      </c>
      <c r="I1663" s="2">
        <v>52.0</v>
      </c>
      <c r="J1663" s="37">
        <v>471.88000000000005</v>
      </c>
      <c r="K1663" s="2">
        <v>20.0</v>
      </c>
      <c r="L1663" s="2">
        <v>106.0</v>
      </c>
      <c r="M1663" s="37">
        <v>587.0</v>
      </c>
    </row>
    <row r="1664" ht="14.25" customHeight="1">
      <c r="A1664" t="s">
        <v>1725</v>
      </c>
      <c r="B1664" t="s">
        <v>1679</v>
      </c>
      <c r="C1664" t="s">
        <v>62</v>
      </c>
      <c r="D1664" t="s">
        <v>63</v>
      </c>
      <c r="E1664">
        <v>3.53</v>
      </c>
      <c r="F1664">
        <v>3.65</v>
      </c>
      <c r="G1664" s="2" t="s">
        <v>67</v>
      </c>
      <c r="H1664" s="2">
        <v>18.0</v>
      </c>
      <c r="I1664" s="2">
        <v>52.0</v>
      </c>
      <c r="J1664" s="37">
        <v>471.88000000000005</v>
      </c>
      <c r="K1664" s="2">
        <v>20.0</v>
      </c>
      <c r="L1664" s="2">
        <v>106.0</v>
      </c>
      <c r="M1664" s="37">
        <v>587.0</v>
      </c>
    </row>
    <row r="1665" ht="14.25" customHeight="1">
      <c r="A1665" t="s">
        <v>1726</v>
      </c>
      <c r="B1665" t="s">
        <v>1679</v>
      </c>
      <c r="C1665" t="s">
        <v>62</v>
      </c>
      <c r="D1665" t="s">
        <v>63</v>
      </c>
      <c r="E1665">
        <v>3.53</v>
      </c>
      <c r="F1665">
        <v>3.65</v>
      </c>
      <c r="G1665" s="2" t="s">
        <v>67</v>
      </c>
      <c r="H1665" s="2">
        <v>18.0</v>
      </c>
      <c r="I1665" s="2">
        <v>52.0</v>
      </c>
      <c r="J1665" s="37">
        <v>471.88000000000005</v>
      </c>
      <c r="K1665" s="2">
        <v>20.0</v>
      </c>
      <c r="L1665" s="2">
        <v>106.0</v>
      </c>
      <c r="M1665" s="37">
        <v>587.0</v>
      </c>
    </row>
    <row r="1666" ht="14.25" customHeight="1">
      <c r="A1666" t="s">
        <v>1727</v>
      </c>
      <c r="B1666" t="s">
        <v>1679</v>
      </c>
      <c r="C1666" t="s">
        <v>62</v>
      </c>
      <c r="D1666" t="s">
        <v>63</v>
      </c>
      <c r="E1666">
        <v>3.53</v>
      </c>
      <c r="F1666">
        <v>3.65</v>
      </c>
      <c r="G1666" s="2" t="s">
        <v>67</v>
      </c>
      <c r="H1666" s="2">
        <v>18.0</v>
      </c>
      <c r="I1666" s="2">
        <v>52.0</v>
      </c>
      <c r="J1666" s="37">
        <v>471.88000000000005</v>
      </c>
      <c r="K1666" s="2">
        <v>20.0</v>
      </c>
      <c r="L1666" s="2">
        <v>106.0</v>
      </c>
      <c r="M1666" s="37">
        <v>587.0</v>
      </c>
    </row>
    <row r="1667" ht="14.25" customHeight="1">
      <c r="A1667" t="s">
        <v>1728</v>
      </c>
      <c r="B1667" t="s">
        <v>1679</v>
      </c>
      <c r="C1667" t="s">
        <v>62</v>
      </c>
      <c r="D1667" t="s">
        <v>63</v>
      </c>
      <c r="E1667">
        <v>3.53</v>
      </c>
      <c r="F1667">
        <v>3.65</v>
      </c>
      <c r="G1667" s="2" t="s">
        <v>67</v>
      </c>
      <c r="H1667" s="2">
        <v>18.0</v>
      </c>
      <c r="I1667" s="2">
        <v>52.0</v>
      </c>
      <c r="J1667" s="37">
        <v>471.88000000000005</v>
      </c>
      <c r="K1667" s="2">
        <v>20.0</v>
      </c>
      <c r="L1667" s="2">
        <v>106.0</v>
      </c>
      <c r="M1667" s="37">
        <v>587.0</v>
      </c>
    </row>
    <row r="1668" ht="14.25" customHeight="1">
      <c r="A1668" t="s">
        <v>1729</v>
      </c>
      <c r="B1668" t="s">
        <v>1679</v>
      </c>
      <c r="C1668" t="s">
        <v>62</v>
      </c>
      <c r="D1668" t="s">
        <v>63</v>
      </c>
      <c r="E1668">
        <v>5.3</v>
      </c>
      <c r="F1668">
        <v>5.3</v>
      </c>
      <c r="G1668" s="2" t="s">
        <v>67</v>
      </c>
      <c r="H1668" s="2">
        <v>31.0</v>
      </c>
      <c r="I1668" s="2">
        <v>193.0</v>
      </c>
      <c r="J1668" s="37">
        <v>947.16</v>
      </c>
      <c r="K1668" s="2">
        <v>35.0</v>
      </c>
      <c r="L1668" s="2">
        <v>285.0</v>
      </c>
      <c r="M1668" s="37">
        <v>1156.6</v>
      </c>
    </row>
    <row r="1669" ht="14.25" customHeight="1">
      <c r="A1669" t="s">
        <v>1730</v>
      </c>
      <c r="B1669" t="s">
        <v>1679</v>
      </c>
      <c r="C1669" t="s">
        <v>62</v>
      </c>
      <c r="D1669" t="s">
        <v>63</v>
      </c>
      <c r="E1669">
        <v>5.3</v>
      </c>
      <c r="F1669">
        <v>5.3</v>
      </c>
      <c r="G1669" s="2" t="s">
        <v>67</v>
      </c>
      <c r="H1669" s="2">
        <v>31.0</v>
      </c>
      <c r="I1669" s="2">
        <v>193.0</v>
      </c>
      <c r="J1669" s="37">
        <v>947.16</v>
      </c>
      <c r="K1669" s="2">
        <v>35.0</v>
      </c>
      <c r="L1669" s="2">
        <v>285.0</v>
      </c>
      <c r="M1669" s="37">
        <v>1156.6</v>
      </c>
    </row>
    <row r="1670" ht="14.25" customHeight="1">
      <c r="A1670" t="s">
        <v>1731</v>
      </c>
      <c r="B1670" t="s">
        <v>1679</v>
      </c>
      <c r="C1670" t="s">
        <v>62</v>
      </c>
      <c r="D1670" t="s">
        <v>63</v>
      </c>
      <c r="E1670">
        <v>5.3</v>
      </c>
      <c r="F1670">
        <v>5.3</v>
      </c>
      <c r="G1670" s="2" t="s">
        <v>67</v>
      </c>
      <c r="H1670" s="2">
        <v>31.0</v>
      </c>
      <c r="I1670" s="2">
        <v>193.0</v>
      </c>
      <c r="J1670" s="37">
        <v>947.16</v>
      </c>
      <c r="K1670" s="2">
        <v>35.0</v>
      </c>
      <c r="L1670" s="2">
        <v>285.0</v>
      </c>
      <c r="M1670" s="37">
        <v>1156.6</v>
      </c>
    </row>
    <row r="1671" ht="14.25" customHeight="1">
      <c r="A1671" t="s">
        <v>1732</v>
      </c>
      <c r="B1671" t="s">
        <v>1679</v>
      </c>
      <c r="C1671" t="s">
        <v>62</v>
      </c>
      <c r="D1671" t="s">
        <v>63</v>
      </c>
      <c r="E1671">
        <v>5.3</v>
      </c>
      <c r="F1671">
        <v>5.3</v>
      </c>
      <c r="G1671" s="2" t="s">
        <v>67</v>
      </c>
      <c r="H1671" s="2">
        <v>31.0</v>
      </c>
      <c r="I1671" s="2">
        <v>193.0</v>
      </c>
      <c r="J1671" s="37">
        <v>947.16</v>
      </c>
      <c r="K1671" s="2">
        <v>35.0</v>
      </c>
      <c r="L1671" s="2">
        <v>285.0</v>
      </c>
      <c r="M1671" s="37">
        <v>1156.6</v>
      </c>
    </row>
    <row r="1672" ht="14.25" customHeight="1">
      <c r="A1672" t="s">
        <v>1733</v>
      </c>
      <c r="B1672" t="s">
        <v>1679</v>
      </c>
      <c r="C1672" t="s">
        <v>62</v>
      </c>
      <c r="D1672" t="s">
        <v>63</v>
      </c>
      <c r="E1672">
        <v>5.3</v>
      </c>
      <c r="F1672">
        <v>5.3</v>
      </c>
      <c r="G1672" s="2" t="s">
        <v>67</v>
      </c>
      <c r="H1672" s="2">
        <v>31.0</v>
      </c>
      <c r="I1672" s="2">
        <v>193.0</v>
      </c>
      <c r="J1672" s="37">
        <v>947.16</v>
      </c>
      <c r="K1672" s="2">
        <v>35.0</v>
      </c>
      <c r="L1672" s="2">
        <v>285.0</v>
      </c>
      <c r="M1672" s="37">
        <v>1156.6</v>
      </c>
    </row>
    <row r="1673" ht="14.25" customHeight="1">
      <c r="A1673" t="s">
        <v>1734</v>
      </c>
      <c r="B1673" t="s">
        <v>1679</v>
      </c>
      <c r="C1673" t="s">
        <v>62</v>
      </c>
      <c r="D1673" t="s">
        <v>63</v>
      </c>
      <c r="E1673">
        <v>7.2</v>
      </c>
      <c r="F1673">
        <v>7.3</v>
      </c>
      <c r="G1673" s="2" t="s">
        <v>67</v>
      </c>
      <c r="H1673" s="2">
        <v>40.0</v>
      </c>
      <c r="I1673" s="2">
        <v>81.0</v>
      </c>
      <c r="J1673" s="37">
        <v>1003.7</v>
      </c>
      <c r="K1673" s="2">
        <v>46.0</v>
      </c>
      <c r="L1673" s="2">
        <v>205.0</v>
      </c>
      <c r="M1673" s="37">
        <v>1299.66</v>
      </c>
    </row>
    <row r="1674" ht="14.25" customHeight="1">
      <c r="A1674" t="s">
        <v>1735</v>
      </c>
      <c r="B1674" t="s">
        <v>1679</v>
      </c>
      <c r="C1674" t="s">
        <v>62</v>
      </c>
      <c r="D1674" t="s">
        <v>63</v>
      </c>
      <c r="E1674">
        <v>7.2</v>
      </c>
      <c r="F1674">
        <v>7.3</v>
      </c>
      <c r="G1674" s="2" t="s">
        <v>67</v>
      </c>
      <c r="H1674" s="2">
        <v>40.0</v>
      </c>
      <c r="I1674" s="2">
        <v>81.0</v>
      </c>
      <c r="J1674" s="37">
        <v>1003.7</v>
      </c>
      <c r="K1674" s="2">
        <v>46.0</v>
      </c>
      <c r="L1674" s="2">
        <v>205.0</v>
      </c>
      <c r="M1674" s="37">
        <v>1299.66</v>
      </c>
    </row>
    <row r="1675" ht="14.25" customHeight="1">
      <c r="A1675" t="s">
        <v>1736</v>
      </c>
      <c r="B1675" t="s">
        <v>1679</v>
      </c>
      <c r="C1675" t="s">
        <v>62</v>
      </c>
      <c r="D1675" t="s">
        <v>63</v>
      </c>
      <c r="E1675">
        <v>7.2</v>
      </c>
      <c r="F1675">
        <v>7.3</v>
      </c>
      <c r="G1675" s="2" t="s">
        <v>67</v>
      </c>
      <c r="H1675" s="2">
        <v>40.0</v>
      </c>
      <c r="I1675" s="2">
        <v>81.0</v>
      </c>
      <c r="J1675" s="37">
        <v>1003.7</v>
      </c>
      <c r="K1675" s="2">
        <v>46.0</v>
      </c>
      <c r="L1675" s="2">
        <v>205.0</v>
      </c>
      <c r="M1675" s="37">
        <v>1299.66</v>
      </c>
    </row>
    <row r="1676" ht="14.25" customHeight="1">
      <c r="A1676" t="s">
        <v>1737</v>
      </c>
      <c r="B1676" t="s">
        <v>1679</v>
      </c>
      <c r="C1676" t="s">
        <v>62</v>
      </c>
      <c r="D1676" t="s">
        <v>63</v>
      </c>
      <c r="E1676">
        <v>7.2</v>
      </c>
      <c r="F1676">
        <v>7.3</v>
      </c>
      <c r="G1676" s="2" t="s">
        <v>67</v>
      </c>
      <c r="H1676" s="2">
        <v>40.0</v>
      </c>
      <c r="I1676" s="2">
        <v>81.0</v>
      </c>
      <c r="J1676" s="37">
        <v>1003.7</v>
      </c>
      <c r="K1676" s="2">
        <v>46.0</v>
      </c>
      <c r="L1676" s="2">
        <v>205.0</v>
      </c>
      <c r="M1676" s="37">
        <v>1299.66</v>
      </c>
    </row>
    <row r="1677" ht="14.25" customHeight="1">
      <c r="A1677" t="s">
        <v>1738</v>
      </c>
      <c r="B1677" t="s">
        <v>1679</v>
      </c>
      <c r="C1677" t="s">
        <v>62</v>
      </c>
      <c r="D1677" t="s">
        <v>63</v>
      </c>
      <c r="E1677">
        <v>7.2</v>
      </c>
      <c r="F1677">
        <v>7.3</v>
      </c>
      <c r="G1677" s="2" t="s">
        <v>67</v>
      </c>
      <c r="H1677" s="2">
        <v>40.0</v>
      </c>
      <c r="I1677" s="2">
        <v>81.0</v>
      </c>
      <c r="J1677" s="37">
        <v>1003.7</v>
      </c>
      <c r="K1677" s="2">
        <v>46.0</v>
      </c>
      <c r="L1677" s="2">
        <v>205.0</v>
      </c>
      <c r="M1677" s="37">
        <v>1299.66</v>
      </c>
    </row>
    <row r="1678" ht="14.25" customHeight="1">
      <c r="A1678" t="s">
        <v>1739</v>
      </c>
      <c r="B1678" t="s">
        <v>1679</v>
      </c>
      <c r="C1678" t="s">
        <v>75</v>
      </c>
      <c r="D1678" t="s">
        <v>63</v>
      </c>
      <c r="E1678">
        <v>10.5</v>
      </c>
      <c r="F1678">
        <v>12.5</v>
      </c>
      <c r="G1678" s="2" t="s">
        <v>67</v>
      </c>
      <c r="H1678" s="2">
        <v>72.0</v>
      </c>
      <c r="I1678" s="2">
        <v>508.0</v>
      </c>
      <c r="J1678" s="37">
        <v>2277.52</v>
      </c>
      <c r="K1678" s="2">
        <v>84.0</v>
      </c>
      <c r="L1678" s="2">
        <v>712.0</v>
      </c>
      <c r="M1678" s="37">
        <v>2812.2400000000002</v>
      </c>
    </row>
    <row r="1679" ht="14.25" customHeight="1">
      <c r="A1679" t="s">
        <v>1740</v>
      </c>
      <c r="B1679" t="s">
        <v>1679</v>
      </c>
      <c r="C1679" t="s">
        <v>75</v>
      </c>
      <c r="D1679" t="s">
        <v>63</v>
      </c>
      <c r="E1679">
        <v>10.5</v>
      </c>
      <c r="F1679">
        <v>12.5</v>
      </c>
      <c r="G1679" s="2" t="s">
        <v>67</v>
      </c>
      <c r="H1679" s="2">
        <v>72.0</v>
      </c>
      <c r="I1679" s="2">
        <v>508.0</v>
      </c>
      <c r="J1679" s="37">
        <v>2277.52</v>
      </c>
      <c r="K1679" s="2">
        <v>84.0</v>
      </c>
      <c r="L1679" s="2">
        <v>712.0</v>
      </c>
      <c r="M1679" s="37">
        <v>2812.2400000000002</v>
      </c>
    </row>
    <row r="1680" ht="14.25" customHeight="1">
      <c r="A1680" t="s">
        <v>1741</v>
      </c>
      <c r="B1680" t="s">
        <v>1679</v>
      </c>
      <c r="C1680" t="s">
        <v>75</v>
      </c>
      <c r="D1680" t="s">
        <v>63</v>
      </c>
      <c r="E1680">
        <v>10.5</v>
      </c>
      <c r="F1680">
        <v>12.5</v>
      </c>
      <c r="G1680" s="2" t="s">
        <v>67</v>
      </c>
      <c r="H1680" s="2">
        <v>72.0</v>
      </c>
      <c r="I1680" s="2">
        <v>508.0</v>
      </c>
      <c r="J1680" s="37">
        <v>2277.52</v>
      </c>
      <c r="K1680" s="2">
        <v>84.0</v>
      </c>
      <c r="L1680" s="2">
        <v>712.0</v>
      </c>
      <c r="M1680" s="37">
        <v>2812.2400000000002</v>
      </c>
    </row>
    <row r="1681" ht="14.25" customHeight="1">
      <c r="A1681" t="s">
        <v>1742</v>
      </c>
      <c r="B1681" t="s">
        <v>1679</v>
      </c>
      <c r="C1681" t="s">
        <v>75</v>
      </c>
      <c r="D1681" t="s">
        <v>63</v>
      </c>
      <c r="E1681">
        <v>10.5</v>
      </c>
      <c r="F1681">
        <v>12.5</v>
      </c>
      <c r="G1681" s="2" t="s">
        <v>67</v>
      </c>
      <c r="H1681" s="2">
        <v>72.0</v>
      </c>
      <c r="I1681" s="2">
        <v>508.0</v>
      </c>
      <c r="J1681" s="37">
        <v>2277.52</v>
      </c>
      <c r="K1681" s="2">
        <v>84.0</v>
      </c>
      <c r="L1681" s="2">
        <v>712.0</v>
      </c>
      <c r="M1681" s="37">
        <v>2812.2400000000002</v>
      </c>
    </row>
    <row r="1682" ht="14.25" customHeight="1">
      <c r="A1682" t="s">
        <v>1743</v>
      </c>
      <c r="B1682" t="s">
        <v>1679</v>
      </c>
      <c r="C1682" t="s">
        <v>75</v>
      </c>
      <c r="D1682" t="s">
        <v>63</v>
      </c>
      <c r="E1682">
        <v>10.5</v>
      </c>
      <c r="F1682">
        <v>12.5</v>
      </c>
      <c r="G1682" s="2" t="s">
        <v>67</v>
      </c>
      <c r="H1682" s="2">
        <v>72.0</v>
      </c>
      <c r="I1682" s="2">
        <v>508.0</v>
      </c>
      <c r="J1682" s="37">
        <v>2277.52</v>
      </c>
      <c r="K1682" s="2">
        <v>84.0</v>
      </c>
      <c r="L1682" s="2">
        <v>712.0</v>
      </c>
      <c r="M1682" s="37">
        <v>2812.2400000000002</v>
      </c>
    </row>
    <row r="1683" ht="14.25" customHeight="1">
      <c r="A1683" t="s">
        <v>1744</v>
      </c>
      <c r="B1683" t="s">
        <v>1679</v>
      </c>
      <c r="C1683" t="s">
        <v>75</v>
      </c>
      <c r="D1683" t="s">
        <v>63</v>
      </c>
      <c r="E1683">
        <v>14.0</v>
      </c>
      <c r="F1683">
        <v>16.5</v>
      </c>
      <c r="G1683" s="2" t="s">
        <v>67</v>
      </c>
      <c r="H1683" s="2">
        <v>91.0</v>
      </c>
      <c r="I1683" s="2">
        <v>373.0</v>
      </c>
      <c r="J1683" s="37">
        <v>2528.76</v>
      </c>
      <c r="K1683" s="2">
        <v>106.0</v>
      </c>
      <c r="L1683" s="2">
        <v>644.0</v>
      </c>
      <c r="M1683" s="37">
        <v>3217.96</v>
      </c>
    </row>
    <row r="1684" ht="14.25" customHeight="1">
      <c r="A1684" t="s">
        <v>1745</v>
      </c>
      <c r="B1684" t="s">
        <v>1679</v>
      </c>
      <c r="C1684" t="s">
        <v>75</v>
      </c>
      <c r="D1684" t="s">
        <v>63</v>
      </c>
      <c r="E1684">
        <v>14.0</v>
      </c>
      <c r="F1684">
        <v>16.5</v>
      </c>
      <c r="G1684" s="2" t="s">
        <v>67</v>
      </c>
      <c r="H1684" s="2">
        <v>91.0</v>
      </c>
      <c r="I1684" s="2">
        <v>373.0</v>
      </c>
      <c r="J1684" s="37">
        <v>2528.76</v>
      </c>
      <c r="K1684" s="2">
        <v>106.0</v>
      </c>
      <c r="L1684" s="2">
        <v>644.0</v>
      </c>
      <c r="M1684" s="37">
        <v>3217.96</v>
      </c>
    </row>
    <row r="1685" ht="14.25" customHeight="1">
      <c r="A1685" t="s">
        <v>1746</v>
      </c>
      <c r="B1685" t="s">
        <v>1679</v>
      </c>
      <c r="C1685" t="s">
        <v>75</v>
      </c>
      <c r="D1685" t="s">
        <v>63</v>
      </c>
      <c r="E1685">
        <v>14.0</v>
      </c>
      <c r="F1685">
        <v>16.5</v>
      </c>
      <c r="G1685" s="2" t="s">
        <v>67</v>
      </c>
      <c r="H1685" s="2">
        <v>91.0</v>
      </c>
      <c r="I1685" s="2">
        <v>373.0</v>
      </c>
      <c r="J1685" s="37">
        <v>2528.76</v>
      </c>
      <c r="K1685" s="2">
        <v>106.0</v>
      </c>
      <c r="L1685" s="2">
        <v>644.0</v>
      </c>
      <c r="M1685" s="37">
        <v>3217.96</v>
      </c>
    </row>
    <row r="1686" ht="14.25" customHeight="1">
      <c r="A1686" t="s">
        <v>1747</v>
      </c>
      <c r="B1686" t="s">
        <v>1679</v>
      </c>
      <c r="C1686" t="s">
        <v>75</v>
      </c>
      <c r="D1686" t="s">
        <v>63</v>
      </c>
      <c r="E1686">
        <v>14.0</v>
      </c>
      <c r="F1686">
        <v>16.5</v>
      </c>
      <c r="G1686" s="2" t="s">
        <v>67</v>
      </c>
      <c r="H1686" s="2">
        <v>91.0</v>
      </c>
      <c r="I1686" s="2">
        <v>373.0</v>
      </c>
      <c r="J1686" s="37">
        <v>2528.76</v>
      </c>
      <c r="K1686" s="2">
        <v>106.0</v>
      </c>
      <c r="L1686" s="2">
        <v>644.0</v>
      </c>
      <c r="M1686" s="37">
        <v>3217.96</v>
      </c>
    </row>
    <row r="1687" ht="14.25" customHeight="1">
      <c r="A1687" t="s">
        <v>1748</v>
      </c>
      <c r="B1687" t="s">
        <v>1679</v>
      </c>
      <c r="C1687" t="s">
        <v>75</v>
      </c>
      <c r="D1687" t="s">
        <v>63</v>
      </c>
      <c r="E1687">
        <v>14.0</v>
      </c>
      <c r="F1687">
        <v>16.5</v>
      </c>
      <c r="G1687" s="2" t="s">
        <v>67</v>
      </c>
      <c r="H1687" s="2">
        <v>91.0</v>
      </c>
      <c r="I1687" s="2">
        <v>373.0</v>
      </c>
      <c r="J1687" s="37">
        <v>2528.76</v>
      </c>
      <c r="K1687" s="2">
        <v>106.0</v>
      </c>
      <c r="L1687" s="2">
        <v>644.0</v>
      </c>
      <c r="M1687" s="37">
        <v>3217.96</v>
      </c>
    </row>
    <row r="1688" ht="14.25" customHeight="1">
      <c r="A1688" t="s">
        <v>1749</v>
      </c>
      <c r="B1688" t="s">
        <v>1679</v>
      </c>
      <c r="C1688" t="s">
        <v>75</v>
      </c>
      <c r="D1688" t="s">
        <v>63</v>
      </c>
      <c r="E1688">
        <v>7.1</v>
      </c>
      <c r="F1688">
        <v>7.5</v>
      </c>
      <c r="G1688" s="2" t="s">
        <v>67</v>
      </c>
      <c r="H1688" s="2">
        <v>45.0</v>
      </c>
      <c r="I1688" s="2">
        <v>218.0</v>
      </c>
      <c r="J1688" s="37">
        <v>1294.1000000000001</v>
      </c>
      <c r="K1688" s="2">
        <v>52.0</v>
      </c>
      <c r="L1688" s="2">
        <v>356.0</v>
      </c>
      <c r="M1688" s="37">
        <v>1630.72</v>
      </c>
    </row>
    <row r="1689" ht="14.25" customHeight="1">
      <c r="A1689" t="s">
        <v>1750</v>
      </c>
      <c r="B1689" t="s">
        <v>1679</v>
      </c>
      <c r="C1689" t="s">
        <v>75</v>
      </c>
      <c r="D1689" t="s">
        <v>63</v>
      </c>
      <c r="E1689">
        <v>7.1</v>
      </c>
      <c r="F1689">
        <v>7.5</v>
      </c>
      <c r="G1689" s="2" t="s">
        <v>67</v>
      </c>
      <c r="H1689" s="2">
        <v>45.0</v>
      </c>
      <c r="I1689" s="2">
        <v>218.0</v>
      </c>
      <c r="J1689" s="37">
        <v>1294.1000000000001</v>
      </c>
      <c r="K1689" s="2">
        <v>52.0</v>
      </c>
      <c r="L1689" s="2">
        <v>356.0</v>
      </c>
      <c r="M1689" s="37">
        <v>1630.72</v>
      </c>
    </row>
    <row r="1690" ht="14.25" customHeight="1">
      <c r="A1690" t="s">
        <v>1751</v>
      </c>
      <c r="B1690" t="s">
        <v>1679</v>
      </c>
      <c r="C1690" t="s">
        <v>75</v>
      </c>
      <c r="D1690" t="s">
        <v>63</v>
      </c>
      <c r="E1690">
        <v>7.1</v>
      </c>
      <c r="F1690">
        <v>7.5</v>
      </c>
      <c r="G1690" s="2" t="s">
        <v>67</v>
      </c>
      <c r="H1690" s="2">
        <v>45.0</v>
      </c>
      <c r="I1690" s="2">
        <v>218.0</v>
      </c>
      <c r="J1690" s="37">
        <v>1294.1000000000001</v>
      </c>
      <c r="K1690" s="2">
        <v>52.0</v>
      </c>
      <c r="L1690" s="2">
        <v>356.0</v>
      </c>
      <c r="M1690" s="37">
        <v>1630.72</v>
      </c>
    </row>
    <row r="1691" ht="14.25" customHeight="1">
      <c r="A1691" t="s">
        <v>1752</v>
      </c>
      <c r="B1691" t="s">
        <v>1679</v>
      </c>
      <c r="C1691" t="s">
        <v>75</v>
      </c>
      <c r="D1691" t="s">
        <v>63</v>
      </c>
      <c r="E1691">
        <v>7.1</v>
      </c>
      <c r="F1691">
        <v>7.5</v>
      </c>
      <c r="G1691" s="2" t="s">
        <v>67</v>
      </c>
      <c r="H1691" s="2">
        <v>45.0</v>
      </c>
      <c r="I1691" s="2">
        <v>218.0</v>
      </c>
      <c r="J1691" s="37">
        <v>1294.1000000000001</v>
      </c>
      <c r="K1691" s="2">
        <v>52.0</v>
      </c>
      <c r="L1691" s="2">
        <v>356.0</v>
      </c>
      <c r="M1691" s="37">
        <v>1630.72</v>
      </c>
    </row>
    <row r="1692" ht="14.25" customHeight="1">
      <c r="A1692" t="s">
        <v>1753</v>
      </c>
      <c r="B1692" t="s">
        <v>1679</v>
      </c>
      <c r="C1692" t="s">
        <v>75</v>
      </c>
      <c r="D1692" t="s">
        <v>63</v>
      </c>
      <c r="E1692">
        <v>7.1</v>
      </c>
      <c r="F1692">
        <v>7.5</v>
      </c>
      <c r="G1692" s="2" t="s">
        <v>67</v>
      </c>
      <c r="H1692" s="2">
        <v>45.0</v>
      </c>
      <c r="I1692" s="2">
        <v>218.0</v>
      </c>
      <c r="J1692" s="37">
        <v>1294.1000000000001</v>
      </c>
      <c r="K1692" s="2">
        <v>52.0</v>
      </c>
      <c r="L1692" s="2">
        <v>356.0</v>
      </c>
      <c r="M1692" s="37">
        <v>1630.72</v>
      </c>
    </row>
    <row r="1693" ht="14.25" customHeight="1">
      <c r="A1693" t="s">
        <v>1754</v>
      </c>
      <c r="B1693" t="s">
        <v>1755</v>
      </c>
      <c r="C1693" t="s">
        <v>62</v>
      </c>
      <c r="D1693" t="s">
        <v>63</v>
      </c>
      <c r="E1693">
        <v>7.2</v>
      </c>
      <c r="F1693">
        <v>7.2</v>
      </c>
      <c r="G1693" s="2" t="s">
        <v>67</v>
      </c>
      <c r="H1693" s="2">
        <v>39.0</v>
      </c>
      <c r="I1693" s="2">
        <v>179.0</v>
      </c>
      <c r="J1693" s="37">
        <v>1108.64</v>
      </c>
      <c r="K1693" s="2">
        <v>44.0</v>
      </c>
      <c r="L1693" s="2">
        <v>304.0</v>
      </c>
      <c r="M1693" s="37">
        <v>1383.44</v>
      </c>
    </row>
    <row r="1694" ht="14.25" customHeight="1">
      <c r="A1694" t="s">
        <v>1756</v>
      </c>
      <c r="B1694" t="s">
        <v>1757</v>
      </c>
      <c r="C1694" t="s">
        <v>62</v>
      </c>
      <c r="D1694" t="s">
        <v>258</v>
      </c>
      <c r="E1694">
        <v>2.35</v>
      </c>
      <c r="F1694">
        <v>2.35</v>
      </c>
      <c r="G1694" s="2" t="s">
        <v>64</v>
      </c>
      <c r="H1694" s="2">
        <v>0.0</v>
      </c>
      <c r="I1694" s="2">
        <v>0.0</v>
      </c>
      <c r="J1694" s="37">
        <v>0.0</v>
      </c>
      <c r="K1694" s="2">
        <v>0.0</v>
      </c>
      <c r="L1694" s="2">
        <v>0.0</v>
      </c>
      <c r="M1694" s="37">
        <v>0.0</v>
      </c>
    </row>
    <row r="1695" ht="14.25" customHeight="1">
      <c r="A1695" t="s">
        <v>1758</v>
      </c>
      <c r="B1695" t="s">
        <v>1757</v>
      </c>
      <c r="C1695" t="s">
        <v>62</v>
      </c>
      <c r="D1695" t="s">
        <v>258</v>
      </c>
      <c r="E1695">
        <v>2.35</v>
      </c>
      <c r="F1695">
        <v>2.35</v>
      </c>
      <c r="G1695" s="2" t="s">
        <v>64</v>
      </c>
      <c r="H1695" s="2">
        <v>0.0</v>
      </c>
      <c r="I1695" s="2">
        <v>0.0</v>
      </c>
      <c r="J1695" s="37">
        <v>0.0</v>
      </c>
      <c r="K1695" s="2">
        <v>0.0</v>
      </c>
      <c r="L1695" s="2">
        <v>0.0</v>
      </c>
      <c r="M1695" s="37">
        <v>0.0</v>
      </c>
    </row>
    <row r="1696" ht="14.25" customHeight="1">
      <c r="A1696" t="s">
        <v>1759</v>
      </c>
      <c r="B1696" t="s">
        <v>1757</v>
      </c>
      <c r="C1696" t="s">
        <v>62</v>
      </c>
      <c r="D1696" t="s">
        <v>258</v>
      </c>
      <c r="E1696">
        <v>2.35</v>
      </c>
      <c r="F1696">
        <v>2.35</v>
      </c>
      <c r="G1696" s="2" t="s">
        <v>64</v>
      </c>
      <c r="H1696" s="2">
        <v>0.0</v>
      </c>
      <c r="I1696" s="2">
        <v>0.0</v>
      </c>
      <c r="J1696" s="37">
        <v>0.0</v>
      </c>
      <c r="K1696" s="2">
        <v>0.0</v>
      </c>
      <c r="L1696" s="2">
        <v>0.0</v>
      </c>
      <c r="M1696" s="37">
        <v>0.0</v>
      </c>
    </row>
    <row r="1697" ht="14.25" customHeight="1">
      <c r="A1697" t="s">
        <v>1760</v>
      </c>
      <c r="B1697" t="s">
        <v>1757</v>
      </c>
      <c r="C1697" t="s">
        <v>62</v>
      </c>
      <c r="D1697" t="s">
        <v>258</v>
      </c>
      <c r="E1697">
        <v>2.35</v>
      </c>
      <c r="F1697">
        <v>2.35</v>
      </c>
      <c r="G1697" s="2" t="s">
        <v>64</v>
      </c>
      <c r="H1697" s="2">
        <v>0.0</v>
      </c>
      <c r="I1697" s="2">
        <v>0.0</v>
      </c>
      <c r="J1697" s="37">
        <v>0.0</v>
      </c>
      <c r="K1697" s="2">
        <v>0.0</v>
      </c>
      <c r="L1697" s="2">
        <v>0.0</v>
      </c>
      <c r="M1697" s="37">
        <v>0.0</v>
      </c>
    </row>
    <row r="1698" ht="14.25" customHeight="1">
      <c r="A1698" t="s">
        <v>1761</v>
      </c>
      <c r="B1698" t="s">
        <v>1757</v>
      </c>
      <c r="C1698" t="s">
        <v>62</v>
      </c>
      <c r="D1698" t="s">
        <v>258</v>
      </c>
      <c r="E1698">
        <v>2.35</v>
      </c>
      <c r="F1698">
        <v>2.35</v>
      </c>
      <c r="G1698" s="2" t="s">
        <v>64</v>
      </c>
      <c r="H1698" s="2">
        <v>0.0</v>
      </c>
      <c r="I1698" s="2">
        <v>0.0</v>
      </c>
      <c r="J1698" s="37">
        <v>0.0</v>
      </c>
      <c r="K1698" s="2">
        <v>0.0</v>
      </c>
      <c r="L1698" s="2">
        <v>0.0</v>
      </c>
      <c r="M1698" s="37">
        <v>0.0</v>
      </c>
    </row>
    <row r="1699" ht="14.25" customHeight="1">
      <c r="A1699" t="s">
        <v>1762</v>
      </c>
      <c r="B1699" t="s">
        <v>1757</v>
      </c>
      <c r="C1699" t="s">
        <v>62</v>
      </c>
      <c r="D1699" t="s">
        <v>258</v>
      </c>
      <c r="E1699">
        <v>2.35</v>
      </c>
      <c r="F1699">
        <v>2.35</v>
      </c>
      <c r="G1699" s="2" t="s">
        <v>64</v>
      </c>
      <c r="H1699" s="2">
        <v>0.0</v>
      </c>
      <c r="I1699" s="2">
        <v>0.0</v>
      </c>
      <c r="J1699" s="37">
        <v>0.0</v>
      </c>
      <c r="K1699" s="2">
        <v>0.0</v>
      </c>
      <c r="L1699" s="2">
        <v>0.0</v>
      </c>
      <c r="M1699" s="37">
        <v>0.0</v>
      </c>
    </row>
    <row r="1700" ht="14.25" customHeight="1">
      <c r="A1700" t="s">
        <v>1763</v>
      </c>
      <c r="B1700" t="s">
        <v>1764</v>
      </c>
      <c r="C1700" t="s">
        <v>62</v>
      </c>
      <c r="D1700" t="s">
        <v>63</v>
      </c>
      <c r="E1700">
        <v>2.5</v>
      </c>
      <c r="F1700">
        <v>3.2</v>
      </c>
      <c r="G1700" s="2" t="s">
        <v>64</v>
      </c>
      <c r="H1700" s="2">
        <v>0.0</v>
      </c>
      <c r="I1700" s="2">
        <v>0.0</v>
      </c>
      <c r="J1700" s="37">
        <v>0.0</v>
      </c>
      <c r="K1700" s="2">
        <v>0.0</v>
      </c>
      <c r="L1700" s="2">
        <v>0.0</v>
      </c>
      <c r="M1700" s="37">
        <v>0.0</v>
      </c>
    </row>
    <row r="1701" ht="14.25" customHeight="1">
      <c r="A1701" t="s">
        <v>1765</v>
      </c>
      <c r="B1701" t="s">
        <v>1764</v>
      </c>
      <c r="C1701" t="s">
        <v>62</v>
      </c>
      <c r="D1701" t="s">
        <v>63</v>
      </c>
      <c r="E1701">
        <v>3.5</v>
      </c>
      <c r="F1701">
        <v>4.0</v>
      </c>
      <c r="G1701" s="2" t="s">
        <v>67</v>
      </c>
      <c r="H1701" s="2">
        <v>19.0</v>
      </c>
      <c r="I1701" s="2">
        <v>76.0</v>
      </c>
      <c r="J1701" s="37">
        <v>525.54</v>
      </c>
      <c r="K1701" s="2">
        <v>22.0</v>
      </c>
      <c r="L1701" s="2">
        <v>129.0</v>
      </c>
      <c r="M1701" s="37">
        <v>661.82</v>
      </c>
    </row>
    <row r="1702" ht="14.25" customHeight="1">
      <c r="A1702" t="s">
        <v>1766</v>
      </c>
      <c r="B1702" t="s">
        <v>1764</v>
      </c>
      <c r="C1702" t="s">
        <v>62</v>
      </c>
      <c r="D1702" t="s">
        <v>63</v>
      </c>
      <c r="E1702">
        <v>5.0</v>
      </c>
      <c r="F1702">
        <v>6.0</v>
      </c>
      <c r="G1702" s="2" t="s">
        <v>67</v>
      </c>
      <c r="H1702" s="2">
        <v>31.0</v>
      </c>
      <c r="I1702" s="2">
        <v>175.0</v>
      </c>
      <c r="J1702" s="37">
        <v>923.76</v>
      </c>
      <c r="K1702" s="2">
        <v>36.0</v>
      </c>
      <c r="L1702" s="2">
        <v>261.0</v>
      </c>
      <c r="M1702" s="37">
        <v>1147.8600000000001</v>
      </c>
    </row>
    <row r="1703" ht="14.25" customHeight="1">
      <c r="A1703" t="s">
        <v>1767</v>
      </c>
      <c r="B1703" t="s">
        <v>1764</v>
      </c>
      <c r="C1703" t="s">
        <v>62</v>
      </c>
      <c r="D1703" t="s">
        <v>63</v>
      </c>
      <c r="E1703">
        <v>7.1</v>
      </c>
      <c r="F1703">
        <v>8.0</v>
      </c>
      <c r="G1703" s="2" t="s">
        <v>64</v>
      </c>
      <c r="H1703" s="2">
        <v>0.0</v>
      </c>
      <c r="I1703" s="2">
        <v>0.0</v>
      </c>
      <c r="J1703" s="37">
        <v>0.0</v>
      </c>
      <c r="K1703" s="2">
        <v>0.0</v>
      </c>
      <c r="L1703" s="2">
        <v>0.0</v>
      </c>
      <c r="M1703" s="37">
        <v>0.0</v>
      </c>
    </row>
    <row r="1704" ht="14.25" customHeight="1">
      <c r="A1704" t="s">
        <v>1768</v>
      </c>
      <c r="B1704" t="s">
        <v>1764</v>
      </c>
      <c r="C1704" t="s">
        <v>62</v>
      </c>
      <c r="D1704" t="s">
        <v>63</v>
      </c>
      <c r="E1704">
        <v>9.0</v>
      </c>
      <c r="F1704">
        <v>10.0</v>
      </c>
      <c r="G1704" s="2" t="s">
        <v>64</v>
      </c>
      <c r="H1704" s="2">
        <v>0.0</v>
      </c>
      <c r="I1704" s="2">
        <v>0.0</v>
      </c>
      <c r="J1704" s="37">
        <v>0.0</v>
      </c>
      <c r="K1704" s="2">
        <v>0.0</v>
      </c>
      <c r="L1704" s="2">
        <v>0.0</v>
      </c>
      <c r="M1704" s="37">
        <v>0.0</v>
      </c>
    </row>
    <row r="1705" ht="14.25" customHeight="1">
      <c r="A1705" t="s">
        <v>1769</v>
      </c>
      <c r="B1705" t="s">
        <v>1770</v>
      </c>
      <c r="C1705" t="s">
        <v>62</v>
      </c>
      <c r="D1705" t="s">
        <v>63</v>
      </c>
      <c r="E1705">
        <v>3.55</v>
      </c>
      <c r="F1705">
        <v>4.0</v>
      </c>
      <c r="G1705" s="2" t="s">
        <v>67</v>
      </c>
      <c r="H1705" s="2">
        <v>19.0</v>
      </c>
      <c r="I1705" s="2">
        <v>84.0</v>
      </c>
      <c r="J1705" s="37">
        <v>535.94</v>
      </c>
      <c r="K1705" s="2">
        <v>21.0</v>
      </c>
      <c r="L1705" s="2">
        <v>137.0</v>
      </c>
      <c r="M1705" s="37">
        <v>649.76</v>
      </c>
    </row>
    <row r="1706" ht="14.25" customHeight="1">
      <c r="A1706" t="s">
        <v>1771</v>
      </c>
      <c r="B1706" t="s">
        <v>1770</v>
      </c>
      <c r="C1706" t="s">
        <v>62</v>
      </c>
      <c r="D1706" t="s">
        <v>63</v>
      </c>
      <c r="E1706">
        <v>2.0</v>
      </c>
      <c r="F1706">
        <v>2.25</v>
      </c>
      <c r="G1706" s="2" t="s">
        <v>64</v>
      </c>
      <c r="H1706" s="2">
        <v>0.0</v>
      </c>
      <c r="I1706" s="2">
        <v>0.0</v>
      </c>
      <c r="J1706" s="37">
        <v>0.0</v>
      </c>
      <c r="K1706" s="2">
        <v>0.0</v>
      </c>
      <c r="L1706" s="2">
        <v>0.0</v>
      </c>
      <c r="M1706" s="37">
        <v>0.0</v>
      </c>
    </row>
    <row r="1707" ht="14.25" customHeight="1">
      <c r="A1707" t="s">
        <v>1772</v>
      </c>
      <c r="B1707" t="s">
        <v>1770</v>
      </c>
      <c r="C1707" t="s">
        <v>62</v>
      </c>
      <c r="D1707" t="s">
        <v>63</v>
      </c>
      <c r="E1707">
        <v>2.6</v>
      </c>
      <c r="F1707">
        <v>2.7</v>
      </c>
      <c r="G1707" s="2" t="s">
        <v>67</v>
      </c>
      <c r="H1707" s="2">
        <v>13.0</v>
      </c>
      <c r="I1707" s="2">
        <v>67.0</v>
      </c>
      <c r="J1707" s="37">
        <v>379.08000000000004</v>
      </c>
      <c r="K1707" s="2">
        <v>15.0</v>
      </c>
      <c r="L1707" s="2">
        <v>106.0</v>
      </c>
      <c r="M1707" s="37">
        <v>474.70000000000005</v>
      </c>
    </row>
    <row r="1708" ht="14.25" customHeight="1">
      <c r="A1708" t="s">
        <v>1773</v>
      </c>
      <c r="B1708" t="s">
        <v>1770</v>
      </c>
      <c r="C1708" t="s">
        <v>62</v>
      </c>
      <c r="D1708" t="s">
        <v>63</v>
      </c>
      <c r="E1708">
        <v>5.0</v>
      </c>
      <c r="F1708">
        <v>5.2</v>
      </c>
      <c r="G1708" s="2" t="s">
        <v>67</v>
      </c>
      <c r="H1708" s="2">
        <v>27.0</v>
      </c>
      <c r="I1708" s="2">
        <v>141.0</v>
      </c>
      <c r="J1708" s="37">
        <v>789.72</v>
      </c>
      <c r="K1708" s="2">
        <v>31.0</v>
      </c>
      <c r="L1708" s="2">
        <v>227.0</v>
      </c>
      <c r="M1708" s="37">
        <v>991.36</v>
      </c>
    </row>
    <row r="1709" ht="14.25" customHeight="1">
      <c r="A1709" t="s">
        <v>1774</v>
      </c>
      <c r="B1709" t="s">
        <v>1770</v>
      </c>
      <c r="C1709" t="s">
        <v>62</v>
      </c>
      <c r="D1709" t="s">
        <v>63</v>
      </c>
      <c r="E1709">
        <v>7.0</v>
      </c>
      <c r="F1709">
        <v>7.5</v>
      </c>
      <c r="G1709" s="2" t="s">
        <v>64</v>
      </c>
      <c r="H1709" s="2">
        <v>0.0</v>
      </c>
      <c r="I1709" s="2">
        <v>0.0</v>
      </c>
      <c r="J1709" s="37">
        <v>0.0</v>
      </c>
      <c r="K1709" s="2">
        <v>0.0</v>
      </c>
      <c r="L1709" s="2">
        <v>0.0</v>
      </c>
      <c r="M1709" s="37">
        <v>0.0</v>
      </c>
    </row>
    <row r="1710" ht="14.25" customHeight="1">
      <c r="A1710" t="s">
        <v>1775</v>
      </c>
      <c r="B1710" t="s">
        <v>1770</v>
      </c>
      <c r="C1710" t="s">
        <v>62</v>
      </c>
      <c r="D1710" t="s">
        <v>63</v>
      </c>
      <c r="E1710">
        <v>8.0</v>
      </c>
      <c r="F1710">
        <v>8.5</v>
      </c>
      <c r="G1710" s="2" t="s">
        <v>64</v>
      </c>
      <c r="H1710" s="2">
        <v>0.0</v>
      </c>
      <c r="I1710" s="2">
        <v>0.0</v>
      </c>
      <c r="J1710" s="37">
        <v>0.0</v>
      </c>
      <c r="K1710" s="2">
        <v>0.0</v>
      </c>
      <c r="L1710" s="2">
        <v>0.0</v>
      </c>
      <c r="M1710" s="37">
        <v>0.0</v>
      </c>
    </row>
    <row r="1711" ht="14.25" customHeight="1">
      <c r="A1711" t="s">
        <v>1776</v>
      </c>
      <c r="B1711" t="s">
        <v>1770</v>
      </c>
      <c r="C1711" t="s">
        <v>62</v>
      </c>
      <c r="D1711" t="s">
        <v>467</v>
      </c>
      <c r="E1711">
        <v>2.8</v>
      </c>
      <c r="F1711">
        <v>2.45</v>
      </c>
      <c r="G1711" s="2" t="s">
        <v>64</v>
      </c>
      <c r="H1711" s="2">
        <v>0.0</v>
      </c>
      <c r="I1711" s="2">
        <v>0.0</v>
      </c>
      <c r="J1711" s="37">
        <v>0.0</v>
      </c>
      <c r="K1711" s="2">
        <v>0.0</v>
      </c>
      <c r="L1711" s="2">
        <v>0.0</v>
      </c>
      <c r="M1711" s="37">
        <v>0.0</v>
      </c>
    </row>
    <row r="1712" ht="14.25" customHeight="1">
      <c r="A1712" t="s">
        <v>1777</v>
      </c>
      <c r="B1712" t="s">
        <v>1770</v>
      </c>
      <c r="C1712" t="s">
        <v>62</v>
      </c>
      <c r="D1712" t="s">
        <v>467</v>
      </c>
      <c r="E1712">
        <v>3.9</v>
      </c>
      <c r="F1712">
        <v>3.6</v>
      </c>
      <c r="G1712" s="2" t="s">
        <v>64</v>
      </c>
      <c r="H1712" s="2">
        <v>0.0</v>
      </c>
      <c r="I1712" s="2">
        <v>0.0</v>
      </c>
      <c r="J1712" s="37">
        <v>0.0</v>
      </c>
      <c r="K1712" s="2">
        <v>0.0</v>
      </c>
      <c r="L1712" s="2">
        <v>0.0</v>
      </c>
      <c r="M1712" s="37">
        <v>0.0</v>
      </c>
    </row>
    <row r="1713" ht="14.25" customHeight="1">
      <c r="A1713" t="s">
        <v>1778</v>
      </c>
      <c r="B1713" t="s">
        <v>1770</v>
      </c>
      <c r="C1713" t="s">
        <v>62</v>
      </c>
      <c r="D1713" t="s">
        <v>467</v>
      </c>
      <c r="E1713">
        <v>5.3</v>
      </c>
      <c r="F1713">
        <v>4.8</v>
      </c>
      <c r="G1713" s="2" t="s">
        <v>64</v>
      </c>
      <c r="H1713" s="2">
        <v>0.0</v>
      </c>
      <c r="I1713" s="2">
        <v>0.0</v>
      </c>
      <c r="J1713" s="37">
        <v>0.0</v>
      </c>
      <c r="K1713" s="2">
        <v>0.0</v>
      </c>
      <c r="L1713" s="2">
        <v>0.0</v>
      </c>
      <c r="M1713" s="37">
        <v>0.0</v>
      </c>
    </row>
    <row r="1714" ht="14.25" customHeight="1">
      <c r="A1714" t="s">
        <v>1779</v>
      </c>
      <c r="B1714" t="s">
        <v>1770</v>
      </c>
      <c r="C1714" t="s">
        <v>62</v>
      </c>
      <c r="D1714" t="s">
        <v>467</v>
      </c>
      <c r="E1714">
        <v>6.0</v>
      </c>
      <c r="F1714">
        <v>5.52</v>
      </c>
      <c r="G1714" s="2" t="s">
        <v>64</v>
      </c>
      <c r="H1714" s="2">
        <v>0.0</v>
      </c>
      <c r="I1714" s="2">
        <v>0.0</v>
      </c>
      <c r="J1714" s="37">
        <v>0.0</v>
      </c>
      <c r="K1714" s="2">
        <v>0.0</v>
      </c>
      <c r="L1714" s="2">
        <v>0.0</v>
      </c>
      <c r="M1714" s="37">
        <v>0.0</v>
      </c>
    </row>
    <row r="1715" ht="14.25" customHeight="1">
      <c r="A1715" t="s">
        <v>1780</v>
      </c>
      <c r="B1715" t="s">
        <v>1781</v>
      </c>
      <c r="C1715" t="s">
        <v>62</v>
      </c>
      <c r="D1715" t="s">
        <v>63</v>
      </c>
      <c r="E1715">
        <v>2.6</v>
      </c>
      <c r="F1715">
        <v>2.8</v>
      </c>
      <c r="G1715" s="2" t="s">
        <v>67</v>
      </c>
      <c r="H1715" s="2">
        <v>13.0</v>
      </c>
      <c r="I1715" s="2">
        <v>61.0</v>
      </c>
      <c r="J1715" s="37">
        <v>371.28000000000003</v>
      </c>
      <c r="K1715" s="2">
        <v>15.0</v>
      </c>
      <c r="L1715" s="2">
        <v>101.0</v>
      </c>
      <c r="M1715" s="37">
        <v>468.20000000000005</v>
      </c>
    </row>
    <row r="1716" ht="14.25" customHeight="1">
      <c r="A1716" t="s">
        <v>1782</v>
      </c>
      <c r="B1716" t="s">
        <v>1781</v>
      </c>
      <c r="C1716" t="s">
        <v>62</v>
      </c>
      <c r="D1716" t="s">
        <v>63</v>
      </c>
      <c r="E1716">
        <v>5.0</v>
      </c>
      <c r="F1716">
        <v>5.1</v>
      </c>
      <c r="G1716" s="2" t="s">
        <v>67</v>
      </c>
      <c r="H1716" s="2">
        <v>28.0</v>
      </c>
      <c r="I1716" s="2">
        <v>113.0</v>
      </c>
      <c r="J1716" s="37">
        <v>775.78</v>
      </c>
      <c r="K1716" s="2">
        <v>32.0</v>
      </c>
      <c r="L1716" s="2">
        <v>199.0</v>
      </c>
      <c r="M1716" s="37">
        <v>977.4200000000001</v>
      </c>
    </row>
    <row r="1717" ht="14.25" customHeight="1">
      <c r="A1717" t="s">
        <v>1783</v>
      </c>
      <c r="B1717" t="s">
        <v>1781</v>
      </c>
      <c r="C1717" t="s">
        <v>62</v>
      </c>
      <c r="D1717" t="s">
        <v>63</v>
      </c>
      <c r="E1717">
        <v>8.0</v>
      </c>
      <c r="F1717">
        <v>8.1</v>
      </c>
      <c r="G1717" s="2" t="s">
        <v>64</v>
      </c>
      <c r="H1717" s="2">
        <v>0.0</v>
      </c>
      <c r="I1717" s="2">
        <v>0.0</v>
      </c>
      <c r="J1717" s="37">
        <v>0.0</v>
      </c>
      <c r="K1717" s="2">
        <v>0.0</v>
      </c>
      <c r="L1717" s="2">
        <v>0.0</v>
      </c>
      <c r="M1717" s="37">
        <v>0.0</v>
      </c>
    </row>
    <row r="1718" ht="14.25" customHeight="1">
      <c r="A1718" t="s">
        <v>1784</v>
      </c>
      <c r="B1718" t="s">
        <v>1781</v>
      </c>
      <c r="C1718" t="s">
        <v>62</v>
      </c>
      <c r="D1718" t="s">
        <v>63</v>
      </c>
      <c r="E1718">
        <v>7.0</v>
      </c>
      <c r="F1718">
        <v>7.5</v>
      </c>
      <c r="G1718" s="2" t="s">
        <v>64</v>
      </c>
      <c r="H1718" s="2">
        <v>0.0</v>
      </c>
      <c r="I1718" s="2">
        <v>0.0</v>
      </c>
      <c r="J1718" s="37">
        <v>0.0</v>
      </c>
      <c r="K1718" s="2">
        <v>0.0</v>
      </c>
      <c r="L1718" s="2">
        <v>0.0</v>
      </c>
      <c r="M1718" s="37">
        <v>0.0</v>
      </c>
    </row>
    <row r="1719" ht="14.25" customHeight="1">
      <c r="A1719" t="s">
        <v>1785</v>
      </c>
      <c r="B1719" t="s">
        <v>1781</v>
      </c>
      <c r="C1719" t="s">
        <v>62</v>
      </c>
      <c r="D1719" t="s">
        <v>63</v>
      </c>
      <c r="E1719">
        <v>3.5</v>
      </c>
      <c r="F1719">
        <v>3.8</v>
      </c>
      <c r="G1719" s="2" t="s">
        <v>64</v>
      </c>
      <c r="H1719" s="2">
        <v>0.0</v>
      </c>
      <c r="I1719" s="2">
        <v>0.0</v>
      </c>
      <c r="J1719" s="37">
        <v>0.0</v>
      </c>
      <c r="K1719" s="2">
        <v>0.0</v>
      </c>
      <c r="L1719" s="2">
        <v>0.0</v>
      </c>
      <c r="M1719" s="37">
        <v>0.0</v>
      </c>
    </row>
    <row r="1720" ht="14.25" customHeight="1">
      <c r="A1720" t="s">
        <v>1786</v>
      </c>
      <c r="B1720" t="s">
        <v>1770</v>
      </c>
      <c r="C1720" t="s">
        <v>75</v>
      </c>
      <c r="D1720" t="s">
        <v>63</v>
      </c>
      <c r="E1720">
        <v>7.3</v>
      </c>
      <c r="F1720">
        <v>7.5</v>
      </c>
      <c r="G1720" s="2" t="s">
        <v>67</v>
      </c>
      <c r="H1720" s="2">
        <v>45.0</v>
      </c>
      <c r="I1720" s="2">
        <v>142.0</v>
      </c>
      <c r="J1720" s="37">
        <v>1195.3</v>
      </c>
      <c r="K1720" s="2">
        <v>51.0</v>
      </c>
      <c r="L1720" s="2">
        <v>284.0</v>
      </c>
      <c r="M1720" s="37">
        <v>1514.66</v>
      </c>
    </row>
    <row r="1721" ht="14.25" customHeight="1">
      <c r="A1721" t="s">
        <v>1787</v>
      </c>
      <c r="B1721" t="s">
        <v>1770</v>
      </c>
      <c r="C1721" t="s">
        <v>75</v>
      </c>
      <c r="D1721" t="s">
        <v>63</v>
      </c>
      <c r="E1721">
        <v>10.5</v>
      </c>
      <c r="F1721">
        <v>11.5</v>
      </c>
      <c r="G1721" s="2" t="s">
        <v>67</v>
      </c>
      <c r="H1721" s="2">
        <v>67.0</v>
      </c>
      <c r="I1721" s="2">
        <v>160.0</v>
      </c>
      <c r="J1721" s="37">
        <v>1712.8200000000002</v>
      </c>
      <c r="K1721" s="2">
        <v>77.0</v>
      </c>
      <c r="L1721" s="2">
        <v>364.0</v>
      </c>
      <c r="M1721" s="37">
        <v>2202.62</v>
      </c>
    </row>
    <row r="1722" ht="14.25" customHeight="1">
      <c r="A1722" t="s">
        <v>1788</v>
      </c>
      <c r="B1722" t="s">
        <v>1770</v>
      </c>
      <c r="C1722" t="s">
        <v>75</v>
      </c>
      <c r="D1722" t="s">
        <v>63</v>
      </c>
      <c r="E1722">
        <v>12.5</v>
      </c>
      <c r="F1722">
        <v>13.0</v>
      </c>
      <c r="G1722" s="2" t="s">
        <v>67</v>
      </c>
      <c r="H1722" s="2">
        <v>78.0</v>
      </c>
      <c r="I1722" s="2">
        <v>214.0</v>
      </c>
      <c r="J1722" s="37">
        <v>2030.0800000000002</v>
      </c>
      <c r="K1722" s="2">
        <v>90.0</v>
      </c>
      <c r="L1722" s="2">
        <v>456.0</v>
      </c>
      <c r="M1722" s="37">
        <v>2614.2000000000003</v>
      </c>
    </row>
    <row r="1723" ht="14.25" customHeight="1">
      <c r="A1723" t="s">
        <v>1789</v>
      </c>
      <c r="B1723" t="s">
        <v>1770</v>
      </c>
      <c r="C1723" t="s">
        <v>75</v>
      </c>
      <c r="D1723" t="s">
        <v>63</v>
      </c>
      <c r="E1723">
        <v>14.0</v>
      </c>
      <c r="F1723">
        <v>14.0</v>
      </c>
      <c r="G1723" s="2" t="s">
        <v>67</v>
      </c>
      <c r="H1723" s="2">
        <v>83.0</v>
      </c>
      <c r="I1723" s="2">
        <v>177.0</v>
      </c>
      <c r="J1723" s="37">
        <v>2094.28</v>
      </c>
      <c r="K1723" s="2">
        <v>96.0</v>
      </c>
      <c r="L1723" s="2">
        <v>448.0</v>
      </c>
      <c r="M1723" s="37">
        <v>2738.56</v>
      </c>
    </row>
    <row r="1724" ht="14.25" customHeight="1">
      <c r="A1724" t="s">
        <v>1790</v>
      </c>
      <c r="B1724" t="s">
        <v>1770</v>
      </c>
      <c r="C1724" t="s">
        <v>75</v>
      </c>
      <c r="D1724" t="s">
        <v>63</v>
      </c>
      <c r="E1724">
        <v>17.0</v>
      </c>
      <c r="F1724">
        <v>18.0</v>
      </c>
      <c r="G1724" s="2" t="s">
        <v>67</v>
      </c>
      <c r="H1724" s="2">
        <v>101.0</v>
      </c>
      <c r="I1724" s="2">
        <v>131.0</v>
      </c>
      <c r="J1724" s="37">
        <v>2438.76</v>
      </c>
      <c r="K1724" s="2">
        <v>117.0</v>
      </c>
      <c r="L1724" s="2">
        <v>460.0</v>
      </c>
      <c r="M1724" s="37">
        <v>3225.82</v>
      </c>
    </row>
    <row r="1725" ht="14.25" customHeight="1">
      <c r="A1725" t="s">
        <v>1791</v>
      </c>
      <c r="B1725" t="s">
        <v>1770</v>
      </c>
      <c r="C1725" t="s">
        <v>62</v>
      </c>
      <c r="D1725" t="s">
        <v>63</v>
      </c>
      <c r="E1725">
        <v>10.5</v>
      </c>
      <c r="F1725">
        <v>11.0</v>
      </c>
      <c r="G1725" s="2" t="s">
        <v>67</v>
      </c>
      <c r="H1725" s="2">
        <v>67.0</v>
      </c>
      <c r="I1725" s="2">
        <v>424.0</v>
      </c>
      <c r="J1725" s="37">
        <v>2056.0200000000004</v>
      </c>
      <c r="K1725" s="2">
        <v>77.0</v>
      </c>
      <c r="L1725" s="2">
        <v>627.0</v>
      </c>
      <c r="M1725" s="37">
        <v>2544.52</v>
      </c>
    </row>
    <row r="1726" ht="14.25" customHeight="1">
      <c r="A1726" t="s">
        <v>1792</v>
      </c>
      <c r="B1726" t="s">
        <v>1770</v>
      </c>
      <c r="C1726" t="s">
        <v>62</v>
      </c>
      <c r="D1726" t="s">
        <v>63</v>
      </c>
      <c r="E1726">
        <v>12.5</v>
      </c>
      <c r="F1726">
        <v>13.0</v>
      </c>
      <c r="G1726" s="2" t="s">
        <v>67</v>
      </c>
      <c r="H1726" s="2">
        <v>76.0</v>
      </c>
      <c r="I1726" s="2">
        <v>360.0</v>
      </c>
      <c r="J1726" s="37">
        <v>2174.96</v>
      </c>
      <c r="K1726" s="2">
        <v>88.0</v>
      </c>
      <c r="L1726" s="2">
        <v>602.0</v>
      </c>
      <c r="M1726" s="37">
        <v>2759.08</v>
      </c>
    </row>
    <row r="1727" ht="14.25" customHeight="1">
      <c r="A1727" t="s">
        <v>1793</v>
      </c>
      <c r="B1727" t="s">
        <v>1770</v>
      </c>
      <c r="C1727" t="s">
        <v>62</v>
      </c>
      <c r="D1727" t="s">
        <v>63</v>
      </c>
      <c r="E1727">
        <v>14.0</v>
      </c>
      <c r="F1727">
        <v>14.5</v>
      </c>
      <c r="G1727" s="2" t="s">
        <v>67</v>
      </c>
      <c r="H1727" s="2">
        <v>83.0</v>
      </c>
      <c r="I1727" s="2">
        <v>149.0</v>
      </c>
      <c r="J1727" s="37">
        <v>2057.88</v>
      </c>
      <c r="K1727" s="2">
        <v>96.0</v>
      </c>
      <c r="L1727" s="2">
        <v>420.0</v>
      </c>
      <c r="M1727" s="37">
        <v>2702.16</v>
      </c>
    </row>
    <row r="1728" ht="14.25" customHeight="1">
      <c r="A1728" t="s">
        <v>1774</v>
      </c>
      <c r="B1728" t="s">
        <v>1770</v>
      </c>
      <c r="C1728" t="s">
        <v>62</v>
      </c>
      <c r="D1728" t="s">
        <v>63</v>
      </c>
      <c r="E1728">
        <v>7.0</v>
      </c>
      <c r="F1728">
        <v>7.5</v>
      </c>
      <c r="G1728" s="2" t="s">
        <v>67</v>
      </c>
      <c r="H1728" s="2">
        <v>0.0</v>
      </c>
      <c r="I1728" s="2">
        <v>0.0</v>
      </c>
      <c r="J1728" s="37">
        <v>0.0</v>
      </c>
      <c r="K1728" s="2">
        <v>0.0</v>
      </c>
      <c r="L1728" s="2">
        <v>0.0</v>
      </c>
      <c r="M1728" s="37">
        <v>0.0</v>
      </c>
    </row>
    <row r="1729" ht="14.25" customHeight="1">
      <c r="A1729" t="s">
        <v>1775</v>
      </c>
      <c r="B1729" t="s">
        <v>1770</v>
      </c>
      <c r="C1729" t="s">
        <v>62</v>
      </c>
      <c r="D1729" t="s">
        <v>63</v>
      </c>
      <c r="E1729">
        <v>7.6</v>
      </c>
      <c r="F1729">
        <v>8.5</v>
      </c>
      <c r="G1729" s="2" t="s">
        <v>67</v>
      </c>
      <c r="H1729" s="2">
        <v>0.0</v>
      </c>
      <c r="I1729" s="2">
        <v>0.0</v>
      </c>
      <c r="J1729" s="37">
        <v>0.0</v>
      </c>
      <c r="K1729" s="2">
        <v>0.0</v>
      </c>
      <c r="L1729" s="2">
        <v>0.0</v>
      </c>
      <c r="M1729" s="37">
        <v>0.0</v>
      </c>
    </row>
    <row r="1730" ht="14.25" customHeight="1">
      <c r="A1730" t="s">
        <v>1779</v>
      </c>
      <c r="B1730" t="s">
        <v>1770</v>
      </c>
      <c r="C1730" t="s">
        <v>62</v>
      </c>
      <c r="D1730" t="s">
        <v>467</v>
      </c>
      <c r="E1730">
        <v>6.09</v>
      </c>
      <c r="F1730">
        <v>5.8</v>
      </c>
      <c r="G1730" s="2" t="s">
        <v>64</v>
      </c>
      <c r="H1730" s="2">
        <v>0.0</v>
      </c>
      <c r="I1730" s="2">
        <v>0.0</v>
      </c>
      <c r="J1730" s="37">
        <v>0.0</v>
      </c>
      <c r="K1730" s="2">
        <v>0.0</v>
      </c>
      <c r="L1730" s="2">
        <v>0.0</v>
      </c>
      <c r="M1730" s="37">
        <v>0.0</v>
      </c>
    </row>
    <row r="1731" ht="14.25" customHeight="1">
      <c r="A1731" t="s">
        <v>1794</v>
      </c>
      <c r="B1731" t="s">
        <v>1770</v>
      </c>
      <c r="C1731" t="s">
        <v>75</v>
      </c>
      <c r="D1731" t="s">
        <v>63</v>
      </c>
      <c r="E1731">
        <v>10.5</v>
      </c>
      <c r="F1731">
        <v>10.0</v>
      </c>
      <c r="G1731" s="2" t="s">
        <v>64</v>
      </c>
      <c r="H1731" s="2">
        <v>0.0</v>
      </c>
      <c r="I1731" s="2">
        <v>0.0</v>
      </c>
      <c r="J1731" s="37">
        <v>0.0</v>
      </c>
      <c r="K1731" s="2">
        <v>0.0</v>
      </c>
      <c r="L1731" s="2">
        <v>0.0</v>
      </c>
      <c r="M1731" s="37">
        <v>0.0</v>
      </c>
    </row>
    <row r="1732" ht="14.25" customHeight="1">
      <c r="A1732" t="s">
        <v>1795</v>
      </c>
      <c r="B1732" t="s">
        <v>1770</v>
      </c>
      <c r="C1732" t="s">
        <v>75</v>
      </c>
      <c r="D1732" t="s">
        <v>63</v>
      </c>
      <c r="E1732">
        <v>7.0</v>
      </c>
      <c r="F1732">
        <v>8.0</v>
      </c>
      <c r="G1732" s="2" t="s">
        <v>64</v>
      </c>
      <c r="H1732" s="2">
        <v>0.0</v>
      </c>
      <c r="I1732" s="2">
        <v>0.0</v>
      </c>
      <c r="J1732" s="37">
        <v>0.0</v>
      </c>
      <c r="K1732" s="2">
        <v>0.0</v>
      </c>
      <c r="L1732" s="2">
        <v>0.0</v>
      </c>
      <c r="M1732" s="37">
        <v>0.0</v>
      </c>
    </row>
    <row r="1733" ht="14.25" customHeight="1">
      <c r="A1733" t="s">
        <v>1796</v>
      </c>
      <c r="B1733" t="s">
        <v>1770</v>
      </c>
      <c r="C1733" t="s">
        <v>75</v>
      </c>
      <c r="D1733" t="s">
        <v>63</v>
      </c>
      <c r="E1733">
        <v>13.0</v>
      </c>
      <c r="F1733">
        <v>15.0</v>
      </c>
      <c r="G1733" s="2" t="s">
        <v>64</v>
      </c>
      <c r="H1733" s="2">
        <v>0.0</v>
      </c>
      <c r="I1733" s="2">
        <v>0.0</v>
      </c>
      <c r="J1733" s="37">
        <v>0.0</v>
      </c>
      <c r="K1733" s="2">
        <v>0.0</v>
      </c>
      <c r="L1733" s="2">
        <v>0.0</v>
      </c>
      <c r="M1733" s="37">
        <v>0.0</v>
      </c>
    </row>
    <row r="1734" ht="14.25" customHeight="1">
      <c r="A1734" t="s">
        <v>1797</v>
      </c>
      <c r="B1734" t="s">
        <v>1770</v>
      </c>
      <c r="C1734" t="s">
        <v>75</v>
      </c>
      <c r="D1734" t="s">
        <v>63</v>
      </c>
      <c r="E1734">
        <v>14.5</v>
      </c>
      <c r="F1734">
        <v>17.0</v>
      </c>
      <c r="G1734" s="2" t="s">
        <v>64</v>
      </c>
      <c r="H1734" s="2">
        <v>0.0</v>
      </c>
      <c r="I1734" s="2">
        <v>0.0</v>
      </c>
      <c r="J1734" s="37">
        <v>0.0</v>
      </c>
      <c r="K1734" s="2">
        <v>0.0</v>
      </c>
      <c r="L1734" s="2">
        <v>0.0</v>
      </c>
      <c r="M1734" s="37">
        <v>0.0</v>
      </c>
    </row>
    <row r="1735" ht="14.25" customHeight="1">
      <c r="A1735" t="s">
        <v>1798</v>
      </c>
      <c r="B1735" t="s">
        <v>1770</v>
      </c>
      <c r="C1735" t="s">
        <v>75</v>
      </c>
      <c r="D1735" t="s">
        <v>63</v>
      </c>
      <c r="E1735">
        <v>10.5</v>
      </c>
      <c r="F1735">
        <v>11.5</v>
      </c>
      <c r="G1735" s="2" t="s">
        <v>64</v>
      </c>
      <c r="H1735" s="2">
        <v>0.0</v>
      </c>
      <c r="I1735" s="2">
        <v>0.0</v>
      </c>
      <c r="J1735" s="37">
        <v>0.0</v>
      </c>
      <c r="K1735" s="2">
        <v>0.0</v>
      </c>
      <c r="L1735" s="2">
        <v>0.0</v>
      </c>
      <c r="M1735" s="37">
        <v>0.0</v>
      </c>
    </row>
    <row r="1736" ht="14.25" customHeight="1">
      <c r="A1736" t="s">
        <v>1799</v>
      </c>
      <c r="B1736" t="s">
        <v>1770</v>
      </c>
      <c r="C1736" t="s">
        <v>75</v>
      </c>
      <c r="D1736" t="s">
        <v>63</v>
      </c>
      <c r="E1736">
        <v>12.5</v>
      </c>
      <c r="F1736">
        <v>13.0</v>
      </c>
      <c r="G1736" s="2" t="s">
        <v>67</v>
      </c>
      <c r="H1736" s="2">
        <v>77.0</v>
      </c>
      <c r="I1736" s="2">
        <v>214.0</v>
      </c>
      <c r="J1736" s="37">
        <v>2007.6200000000001</v>
      </c>
      <c r="K1736" s="2">
        <v>89.0</v>
      </c>
      <c r="L1736" s="2">
        <v>456.0</v>
      </c>
      <c r="M1736" s="37">
        <v>2591.7400000000002</v>
      </c>
    </row>
    <row r="1737" ht="14.25" customHeight="1">
      <c r="A1737" t="s">
        <v>1800</v>
      </c>
      <c r="B1737" t="s">
        <v>1770</v>
      </c>
      <c r="C1737" t="s">
        <v>62</v>
      </c>
      <c r="D1737" t="s">
        <v>63</v>
      </c>
      <c r="E1737">
        <v>7.0</v>
      </c>
      <c r="F1737">
        <v>7.7</v>
      </c>
      <c r="G1737" s="2" t="s">
        <v>67</v>
      </c>
      <c r="H1737" s="2">
        <v>45.0</v>
      </c>
      <c r="I1737" s="2">
        <v>192.0</v>
      </c>
      <c r="J1737" s="37">
        <v>1260.3000000000002</v>
      </c>
      <c r="K1737" s="2">
        <v>51.0</v>
      </c>
      <c r="L1737" s="2">
        <v>313.0</v>
      </c>
      <c r="M1737" s="37">
        <v>1552.3600000000001</v>
      </c>
    </row>
    <row r="1738" ht="14.25" customHeight="1">
      <c r="A1738" t="s">
        <v>1798</v>
      </c>
      <c r="B1738" t="s">
        <v>1770</v>
      </c>
      <c r="C1738" t="s">
        <v>75</v>
      </c>
      <c r="D1738" t="s">
        <v>63</v>
      </c>
      <c r="E1738">
        <v>10.5</v>
      </c>
      <c r="F1738">
        <v>11.5</v>
      </c>
      <c r="G1738" s="2" t="s">
        <v>67</v>
      </c>
      <c r="H1738" s="2">
        <v>0.0</v>
      </c>
      <c r="I1738" s="2">
        <v>0.0</v>
      </c>
      <c r="J1738" s="37">
        <v>0.0</v>
      </c>
      <c r="K1738" s="2">
        <v>0.0</v>
      </c>
      <c r="L1738" s="2">
        <v>0.0</v>
      </c>
      <c r="M1738" s="37">
        <v>0.0</v>
      </c>
    </row>
    <row r="1739" ht="14.25" customHeight="1">
      <c r="A1739" t="s">
        <v>1799</v>
      </c>
      <c r="B1739" t="s">
        <v>1770</v>
      </c>
      <c r="C1739" t="s">
        <v>75</v>
      </c>
      <c r="D1739" t="s">
        <v>63</v>
      </c>
      <c r="E1739">
        <v>12.5</v>
      </c>
      <c r="F1739">
        <v>13.0</v>
      </c>
      <c r="G1739" s="2" t="s">
        <v>67</v>
      </c>
      <c r="H1739" s="2">
        <v>77.0</v>
      </c>
      <c r="I1739" s="2">
        <v>214.0</v>
      </c>
      <c r="J1739" s="37">
        <v>2007.6200000000001</v>
      </c>
      <c r="K1739" s="2">
        <v>89.0</v>
      </c>
      <c r="L1739" s="2">
        <v>456.0</v>
      </c>
      <c r="M1739" s="37">
        <v>2591.7400000000002</v>
      </c>
    </row>
    <row r="1740" ht="14.25" customHeight="1">
      <c r="A1740" t="s">
        <v>1801</v>
      </c>
      <c r="B1740" t="s">
        <v>1770</v>
      </c>
      <c r="C1740" t="s">
        <v>62</v>
      </c>
      <c r="D1740" t="s">
        <v>63</v>
      </c>
      <c r="E1740">
        <v>2.05</v>
      </c>
      <c r="F1740">
        <v>2.37</v>
      </c>
      <c r="G1740" s="2" t="s">
        <v>67</v>
      </c>
      <c r="H1740" s="2">
        <v>12.0</v>
      </c>
      <c r="I1740" s="2">
        <v>66.0</v>
      </c>
      <c r="J1740" s="37">
        <v>355.32</v>
      </c>
      <c r="K1740" s="2">
        <v>14.0</v>
      </c>
      <c r="L1740" s="2">
        <v>97.0</v>
      </c>
      <c r="M1740" s="37">
        <v>440.54</v>
      </c>
    </row>
    <row r="1741" ht="14.25" customHeight="1">
      <c r="A1741" t="s">
        <v>1802</v>
      </c>
      <c r="B1741" t="s">
        <v>1770</v>
      </c>
      <c r="C1741" t="s">
        <v>62</v>
      </c>
      <c r="D1741" t="s">
        <v>63</v>
      </c>
      <c r="E1741">
        <v>2.5</v>
      </c>
      <c r="F1741">
        <v>2.795</v>
      </c>
      <c r="G1741" s="2" t="s">
        <v>67</v>
      </c>
      <c r="H1741" s="2">
        <v>14.0</v>
      </c>
      <c r="I1741" s="2">
        <v>80.0</v>
      </c>
      <c r="J1741" s="37">
        <v>418.44</v>
      </c>
      <c r="K1741" s="2">
        <v>16.0</v>
      </c>
      <c r="L1741" s="2">
        <v>118.0</v>
      </c>
      <c r="M1741" s="37">
        <v>512.76</v>
      </c>
    </row>
    <row r="1742" ht="14.25" customHeight="1">
      <c r="A1742" t="s">
        <v>1803</v>
      </c>
      <c r="B1742" t="s">
        <v>1770</v>
      </c>
      <c r="C1742" t="s">
        <v>62</v>
      </c>
      <c r="D1742" t="s">
        <v>63</v>
      </c>
      <c r="E1742">
        <v>3.5</v>
      </c>
      <c r="F1742">
        <v>4.0</v>
      </c>
      <c r="G1742" s="2" t="s">
        <v>67</v>
      </c>
      <c r="H1742" s="2">
        <v>19.0</v>
      </c>
      <c r="I1742" s="2">
        <v>59.0</v>
      </c>
      <c r="J1742" s="37">
        <v>503.44</v>
      </c>
      <c r="K1742" s="2">
        <v>22.0</v>
      </c>
      <c r="L1742" s="2">
        <v>112.0</v>
      </c>
      <c r="M1742" s="37">
        <v>639.72</v>
      </c>
    </row>
    <row r="1743" ht="14.25" customHeight="1">
      <c r="A1743" t="s">
        <v>1804</v>
      </c>
      <c r="B1743" t="s">
        <v>1770</v>
      </c>
      <c r="C1743" t="s">
        <v>62</v>
      </c>
      <c r="D1743" t="s">
        <v>63</v>
      </c>
      <c r="E1743">
        <v>5.0</v>
      </c>
      <c r="F1743">
        <v>5.54</v>
      </c>
      <c r="G1743" s="2" t="s">
        <v>67</v>
      </c>
      <c r="H1743" s="2">
        <v>30.0</v>
      </c>
      <c r="I1743" s="2">
        <v>120.0</v>
      </c>
      <c r="J1743" s="37">
        <v>829.8000000000001</v>
      </c>
      <c r="K1743" s="2">
        <v>34.0</v>
      </c>
      <c r="L1743" s="2">
        <v>206.0</v>
      </c>
      <c r="M1743" s="37">
        <v>1031.44</v>
      </c>
    </row>
    <row r="1744" ht="14.25" customHeight="1">
      <c r="A1744" t="s">
        <v>1805</v>
      </c>
      <c r="B1744" t="s">
        <v>1770</v>
      </c>
      <c r="C1744" t="s">
        <v>62</v>
      </c>
      <c r="D1744" t="s">
        <v>63</v>
      </c>
      <c r="E1744">
        <v>7.0</v>
      </c>
      <c r="F1744">
        <v>7.5</v>
      </c>
      <c r="G1744" s="2" t="s">
        <v>67</v>
      </c>
      <c r="H1744" s="2">
        <v>40.0</v>
      </c>
      <c r="I1744" s="2">
        <v>91.0</v>
      </c>
      <c r="J1744" s="37">
        <v>1016.7</v>
      </c>
      <c r="K1744" s="2">
        <v>46.0</v>
      </c>
      <c r="L1744" s="2">
        <v>212.0</v>
      </c>
      <c r="M1744" s="37">
        <v>1308.7600000000002</v>
      </c>
    </row>
    <row r="1745" ht="14.25" customHeight="1">
      <c r="A1745" t="s">
        <v>1806</v>
      </c>
      <c r="B1745" t="s">
        <v>1770</v>
      </c>
      <c r="C1745" t="s">
        <v>62</v>
      </c>
      <c r="D1745" t="s">
        <v>63</v>
      </c>
      <c r="E1745">
        <v>7.65</v>
      </c>
      <c r="F1745">
        <v>8.2</v>
      </c>
      <c r="G1745" s="2" t="s">
        <v>67</v>
      </c>
      <c r="H1745" s="2">
        <v>42.0</v>
      </c>
      <c r="I1745" s="2">
        <v>57.0</v>
      </c>
      <c r="J1745" s="37">
        <v>1017.4200000000001</v>
      </c>
      <c r="K1745" s="2">
        <v>49.0</v>
      </c>
      <c r="L1745" s="2">
        <v>188.0</v>
      </c>
      <c r="M1745" s="37">
        <v>1344.94</v>
      </c>
    </row>
    <row r="1746" ht="14.25" customHeight="1">
      <c r="A1746" t="s">
        <v>1807</v>
      </c>
      <c r="B1746" t="s">
        <v>1770</v>
      </c>
      <c r="C1746" t="s">
        <v>62</v>
      </c>
      <c r="D1746" t="s">
        <v>63</v>
      </c>
      <c r="E1746">
        <v>9.0</v>
      </c>
      <c r="F1746">
        <v>9.5</v>
      </c>
      <c r="G1746" s="2" t="s">
        <v>67</v>
      </c>
      <c r="H1746" s="2">
        <v>50.0</v>
      </c>
      <c r="I1746" s="2">
        <v>117.0</v>
      </c>
      <c r="J1746" s="37">
        <v>1275.1</v>
      </c>
      <c r="K1746" s="2">
        <v>57.0</v>
      </c>
      <c r="L1746" s="2">
        <v>272.0</v>
      </c>
      <c r="M1746" s="37">
        <v>1633.8200000000002</v>
      </c>
    </row>
    <row r="1747" ht="14.25" customHeight="1">
      <c r="A1747" t="s">
        <v>1808</v>
      </c>
      <c r="B1747" t="s">
        <v>1770</v>
      </c>
      <c r="C1747" t="s">
        <v>75</v>
      </c>
      <c r="D1747" t="s">
        <v>63</v>
      </c>
      <c r="E1747">
        <v>7.3</v>
      </c>
      <c r="F1747">
        <v>7.5</v>
      </c>
      <c r="G1747" s="2" t="s">
        <v>67</v>
      </c>
      <c r="H1747" s="2">
        <v>45.0</v>
      </c>
      <c r="I1747" s="2">
        <v>121.0</v>
      </c>
      <c r="J1747" s="37">
        <v>1168.0</v>
      </c>
      <c r="K1747" s="2">
        <v>52.0</v>
      </c>
      <c r="L1747" s="2">
        <v>262.0</v>
      </c>
      <c r="M1747" s="37">
        <v>1508.52</v>
      </c>
    </row>
    <row r="1748" ht="14.25" customHeight="1">
      <c r="A1748" t="s">
        <v>1809</v>
      </c>
      <c r="B1748" t="s">
        <v>1770</v>
      </c>
      <c r="C1748" t="s">
        <v>75</v>
      </c>
      <c r="D1748" t="s">
        <v>63</v>
      </c>
      <c r="E1748">
        <v>10.5</v>
      </c>
      <c r="F1748">
        <v>12.5</v>
      </c>
      <c r="G1748" s="2" t="s">
        <v>67</v>
      </c>
      <c r="H1748" s="2">
        <v>72.0</v>
      </c>
      <c r="I1748" s="2">
        <v>135.0</v>
      </c>
      <c r="J1748" s="37">
        <v>1792.6200000000001</v>
      </c>
      <c r="K1748" s="2">
        <v>83.0</v>
      </c>
      <c r="L1748" s="2">
        <v>339.0</v>
      </c>
      <c r="M1748" s="37">
        <v>2304.88</v>
      </c>
    </row>
    <row r="1749" ht="14.25" customHeight="1">
      <c r="A1749" t="s">
        <v>1810</v>
      </c>
      <c r="B1749" t="s">
        <v>1770</v>
      </c>
      <c r="C1749" t="s">
        <v>75</v>
      </c>
      <c r="D1749" t="s">
        <v>63</v>
      </c>
      <c r="E1749">
        <v>12.6</v>
      </c>
      <c r="F1749">
        <v>14.5</v>
      </c>
      <c r="G1749" s="2" t="s">
        <v>67</v>
      </c>
      <c r="H1749" s="2">
        <v>87.0</v>
      </c>
      <c r="I1749" s="2">
        <v>167.0</v>
      </c>
      <c r="J1749" s="37">
        <v>2171.12</v>
      </c>
      <c r="K1749" s="2">
        <v>100.0</v>
      </c>
      <c r="L1749" s="2">
        <v>412.0</v>
      </c>
      <c r="M1749" s="37">
        <v>2781.6</v>
      </c>
    </row>
    <row r="1750" ht="14.25" customHeight="1">
      <c r="A1750" t="s">
        <v>1811</v>
      </c>
      <c r="B1750" t="s">
        <v>1770</v>
      </c>
      <c r="C1750" t="s">
        <v>75</v>
      </c>
      <c r="D1750" t="s">
        <v>63</v>
      </c>
      <c r="E1750">
        <v>14.0</v>
      </c>
      <c r="F1750">
        <v>15.5</v>
      </c>
      <c r="G1750" s="2" t="s">
        <v>67</v>
      </c>
      <c r="H1750" s="2">
        <v>93.0</v>
      </c>
      <c r="I1750" s="2">
        <v>216.0</v>
      </c>
      <c r="J1750" s="37">
        <v>2369.5800000000004</v>
      </c>
      <c r="K1750" s="2">
        <v>107.0</v>
      </c>
      <c r="L1750" s="2">
        <v>487.0</v>
      </c>
      <c r="M1750" s="37">
        <v>3036.32</v>
      </c>
    </row>
    <row r="1751" ht="14.25" customHeight="1">
      <c r="A1751" t="s">
        <v>1812</v>
      </c>
      <c r="B1751" t="s">
        <v>1770</v>
      </c>
      <c r="C1751" t="s">
        <v>75</v>
      </c>
      <c r="D1751" t="s">
        <v>63</v>
      </c>
      <c r="E1751">
        <v>14.0</v>
      </c>
      <c r="F1751">
        <v>17.0</v>
      </c>
      <c r="G1751" s="2" t="s">
        <v>67</v>
      </c>
      <c r="H1751" s="2">
        <v>100.0</v>
      </c>
      <c r="I1751" s="2">
        <v>345.0</v>
      </c>
      <c r="J1751" s="37">
        <v>2694.5</v>
      </c>
      <c r="K1751" s="2">
        <v>115.0</v>
      </c>
      <c r="L1751" s="2">
        <v>616.0</v>
      </c>
      <c r="M1751" s="37">
        <v>3383.7000000000003</v>
      </c>
    </row>
    <row r="1752" ht="14.25" customHeight="1">
      <c r="A1752" t="s">
        <v>1813</v>
      </c>
      <c r="B1752" t="s">
        <v>1770</v>
      </c>
      <c r="C1752" t="s">
        <v>75</v>
      </c>
      <c r="D1752" t="s">
        <v>63</v>
      </c>
      <c r="E1752">
        <v>17.0</v>
      </c>
      <c r="F1752">
        <v>18.0</v>
      </c>
      <c r="G1752" s="2" t="s">
        <v>67</v>
      </c>
      <c r="H1752" s="2">
        <v>102.0</v>
      </c>
      <c r="I1752" s="2">
        <v>215.0</v>
      </c>
      <c r="J1752" s="37">
        <v>2570.42</v>
      </c>
      <c r="K1752" s="2">
        <v>118.0</v>
      </c>
      <c r="L1752" s="2">
        <v>544.0</v>
      </c>
      <c r="M1752" s="37">
        <v>3357.4800000000005</v>
      </c>
    </row>
    <row r="1753" ht="14.25" customHeight="1">
      <c r="A1753" t="s">
        <v>1814</v>
      </c>
      <c r="B1753" t="s">
        <v>1815</v>
      </c>
      <c r="C1753" t="s">
        <v>62</v>
      </c>
      <c r="D1753" t="s">
        <v>467</v>
      </c>
      <c r="E1753">
        <v>5.3</v>
      </c>
      <c r="F1753">
        <v>4.8</v>
      </c>
      <c r="G1753" s="2" t="s">
        <v>64</v>
      </c>
      <c r="H1753" s="2">
        <v>0.0</v>
      </c>
      <c r="I1753" s="2">
        <v>0.0</v>
      </c>
      <c r="J1753" s="37">
        <v>0.0</v>
      </c>
      <c r="K1753" s="2">
        <v>0.0</v>
      </c>
      <c r="L1753" s="2">
        <v>0.0</v>
      </c>
      <c r="M1753" s="37">
        <v>0.0</v>
      </c>
    </row>
    <row r="1754" ht="14.25" customHeight="1">
      <c r="A1754" t="s">
        <v>1816</v>
      </c>
      <c r="B1754" t="s">
        <v>1815</v>
      </c>
      <c r="C1754" t="s">
        <v>62</v>
      </c>
      <c r="D1754" t="s">
        <v>467</v>
      </c>
      <c r="E1754">
        <v>5.3</v>
      </c>
      <c r="F1754">
        <v>4.8</v>
      </c>
      <c r="G1754" s="2" t="s">
        <v>64</v>
      </c>
      <c r="H1754" s="2">
        <v>0.0</v>
      </c>
      <c r="I1754" s="2">
        <v>0.0</v>
      </c>
      <c r="J1754" s="37">
        <v>0.0</v>
      </c>
      <c r="K1754" s="2">
        <v>0.0</v>
      </c>
      <c r="L1754" s="2">
        <v>0.0</v>
      </c>
      <c r="M1754" s="37">
        <v>0.0</v>
      </c>
    </row>
    <row r="1755" ht="14.25" customHeight="1">
      <c r="A1755" t="s">
        <v>1817</v>
      </c>
      <c r="B1755" t="s">
        <v>1815</v>
      </c>
      <c r="C1755" t="s">
        <v>62</v>
      </c>
      <c r="D1755" t="s">
        <v>467</v>
      </c>
      <c r="E1755">
        <v>2.2</v>
      </c>
      <c r="F1755">
        <v>1.9</v>
      </c>
      <c r="G1755" s="2" t="s">
        <v>64</v>
      </c>
      <c r="H1755" s="2">
        <v>0.0</v>
      </c>
      <c r="I1755" s="2">
        <v>0.0</v>
      </c>
      <c r="J1755" s="37">
        <v>0.0</v>
      </c>
      <c r="K1755" s="2">
        <v>0.0</v>
      </c>
      <c r="L1755" s="2">
        <v>0.0</v>
      </c>
      <c r="M1755" s="37">
        <v>0.0</v>
      </c>
    </row>
    <row r="1756" ht="14.25" customHeight="1">
      <c r="A1756" t="s">
        <v>1818</v>
      </c>
      <c r="B1756" t="s">
        <v>1815</v>
      </c>
      <c r="C1756" t="s">
        <v>62</v>
      </c>
      <c r="D1756" t="s">
        <v>467</v>
      </c>
      <c r="E1756">
        <v>2.2</v>
      </c>
      <c r="F1756">
        <v>1.9</v>
      </c>
      <c r="G1756" s="2" t="s">
        <v>64</v>
      </c>
      <c r="H1756" s="2">
        <v>0.0</v>
      </c>
      <c r="I1756" s="2">
        <v>0.0</v>
      </c>
      <c r="J1756" s="37">
        <v>0.0</v>
      </c>
      <c r="K1756" s="2">
        <v>0.0</v>
      </c>
      <c r="L1756" s="2">
        <v>0.0</v>
      </c>
      <c r="M1756" s="37">
        <v>0.0</v>
      </c>
    </row>
    <row r="1757" ht="14.25" customHeight="1">
      <c r="A1757" t="s">
        <v>1819</v>
      </c>
      <c r="B1757" t="s">
        <v>1815</v>
      </c>
      <c r="C1757" t="s">
        <v>62</v>
      </c>
      <c r="D1757" t="s">
        <v>467</v>
      </c>
      <c r="E1757">
        <v>3.9</v>
      </c>
      <c r="F1757">
        <v>3.6</v>
      </c>
      <c r="G1757" s="2" t="s">
        <v>64</v>
      </c>
      <c r="H1757" s="2">
        <v>0.0</v>
      </c>
      <c r="I1757" s="2">
        <v>0.0</v>
      </c>
      <c r="J1757" s="37">
        <v>0.0</v>
      </c>
      <c r="K1757" s="2">
        <v>0.0</v>
      </c>
      <c r="L1757" s="2">
        <v>0.0</v>
      </c>
      <c r="M1757" s="37">
        <v>0.0</v>
      </c>
    </row>
    <row r="1758" ht="14.25" customHeight="1">
      <c r="A1758" t="s">
        <v>1820</v>
      </c>
      <c r="B1758" t="s">
        <v>1815</v>
      </c>
      <c r="C1758" t="s">
        <v>62</v>
      </c>
      <c r="D1758" t="s">
        <v>467</v>
      </c>
      <c r="E1758">
        <v>3.9</v>
      </c>
      <c r="F1758">
        <v>3.6</v>
      </c>
      <c r="G1758" s="2" t="s">
        <v>64</v>
      </c>
      <c r="H1758" s="2">
        <v>0.0</v>
      </c>
      <c r="I1758" s="2">
        <v>0.0</v>
      </c>
      <c r="J1758" s="37">
        <v>0.0</v>
      </c>
      <c r="K1758" s="2">
        <v>0.0</v>
      </c>
      <c r="L1758" s="2">
        <v>0.0</v>
      </c>
      <c r="M1758" s="37">
        <v>0.0</v>
      </c>
    </row>
    <row r="1759" ht="14.25" customHeight="1">
      <c r="A1759" t="s">
        <v>1821</v>
      </c>
      <c r="B1759" t="s">
        <v>1815</v>
      </c>
      <c r="C1759" t="s">
        <v>62</v>
      </c>
      <c r="D1759" t="s">
        <v>467</v>
      </c>
      <c r="E1759">
        <v>2.8</v>
      </c>
      <c r="F1759">
        <v>2.45</v>
      </c>
      <c r="G1759" s="2" t="s">
        <v>64</v>
      </c>
      <c r="H1759" s="2">
        <v>0.0</v>
      </c>
      <c r="I1759" s="2">
        <v>0.0</v>
      </c>
      <c r="J1759" s="37">
        <v>0.0</v>
      </c>
      <c r="K1759" s="2">
        <v>0.0</v>
      </c>
      <c r="L1759" s="2">
        <v>0.0</v>
      </c>
      <c r="M1759" s="37">
        <v>0.0</v>
      </c>
    </row>
    <row r="1760" ht="14.25" customHeight="1">
      <c r="A1760" t="s">
        <v>1822</v>
      </c>
      <c r="B1760" t="s">
        <v>1815</v>
      </c>
      <c r="C1760" t="s">
        <v>62</v>
      </c>
      <c r="D1760" t="s">
        <v>467</v>
      </c>
      <c r="E1760">
        <v>2.8</v>
      </c>
      <c r="F1760">
        <v>2.45</v>
      </c>
      <c r="G1760" s="2" t="s">
        <v>64</v>
      </c>
      <c r="H1760" s="2">
        <v>0.0</v>
      </c>
      <c r="I1760" s="2">
        <v>0.0</v>
      </c>
      <c r="J1760" s="37">
        <v>0.0</v>
      </c>
      <c r="K1760" s="2">
        <v>0.0</v>
      </c>
      <c r="L1760" s="2">
        <v>0.0</v>
      </c>
      <c r="M1760" s="37">
        <v>0.0</v>
      </c>
    </row>
    <row r="1761" ht="14.25" customHeight="1">
      <c r="A1761" t="s">
        <v>1823</v>
      </c>
      <c r="B1761" t="s">
        <v>1815</v>
      </c>
      <c r="C1761" t="s">
        <v>62</v>
      </c>
      <c r="D1761" t="s">
        <v>467</v>
      </c>
      <c r="E1761">
        <v>6.09</v>
      </c>
      <c r="F1761">
        <v>5.8</v>
      </c>
      <c r="G1761" s="2" t="s">
        <v>64</v>
      </c>
      <c r="H1761" s="2">
        <v>0.0</v>
      </c>
      <c r="I1761" s="2">
        <v>0.0</v>
      </c>
      <c r="J1761" s="37">
        <v>0.0</v>
      </c>
      <c r="K1761" s="2">
        <v>0.0</v>
      </c>
      <c r="L1761" s="2">
        <v>0.0</v>
      </c>
      <c r="M1761" s="37">
        <v>0.0</v>
      </c>
    </row>
    <row r="1762" ht="14.25" customHeight="1">
      <c r="A1762" t="s">
        <v>1824</v>
      </c>
      <c r="B1762" t="s">
        <v>1815</v>
      </c>
      <c r="C1762" t="s">
        <v>62</v>
      </c>
      <c r="D1762" t="s">
        <v>467</v>
      </c>
      <c r="E1762">
        <v>6.09</v>
      </c>
      <c r="F1762">
        <v>5.8</v>
      </c>
      <c r="G1762" s="2" t="s">
        <v>64</v>
      </c>
      <c r="H1762" s="2">
        <v>0.0</v>
      </c>
      <c r="I1762" s="2">
        <v>0.0</v>
      </c>
      <c r="J1762" s="37">
        <v>0.0</v>
      </c>
      <c r="K1762" s="2">
        <v>0.0</v>
      </c>
      <c r="L1762" s="2">
        <v>0.0</v>
      </c>
      <c r="M1762" s="37">
        <v>0.0</v>
      </c>
    </row>
    <row r="1763" ht="14.25" customHeight="1">
      <c r="A1763" t="s">
        <v>1825</v>
      </c>
      <c r="B1763" t="s">
        <v>1826</v>
      </c>
      <c r="C1763" t="s">
        <v>62</v>
      </c>
      <c r="D1763" t="s">
        <v>268</v>
      </c>
      <c r="E1763">
        <v>2.6</v>
      </c>
      <c r="F1763">
        <v>1.9</v>
      </c>
      <c r="G1763" s="2" t="s">
        <v>64</v>
      </c>
      <c r="H1763" s="2">
        <v>0.0</v>
      </c>
      <c r="I1763" s="2">
        <v>0.0</v>
      </c>
      <c r="J1763" s="37">
        <v>0.0</v>
      </c>
      <c r="K1763" s="2">
        <v>0.0</v>
      </c>
      <c r="L1763" s="2">
        <v>0.0</v>
      </c>
      <c r="M1763" s="37">
        <v>0.0</v>
      </c>
    </row>
    <row r="1764" ht="14.25" customHeight="1">
      <c r="A1764" t="s">
        <v>1827</v>
      </c>
      <c r="B1764" t="s">
        <v>1828</v>
      </c>
      <c r="C1764" t="s">
        <v>62</v>
      </c>
      <c r="D1764" t="s">
        <v>63</v>
      </c>
      <c r="E1764">
        <v>10.0</v>
      </c>
      <c r="F1764">
        <v>11.0</v>
      </c>
      <c r="G1764" s="2" t="s">
        <v>67</v>
      </c>
      <c r="H1764" s="2">
        <v>61.0</v>
      </c>
      <c r="I1764" s="2">
        <v>233.0</v>
      </c>
      <c r="J1764" s="37">
        <v>1672.96</v>
      </c>
      <c r="K1764" s="2">
        <v>71.0</v>
      </c>
      <c r="L1764" s="2">
        <v>426.0</v>
      </c>
      <c r="M1764" s="37">
        <v>2148.46</v>
      </c>
    </row>
    <row r="1765" ht="14.25" customHeight="1">
      <c r="A1765" t="s">
        <v>1829</v>
      </c>
      <c r="B1765" t="s">
        <v>1828</v>
      </c>
      <c r="C1765" t="s">
        <v>62</v>
      </c>
      <c r="D1765" t="s">
        <v>63</v>
      </c>
      <c r="E1765">
        <v>5.2</v>
      </c>
      <c r="F1765">
        <v>5.8</v>
      </c>
      <c r="G1765" s="2" t="s">
        <v>64</v>
      </c>
      <c r="H1765" s="2">
        <v>0.0</v>
      </c>
      <c r="I1765" s="2">
        <v>0.0</v>
      </c>
      <c r="J1765" s="37">
        <v>0.0</v>
      </c>
      <c r="K1765" s="2">
        <v>0.0</v>
      </c>
      <c r="L1765" s="2">
        <v>0.0</v>
      </c>
      <c r="M1765" s="37">
        <v>0.0</v>
      </c>
    </row>
    <row r="1766" ht="14.25" customHeight="1">
      <c r="A1766" t="s">
        <v>1830</v>
      </c>
      <c r="B1766" t="s">
        <v>1828</v>
      </c>
      <c r="C1766" t="s">
        <v>62</v>
      </c>
      <c r="D1766" t="s">
        <v>63</v>
      </c>
      <c r="E1766">
        <v>7.1</v>
      </c>
      <c r="F1766">
        <v>7.8</v>
      </c>
      <c r="G1766" s="2" t="s">
        <v>67</v>
      </c>
      <c r="H1766" s="2">
        <v>42.0</v>
      </c>
      <c r="I1766" s="2">
        <v>159.0</v>
      </c>
      <c r="J1766" s="37">
        <v>1150.02</v>
      </c>
      <c r="K1766" s="2">
        <v>48.0</v>
      </c>
      <c r="L1766" s="2">
        <v>282.0</v>
      </c>
      <c r="M1766" s="37">
        <v>1444.6799999999998</v>
      </c>
    </row>
    <row r="1767" ht="14.25" customHeight="1">
      <c r="A1767" t="s">
        <v>1831</v>
      </c>
      <c r="B1767" t="s">
        <v>1828</v>
      </c>
      <c r="C1767" t="s">
        <v>62</v>
      </c>
      <c r="D1767" t="s">
        <v>63</v>
      </c>
      <c r="E1767">
        <v>2.0</v>
      </c>
      <c r="F1767">
        <v>2.638</v>
      </c>
      <c r="G1767" s="2" t="s">
        <v>64</v>
      </c>
      <c r="H1767" s="2">
        <v>0.0</v>
      </c>
      <c r="I1767" s="2">
        <v>0.0</v>
      </c>
      <c r="J1767" s="37">
        <v>0.0</v>
      </c>
      <c r="K1767" s="2">
        <v>0.0</v>
      </c>
      <c r="L1767" s="2">
        <v>0.0</v>
      </c>
      <c r="M1767" s="37">
        <v>0.0</v>
      </c>
    </row>
    <row r="1768" ht="14.25" customHeight="1">
      <c r="A1768" t="s">
        <v>1832</v>
      </c>
      <c r="B1768" t="s">
        <v>1828</v>
      </c>
      <c r="C1768" t="s">
        <v>62</v>
      </c>
      <c r="D1768" t="s">
        <v>63</v>
      </c>
      <c r="E1768">
        <v>2.7</v>
      </c>
      <c r="F1768">
        <v>3.0</v>
      </c>
      <c r="G1768" s="2" t="s">
        <v>64</v>
      </c>
      <c r="H1768" s="2">
        <v>0.0</v>
      </c>
      <c r="I1768" s="2">
        <v>0.0</v>
      </c>
      <c r="J1768" s="37">
        <v>0.0</v>
      </c>
      <c r="K1768" s="2">
        <v>0.0</v>
      </c>
      <c r="L1768" s="2">
        <v>0.0</v>
      </c>
      <c r="M1768" s="37">
        <v>0.0</v>
      </c>
    </row>
    <row r="1769" ht="14.25" customHeight="1">
      <c r="A1769" t="s">
        <v>1833</v>
      </c>
      <c r="B1769" t="s">
        <v>1828</v>
      </c>
      <c r="C1769" t="s">
        <v>62</v>
      </c>
      <c r="D1769" t="s">
        <v>63</v>
      </c>
      <c r="E1769">
        <v>3.517</v>
      </c>
      <c r="F1769">
        <v>3.8</v>
      </c>
      <c r="G1769" s="2" t="s">
        <v>64</v>
      </c>
      <c r="H1769" s="2">
        <v>0.0</v>
      </c>
      <c r="I1769" s="2">
        <v>0.0</v>
      </c>
      <c r="J1769" s="37">
        <v>0.0</v>
      </c>
      <c r="K1769" s="2">
        <v>0.0</v>
      </c>
      <c r="L1769" s="2">
        <v>0.0</v>
      </c>
      <c r="M1769" s="37">
        <v>0.0</v>
      </c>
    </row>
    <row r="1770" ht="14.25" customHeight="1">
      <c r="A1770" t="s">
        <v>1834</v>
      </c>
      <c r="B1770" t="s">
        <v>1835</v>
      </c>
      <c r="C1770" t="s">
        <v>62</v>
      </c>
      <c r="D1770" t="s">
        <v>268</v>
      </c>
      <c r="E1770">
        <v>4.7</v>
      </c>
      <c r="F1770">
        <v>4.0</v>
      </c>
      <c r="G1770" s="2" t="s">
        <v>64</v>
      </c>
      <c r="H1770" s="2">
        <v>0.0</v>
      </c>
      <c r="I1770" s="2">
        <v>0.0</v>
      </c>
      <c r="J1770" s="37">
        <v>0.0</v>
      </c>
      <c r="K1770" s="2">
        <v>0.0</v>
      </c>
      <c r="L1770" s="2">
        <v>0.0</v>
      </c>
      <c r="M1770" s="37">
        <v>0.0</v>
      </c>
    </row>
    <row r="1771" ht="14.25" customHeight="1">
      <c r="A1771" t="s">
        <v>1836</v>
      </c>
      <c r="B1771" t="s">
        <v>1835</v>
      </c>
      <c r="C1771" t="s">
        <v>62</v>
      </c>
      <c r="D1771" t="s">
        <v>268</v>
      </c>
      <c r="E1771">
        <v>4.7</v>
      </c>
      <c r="F1771">
        <v>4.0</v>
      </c>
      <c r="G1771" s="2" t="s">
        <v>64</v>
      </c>
      <c r="H1771" s="2">
        <v>0.0</v>
      </c>
      <c r="I1771" s="2">
        <v>0.0</v>
      </c>
      <c r="J1771" s="37">
        <v>0.0</v>
      </c>
      <c r="K1771" s="2">
        <v>0.0</v>
      </c>
      <c r="L1771" s="2">
        <v>0.0</v>
      </c>
      <c r="M1771" s="37">
        <v>0.0</v>
      </c>
    </row>
    <row r="1772" ht="14.25" customHeight="1">
      <c r="A1772" t="s">
        <v>1837</v>
      </c>
      <c r="B1772" t="s">
        <v>1835</v>
      </c>
      <c r="C1772" t="s">
        <v>62</v>
      </c>
      <c r="D1772" t="s">
        <v>268</v>
      </c>
      <c r="E1772">
        <v>4.7</v>
      </c>
      <c r="F1772">
        <v>4.0</v>
      </c>
      <c r="G1772" s="2" t="s">
        <v>64</v>
      </c>
      <c r="H1772" s="2">
        <v>0.0</v>
      </c>
      <c r="I1772" s="2">
        <v>0.0</v>
      </c>
      <c r="J1772" s="37">
        <v>0.0</v>
      </c>
      <c r="K1772" s="2">
        <v>0.0</v>
      </c>
      <c r="L1772" s="2">
        <v>0.0</v>
      </c>
      <c r="M1772" s="37">
        <v>0.0</v>
      </c>
    </row>
    <row r="1773" ht="14.25" customHeight="1">
      <c r="A1773" t="s">
        <v>1838</v>
      </c>
      <c r="B1773" t="s">
        <v>1835</v>
      </c>
      <c r="C1773" t="s">
        <v>62</v>
      </c>
      <c r="D1773" t="s">
        <v>268</v>
      </c>
      <c r="E1773">
        <v>4.7</v>
      </c>
      <c r="F1773">
        <v>4.0</v>
      </c>
      <c r="G1773" s="2" t="s">
        <v>64</v>
      </c>
      <c r="H1773" s="2">
        <v>0.0</v>
      </c>
      <c r="I1773" s="2">
        <v>0.0</v>
      </c>
      <c r="J1773" s="37">
        <v>0.0</v>
      </c>
      <c r="K1773" s="2">
        <v>0.0</v>
      </c>
      <c r="L1773" s="2">
        <v>0.0</v>
      </c>
      <c r="M1773" s="37">
        <v>0.0</v>
      </c>
    </row>
    <row r="1774" ht="14.25" customHeight="1">
      <c r="A1774" t="s">
        <v>1839</v>
      </c>
      <c r="B1774" t="s">
        <v>1835</v>
      </c>
      <c r="C1774" t="s">
        <v>62</v>
      </c>
      <c r="D1774" t="s">
        <v>268</v>
      </c>
      <c r="E1774">
        <v>4.7</v>
      </c>
      <c r="F1774">
        <v>4.0</v>
      </c>
      <c r="G1774" s="2" t="s">
        <v>64</v>
      </c>
      <c r="H1774" s="2">
        <v>0.0</v>
      </c>
      <c r="I1774" s="2">
        <v>0.0</v>
      </c>
      <c r="J1774" s="37">
        <v>0.0</v>
      </c>
      <c r="K1774" s="2">
        <v>0.0</v>
      </c>
      <c r="L1774" s="2">
        <v>0.0</v>
      </c>
      <c r="M1774" s="37">
        <v>0.0</v>
      </c>
    </row>
    <row r="1775" ht="14.25" customHeight="1">
      <c r="A1775" t="s">
        <v>1840</v>
      </c>
      <c r="B1775" t="s">
        <v>1835</v>
      </c>
      <c r="C1775" t="s">
        <v>62</v>
      </c>
      <c r="D1775" t="s">
        <v>268</v>
      </c>
      <c r="E1775">
        <v>4.7</v>
      </c>
      <c r="F1775">
        <v>4.0</v>
      </c>
      <c r="G1775" s="2" t="s">
        <v>64</v>
      </c>
      <c r="H1775" s="2">
        <v>0.0</v>
      </c>
      <c r="I1775" s="2">
        <v>0.0</v>
      </c>
      <c r="J1775" s="37">
        <v>0.0</v>
      </c>
      <c r="K1775" s="2">
        <v>0.0</v>
      </c>
      <c r="L1775" s="2">
        <v>0.0</v>
      </c>
      <c r="M1775" s="37">
        <v>0.0</v>
      </c>
    </row>
    <row r="1776" ht="14.25" customHeight="1">
      <c r="A1776" t="s">
        <v>1841</v>
      </c>
      <c r="B1776" t="s">
        <v>1835</v>
      </c>
      <c r="C1776" t="s">
        <v>62</v>
      </c>
      <c r="D1776" t="s">
        <v>467</v>
      </c>
      <c r="E1776">
        <v>2.6</v>
      </c>
      <c r="F1776">
        <v>2.9</v>
      </c>
      <c r="G1776" s="2" t="s">
        <v>64</v>
      </c>
      <c r="H1776" s="2">
        <v>0.0</v>
      </c>
      <c r="I1776" s="2">
        <v>0.0</v>
      </c>
      <c r="J1776" s="37">
        <v>0.0</v>
      </c>
      <c r="K1776" s="2">
        <v>0.0</v>
      </c>
      <c r="L1776" s="2">
        <v>0.0</v>
      </c>
      <c r="M1776" s="37">
        <v>0.0</v>
      </c>
    </row>
    <row r="1777" ht="14.25" customHeight="1">
      <c r="A1777" t="s">
        <v>1842</v>
      </c>
      <c r="B1777" t="s">
        <v>1835</v>
      </c>
      <c r="C1777" t="s">
        <v>62</v>
      </c>
      <c r="D1777" t="s">
        <v>467</v>
      </c>
      <c r="E1777">
        <v>2.6</v>
      </c>
      <c r="F1777">
        <v>2.9</v>
      </c>
      <c r="G1777" s="2" t="s">
        <v>64</v>
      </c>
      <c r="H1777" s="2">
        <v>0.0</v>
      </c>
      <c r="I1777" s="2">
        <v>0.0</v>
      </c>
      <c r="J1777" s="37">
        <v>0.0</v>
      </c>
      <c r="K1777" s="2">
        <v>0.0</v>
      </c>
      <c r="L1777" s="2">
        <v>0.0</v>
      </c>
      <c r="M1777" s="37">
        <v>0.0</v>
      </c>
    </row>
    <row r="1778" ht="14.25" customHeight="1">
      <c r="A1778" t="s">
        <v>1843</v>
      </c>
      <c r="B1778" t="s">
        <v>1835</v>
      </c>
      <c r="C1778" t="s">
        <v>62</v>
      </c>
      <c r="D1778" t="s">
        <v>467</v>
      </c>
      <c r="E1778">
        <v>2.6</v>
      </c>
      <c r="F1778">
        <v>2.9</v>
      </c>
      <c r="G1778" s="2" t="s">
        <v>64</v>
      </c>
      <c r="H1778" s="2">
        <v>0.0</v>
      </c>
      <c r="I1778" s="2">
        <v>0.0</v>
      </c>
      <c r="J1778" s="37">
        <v>0.0</v>
      </c>
      <c r="K1778" s="2">
        <v>0.0</v>
      </c>
      <c r="L1778" s="2">
        <v>0.0</v>
      </c>
      <c r="M1778" s="37">
        <v>0.0</v>
      </c>
    </row>
    <row r="1779" ht="14.25" customHeight="1">
      <c r="A1779" t="s">
        <v>1844</v>
      </c>
      <c r="B1779" t="s">
        <v>1835</v>
      </c>
      <c r="C1779" t="s">
        <v>62</v>
      </c>
      <c r="D1779" t="s">
        <v>467</v>
      </c>
      <c r="E1779">
        <v>2.6</v>
      </c>
      <c r="F1779">
        <v>2.9</v>
      </c>
      <c r="G1779" s="2" t="s">
        <v>64</v>
      </c>
      <c r="H1779" s="2">
        <v>0.0</v>
      </c>
      <c r="I1779" s="2">
        <v>0.0</v>
      </c>
      <c r="J1779" s="37">
        <v>0.0</v>
      </c>
      <c r="K1779" s="2">
        <v>0.0</v>
      </c>
      <c r="L1779" s="2">
        <v>0.0</v>
      </c>
      <c r="M1779" s="37">
        <v>0.0</v>
      </c>
    </row>
    <row r="1780" ht="14.25" customHeight="1">
      <c r="A1780" t="s">
        <v>1845</v>
      </c>
      <c r="B1780" t="s">
        <v>1835</v>
      </c>
      <c r="C1780" t="s">
        <v>62</v>
      </c>
      <c r="D1780" t="s">
        <v>63</v>
      </c>
      <c r="E1780">
        <v>7.04</v>
      </c>
      <c r="F1780">
        <v>8.2</v>
      </c>
      <c r="G1780" s="2" t="s">
        <v>64</v>
      </c>
      <c r="H1780" s="2">
        <v>0.0</v>
      </c>
      <c r="I1780" s="2">
        <v>0.0</v>
      </c>
      <c r="J1780" s="37">
        <v>0.0</v>
      </c>
      <c r="K1780" s="2">
        <v>0.0</v>
      </c>
      <c r="L1780" s="2">
        <v>0.0</v>
      </c>
      <c r="M1780" s="37">
        <v>0.0</v>
      </c>
    </row>
    <row r="1781" ht="14.25" customHeight="1">
      <c r="A1781" t="s">
        <v>1846</v>
      </c>
      <c r="B1781" t="s">
        <v>1835</v>
      </c>
      <c r="C1781" t="s">
        <v>62</v>
      </c>
      <c r="D1781" t="s">
        <v>63</v>
      </c>
      <c r="E1781">
        <v>7.04</v>
      </c>
      <c r="F1781">
        <v>8.2</v>
      </c>
      <c r="G1781" s="2" t="s">
        <v>64</v>
      </c>
      <c r="H1781" s="2">
        <v>0.0</v>
      </c>
      <c r="I1781" s="2">
        <v>0.0</v>
      </c>
      <c r="J1781" s="37">
        <v>0.0</v>
      </c>
      <c r="K1781" s="2">
        <v>0.0</v>
      </c>
      <c r="L1781" s="2">
        <v>0.0</v>
      </c>
      <c r="M1781" s="37">
        <v>0.0</v>
      </c>
    </row>
    <row r="1782" ht="14.25" customHeight="1">
      <c r="A1782" t="s">
        <v>1847</v>
      </c>
      <c r="B1782" t="s">
        <v>1835</v>
      </c>
      <c r="C1782" t="s">
        <v>62</v>
      </c>
      <c r="D1782" t="s">
        <v>63</v>
      </c>
      <c r="E1782">
        <v>7.04</v>
      </c>
      <c r="F1782">
        <v>8.2</v>
      </c>
      <c r="G1782" s="2" t="s">
        <v>64</v>
      </c>
      <c r="H1782" s="2">
        <v>0.0</v>
      </c>
      <c r="I1782" s="2">
        <v>0.0</v>
      </c>
      <c r="J1782" s="37">
        <v>0.0</v>
      </c>
      <c r="K1782" s="2">
        <v>0.0</v>
      </c>
      <c r="L1782" s="2">
        <v>0.0</v>
      </c>
      <c r="M1782" s="37">
        <v>0.0</v>
      </c>
    </row>
    <row r="1783" ht="14.25" customHeight="1">
      <c r="A1783" t="s">
        <v>1848</v>
      </c>
      <c r="B1783" t="s">
        <v>1835</v>
      </c>
      <c r="C1783" t="s">
        <v>62</v>
      </c>
      <c r="D1783" t="s">
        <v>63</v>
      </c>
      <c r="E1783">
        <v>7.04</v>
      </c>
      <c r="F1783">
        <v>8.2</v>
      </c>
      <c r="G1783" s="2" t="s">
        <v>64</v>
      </c>
      <c r="H1783" s="2">
        <v>0.0</v>
      </c>
      <c r="I1783" s="2">
        <v>0.0</v>
      </c>
      <c r="J1783" s="37">
        <v>0.0</v>
      </c>
      <c r="K1783" s="2">
        <v>0.0</v>
      </c>
      <c r="L1783" s="2">
        <v>0.0</v>
      </c>
      <c r="M1783" s="37">
        <v>0.0</v>
      </c>
    </row>
    <row r="1784" ht="14.25" customHeight="1">
      <c r="A1784" t="s">
        <v>1849</v>
      </c>
      <c r="B1784" t="s">
        <v>1835</v>
      </c>
      <c r="C1784" t="s">
        <v>62</v>
      </c>
      <c r="D1784" t="s">
        <v>63</v>
      </c>
      <c r="E1784">
        <v>2.64</v>
      </c>
      <c r="F1784">
        <v>2.9</v>
      </c>
      <c r="G1784" s="2" t="s">
        <v>67</v>
      </c>
      <c r="H1784" s="2">
        <v>14.0</v>
      </c>
      <c r="I1784" s="2">
        <v>28.0</v>
      </c>
      <c r="J1784" s="37">
        <v>350.84</v>
      </c>
      <c r="K1784" s="2">
        <v>16.0</v>
      </c>
      <c r="L1784" s="2">
        <v>68.0</v>
      </c>
      <c r="M1784" s="37">
        <v>447.76</v>
      </c>
    </row>
    <row r="1785" ht="14.25" customHeight="1">
      <c r="A1785" t="s">
        <v>1850</v>
      </c>
      <c r="B1785" t="s">
        <v>1835</v>
      </c>
      <c r="C1785" t="s">
        <v>62</v>
      </c>
      <c r="D1785" t="s">
        <v>63</v>
      </c>
      <c r="E1785">
        <v>2.64</v>
      </c>
      <c r="F1785">
        <v>2.9</v>
      </c>
      <c r="G1785" s="2" t="s">
        <v>67</v>
      </c>
      <c r="H1785" s="2">
        <v>14.0</v>
      </c>
      <c r="I1785" s="2">
        <v>28.0</v>
      </c>
      <c r="J1785" s="37">
        <v>350.84</v>
      </c>
      <c r="K1785" s="2">
        <v>16.0</v>
      </c>
      <c r="L1785" s="2">
        <v>68.0</v>
      </c>
      <c r="M1785" s="37">
        <v>447.76</v>
      </c>
    </row>
    <row r="1786" ht="14.25" customHeight="1">
      <c r="A1786" t="s">
        <v>1851</v>
      </c>
      <c r="B1786" t="s">
        <v>1835</v>
      </c>
      <c r="C1786" t="s">
        <v>62</v>
      </c>
      <c r="D1786" t="s">
        <v>63</v>
      </c>
      <c r="E1786">
        <v>2.64</v>
      </c>
      <c r="F1786">
        <v>2.9</v>
      </c>
      <c r="G1786" s="2" t="s">
        <v>67</v>
      </c>
      <c r="H1786" s="2">
        <v>14.0</v>
      </c>
      <c r="I1786" s="2">
        <v>28.0</v>
      </c>
      <c r="J1786" s="37">
        <v>350.84</v>
      </c>
      <c r="K1786" s="2">
        <v>16.0</v>
      </c>
      <c r="L1786" s="2">
        <v>68.0</v>
      </c>
      <c r="M1786" s="37">
        <v>447.76</v>
      </c>
    </row>
    <row r="1787" ht="14.25" customHeight="1">
      <c r="A1787" t="s">
        <v>1852</v>
      </c>
      <c r="B1787" t="s">
        <v>1835</v>
      </c>
      <c r="C1787" t="s">
        <v>62</v>
      </c>
      <c r="D1787" t="s">
        <v>63</v>
      </c>
      <c r="E1787">
        <v>2.64</v>
      </c>
      <c r="F1787">
        <v>2.9</v>
      </c>
      <c r="G1787" s="2" t="s">
        <v>67</v>
      </c>
      <c r="H1787" s="2">
        <v>14.0</v>
      </c>
      <c r="I1787" s="2">
        <v>28.0</v>
      </c>
      <c r="J1787" s="37">
        <v>350.84</v>
      </c>
      <c r="K1787" s="2">
        <v>16.0</v>
      </c>
      <c r="L1787" s="2">
        <v>68.0</v>
      </c>
      <c r="M1787" s="37">
        <v>447.76</v>
      </c>
    </row>
    <row r="1788" ht="14.25" customHeight="1">
      <c r="A1788" t="s">
        <v>1853</v>
      </c>
      <c r="B1788" t="s">
        <v>1835</v>
      </c>
      <c r="C1788" t="s">
        <v>62</v>
      </c>
      <c r="D1788" t="s">
        <v>63</v>
      </c>
      <c r="E1788">
        <v>8.2</v>
      </c>
      <c r="F1788">
        <v>8.5</v>
      </c>
      <c r="G1788" s="2" t="s">
        <v>67</v>
      </c>
      <c r="H1788" s="2">
        <v>45.0</v>
      </c>
      <c r="I1788" s="2">
        <v>138.0</v>
      </c>
      <c r="J1788" s="37">
        <v>1190.1000000000001</v>
      </c>
      <c r="K1788" s="2">
        <v>52.0</v>
      </c>
      <c r="L1788" s="2">
        <v>279.0</v>
      </c>
      <c r="M1788" s="37">
        <v>1530.6200000000001</v>
      </c>
    </row>
    <row r="1789" ht="14.25" customHeight="1">
      <c r="A1789" t="s">
        <v>1854</v>
      </c>
      <c r="B1789" t="s">
        <v>1835</v>
      </c>
      <c r="C1789" t="s">
        <v>62</v>
      </c>
      <c r="D1789" t="s">
        <v>63</v>
      </c>
      <c r="E1789">
        <v>8.2</v>
      </c>
      <c r="F1789">
        <v>8.5</v>
      </c>
      <c r="G1789" s="2" t="s">
        <v>67</v>
      </c>
      <c r="H1789" s="2">
        <v>45.0</v>
      </c>
      <c r="I1789" s="2">
        <v>138.0</v>
      </c>
      <c r="J1789" s="37">
        <v>1190.1000000000001</v>
      </c>
      <c r="K1789" s="2">
        <v>52.0</v>
      </c>
      <c r="L1789" s="2">
        <v>279.0</v>
      </c>
      <c r="M1789" s="37">
        <v>1530.6200000000001</v>
      </c>
    </row>
    <row r="1790" ht="14.25" customHeight="1">
      <c r="A1790" t="s">
        <v>1855</v>
      </c>
      <c r="B1790" t="s">
        <v>1835</v>
      </c>
      <c r="C1790" t="s">
        <v>62</v>
      </c>
      <c r="D1790" t="s">
        <v>63</v>
      </c>
      <c r="E1790">
        <v>8.2</v>
      </c>
      <c r="F1790">
        <v>8.5</v>
      </c>
      <c r="G1790" s="2" t="s">
        <v>67</v>
      </c>
      <c r="H1790" s="2">
        <v>45.0</v>
      </c>
      <c r="I1790" s="2">
        <v>138.0</v>
      </c>
      <c r="J1790" s="37">
        <v>1190.1000000000001</v>
      </c>
      <c r="K1790" s="2">
        <v>52.0</v>
      </c>
      <c r="L1790" s="2">
        <v>279.0</v>
      </c>
      <c r="M1790" s="37">
        <v>1530.6200000000001</v>
      </c>
    </row>
    <row r="1791" ht="14.25" customHeight="1">
      <c r="A1791" t="s">
        <v>1856</v>
      </c>
      <c r="B1791" t="s">
        <v>1835</v>
      </c>
      <c r="C1791" t="s">
        <v>62</v>
      </c>
      <c r="D1791" t="s">
        <v>63</v>
      </c>
      <c r="E1791">
        <v>8.2</v>
      </c>
      <c r="F1791">
        <v>8.5</v>
      </c>
      <c r="G1791" s="2" t="s">
        <v>67</v>
      </c>
      <c r="H1791" s="2">
        <v>45.0</v>
      </c>
      <c r="I1791" s="2">
        <v>138.0</v>
      </c>
      <c r="J1791" s="37">
        <v>1190.1000000000001</v>
      </c>
      <c r="K1791" s="2">
        <v>52.0</v>
      </c>
      <c r="L1791" s="2">
        <v>279.0</v>
      </c>
      <c r="M1791" s="37">
        <v>1530.6200000000001</v>
      </c>
    </row>
    <row r="1792" ht="14.25" customHeight="1">
      <c r="A1792" t="s">
        <v>1857</v>
      </c>
      <c r="B1792" t="s">
        <v>1835</v>
      </c>
      <c r="C1792" t="s">
        <v>62</v>
      </c>
      <c r="D1792" t="s">
        <v>63</v>
      </c>
      <c r="E1792">
        <v>8.2</v>
      </c>
      <c r="F1792">
        <v>8.5</v>
      </c>
      <c r="G1792" s="2" t="s">
        <v>67</v>
      </c>
      <c r="H1792" s="2">
        <v>45.0</v>
      </c>
      <c r="I1792" s="2">
        <v>138.0</v>
      </c>
      <c r="J1792" s="37">
        <v>1190.1000000000001</v>
      </c>
      <c r="K1792" s="2">
        <v>52.0</v>
      </c>
      <c r="L1792" s="2">
        <v>279.0</v>
      </c>
      <c r="M1792" s="37">
        <v>1530.6200000000001</v>
      </c>
    </row>
    <row r="1793" ht="14.25" customHeight="1">
      <c r="A1793" t="s">
        <v>1858</v>
      </c>
      <c r="B1793" t="s">
        <v>1835</v>
      </c>
      <c r="C1793" t="s">
        <v>62</v>
      </c>
      <c r="D1793" t="s">
        <v>63</v>
      </c>
      <c r="E1793">
        <v>5.3</v>
      </c>
      <c r="F1793">
        <v>5.3</v>
      </c>
      <c r="G1793" s="2" t="s">
        <v>67</v>
      </c>
      <c r="H1793" s="2">
        <v>29.0</v>
      </c>
      <c r="I1793" s="2">
        <v>8.0</v>
      </c>
      <c r="J1793" s="37">
        <v>661.74</v>
      </c>
      <c r="K1793" s="2">
        <v>33.0</v>
      </c>
      <c r="L1793" s="2">
        <v>100.0</v>
      </c>
      <c r="M1793" s="37">
        <v>871.1800000000001</v>
      </c>
    </row>
    <row r="1794" ht="14.25" customHeight="1">
      <c r="A1794" t="s">
        <v>1859</v>
      </c>
      <c r="B1794" t="s">
        <v>1835</v>
      </c>
      <c r="C1794" t="s">
        <v>62</v>
      </c>
      <c r="D1794" t="s">
        <v>63</v>
      </c>
      <c r="E1794">
        <v>5.3</v>
      </c>
      <c r="F1794">
        <v>5.3</v>
      </c>
      <c r="G1794" s="2" t="s">
        <v>67</v>
      </c>
      <c r="H1794" s="2">
        <v>29.0</v>
      </c>
      <c r="I1794" s="2">
        <v>8.0</v>
      </c>
      <c r="J1794" s="37">
        <v>661.74</v>
      </c>
      <c r="K1794" s="2">
        <v>33.0</v>
      </c>
      <c r="L1794" s="2">
        <v>100.0</v>
      </c>
      <c r="M1794" s="37">
        <v>871.1800000000001</v>
      </c>
    </row>
    <row r="1795" ht="14.25" customHeight="1">
      <c r="A1795" t="s">
        <v>1860</v>
      </c>
      <c r="B1795" t="s">
        <v>1835</v>
      </c>
      <c r="C1795" t="s">
        <v>62</v>
      </c>
      <c r="D1795" t="s">
        <v>63</v>
      </c>
      <c r="E1795">
        <v>5.3</v>
      </c>
      <c r="F1795">
        <v>5.3</v>
      </c>
      <c r="G1795" s="2" t="s">
        <v>67</v>
      </c>
      <c r="H1795" s="2">
        <v>29.0</v>
      </c>
      <c r="I1795" s="2">
        <v>8.0</v>
      </c>
      <c r="J1795" s="37">
        <v>661.74</v>
      </c>
      <c r="K1795" s="2">
        <v>33.0</v>
      </c>
      <c r="L1795" s="2">
        <v>100.0</v>
      </c>
      <c r="M1795" s="37">
        <v>871.1800000000001</v>
      </c>
    </row>
    <row r="1796" ht="14.25" customHeight="1">
      <c r="A1796" t="s">
        <v>1861</v>
      </c>
      <c r="B1796" t="s">
        <v>1835</v>
      </c>
      <c r="C1796" t="s">
        <v>62</v>
      </c>
      <c r="D1796" t="s">
        <v>63</v>
      </c>
      <c r="E1796">
        <v>5.3</v>
      </c>
      <c r="F1796">
        <v>5.3</v>
      </c>
      <c r="G1796" s="2" t="s">
        <v>67</v>
      </c>
      <c r="H1796" s="2">
        <v>29.0</v>
      </c>
      <c r="I1796" s="2">
        <v>8.0</v>
      </c>
      <c r="J1796" s="37">
        <v>661.74</v>
      </c>
      <c r="K1796" s="2">
        <v>33.0</v>
      </c>
      <c r="L1796" s="2">
        <v>100.0</v>
      </c>
      <c r="M1796" s="37">
        <v>871.1800000000001</v>
      </c>
    </row>
    <row r="1797" ht="14.25" customHeight="1">
      <c r="A1797" t="s">
        <v>1862</v>
      </c>
      <c r="B1797" t="s">
        <v>1835</v>
      </c>
      <c r="C1797" t="s">
        <v>62</v>
      </c>
      <c r="D1797" t="s">
        <v>63</v>
      </c>
      <c r="E1797">
        <v>3.5</v>
      </c>
      <c r="F1797">
        <v>4.0</v>
      </c>
      <c r="G1797" s="2" t="s">
        <v>64</v>
      </c>
      <c r="H1797" s="2">
        <v>0.0</v>
      </c>
      <c r="I1797" s="2">
        <v>0.0</v>
      </c>
      <c r="J1797" s="37">
        <v>0.0</v>
      </c>
      <c r="K1797" s="2">
        <v>0.0</v>
      </c>
      <c r="L1797" s="2">
        <v>0.0</v>
      </c>
      <c r="M1797" s="37">
        <v>0.0</v>
      </c>
    </row>
    <row r="1798" ht="14.25" customHeight="1">
      <c r="A1798" t="s">
        <v>1863</v>
      </c>
      <c r="B1798" t="s">
        <v>1835</v>
      </c>
      <c r="C1798" t="s">
        <v>62</v>
      </c>
      <c r="D1798" t="s">
        <v>63</v>
      </c>
      <c r="E1798">
        <v>3.5</v>
      </c>
      <c r="F1798">
        <v>4.0</v>
      </c>
      <c r="G1798" s="2" t="s">
        <v>64</v>
      </c>
      <c r="H1798" s="2">
        <v>0.0</v>
      </c>
      <c r="I1798" s="2">
        <v>0.0</v>
      </c>
      <c r="J1798" s="37">
        <v>0.0</v>
      </c>
      <c r="K1798" s="2">
        <v>0.0</v>
      </c>
      <c r="L1798" s="2">
        <v>0.0</v>
      </c>
      <c r="M1798" s="37">
        <v>0.0</v>
      </c>
    </row>
    <row r="1799" ht="14.25" customHeight="1">
      <c r="A1799" t="s">
        <v>1864</v>
      </c>
      <c r="B1799" t="s">
        <v>1835</v>
      </c>
      <c r="C1799" t="s">
        <v>62</v>
      </c>
      <c r="D1799" t="s">
        <v>63</v>
      </c>
      <c r="E1799">
        <v>3.5</v>
      </c>
      <c r="F1799">
        <v>4.0</v>
      </c>
      <c r="G1799" s="2" t="s">
        <v>64</v>
      </c>
      <c r="H1799" s="2">
        <v>0.0</v>
      </c>
      <c r="I1799" s="2">
        <v>0.0</v>
      </c>
      <c r="J1799" s="37">
        <v>0.0</v>
      </c>
      <c r="K1799" s="2">
        <v>0.0</v>
      </c>
      <c r="L1799" s="2">
        <v>0.0</v>
      </c>
      <c r="M1799" s="37">
        <v>0.0</v>
      </c>
    </row>
    <row r="1800" ht="14.25" customHeight="1">
      <c r="A1800" t="s">
        <v>1865</v>
      </c>
      <c r="B1800" t="s">
        <v>1835</v>
      </c>
      <c r="C1800" t="s">
        <v>62</v>
      </c>
      <c r="D1800" t="s">
        <v>63</v>
      </c>
      <c r="E1800">
        <v>3.5</v>
      </c>
      <c r="F1800">
        <v>4.0</v>
      </c>
      <c r="G1800" s="2" t="s">
        <v>64</v>
      </c>
      <c r="H1800" s="2">
        <v>0.0</v>
      </c>
      <c r="I1800" s="2">
        <v>0.0</v>
      </c>
      <c r="J1800" s="37">
        <v>0.0</v>
      </c>
      <c r="K1800" s="2">
        <v>0.0</v>
      </c>
      <c r="L1800" s="2">
        <v>0.0</v>
      </c>
      <c r="M1800" s="37">
        <v>0.0</v>
      </c>
    </row>
    <row r="1801" ht="14.25" customHeight="1">
      <c r="A1801" t="s">
        <v>1866</v>
      </c>
      <c r="B1801" t="s">
        <v>1835</v>
      </c>
      <c r="C1801" t="s">
        <v>62</v>
      </c>
      <c r="D1801" t="s">
        <v>467</v>
      </c>
      <c r="E1801">
        <v>3.08</v>
      </c>
      <c r="F1801">
        <v>3.22</v>
      </c>
      <c r="G1801" s="2" t="s">
        <v>64</v>
      </c>
      <c r="H1801" s="2">
        <v>0.0</v>
      </c>
      <c r="I1801" s="2">
        <v>0.0</v>
      </c>
      <c r="J1801" s="37">
        <v>0.0</v>
      </c>
      <c r="K1801" s="2">
        <v>0.0</v>
      </c>
      <c r="L1801" s="2">
        <v>0.0</v>
      </c>
      <c r="M1801" s="37">
        <v>0.0</v>
      </c>
    </row>
    <row r="1802" ht="14.25" customHeight="1">
      <c r="A1802" t="s">
        <v>1867</v>
      </c>
      <c r="B1802" t="s">
        <v>1835</v>
      </c>
      <c r="C1802" t="s">
        <v>62</v>
      </c>
      <c r="D1802" t="s">
        <v>467</v>
      </c>
      <c r="E1802">
        <v>3.08</v>
      </c>
      <c r="F1802">
        <v>3.22</v>
      </c>
      <c r="G1802" s="2" t="s">
        <v>64</v>
      </c>
      <c r="H1802" s="2">
        <v>0.0</v>
      </c>
      <c r="I1802" s="2">
        <v>0.0</v>
      </c>
      <c r="J1802" s="37">
        <v>0.0</v>
      </c>
      <c r="K1802" s="2">
        <v>0.0</v>
      </c>
      <c r="L1802" s="2">
        <v>0.0</v>
      </c>
      <c r="M1802" s="37">
        <v>0.0</v>
      </c>
    </row>
    <row r="1803" ht="14.25" customHeight="1">
      <c r="A1803" t="s">
        <v>1868</v>
      </c>
      <c r="B1803" t="s">
        <v>1835</v>
      </c>
      <c r="C1803" t="s">
        <v>62</v>
      </c>
      <c r="D1803" t="s">
        <v>467</v>
      </c>
      <c r="E1803">
        <v>3.08</v>
      </c>
      <c r="F1803">
        <v>3.22</v>
      </c>
      <c r="G1803" s="2" t="s">
        <v>64</v>
      </c>
      <c r="H1803" s="2">
        <v>0.0</v>
      </c>
      <c r="I1803" s="2">
        <v>0.0</v>
      </c>
      <c r="J1803" s="37">
        <v>0.0</v>
      </c>
      <c r="K1803" s="2">
        <v>0.0</v>
      </c>
      <c r="L1803" s="2">
        <v>0.0</v>
      </c>
      <c r="M1803" s="37">
        <v>0.0</v>
      </c>
    </row>
    <row r="1804" ht="14.25" customHeight="1">
      <c r="A1804" t="s">
        <v>1869</v>
      </c>
      <c r="B1804" t="s">
        <v>1835</v>
      </c>
      <c r="C1804" t="s">
        <v>62</v>
      </c>
      <c r="D1804" t="s">
        <v>467</v>
      </c>
      <c r="E1804">
        <v>3.08</v>
      </c>
      <c r="F1804">
        <v>3.22</v>
      </c>
      <c r="G1804" s="2" t="s">
        <v>64</v>
      </c>
      <c r="H1804" s="2">
        <v>0.0</v>
      </c>
      <c r="I1804" s="2">
        <v>0.0</v>
      </c>
      <c r="J1804" s="37">
        <v>0.0</v>
      </c>
      <c r="K1804" s="2">
        <v>0.0</v>
      </c>
      <c r="L1804" s="2">
        <v>0.0</v>
      </c>
      <c r="M1804" s="37">
        <v>0.0</v>
      </c>
    </row>
    <row r="1805" ht="14.25" customHeight="1">
      <c r="A1805" t="s">
        <v>1870</v>
      </c>
      <c r="B1805" t="s">
        <v>1835</v>
      </c>
      <c r="C1805" t="s">
        <v>62</v>
      </c>
      <c r="D1805" t="s">
        <v>467</v>
      </c>
      <c r="E1805">
        <v>3.08</v>
      </c>
      <c r="F1805">
        <v>3.22</v>
      </c>
      <c r="G1805" s="2" t="s">
        <v>64</v>
      </c>
      <c r="H1805" s="2">
        <v>0.0</v>
      </c>
      <c r="I1805" s="2">
        <v>0.0</v>
      </c>
      <c r="J1805" s="37">
        <v>0.0</v>
      </c>
      <c r="K1805" s="2">
        <v>0.0</v>
      </c>
      <c r="L1805" s="2">
        <v>0.0</v>
      </c>
      <c r="M1805" s="37">
        <v>0.0</v>
      </c>
    </row>
    <row r="1806" ht="14.25" customHeight="1">
      <c r="A1806" t="s">
        <v>1871</v>
      </c>
      <c r="B1806" t="s">
        <v>1835</v>
      </c>
      <c r="C1806" t="s">
        <v>62</v>
      </c>
      <c r="D1806" t="s">
        <v>467</v>
      </c>
      <c r="E1806">
        <v>2.7</v>
      </c>
      <c r="F1806">
        <v>2.4</v>
      </c>
      <c r="G1806" s="2" t="s">
        <v>64</v>
      </c>
      <c r="H1806" s="2">
        <v>0.0</v>
      </c>
      <c r="I1806" s="2">
        <v>0.0</v>
      </c>
      <c r="J1806" s="37">
        <v>0.0</v>
      </c>
      <c r="K1806" s="2">
        <v>0.0</v>
      </c>
      <c r="L1806" s="2">
        <v>0.0</v>
      </c>
      <c r="M1806" s="37">
        <v>0.0</v>
      </c>
    </row>
    <row r="1807" ht="14.25" customHeight="1">
      <c r="A1807" t="s">
        <v>1872</v>
      </c>
      <c r="B1807" t="s">
        <v>1835</v>
      </c>
      <c r="C1807" t="s">
        <v>62</v>
      </c>
      <c r="D1807" t="s">
        <v>467</v>
      </c>
      <c r="E1807">
        <v>2.7</v>
      </c>
      <c r="F1807">
        <v>2.4</v>
      </c>
      <c r="G1807" s="2" t="s">
        <v>64</v>
      </c>
      <c r="H1807" s="2">
        <v>0.0</v>
      </c>
      <c r="I1807" s="2">
        <v>0.0</v>
      </c>
      <c r="J1807" s="37">
        <v>0.0</v>
      </c>
      <c r="K1807" s="2">
        <v>0.0</v>
      </c>
      <c r="L1807" s="2">
        <v>0.0</v>
      </c>
      <c r="M1807" s="37">
        <v>0.0</v>
      </c>
    </row>
    <row r="1808" ht="14.25" customHeight="1">
      <c r="A1808" t="s">
        <v>1873</v>
      </c>
      <c r="B1808" t="s">
        <v>1835</v>
      </c>
      <c r="C1808" t="s">
        <v>62</v>
      </c>
      <c r="D1808" t="s">
        <v>467</v>
      </c>
      <c r="E1808">
        <v>2.7</v>
      </c>
      <c r="F1808">
        <v>2.4</v>
      </c>
      <c r="G1808" s="2" t="s">
        <v>64</v>
      </c>
      <c r="H1808" s="2">
        <v>0.0</v>
      </c>
      <c r="I1808" s="2">
        <v>0.0</v>
      </c>
      <c r="J1808" s="37">
        <v>0.0</v>
      </c>
      <c r="K1808" s="2">
        <v>0.0</v>
      </c>
      <c r="L1808" s="2">
        <v>0.0</v>
      </c>
      <c r="M1808" s="37">
        <v>0.0</v>
      </c>
    </row>
    <row r="1809" ht="14.25" customHeight="1">
      <c r="A1809" t="s">
        <v>1874</v>
      </c>
      <c r="B1809" t="s">
        <v>1835</v>
      </c>
      <c r="C1809" t="s">
        <v>62</v>
      </c>
      <c r="D1809" t="s">
        <v>467</v>
      </c>
      <c r="E1809">
        <v>2.7</v>
      </c>
      <c r="F1809">
        <v>2.4</v>
      </c>
      <c r="G1809" s="2" t="s">
        <v>64</v>
      </c>
      <c r="H1809" s="2">
        <v>0.0</v>
      </c>
      <c r="I1809" s="2">
        <v>0.0</v>
      </c>
      <c r="J1809" s="37">
        <v>0.0</v>
      </c>
      <c r="K1809" s="2">
        <v>0.0</v>
      </c>
      <c r="L1809" s="2">
        <v>0.0</v>
      </c>
      <c r="M1809" s="37">
        <v>0.0</v>
      </c>
    </row>
    <row r="1810" ht="14.25" customHeight="1">
      <c r="A1810" t="s">
        <v>1875</v>
      </c>
      <c r="B1810" t="s">
        <v>1835</v>
      </c>
      <c r="C1810" t="s">
        <v>62</v>
      </c>
      <c r="D1810" t="s">
        <v>467</v>
      </c>
      <c r="E1810">
        <v>2.7</v>
      </c>
      <c r="F1810">
        <v>2.4</v>
      </c>
      <c r="G1810" s="2" t="s">
        <v>64</v>
      </c>
      <c r="H1810" s="2">
        <v>0.0</v>
      </c>
      <c r="I1810" s="2">
        <v>0.0</v>
      </c>
      <c r="J1810" s="37">
        <v>0.0</v>
      </c>
      <c r="K1810" s="2">
        <v>0.0</v>
      </c>
      <c r="L1810" s="2">
        <v>0.0</v>
      </c>
      <c r="M1810" s="37">
        <v>0.0</v>
      </c>
    </row>
    <row r="1811" ht="14.25" customHeight="1">
      <c r="A1811" t="s">
        <v>1876</v>
      </c>
      <c r="B1811" t="s">
        <v>1835</v>
      </c>
      <c r="C1811" t="s">
        <v>62</v>
      </c>
      <c r="D1811" t="s">
        <v>63</v>
      </c>
      <c r="E1811">
        <v>2.64</v>
      </c>
      <c r="F1811">
        <v>4.05</v>
      </c>
      <c r="G1811" s="2" t="s">
        <v>64</v>
      </c>
      <c r="H1811" s="2">
        <v>0.0</v>
      </c>
      <c r="I1811" s="2">
        <v>0.0</v>
      </c>
      <c r="J1811" s="37">
        <v>0.0</v>
      </c>
      <c r="K1811" s="2">
        <v>0.0</v>
      </c>
      <c r="L1811" s="2">
        <v>0.0</v>
      </c>
      <c r="M1811" s="37">
        <v>0.0</v>
      </c>
    </row>
    <row r="1812" ht="14.25" customHeight="1">
      <c r="A1812" t="s">
        <v>1877</v>
      </c>
      <c r="B1812" t="s">
        <v>1835</v>
      </c>
      <c r="C1812" t="s">
        <v>62</v>
      </c>
      <c r="D1812" t="s">
        <v>63</v>
      </c>
      <c r="E1812">
        <v>2.64</v>
      </c>
      <c r="F1812">
        <v>4.05</v>
      </c>
      <c r="G1812" s="2" t="s">
        <v>64</v>
      </c>
      <c r="H1812" s="2">
        <v>0.0</v>
      </c>
      <c r="I1812" s="2">
        <v>0.0</v>
      </c>
      <c r="J1812" s="37">
        <v>0.0</v>
      </c>
      <c r="K1812" s="2">
        <v>0.0</v>
      </c>
      <c r="L1812" s="2">
        <v>0.0</v>
      </c>
      <c r="M1812" s="37">
        <v>0.0</v>
      </c>
    </row>
    <row r="1813" ht="14.25" customHeight="1">
      <c r="A1813" t="s">
        <v>1878</v>
      </c>
      <c r="B1813" t="s">
        <v>1835</v>
      </c>
      <c r="C1813" t="s">
        <v>62</v>
      </c>
      <c r="D1813" t="s">
        <v>63</v>
      </c>
      <c r="E1813">
        <v>2.64</v>
      </c>
      <c r="F1813">
        <v>4.05</v>
      </c>
      <c r="G1813" s="2" t="s">
        <v>64</v>
      </c>
      <c r="H1813" s="2">
        <v>0.0</v>
      </c>
      <c r="I1813" s="2">
        <v>0.0</v>
      </c>
      <c r="J1813" s="37">
        <v>0.0</v>
      </c>
      <c r="K1813" s="2">
        <v>0.0</v>
      </c>
      <c r="L1813" s="2">
        <v>0.0</v>
      </c>
      <c r="M1813" s="37">
        <v>0.0</v>
      </c>
    </row>
    <row r="1814" ht="14.25" customHeight="1">
      <c r="A1814" t="s">
        <v>1879</v>
      </c>
      <c r="B1814" t="s">
        <v>1835</v>
      </c>
      <c r="C1814" t="s">
        <v>62</v>
      </c>
      <c r="D1814" t="s">
        <v>63</v>
      </c>
      <c r="E1814">
        <v>2.64</v>
      </c>
      <c r="F1814">
        <v>4.05</v>
      </c>
      <c r="G1814" s="2" t="s">
        <v>64</v>
      </c>
      <c r="H1814" s="2">
        <v>0.0</v>
      </c>
      <c r="I1814" s="2">
        <v>0.0</v>
      </c>
      <c r="J1814" s="37">
        <v>0.0</v>
      </c>
      <c r="K1814" s="2">
        <v>0.0</v>
      </c>
      <c r="L1814" s="2">
        <v>0.0</v>
      </c>
      <c r="M1814" s="37">
        <v>0.0</v>
      </c>
    </row>
    <row r="1815" ht="14.25" customHeight="1">
      <c r="A1815" t="s">
        <v>1880</v>
      </c>
      <c r="B1815" t="s">
        <v>1835</v>
      </c>
      <c r="C1815" t="s">
        <v>62</v>
      </c>
      <c r="D1815" t="s">
        <v>63</v>
      </c>
      <c r="E1815">
        <v>2.64</v>
      </c>
      <c r="F1815">
        <v>4.05</v>
      </c>
      <c r="G1815" s="2" t="s">
        <v>64</v>
      </c>
      <c r="H1815" s="2">
        <v>0.0</v>
      </c>
      <c r="I1815" s="2">
        <v>0.0</v>
      </c>
      <c r="J1815" s="37">
        <v>0.0</v>
      </c>
      <c r="K1815" s="2">
        <v>0.0</v>
      </c>
      <c r="L1815" s="2">
        <v>0.0</v>
      </c>
      <c r="M1815" s="37">
        <v>0.0</v>
      </c>
    </row>
    <row r="1816" ht="14.25" customHeight="1">
      <c r="A1816" t="s">
        <v>1881</v>
      </c>
      <c r="B1816" t="s">
        <v>1835</v>
      </c>
      <c r="C1816" t="s">
        <v>62</v>
      </c>
      <c r="D1816" t="s">
        <v>63</v>
      </c>
      <c r="E1816">
        <v>3.5</v>
      </c>
      <c r="F1816">
        <v>4.5</v>
      </c>
      <c r="G1816" s="2" t="s">
        <v>64</v>
      </c>
      <c r="H1816" s="2">
        <v>0.0</v>
      </c>
      <c r="I1816" s="2">
        <v>0.0</v>
      </c>
      <c r="J1816" s="37">
        <v>0.0</v>
      </c>
      <c r="K1816" s="2">
        <v>0.0</v>
      </c>
      <c r="L1816" s="2">
        <v>0.0</v>
      </c>
      <c r="M1816" s="37">
        <v>0.0</v>
      </c>
    </row>
    <row r="1817" ht="14.25" customHeight="1">
      <c r="A1817" t="s">
        <v>1882</v>
      </c>
      <c r="B1817" t="s">
        <v>1835</v>
      </c>
      <c r="C1817" t="s">
        <v>62</v>
      </c>
      <c r="D1817" t="s">
        <v>63</v>
      </c>
      <c r="E1817">
        <v>3.5</v>
      </c>
      <c r="F1817">
        <v>4.5</v>
      </c>
      <c r="G1817" s="2" t="s">
        <v>64</v>
      </c>
      <c r="H1817" s="2">
        <v>0.0</v>
      </c>
      <c r="I1817" s="2">
        <v>0.0</v>
      </c>
      <c r="J1817" s="37">
        <v>0.0</v>
      </c>
      <c r="K1817" s="2">
        <v>0.0</v>
      </c>
      <c r="L1817" s="2">
        <v>0.0</v>
      </c>
      <c r="M1817" s="37">
        <v>0.0</v>
      </c>
    </row>
    <row r="1818" ht="14.25" customHeight="1">
      <c r="A1818" t="s">
        <v>1883</v>
      </c>
      <c r="B1818" t="s">
        <v>1835</v>
      </c>
      <c r="C1818" t="s">
        <v>62</v>
      </c>
      <c r="D1818" t="s">
        <v>63</v>
      </c>
      <c r="E1818">
        <v>3.5</v>
      </c>
      <c r="F1818">
        <v>4.5</v>
      </c>
      <c r="G1818" s="2" t="s">
        <v>64</v>
      </c>
      <c r="H1818" s="2">
        <v>0.0</v>
      </c>
      <c r="I1818" s="2">
        <v>0.0</v>
      </c>
      <c r="J1818" s="37">
        <v>0.0</v>
      </c>
      <c r="K1818" s="2">
        <v>0.0</v>
      </c>
      <c r="L1818" s="2">
        <v>0.0</v>
      </c>
      <c r="M1818" s="37">
        <v>0.0</v>
      </c>
    </row>
    <row r="1819" ht="14.25" customHeight="1">
      <c r="A1819" t="s">
        <v>1884</v>
      </c>
      <c r="B1819" t="s">
        <v>1835</v>
      </c>
      <c r="C1819" t="s">
        <v>62</v>
      </c>
      <c r="D1819" t="s">
        <v>63</v>
      </c>
      <c r="E1819">
        <v>3.5</v>
      </c>
      <c r="F1819">
        <v>4.5</v>
      </c>
      <c r="G1819" s="2" t="s">
        <v>64</v>
      </c>
      <c r="H1819" s="2">
        <v>0.0</v>
      </c>
      <c r="I1819" s="2">
        <v>0.0</v>
      </c>
      <c r="J1819" s="37">
        <v>0.0</v>
      </c>
      <c r="K1819" s="2">
        <v>0.0</v>
      </c>
      <c r="L1819" s="2">
        <v>0.0</v>
      </c>
      <c r="M1819" s="37">
        <v>0.0</v>
      </c>
    </row>
    <row r="1820" ht="14.25" customHeight="1">
      <c r="A1820" t="s">
        <v>1885</v>
      </c>
      <c r="B1820" t="s">
        <v>1835</v>
      </c>
      <c r="C1820" t="s">
        <v>62</v>
      </c>
      <c r="D1820" t="s">
        <v>63</v>
      </c>
      <c r="E1820">
        <v>3.5</v>
      </c>
      <c r="F1820">
        <v>4.5</v>
      </c>
      <c r="G1820" s="2" t="s">
        <v>64</v>
      </c>
      <c r="H1820" s="2">
        <v>0.0</v>
      </c>
      <c r="I1820" s="2">
        <v>0.0</v>
      </c>
      <c r="J1820" s="37">
        <v>0.0</v>
      </c>
      <c r="K1820" s="2">
        <v>0.0</v>
      </c>
      <c r="L1820" s="2">
        <v>0.0</v>
      </c>
      <c r="M1820" s="37">
        <v>0.0</v>
      </c>
    </row>
    <row r="1821" ht="14.25" customHeight="1">
      <c r="A1821" t="s">
        <v>1886</v>
      </c>
      <c r="B1821" t="s">
        <v>1835</v>
      </c>
      <c r="C1821" t="s">
        <v>62</v>
      </c>
      <c r="D1821" t="s">
        <v>63</v>
      </c>
      <c r="E1821">
        <v>7.0</v>
      </c>
      <c r="F1821">
        <v>7.0</v>
      </c>
      <c r="G1821" s="2" t="s">
        <v>64</v>
      </c>
      <c r="H1821" s="2">
        <v>0.0</v>
      </c>
      <c r="I1821" s="2">
        <v>0.0</v>
      </c>
      <c r="J1821" s="37">
        <v>0.0</v>
      </c>
      <c r="K1821" s="2">
        <v>0.0</v>
      </c>
      <c r="L1821" s="2">
        <v>0.0</v>
      </c>
      <c r="M1821" s="37">
        <v>0.0</v>
      </c>
    </row>
    <row r="1822" ht="14.25" customHeight="1">
      <c r="A1822" t="s">
        <v>1887</v>
      </c>
      <c r="B1822" t="s">
        <v>1835</v>
      </c>
      <c r="C1822" t="s">
        <v>62</v>
      </c>
      <c r="D1822" t="s">
        <v>63</v>
      </c>
      <c r="E1822">
        <v>7.0</v>
      </c>
      <c r="F1822">
        <v>7.0</v>
      </c>
      <c r="G1822" s="2" t="s">
        <v>64</v>
      </c>
      <c r="H1822" s="2">
        <v>0.0</v>
      </c>
      <c r="I1822" s="2">
        <v>0.0</v>
      </c>
      <c r="J1822" s="37">
        <v>0.0</v>
      </c>
      <c r="K1822" s="2">
        <v>0.0</v>
      </c>
      <c r="L1822" s="2">
        <v>0.0</v>
      </c>
      <c r="M1822" s="37">
        <v>0.0</v>
      </c>
    </row>
    <row r="1823" ht="14.25" customHeight="1">
      <c r="A1823" t="s">
        <v>1888</v>
      </c>
      <c r="B1823" t="s">
        <v>1835</v>
      </c>
      <c r="C1823" t="s">
        <v>62</v>
      </c>
      <c r="D1823" t="s">
        <v>63</v>
      </c>
      <c r="E1823">
        <v>7.0</v>
      </c>
      <c r="F1823">
        <v>7.0</v>
      </c>
      <c r="G1823" s="2" t="s">
        <v>64</v>
      </c>
      <c r="H1823" s="2">
        <v>0.0</v>
      </c>
      <c r="I1823" s="2">
        <v>0.0</v>
      </c>
      <c r="J1823" s="37">
        <v>0.0</v>
      </c>
      <c r="K1823" s="2">
        <v>0.0</v>
      </c>
      <c r="L1823" s="2">
        <v>0.0</v>
      </c>
      <c r="M1823" s="37">
        <v>0.0</v>
      </c>
    </row>
    <row r="1824" ht="14.25" customHeight="1">
      <c r="A1824" t="s">
        <v>1889</v>
      </c>
      <c r="B1824" t="s">
        <v>1835</v>
      </c>
      <c r="C1824" t="s">
        <v>62</v>
      </c>
      <c r="D1824" t="s">
        <v>63</v>
      </c>
      <c r="E1824">
        <v>7.0</v>
      </c>
      <c r="F1824">
        <v>7.0</v>
      </c>
      <c r="G1824" s="2" t="s">
        <v>64</v>
      </c>
      <c r="H1824" s="2">
        <v>0.0</v>
      </c>
      <c r="I1824" s="2">
        <v>0.0</v>
      </c>
      <c r="J1824" s="37">
        <v>0.0</v>
      </c>
      <c r="K1824" s="2">
        <v>0.0</v>
      </c>
      <c r="L1824" s="2">
        <v>0.0</v>
      </c>
      <c r="M1824" s="37">
        <v>0.0</v>
      </c>
    </row>
    <row r="1825" ht="14.25" customHeight="1">
      <c r="A1825" t="s">
        <v>1890</v>
      </c>
      <c r="B1825" t="s">
        <v>1835</v>
      </c>
      <c r="C1825" t="s">
        <v>62</v>
      </c>
      <c r="D1825" t="s">
        <v>63</v>
      </c>
      <c r="E1825">
        <v>7.0</v>
      </c>
      <c r="F1825">
        <v>7.0</v>
      </c>
      <c r="G1825" s="2" t="s">
        <v>64</v>
      </c>
      <c r="H1825" s="2">
        <v>0.0</v>
      </c>
      <c r="I1825" s="2">
        <v>0.0</v>
      </c>
      <c r="J1825" s="37">
        <v>0.0</v>
      </c>
      <c r="K1825" s="2">
        <v>0.0</v>
      </c>
      <c r="L1825" s="2">
        <v>0.0</v>
      </c>
      <c r="M1825" s="37">
        <v>0.0</v>
      </c>
    </row>
    <row r="1826" ht="14.25" customHeight="1">
      <c r="A1826" t="s">
        <v>1891</v>
      </c>
      <c r="B1826" t="s">
        <v>1835</v>
      </c>
      <c r="C1826" t="s">
        <v>62</v>
      </c>
      <c r="D1826" t="s">
        <v>467</v>
      </c>
      <c r="E1826">
        <v>4.2</v>
      </c>
      <c r="F1826">
        <v>3.6</v>
      </c>
      <c r="G1826" s="2" t="s">
        <v>64</v>
      </c>
      <c r="H1826" s="2">
        <v>0.0</v>
      </c>
      <c r="I1826" s="2">
        <v>0.0</v>
      </c>
      <c r="J1826" s="37">
        <v>0.0</v>
      </c>
      <c r="K1826" s="2">
        <v>0.0</v>
      </c>
      <c r="L1826" s="2">
        <v>0.0</v>
      </c>
      <c r="M1826" s="37">
        <v>0.0</v>
      </c>
    </row>
    <row r="1827" ht="14.25" customHeight="1">
      <c r="A1827" t="s">
        <v>1892</v>
      </c>
      <c r="B1827" t="s">
        <v>1835</v>
      </c>
      <c r="C1827" t="s">
        <v>62</v>
      </c>
      <c r="D1827" t="s">
        <v>467</v>
      </c>
      <c r="E1827">
        <v>4.2</v>
      </c>
      <c r="F1827">
        <v>3.6</v>
      </c>
      <c r="G1827" s="2" t="s">
        <v>64</v>
      </c>
      <c r="H1827" s="2">
        <v>0.0</v>
      </c>
      <c r="I1827" s="2">
        <v>0.0</v>
      </c>
      <c r="J1827" s="37">
        <v>0.0</v>
      </c>
      <c r="K1827" s="2">
        <v>0.0</v>
      </c>
      <c r="L1827" s="2">
        <v>0.0</v>
      </c>
      <c r="M1827" s="37">
        <v>0.0</v>
      </c>
    </row>
    <row r="1828" ht="14.25" customHeight="1">
      <c r="A1828" t="s">
        <v>1893</v>
      </c>
      <c r="B1828" t="s">
        <v>1835</v>
      </c>
      <c r="C1828" t="s">
        <v>62</v>
      </c>
      <c r="D1828" t="s">
        <v>467</v>
      </c>
      <c r="E1828">
        <v>4.2</v>
      </c>
      <c r="F1828">
        <v>3.6</v>
      </c>
      <c r="G1828" s="2" t="s">
        <v>64</v>
      </c>
      <c r="H1828" s="2">
        <v>0.0</v>
      </c>
      <c r="I1828" s="2">
        <v>0.0</v>
      </c>
      <c r="J1828" s="37">
        <v>0.0</v>
      </c>
      <c r="K1828" s="2">
        <v>0.0</v>
      </c>
      <c r="L1828" s="2">
        <v>0.0</v>
      </c>
      <c r="M1828" s="37">
        <v>0.0</v>
      </c>
    </row>
    <row r="1829" ht="14.25" customHeight="1">
      <c r="A1829" t="s">
        <v>1894</v>
      </c>
      <c r="B1829" t="s">
        <v>1835</v>
      </c>
      <c r="C1829" t="s">
        <v>62</v>
      </c>
      <c r="D1829" t="s">
        <v>467</v>
      </c>
      <c r="E1829">
        <v>4.2</v>
      </c>
      <c r="F1829">
        <v>3.6</v>
      </c>
      <c r="G1829" s="2" t="s">
        <v>64</v>
      </c>
      <c r="H1829" s="2">
        <v>0.0</v>
      </c>
      <c r="I1829" s="2">
        <v>0.0</v>
      </c>
      <c r="J1829" s="37">
        <v>0.0</v>
      </c>
      <c r="K1829" s="2">
        <v>0.0</v>
      </c>
      <c r="L1829" s="2">
        <v>0.0</v>
      </c>
      <c r="M1829" s="37">
        <v>0.0</v>
      </c>
    </row>
    <row r="1830" ht="14.25" customHeight="1">
      <c r="A1830" t="s">
        <v>1895</v>
      </c>
      <c r="B1830" t="s">
        <v>1835</v>
      </c>
      <c r="C1830" t="s">
        <v>62</v>
      </c>
      <c r="D1830" t="s">
        <v>467</v>
      </c>
      <c r="E1830">
        <v>4.2</v>
      </c>
      <c r="F1830">
        <v>3.6</v>
      </c>
      <c r="G1830" s="2" t="s">
        <v>64</v>
      </c>
      <c r="H1830" s="2">
        <v>0.0</v>
      </c>
      <c r="I1830" s="2">
        <v>0.0</v>
      </c>
      <c r="J1830" s="37">
        <v>0.0</v>
      </c>
      <c r="K1830" s="2">
        <v>0.0</v>
      </c>
      <c r="L1830" s="2">
        <v>0.0</v>
      </c>
      <c r="M1830" s="37">
        <v>0.0</v>
      </c>
    </row>
    <row r="1831" ht="14.25" customHeight="1">
      <c r="A1831" t="s">
        <v>1896</v>
      </c>
      <c r="B1831" t="s">
        <v>1835</v>
      </c>
      <c r="C1831" t="s">
        <v>62</v>
      </c>
      <c r="D1831" t="s">
        <v>63</v>
      </c>
      <c r="E1831">
        <v>2.62</v>
      </c>
      <c r="F1831">
        <v>3.3</v>
      </c>
      <c r="G1831" s="2" t="s">
        <v>67</v>
      </c>
      <c r="H1831" s="2">
        <v>16.0</v>
      </c>
      <c r="I1831" s="2">
        <v>92.0</v>
      </c>
      <c r="J1831" s="37">
        <v>478.96000000000004</v>
      </c>
      <c r="K1831" s="2">
        <v>18.0</v>
      </c>
      <c r="L1831" s="2">
        <v>132.0</v>
      </c>
      <c r="M1831" s="37">
        <v>575.88</v>
      </c>
    </row>
    <row r="1832" ht="14.25" customHeight="1">
      <c r="A1832" t="s">
        <v>1897</v>
      </c>
      <c r="B1832" t="s">
        <v>1835</v>
      </c>
      <c r="C1832" t="s">
        <v>62</v>
      </c>
      <c r="D1832" t="s">
        <v>63</v>
      </c>
      <c r="E1832">
        <v>2.62</v>
      </c>
      <c r="F1832">
        <v>3.3</v>
      </c>
      <c r="G1832" s="2" t="s">
        <v>67</v>
      </c>
      <c r="H1832" s="2">
        <v>16.0</v>
      </c>
      <c r="I1832" s="2">
        <v>92.0</v>
      </c>
      <c r="J1832" s="37">
        <v>478.96000000000004</v>
      </c>
      <c r="K1832" s="2">
        <v>18.0</v>
      </c>
      <c r="L1832" s="2">
        <v>132.0</v>
      </c>
      <c r="M1832" s="37">
        <v>575.88</v>
      </c>
    </row>
    <row r="1833" ht="14.25" customHeight="1">
      <c r="A1833" t="s">
        <v>1898</v>
      </c>
      <c r="B1833" t="s">
        <v>1835</v>
      </c>
      <c r="C1833" t="s">
        <v>62</v>
      </c>
      <c r="D1833" t="s">
        <v>63</v>
      </c>
      <c r="E1833">
        <v>2.62</v>
      </c>
      <c r="F1833">
        <v>3.3</v>
      </c>
      <c r="G1833" s="2" t="s">
        <v>67</v>
      </c>
      <c r="H1833" s="2">
        <v>16.0</v>
      </c>
      <c r="I1833" s="2">
        <v>92.0</v>
      </c>
      <c r="J1833" s="37">
        <v>478.96000000000004</v>
      </c>
      <c r="K1833" s="2">
        <v>18.0</v>
      </c>
      <c r="L1833" s="2">
        <v>132.0</v>
      </c>
      <c r="M1833" s="37">
        <v>575.88</v>
      </c>
    </row>
    <row r="1834" ht="14.25" customHeight="1">
      <c r="A1834" t="s">
        <v>1899</v>
      </c>
      <c r="B1834" t="s">
        <v>1835</v>
      </c>
      <c r="C1834" t="s">
        <v>62</v>
      </c>
      <c r="D1834" t="s">
        <v>63</v>
      </c>
      <c r="E1834">
        <v>2.62</v>
      </c>
      <c r="F1834">
        <v>3.3</v>
      </c>
      <c r="G1834" s="2" t="s">
        <v>67</v>
      </c>
      <c r="H1834" s="2">
        <v>16.0</v>
      </c>
      <c r="I1834" s="2">
        <v>92.0</v>
      </c>
      <c r="J1834" s="37">
        <v>478.96000000000004</v>
      </c>
      <c r="K1834" s="2">
        <v>18.0</v>
      </c>
      <c r="L1834" s="2">
        <v>132.0</v>
      </c>
      <c r="M1834" s="37">
        <v>575.88</v>
      </c>
    </row>
    <row r="1835" ht="14.25" customHeight="1">
      <c r="A1835" t="s">
        <v>1900</v>
      </c>
      <c r="B1835" t="s">
        <v>1835</v>
      </c>
      <c r="C1835" t="s">
        <v>62</v>
      </c>
      <c r="D1835" t="s">
        <v>63</v>
      </c>
      <c r="E1835">
        <v>2.62</v>
      </c>
      <c r="F1835">
        <v>3.3</v>
      </c>
      <c r="G1835" s="2" t="s">
        <v>67</v>
      </c>
      <c r="H1835" s="2">
        <v>16.0</v>
      </c>
      <c r="I1835" s="2">
        <v>92.0</v>
      </c>
      <c r="J1835" s="37">
        <v>478.96000000000004</v>
      </c>
      <c r="K1835" s="2">
        <v>18.0</v>
      </c>
      <c r="L1835" s="2">
        <v>132.0</v>
      </c>
      <c r="M1835" s="37">
        <v>575.88</v>
      </c>
    </row>
    <row r="1836" ht="14.25" customHeight="1">
      <c r="A1836" t="s">
        <v>1901</v>
      </c>
      <c r="B1836" t="s">
        <v>1835</v>
      </c>
      <c r="C1836" t="s">
        <v>62</v>
      </c>
      <c r="D1836" t="s">
        <v>63</v>
      </c>
      <c r="E1836">
        <v>3.53</v>
      </c>
      <c r="F1836">
        <v>3.65</v>
      </c>
      <c r="G1836" s="2" t="s">
        <v>67</v>
      </c>
      <c r="H1836" s="2">
        <v>18.0</v>
      </c>
      <c r="I1836" s="2">
        <v>33.0</v>
      </c>
      <c r="J1836" s="37">
        <v>447.18</v>
      </c>
      <c r="K1836" s="2">
        <v>20.0</v>
      </c>
      <c r="L1836" s="2">
        <v>86.0</v>
      </c>
      <c r="M1836" s="37">
        <v>561.0</v>
      </c>
    </row>
    <row r="1837" ht="14.25" customHeight="1">
      <c r="A1837" t="s">
        <v>1902</v>
      </c>
      <c r="B1837" t="s">
        <v>1835</v>
      </c>
      <c r="C1837" t="s">
        <v>62</v>
      </c>
      <c r="D1837" t="s">
        <v>63</v>
      </c>
      <c r="E1837">
        <v>3.53</v>
      </c>
      <c r="F1837">
        <v>3.65</v>
      </c>
      <c r="G1837" s="2" t="s">
        <v>67</v>
      </c>
      <c r="H1837" s="2">
        <v>18.0</v>
      </c>
      <c r="I1837" s="2">
        <v>33.0</v>
      </c>
      <c r="J1837" s="37">
        <v>447.18</v>
      </c>
      <c r="K1837" s="2">
        <v>20.0</v>
      </c>
      <c r="L1837" s="2">
        <v>86.0</v>
      </c>
      <c r="M1837" s="37">
        <v>561.0</v>
      </c>
    </row>
    <row r="1838" ht="14.25" customHeight="1">
      <c r="A1838" t="s">
        <v>1903</v>
      </c>
      <c r="B1838" t="s">
        <v>1835</v>
      </c>
      <c r="C1838" t="s">
        <v>62</v>
      </c>
      <c r="D1838" t="s">
        <v>63</v>
      </c>
      <c r="E1838">
        <v>3.53</v>
      </c>
      <c r="F1838">
        <v>3.65</v>
      </c>
      <c r="G1838" s="2" t="s">
        <v>67</v>
      </c>
      <c r="H1838" s="2">
        <v>18.0</v>
      </c>
      <c r="I1838" s="2">
        <v>33.0</v>
      </c>
      <c r="J1838" s="37">
        <v>447.18</v>
      </c>
      <c r="K1838" s="2">
        <v>20.0</v>
      </c>
      <c r="L1838" s="2">
        <v>86.0</v>
      </c>
      <c r="M1838" s="37">
        <v>561.0</v>
      </c>
    </row>
    <row r="1839" ht="14.25" customHeight="1">
      <c r="A1839" t="s">
        <v>1904</v>
      </c>
      <c r="B1839" t="s">
        <v>1835</v>
      </c>
      <c r="C1839" t="s">
        <v>62</v>
      </c>
      <c r="D1839" t="s">
        <v>63</v>
      </c>
      <c r="E1839">
        <v>3.53</v>
      </c>
      <c r="F1839">
        <v>3.65</v>
      </c>
      <c r="G1839" s="2" t="s">
        <v>67</v>
      </c>
      <c r="H1839" s="2">
        <v>18.0</v>
      </c>
      <c r="I1839" s="2">
        <v>33.0</v>
      </c>
      <c r="J1839" s="37">
        <v>447.18</v>
      </c>
      <c r="K1839" s="2">
        <v>20.0</v>
      </c>
      <c r="L1839" s="2">
        <v>86.0</v>
      </c>
      <c r="M1839" s="37">
        <v>561.0</v>
      </c>
    </row>
    <row r="1840" ht="14.25" customHeight="1">
      <c r="A1840" t="s">
        <v>1905</v>
      </c>
      <c r="B1840" t="s">
        <v>1835</v>
      </c>
      <c r="C1840" t="s">
        <v>62</v>
      </c>
      <c r="D1840" t="s">
        <v>63</v>
      </c>
      <c r="E1840">
        <v>3.53</v>
      </c>
      <c r="F1840">
        <v>3.65</v>
      </c>
      <c r="G1840" s="2" t="s">
        <v>67</v>
      </c>
      <c r="H1840" s="2">
        <v>18.0</v>
      </c>
      <c r="I1840" s="2">
        <v>33.0</v>
      </c>
      <c r="J1840" s="37">
        <v>447.18</v>
      </c>
      <c r="K1840" s="2">
        <v>20.0</v>
      </c>
      <c r="L1840" s="2">
        <v>86.0</v>
      </c>
      <c r="M1840" s="37">
        <v>561.0</v>
      </c>
    </row>
    <row r="1841" ht="14.25" customHeight="1">
      <c r="A1841" t="s">
        <v>1906</v>
      </c>
      <c r="B1841" t="s">
        <v>1835</v>
      </c>
      <c r="C1841" t="s">
        <v>62</v>
      </c>
      <c r="D1841" t="s">
        <v>63</v>
      </c>
      <c r="E1841">
        <v>5.25</v>
      </c>
      <c r="F1841">
        <v>5.2</v>
      </c>
      <c r="G1841" s="2" t="s">
        <v>64</v>
      </c>
      <c r="H1841" s="2">
        <v>0.0</v>
      </c>
      <c r="I1841" s="2">
        <v>0.0</v>
      </c>
      <c r="J1841" s="37">
        <v>0.0</v>
      </c>
      <c r="K1841" s="2">
        <v>0.0</v>
      </c>
      <c r="L1841" s="2">
        <v>0.0</v>
      </c>
      <c r="M1841" s="37">
        <v>0.0</v>
      </c>
    </row>
    <row r="1842" ht="14.25" customHeight="1">
      <c r="A1842" t="s">
        <v>1907</v>
      </c>
      <c r="B1842" t="s">
        <v>1835</v>
      </c>
      <c r="C1842" t="s">
        <v>62</v>
      </c>
      <c r="D1842" t="s">
        <v>63</v>
      </c>
      <c r="E1842">
        <v>5.25</v>
      </c>
      <c r="F1842">
        <v>5.2</v>
      </c>
      <c r="G1842" s="2" t="s">
        <v>64</v>
      </c>
      <c r="H1842" s="2">
        <v>0.0</v>
      </c>
      <c r="I1842" s="2">
        <v>0.0</v>
      </c>
      <c r="J1842" s="37">
        <v>0.0</v>
      </c>
      <c r="K1842" s="2">
        <v>0.0</v>
      </c>
      <c r="L1842" s="2">
        <v>0.0</v>
      </c>
      <c r="M1842" s="37">
        <v>0.0</v>
      </c>
    </row>
    <row r="1843" ht="14.25" customHeight="1">
      <c r="A1843" t="s">
        <v>1908</v>
      </c>
      <c r="B1843" t="s">
        <v>1835</v>
      </c>
      <c r="C1843" t="s">
        <v>62</v>
      </c>
      <c r="D1843" t="s">
        <v>63</v>
      </c>
      <c r="E1843">
        <v>5.25</v>
      </c>
      <c r="F1843">
        <v>5.2</v>
      </c>
      <c r="G1843" s="2" t="s">
        <v>64</v>
      </c>
      <c r="H1843" s="2">
        <v>0.0</v>
      </c>
      <c r="I1843" s="2">
        <v>0.0</v>
      </c>
      <c r="J1843" s="37">
        <v>0.0</v>
      </c>
      <c r="K1843" s="2">
        <v>0.0</v>
      </c>
      <c r="L1843" s="2">
        <v>0.0</v>
      </c>
      <c r="M1843" s="37">
        <v>0.0</v>
      </c>
    </row>
    <row r="1844" ht="14.25" customHeight="1">
      <c r="A1844" t="s">
        <v>1909</v>
      </c>
      <c r="B1844" t="s">
        <v>1835</v>
      </c>
      <c r="C1844" t="s">
        <v>62</v>
      </c>
      <c r="D1844" t="s">
        <v>63</v>
      </c>
      <c r="E1844">
        <v>5.25</v>
      </c>
      <c r="F1844">
        <v>5.2</v>
      </c>
      <c r="G1844" s="2" t="s">
        <v>64</v>
      </c>
      <c r="H1844" s="2">
        <v>0.0</v>
      </c>
      <c r="I1844" s="2">
        <v>0.0</v>
      </c>
      <c r="J1844" s="37">
        <v>0.0</v>
      </c>
      <c r="K1844" s="2">
        <v>0.0</v>
      </c>
      <c r="L1844" s="2">
        <v>0.0</v>
      </c>
      <c r="M1844" s="37">
        <v>0.0</v>
      </c>
    </row>
    <row r="1845" ht="14.25" customHeight="1">
      <c r="A1845" t="s">
        <v>1910</v>
      </c>
      <c r="B1845" t="s">
        <v>1835</v>
      </c>
      <c r="C1845" t="s">
        <v>62</v>
      </c>
      <c r="D1845" t="s">
        <v>63</v>
      </c>
      <c r="E1845">
        <v>5.25</v>
      </c>
      <c r="F1845">
        <v>5.2</v>
      </c>
      <c r="G1845" s="2" t="s">
        <v>64</v>
      </c>
      <c r="H1845" s="2">
        <v>0.0</v>
      </c>
      <c r="I1845" s="2">
        <v>0.0</v>
      </c>
      <c r="J1845" s="37">
        <v>0.0</v>
      </c>
      <c r="K1845" s="2">
        <v>0.0</v>
      </c>
      <c r="L1845" s="2">
        <v>0.0</v>
      </c>
      <c r="M1845" s="37">
        <v>0.0</v>
      </c>
    </row>
    <row r="1846" ht="14.25" customHeight="1">
      <c r="A1846" t="s">
        <v>1911</v>
      </c>
      <c r="B1846" t="s">
        <v>1835</v>
      </c>
      <c r="C1846" t="s">
        <v>62</v>
      </c>
      <c r="D1846" t="s">
        <v>63</v>
      </c>
      <c r="E1846">
        <v>8.2</v>
      </c>
      <c r="F1846">
        <v>8.4</v>
      </c>
      <c r="G1846" s="2" t="s">
        <v>67</v>
      </c>
      <c r="H1846" s="2">
        <v>44.0</v>
      </c>
      <c r="I1846" s="2">
        <v>90.0</v>
      </c>
      <c r="J1846" s="37">
        <v>1105.24</v>
      </c>
      <c r="K1846" s="2">
        <v>51.0</v>
      </c>
      <c r="L1846" s="2">
        <v>231.0</v>
      </c>
      <c r="M1846" s="37">
        <v>1445.76</v>
      </c>
    </row>
    <row r="1847" ht="14.25" customHeight="1">
      <c r="A1847" t="s">
        <v>1912</v>
      </c>
      <c r="B1847" t="s">
        <v>1835</v>
      </c>
      <c r="C1847" t="s">
        <v>62</v>
      </c>
      <c r="D1847" t="s">
        <v>63</v>
      </c>
      <c r="E1847">
        <v>8.2</v>
      </c>
      <c r="F1847">
        <v>8.4</v>
      </c>
      <c r="G1847" s="2" t="s">
        <v>67</v>
      </c>
      <c r="H1847" s="2">
        <v>44.0</v>
      </c>
      <c r="I1847" s="2">
        <v>90.0</v>
      </c>
      <c r="J1847" s="37">
        <v>1105.24</v>
      </c>
      <c r="K1847" s="2">
        <v>51.0</v>
      </c>
      <c r="L1847" s="2">
        <v>231.0</v>
      </c>
      <c r="M1847" s="37">
        <v>1445.76</v>
      </c>
    </row>
    <row r="1848" ht="14.25" customHeight="1">
      <c r="A1848" t="s">
        <v>1913</v>
      </c>
      <c r="B1848" t="s">
        <v>1835</v>
      </c>
      <c r="C1848" t="s">
        <v>62</v>
      </c>
      <c r="D1848" t="s">
        <v>63</v>
      </c>
      <c r="E1848">
        <v>8.2</v>
      </c>
      <c r="F1848">
        <v>8.4</v>
      </c>
      <c r="G1848" s="2" t="s">
        <v>67</v>
      </c>
      <c r="H1848" s="2">
        <v>44.0</v>
      </c>
      <c r="I1848" s="2">
        <v>90.0</v>
      </c>
      <c r="J1848" s="37">
        <v>1105.24</v>
      </c>
      <c r="K1848" s="2">
        <v>51.0</v>
      </c>
      <c r="L1848" s="2">
        <v>231.0</v>
      </c>
      <c r="M1848" s="37">
        <v>1445.76</v>
      </c>
    </row>
    <row r="1849" ht="14.25" customHeight="1">
      <c r="A1849" t="s">
        <v>1914</v>
      </c>
      <c r="B1849" t="s">
        <v>1835</v>
      </c>
      <c r="C1849" t="s">
        <v>62</v>
      </c>
      <c r="D1849" t="s">
        <v>63</v>
      </c>
      <c r="E1849">
        <v>8.2</v>
      </c>
      <c r="F1849">
        <v>8.4</v>
      </c>
      <c r="G1849" s="2" t="s">
        <v>67</v>
      </c>
      <c r="H1849" s="2">
        <v>44.0</v>
      </c>
      <c r="I1849" s="2">
        <v>90.0</v>
      </c>
      <c r="J1849" s="37">
        <v>1105.24</v>
      </c>
      <c r="K1849" s="2">
        <v>51.0</v>
      </c>
      <c r="L1849" s="2">
        <v>231.0</v>
      </c>
      <c r="M1849" s="37">
        <v>1445.76</v>
      </c>
    </row>
    <row r="1850" ht="14.25" customHeight="1">
      <c r="A1850" t="s">
        <v>1915</v>
      </c>
      <c r="B1850" t="s">
        <v>1835</v>
      </c>
      <c r="C1850" t="s">
        <v>62</v>
      </c>
      <c r="D1850" t="s">
        <v>63</v>
      </c>
      <c r="E1850">
        <v>8.2</v>
      </c>
      <c r="F1850">
        <v>8.4</v>
      </c>
      <c r="G1850" s="2" t="s">
        <v>67</v>
      </c>
      <c r="H1850" s="2">
        <v>44.0</v>
      </c>
      <c r="I1850" s="2">
        <v>90.0</v>
      </c>
      <c r="J1850" s="37">
        <v>1105.24</v>
      </c>
      <c r="K1850" s="2">
        <v>51.0</v>
      </c>
      <c r="L1850" s="2">
        <v>231.0</v>
      </c>
      <c r="M1850" s="37">
        <v>1445.76</v>
      </c>
    </row>
    <row r="1851" ht="14.25" customHeight="1">
      <c r="A1851" t="s">
        <v>1916</v>
      </c>
      <c r="B1851" t="s">
        <v>1917</v>
      </c>
      <c r="C1851" t="s">
        <v>75</v>
      </c>
      <c r="D1851" t="s">
        <v>82</v>
      </c>
      <c r="E1851">
        <v>2.0</v>
      </c>
      <c r="F1851">
        <v>2.5</v>
      </c>
      <c r="G1851" s="2" t="s">
        <v>64</v>
      </c>
      <c r="H1851" s="2">
        <v>0.0</v>
      </c>
      <c r="I1851" s="2">
        <v>0.0</v>
      </c>
      <c r="J1851" s="37">
        <v>0.0</v>
      </c>
      <c r="K1851" s="2">
        <v>0.0</v>
      </c>
      <c r="L1851" s="2">
        <v>0.0</v>
      </c>
      <c r="M1851" s="37">
        <v>0.0</v>
      </c>
    </row>
    <row r="1852" ht="14.25" customHeight="1">
      <c r="A1852" t="s">
        <v>1918</v>
      </c>
      <c r="B1852" t="s">
        <v>1917</v>
      </c>
      <c r="C1852" t="s">
        <v>75</v>
      </c>
      <c r="D1852" t="s">
        <v>82</v>
      </c>
      <c r="E1852">
        <v>6.4</v>
      </c>
      <c r="F1852">
        <v>8.0</v>
      </c>
      <c r="G1852" s="2" t="s">
        <v>64</v>
      </c>
      <c r="H1852" s="2">
        <v>0.0</v>
      </c>
      <c r="I1852" s="2">
        <v>0.0</v>
      </c>
      <c r="J1852" s="37">
        <v>0.0</v>
      </c>
      <c r="K1852" s="2">
        <v>0.0</v>
      </c>
      <c r="L1852" s="2">
        <v>0.0</v>
      </c>
      <c r="M1852" s="37">
        <v>0.0</v>
      </c>
    </row>
    <row r="1853" ht="14.25" customHeight="1">
      <c r="A1853" t="s">
        <v>1919</v>
      </c>
      <c r="B1853" t="s">
        <v>1917</v>
      </c>
      <c r="C1853" t="s">
        <v>75</v>
      </c>
      <c r="D1853" t="s">
        <v>82</v>
      </c>
      <c r="E1853">
        <v>7.6</v>
      </c>
      <c r="F1853">
        <v>9.0</v>
      </c>
      <c r="G1853" s="2" t="s">
        <v>64</v>
      </c>
      <c r="H1853" s="2">
        <v>0.0</v>
      </c>
      <c r="I1853" s="2">
        <v>0.0</v>
      </c>
      <c r="J1853" s="37">
        <v>0.0</v>
      </c>
      <c r="K1853" s="2">
        <v>0.0</v>
      </c>
      <c r="L1853" s="2">
        <v>0.0</v>
      </c>
      <c r="M1853" s="37">
        <v>0.0</v>
      </c>
    </row>
    <row r="1854" ht="14.25" customHeight="1">
      <c r="A1854" t="s">
        <v>1920</v>
      </c>
      <c r="B1854" t="s">
        <v>1917</v>
      </c>
      <c r="C1854" t="s">
        <v>75</v>
      </c>
      <c r="D1854" t="s">
        <v>82</v>
      </c>
      <c r="E1854">
        <v>10.2</v>
      </c>
      <c r="F1854">
        <v>12.3</v>
      </c>
      <c r="G1854" s="2" t="s">
        <v>64</v>
      </c>
      <c r="H1854" s="2">
        <v>0.0</v>
      </c>
      <c r="I1854" s="2">
        <v>0.0</v>
      </c>
      <c r="J1854" s="37">
        <v>0.0</v>
      </c>
      <c r="K1854" s="2">
        <v>0.0</v>
      </c>
      <c r="L1854" s="2">
        <v>0.0</v>
      </c>
      <c r="M1854" s="37">
        <v>0.0</v>
      </c>
    </row>
    <row r="1855" ht="14.25" customHeight="1">
      <c r="A1855" t="s">
        <v>1921</v>
      </c>
      <c r="B1855" t="s">
        <v>1917</v>
      </c>
      <c r="C1855" t="s">
        <v>75</v>
      </c>
      <c r="D1855" t="s">
        <v>82</v>
      </c>
      <c r="E1855">
        <v>2.62</v>
      </c>
      <c r="F1855">
        <v>3.4</v>
      </c>
      <c r="G1855" s="2" t="s">
        <v>64</v>
      </c>
      <c r="H1855" s="2">
        <v>0.0</v>
      </c>
      <c r="I1855" s="2">
        <v>0.0</v>
      </c>
      <c r="J1855" s="37">
        <v>0.0</v>
      </c>
      <c r="K1855" s="2">
        <v>0.0</v>
      </c>
      <c r="L1855" s="2">
        <v>0.0</v>
      </c>
      <c r="M1855" s="37">
        <v>0.0</v>
      </c>
    </row>
    <row r="1856" ht="14.25" customHeight="1">
      <c r="A1856" t="s">
        <v>1922</v>
      </c>
      <c r="B1856" t="s">
        <v>1923</v>
      </c>
      <c r="C1856" t="s">
        <v>62</v>
      </c>
      <c r="D1856" t="s">
        <v>63</v>
      </c>
      <c r="E1856">
        <v>9.5</v>
      </c>
      <c r="F1856">
        <v>10.8</v>
      </c>
      <c r="G1856" s="2" t="s">
        <v>64</v>
      </c>
      <c r="H1856" s="2">
        <v>0.0</v>
      </c>
      <c r="I1856" s="2">
        <v>0.0</v>
      </c>
      <c r="J1856" s="37">
        <v>0.0</v>
      </c>
      <c r="K1856" s="2">
        <v>0.0</v>
      </c>
      <c r="L1856" s="2">
        <v>0.0</v>
      </c>
      <c r="M1856" s="37">
        <v>0.0</v>
      </c>
    </row>
    <row r="1857" ht="14.25" customHeight="1">
      <c r="A1857" t="s">
        <v>1924</v>
      </c>
      <c r="B1857" t="s">
        <v>1923</v>
      </c>
      <c r="C1857" t="s">
        <v>62</v>
      </c>
      <c r="D1857" t="s">
        <v>63</v>
      </c>
      <c r="E1857">
        <v>12.1</v>
      </c>
      <c r="F1857">
        <v>13.5</v>
      </c>
      <c r="G1857" s="2" t="s">
        <v>64</v>
      </c>
      <c r="H1857" s="2">
        <v>0.0</v>
      </c>
      <c r="I1857" s="2">
        <v>0.0</v>
      </c>
      <c r="J1857" s="37">
        <v>0.0</v>
      </c>
      <c r="K1857" s="2">
        <v>0.0</v>
      </c>
      <c r="L1857" s="2">
        <v>0.0</v>
      </c>
      <c r="M1857" s="37">
        <v>0.0</v>
      </c>
    </row>
    <row r="1858" ht="14.25" customHeight="1">
      <c r="A1858" t="s">
        <v>1925</v>
      </c>
      <c r="B1858" t="s">
        <v>1923</v>
      </c>
      <c r="C1858" t="s">
        <v>62</v>
      </c>
      <c r="D1858" t="s">
        <v>63</v>
      </c>
      <c r="E1858">
        <v>13.4</v>
      </c>
      <c r="F1858">
        <v>15.5</v>
      </c>
      <c r="G1858" s="2" t="s">
        <v>64</v>
      </c>
      <c r="H1858" s="2">
        <v>0.0</v>
      </c>
      <c r="I1858" s="2">
        <v>0.0</v>
      </c>
      <c r="J1858" s="37">
        <v>0.0</v>
      </c>
      <c r="K1858" s="2">
        <v>0.0</v>
      </c>
      <c r="L1858" s="2">
        <v>0.0</v>
      </c>
      <c r="M1858" s="37">
        <v>0.0</v>
      </c>
    </row>
    <row r="1859" ht="14.25" customHeight="1">
      <c r="A1859" t="s">
        <v>1926</v>
      </c>
      <c r="B1859" t="s">
        <v>1923</v>
      </c>
      <c r="C1859" t="s">
        <v>75</v>
      </c>
      <c r="D1859" t="s">
        <v>63</v>
      </c>
      <c r="E1859">
        <v>2.5</v>
      </c>
      <c r="F1859">
        <v>3.2</v>
      </c>
      <c r="G1859" s="2" t="s">
        <v>64</v>
      </c>
      <c r="H1859" s="2">
        <v>0.0</v>
      </c>
      <c r="I1859" s="2">
        <v>0.0</v>
      </c>
      <c r="J1859" s="37">
        <v>0.0</v>
      </c>
      <c r="K1859" s="2">
        <v>0.0</v>
      </c>
      <c r="L1859" s="2">
        <v>0.0</v>
      </c>
      <c r="M1859" s="37">
        <v>0.0</v>
      </c>
    </row>
    <row r="1860" ht="14.25" customHeight="1">
      <c r="A1860" t="s">
        <v>1927</v>
      </c>
      <c r="B1860" t="s">
        <v>1923</v>
      </c>
      <c r="C1860" t="s">
        <v>75</v>
      </c>
      <c r="D1860" t="s">
        <v>63</v>
      </c>
      <c r="E1860">
        <v>3.4</v>
      </c>
      <c r="F1860">
        <v>4.0</v>
      </c>
      <c r="G1860" s="2" t="s">
        <v>64</v>
      </c>
      <c r="H1860" s="2">
        <v>0.0</v>
      </c>
      <c r="I1860" s="2">
        <v>0.0</v>
      </c>
      <c r="J1860" s="37">
        <v>0.0</v>
      </c>
      <c r="K1860" s="2">
        <v>0.0</v>
      </c>
      <c r="L1860" s="2">
        <v>0.0</v>
      </c>
      <c r="M1860" s="37">
        <v>0.0</v>
      </c>
    </row>
    <row r="1861" ht="14.25" customHeight="1">
      <c r="A1861" t="s">
        <v>1928</v>
      </c>
      <c r="B1861" t="s">
        <v>1923</v>
      </c>
      <c r="C1861" t="s">
        <v>75</v>
      </c>
      <c r="D1861" t="s">
        <v>63</v>
      </c>
      <c r="E1861">
        <v>5.0</v>
      </c>
      <c r="F1861">
        <v>5.8</v>
      </c>
      <c r="G1861" s="2" t="s">
        <v>64</v>
      </c>
      <c r="H1861" s="2">
        <v>0.0</v>
      </c>
      <c r="I1861" s="2">
        <v>0.0</v>
      </c>
      <c r="J1861" s="37">
        <v>0.0</v>
      </c>
      <c r="K1861" s="2">
        <v>0.0</v>
      </c>
      <c r="L1861" s="2">
        <v>0.0</v>
      </c>
      <c r="M1861" s="37">
        <v>0.0</v>
      </c>
    </row>
    <row r="1862" ht="14.25" customHeight="1">
      <c r="A1862" t="s">
        <v>1929</v>
      </c>
      <c r="B1862" t="s">
        <v>1923</v>
      </c>
      <c r="C1862" t="s">
        <v>75</v>
      </c>
      <c r="D1862" t="s">
        <v>63</v>
      </c>
      <c r="E1862">
        <v>8.0</v>
      </c>
      <c r="F1862">
        <v>9.0</v>
      </c>
      <c r="G1862" s="2" t="s">
        <v>64</v>
      </c>
      <c r="H1862" s="2">
        <v>0.0</v>
      </c>
      <c r="I1862" s="2">
        <v>0.0</v>
      </c>
      <c r="J1862" s="37">
        <v>0.0</v>
      </c>
      <c r="K1862" s="2">
        <v>0.0</v>
      </c>
      <c r="L1862" s="2">
        <v>0.0</v>
      </c>
      <c r="M1862" s="37">
        <v>0.0</v>
      </c>
    </row>
    <row r="1863" ht="14.25" customHeight="1">
      <c r="A1863" t="s">
        <v>1930</v>
      </c>
      <c r="B1863" t="s">
        <v>1923</v>
      </c>
      <c r="C1863" t="s">
        <v>75</v>
      </c>
      <c r="D1863" t="s">
        <v>63</v>
      </c>
      <c r="E1863">
        <v>6.8</v>
      </c>
      <c r="F1863">
        <v>7.5</v>
      </c>
      <c r="G1863" s="2" t="s">
        <v>64</v>
      </c>
      <c r="H1863" s="2">
        <v>0.0</v>
      </c>
      <c r="I1863" s="2">
        <v>0.0</v>
      </c>
      <c r="J1863" s="37">
        <v>0.0</v>
      </c>
      <c r="K1863" s="2">
        <v>0.0</v>
      </c>
      <c r="L1863" s="2">
        <v>0.0</v>
      </c>
      <c r="M1863" s="37">
        <v>0.0</v>
      </c>
    </row>
    <row r="1864" ht="14.25" customHeight="1">
      <c r="A1864" t="s">
        <v>1931</v>
      </c>
      <c r="B1864" t="s">
        <v>1923</v>
      </c>
      <c r="C1864" t="s">
        <v>75</v>
      </c>
      <c r="D1864" t="s">
        <v>63</v>
      </c>
      <c r="E1864">
        <v>13.8</v>
      </c>
      <c r="F1864">
        <v>15.5</v>
      </c>
      <c r="G1864" s="2" t="s">
        <v>64</v>
      </c>
      <c r="H1864" s="2">
        <v>0.0</v>
      </c>
      <c r="I1864" s="2">
        <v>0.0</v>
      </c>
      <c r="J1864" s="37">
        <v>0.0</v>
      </c>
      <c r="K1864" s="2">
        <v>0.0</v>
      </c>
      <c r="L1864" s="2">
        <v>0.0</v>
      </c>
      <c r="M1864" s="37">
        <v>0.0</v>
      </c>
    </row>
    <row r="1865" ht="14.25" customHeight="1">
      <c r="A1865" t="s">
        <v>1932</v>
      </c>
      <c r="B1865" t="s">
        <v>1923</v>
      </c>
      <c r="C1865" t="s">
        <v>75</v>
      </c>
      <c r="D1865" t="s">
        <v>63</v>
      </c>
      <c r="E1865">
        <v>9.5</v>
      </c>
      <c r="F1865">
        <v>10.8</v>
      </c>
      <c r="G1865" s="2" t="s">
        <v>64</v>
      </c>
      <c r="H1865" s="2">
        <v>0.0</v>
      </c>
      <c r="I1865" s="2">
        <v>0.0</v>
      </c>
      <c r="J1865" s="37">
        <v>0.0</v>
      </c>
      <c r="K1865" s="2">
        <v>0.0</v>
      </c>
      <c r="L1865" s="2">
        <v>0.0</v>
      </c>
      <c r="M1865" s="37">
        <v>0.0</v>
      </c>
    </row>
    <row r="1866" ht="14.25" customHeight="1">
      <c r="A1866" t="s">
        <v>1933</v>
      </c>
      <c r="B1866" t="s">
        <v>1923</v>
      </c>
      <c r="C1866" t="s">
        <v>62</v>
      </c>
      <c r="D1866" t="s">
        <v>63</v>
      </c>
      <c r="E1866">
        <v>8.5</v>
      </c>
      <c r="F1866">
        <v>9.0</v>
      </c>
      <c r="G1866" s="2" t="s">
        <v>67</v>
      </c>
      <c r="H1866" s="2">
        <v>46.0</v>
      </c>
      <c r="I1866" s="2">
        <v>212.0</v>
      </c>
      <c r="J1866" s="37">
        <v>1308.7600000000002</v>
      </c>
      <c r="K1866" s="2">
        <v>53.0</v>
      </c>
      <c r="L1866" s="2">
        <v>359.0</v>
      </c>
      <c r="M1866" s="37">
        <v>1657.0800000000002</v>
      </c>
    </row>
    <row r="1867" ht="14.25" customHeight="1">
      <c r="A1867" t="s">
        <v>1934</v>
      </c>
      <c r="B1867" t="s">
        <v>1923</v>
      </c>
      <c r="C1867" t="s">
        <v>62</v>
      </c>
      <c r="D1867" t="s">
        <v>63</v>
      </c>
      <c r="E1867">
        <v>7.1</v>
      </c>
      <c r="F1867">
        <v>8.0</v>
      </c>
      <c r="G1867" s="2" t="s">
        <v>67</v>
      </c>
      <c r="H1867" s="2">
        <v>40.0</v>
      </c>
      <c r="I1867" s="2">
        <v>176.0</v>
      </c>
      <c r="J1867" s="37">
        <v>1127.2</v>
      </c>
      <c r="K1867" s="2">
        <v>46.0</v>
      </c>
      <c r="L1867" s="2">
        <v>298.0</v>
      </c>
      <c r="M1867" s="37">
        <v>1420.5600000000002</v>
      </c>
    </row>
    <row r="1868" ht="14.25" customHeight="1">
      <c r="A1868" t="s">
        <v>1935</v>
      </c>
      <c r="B1868" t="s">
        <v>1923</v>
      </c>
      <c r="C1868" t="s">
        <v>62</v>
      </c>
      <c r="D1868" t="s">
        <v>63</v>
      </c>
      <c r="E1868">
        <v>2.5</v>
      </c>
      <c r="F1868">
        <v>3.2</v>
      </c>
      <c r="G1868" s="2" t="s">
        <v>67</v>
      </c>
      <c r="H1868" s="2">
        <v>15.0</v>
      </c>
      <c r="I1868" s="2">
        <v>95.0</v>
      </c>
      <c r="J1868" s="37">
        <v>460.40000000000003</v>
      </c>
      <c r="K1868" s="2">
        <v>18.0</v>
      </c>
      <c r="L1868" s="2">
        <v>133.0</v>
      </c>
      <c r="M1868" s="37">
        <v>577.1800000000001</v>
      </c>
    </row>
    <row r="1869" ht="14.25" customHeight="1">
      <c r="A1869" t="s">
        <v>1936</v>
      </c>
      <c r="B1869" t="s">
        <v>1923</v>
      </c>
      <c r="C1869" t="s">
        <v>62</v>
      </c>
      <c r="D1869" t="s">
        <v>63</v>
      </c>
      <c r="E1869">
        <v>3.5</v>
      </c>
      <c r="F1869">
        <v>4.0</v>
      </c>
      <c r="G1869" s="2" t="s">
        <v>67</v>
      </c>
      <c r="H1869" s="2">
        <v>19.0</v>
      </c>
      <c r="I1869" s="2">
        <v>53.0</v>
      </c>
      <c r="J1869" s="37">
        <v>495.64</v>
      </c>
      <c r="K1869" s="2">
        <v>21.0</v>
      </c>
      <c r="L1869" s="2">
        <v>107.0</v>
      </c>
      <c r="M1869" s="37">
        <v>610.76</v>
      </c>
    </row>
    <row r="1870" ht="14.25" customHeight="1">
      <c r="A1870" t="s">
        <v>1937</v>
      </c>
      <c r="B1870" t="s">
        <v>1923</v>
      </c>
      <c r="C1870" t="s">
        <v>62</v>
      </c>
      <c r="D1870" t="s">
        <v>63</v>
      </c>
      <c r="E1870">
        <v>9.4</v>
      </c>
      <c r="F1870">
        <v>10.3</v>
      </c>
      <c r="G1870" s="2" t="s">
        <v>64</v>
      </c>
      <c r="H1870" s="2">
        <v>0.0</v>
      </c>
      <c r="I1870" s="2">
        <v>0.0</v>
      </c>
      <c r="J1870" s="37">
        <v>0.0</v>
      </c>
      <c r="K1870" s="2">
        <v>0.0</v>
      </c>
      <c r="L1870" s="2">
        <v>0.0</v>
      </c>
      <c r="M1870" s="37">
        <v>0.0</v>
      </c>
    </row>
    <row r="1871" ht="14.25" customHeight="1">
      <c r="A1871" t="s">
        <v>1938</v>
      </c>
      <c r="B1871" t="s">
        <v>1923</v>
      </c>
      <c r="C1871" t="s">
        <v>75</v>
      </c>
      <c r="D1871" t="s">
        <v>63</v>
      </c>
      <c r="E1871">
        <v>8.8</v>
      </c>
      <c r="F1871">
        <v>9.4</v>
      </c>
      <c r="G1871" s="2" t="s">
        <v>64</v>
      </c>
      <c r="H1871" s="2">
        <v>0.0</v>
      </c>
      <c r="I1871" s="2">
        <v>0.0</v>
      </c>
      <c r="J1871" s="37">
        <v>0.0</v>
      </c>
      <c r="K1871" s="2">
        <v>0.0</v>
      </c>
      <c r="L1871" s="2">
        <v>0.0</v>
      </c>
      <c r="M1871" s="37">
        <v>0.0</v>
      </c>
    </row>
    <row r="1872" ht="14.25" customHeight="1">
      <c r="A1872" t="s">
        <v>1939</v>
      </c>
      <c r="B1872" t="s">
        <v>1923</v>
      </c>
      <c r="C1872" t="s">
        <v>75</v>
      </c>
      <c r="D1872" t="s">
        <v>63</v>
      </c>
      <c r="E1872">
        <v>10.5</v>
      </c>
      <c r="F1872">
        <v>13.0</v>
      </c>
      <c r="G1872" s="2" t="s">
        <v>64</v>
      </c>
      <c r="H1872" s="2">
        <v>0.0</v>
      </c>
      <c r="I1872" s="2">
        <v>0.0</v>
      </c>
      <c r="J1872" s="37">
        <v>0.0</v>
      </c>
      <c r="K1872" s="2">
        <v>0.0</v>
      </c>
      <c r="L1872" s="2">
        <v>0.0</v>
      </c>
      <c r="M1872" s="37">
        <v>0.0</v>
      </c>
    </row>
    <row r="1873" ht="14.25" customHeight="1">
      <c r="A1873" t="s">
        <v>1940</v>
      </c>
      <c r="B1873" t="s">
        <v>1923</v>
      </c>
      <c r="C1873" t="s">
        <v>75</v>
      </c>
      <c r="D1873" t="s">
        <v>63</v>
      </c>
      <c r="E1873">
        <v>12.5</v>
      </c>
      <c r="F1873">
        <v>15.0</v>
      </c>
      <c r="G1873" s="2" t="s">
        <v>64</v>
      </c>
      <c r="H1873" s="2">
        <v>0.0</v>
      </c>
      <c r="I1873" s="2">
        <v>0.0</v>
      </c>
      <c r="J1873" s="37">
        <v>0.0</v>
      </c>
      <c r="K1873" s="2">
        <v>0.0</v>
      </c>
      <c r="L1873" s="2">
        <v>0.0</v>
      </c>
      <c r="M1873" s="37">
        <v>0.0</v>
      </c>
    </row>
    <row r="1874" ht="14.25" customHeight="1">
      <c r="A1874" t="s">
        <v>1941</v>
      </c>
      <c r="B1874" t="s">
        <v>1923</v>
      </c>
      <c r="C1874" t="s">
        <v>75</v>
      </c>
      <c r="D1874" t="s">
        <v>63</v>
      </c>
      <c r="E1874">
        <v>15.0</v>
      </c>
      <c r="F1874">
        <v>17.0</v>
      </c>
      <c r="G1874" s="2" t="s">
        <v>64</v>
      </c>
      <c r="H1874" s="2">
        <v>0.0</v>
      </c>
      <c r="I1874" s="2">
        <v>0.0</v>
      </c>
      <c r="J1874" s="37">
        <v>0.0</v>
      </c>
      <c r="K1874" s="2">
        <v>0.0</v>
      </c>
      <c r="L1874" s="2">
        <v>0.0</v>
      </c>
      <c r="M1874" s="37">
        <v>0.0</v>
      </c>
    </row>
    <row r="1875" ht="14.25" customHeight="1">
      <c r="A1875" t="s">
        <v>1942</v>
      </c>
      <c r="B1875" t="s">
        <v>1923</v>
      </c>
      <c r="C1875" t="s">
        <v>75</v>
      </c>
      <c r="D1875" t="s">
        <v>63</v>
      </c>
      <c r="E1875">
        <v>12.3</v>
      </c>
      <c r="F1875">
        <v>13.5</v>
      </c>
      <c r="G1875" s="2" t="s">
        <v>64</v>
      </c>
      <c r="H1875" s="2">
        <v>0.0</v>
      </c>
      <c r="I1875" s="2">
        <v>0.0</v>
      </c>
      <c r="J1875" s="37">
        <v>0.0</v>
      </c>
      <c r="K1875" s="2">
        <v>0.0</v>
      </c>
      <c r="L1875" s="2">
        <v>0.0</v>
      </c>
      <c r="M1875" s="37">
        <v>0.0</v>
      </c>
    </row>
    <row r="1876" ht="14.25" customHeight="1">
      <c r="A1876" t="s">
        <v>1943</v>
      </c>
      <c r="B1876" t="s">
        <v>1923</v>
      </c>
      <c r="C1876" t="s">
        <v>62</v>
      </c>
      <c r="D1876" t="s">
        <v>63</v>
      </c>
      <c r="E1876">
        <v>6.1</v>
      </c>
      <c r="F1876">
        <v>7.0</v>
      </c>
      <c r="G1876" s="2" t="s">
        <v>67</v>
      </c>
      <c r="H1876" s="2">
        <v>37.0</v>
      </c>
      <c r="I1876" s="2">
        <v>209.0</v>
      </c>
      <c r="J1876" s="37">
        <v>1102.72</v>
      </c>
      <c r="K1876" s="2">
        <v>43.0</v>
      </c>
      <c r="L1876" s="2">
        <v>315.0</v>
      </c>
      <c r="M1876" s="37">
        <v>1375.2800000000002</v>
      </c>
    </row>
    <row r="1877" ht="14.25" customHeight="1">
      <c r="A1877" t="s">
        <v>1944</v>
      </c>
      <c r="B1877" t="s">
        <v>1923</v>
      </c>
      <c r="C1877" t="s">
        <v>62</v>
      </c>
      <c r="D1877" t="s">
        <v>63</v>
      </c>
      <c r="E1877">
        <v>6.8</v>
      </c>
      <c r="F1877">
        <v>7.5</v>
      </c>
      <c r="G1877" s="2" t="s">
        <v>64</v>
      </c>
      <c r="H1877" s="2">
        <v>0.0</v>
      </c>
      <c r="I1877" s="2">
        <v>0.0</v>
      </c>
      <c r="J1877" s="37">
        <v>0.0</v>
      </c>
      <c r="K1877" s="2">
        <v>0.0</v>
      </c>
      <c r="L1877" s="2">
        <v>0.0</v>
      </c>
      <c r="M1877" s="37">
        <v>0.0</v>
      </c>
    </row>
    <row r="1878" ht="14.25" customHeight="1">
      <c r="A1878" t="s">
        <v>1945</v>
      </c>
      <c r="B1878" t="s">
        <v>1923</v>
      </c>
      <c r="C1878" t="s">
        <v>62</v>
      </c>
      <c r="D1878" t="s">
        <v>63</v>
      </c>
      <c r="E1878">
        <v>8.0</v>
      </c>
      <c r="F1878">
        <v>8.9</v>
      </c>
      <c r="G1878" s="2" t="s">
        <v>64</v>
      </c>
      <c r="H1878" s="2">
        <v>0.0</v>
      </c>
      <c r="I1878" s="2">
        <v>0.0</v>
      </c>
      <c r="J1878" s="37">
        <v>0.0</v>
      </c>
      <c r="K1878" s="2">
        <v>0.0</v>
      </c>
      <c r="L1878" s="2">
        <v>0.0</v>
      </c>
      <c r="M1878" s="37">
        <v>0.0</v>
      </c>
    </row>
    <row r="1879" ht="14.25" customHeight="1">
      <c r="A1879" t="s">
        <v>1946</v>
      </c>
      <c r="B1879" t="s">
        <v>1923</v>
      </c>
      <c r="C1879" t="s">
        <v>62</v>
      </c>
      <c r="D1879" t="s">
        <v>63</v>
      </c>
      <c r="E1879">
        <v>5.0</v>
      </c>
      <c r="F1879">
        <v>6.0</v>
      </c>
      <c r="G1879" s="2" t="s">
        <v>67</v>
      </c>
      <c r="H1879" s="2">
        <v>34.0</v>
      </c>
      <c r="I1879" s="2">
        <v>231.0</v>
      </c>
      <c r="J1879" s="37">
        <v>1063.94</v>
      </c>
      <c r="K1879" s="2">
        <v>39.0</v>
      </c>
      <c r="L1879" s="2">
        <v>317.0</v>
      </c>
      <c r="M1879" s="37">
        <v>1288.04</v>
      </c>
    </row>
    <row r="1880" ht="14.25" customHeight="1">
      <c r="A1880" t="s">
        <v>1947</v>
      </c>
      <c r="B1880" t="s">
        <v>1923</v>
      </c>
      <c r="C1880" t="s">
        <v>62</v>
      </c>
      <c r="D1880" t="s">
        <v>63</v>
      </c>
      <c r="E1880">
        <v>7.1</v>
      </c>
      <c r="F1880">
        <v>7.7</v>
      </c>
      <c r="G1880" s="2" t="s">
        <v>64</v>
      </c>
      <c r="H1880" s="2">
        <v>0.0</v>
      </c>
      <c r="I1880" s="2">
        <v>0.0</v>
      </c>
      <c r="J1880" s="37">
        <v>0.0</v>
      </c>
      <c r="K1880" s="2">
        <v>0.0</v>
      </c>
      <c r="L1880" s="2">
        <v>0.0</v>
      </c>
      <c r="M1880" s="37">
        <v>0.0</v>
      </c>
    </row>
    <row r="1881" ht="14.25" customHeight="1">
      <c r="A1881" t="s">
        <v>1948</v>
      </c>
      <c r="B1881" t="s">
        <v>1923</v>
      </c>
      <c r="C1881" t="s">
        <v>75</v>
      </c>
      <c r="D1881" t="s">
        <v>63</v>
      </c>
      <c r="E1881">
        <v>14.0</v>
      </c>
      <c r="F1881">
        <v>16.5</v>
      </c>
      <c r="G1881" s="2" t="s">
        <v>67</v>
      </c>
      <c r="H1881" s="2">
        <v>75.0</v>
      </c>
      <c r="I1881" s="2">
        <v>121.0</v>
      </c>
      <c r="J1881" s="37">
        <v>1841.8</v>
      </c>
      <c r="K1881" s="2">
        <v>90.0</v>
      </c>
      <c r="L1881" s="2">
        <v>392.0</v>
      </c>
      <c r="M1881" s="37">
        <v>2531.0</v>
      </c>
    </row>
    <row r="1882" ht="14.25" customHeight="1">
      <c r="A1882" t="s">
        <v>1949</v>
      </c>
      <c r="B1882" t="s">
        <v>1923</v>
      </c>
      <c r="C1882" t="s">
        <v>75</v>
      </c>
      <c r="D1882" t="s">
        <v>63</v>
      </c>
      <c r="E1882">
        <v>8.0</v>
      </c>
      <c r="F1882">
        <v>9.0</v>
      </c>
      <c r="G1882" s="2" t="s">
        <v>64</v>
      </c>
      <c r="H1882" s="2">
        <v>0.0</v>
      </c>
      <c r="I1882" s="2">
        <v>0.0</v>
      </c>
      <c r="J1882" s="37">
        <v>0.0</v>
      </c>
      <c r="K1882" s="2">
        <v>0.0</v>
      </c>
      <c r="L1882" s="2">
        <v>0.0</v>
      </c>
      <c r="M1882" s="37">
        <v>0.0</v>
      </c>
    </row>
    <row r="1883" ht="14.25" customHeight="1">
      <c r="A1883" t="s">
        <v>1950</v>
      </c>
      <c r="B1883" t="s">
        <v>1923</v>
      </c>
      <c r="C1883" t="s">
        <v>75</v>
      </c>
      <c r="D1883" t="s">
        <v>63</v>
      </c>
      <c r="E1883">
        <v>9.5</v>
      </c>
      <c r="F1883">
        <v>10.8</v>
      </c>
      <c r="G1883" s="2" t="s">
        <v>67</v>
      </c>
      <c r="H1883" s="2">
        <v>58.0</v>
      </c>
      <c r="I1883" s="2">
        <v>316.0</v>
      </c>
      <c r="J1883" s="37">
        <v>1713.48</v>
      </c>
      <c r="K1883" s="2">
        <v>68.0</v>
      </c>
      <c r="L1883" s="2">
        <v>500.0</v>
      </c>
      <c r="M1883" s="37">
        <v>2177.2799999999997</v>
      </c>
    </row>
    <row r="1884" ht="14.25" customHeight="1">
      <c r="A1884" t="s">
        <v>1951</v>
      </c>
      <c r="B1884" t="s">
        <v>1923</v>
      </c>
      <c r="C1884" t="s">
        <v>75</v>
      </c>
      <c r="D1884" t="s">
        <v>63</v>
      </c>
      <c r="E1884">
        <v>12.3</v>
      </c>
      <c r="F1884">
        <v>13.5</v>
      </c>
      <c r="G1884" s="2" t="s">
        <v>64</v>
      </c>
      <c r="H1884" s="2">
        <v>0.0</v>
      </c>
      <c r="I1884" s="2">
        <v>0.0</v>
      </c>
      <c r="J1884" s="37">
        <v>0.0</v>
      </c>
      <c r="K1884" s="2">
        <v>0.0</v>
      </c>
      <c r="L1884" s="2">
        <v>0.0</v>
      </c>
      <c r="M1884" s="37">
        <v>0.0</v>
      </c>
    </row>
    <row r="1885" ht="14.25" customHeight="1">
      <c r="A1885" t="s">
        <v>1952</v>
      </c>
      <c r="B1885" t="s">
        <v>1923</v>
      </c>
      <c r="C1885" t="s">
        <v>75</v>
      </c>
      <c r="D1885" t="s">
        <v>63</v>
      </c>
      <c r="E1885">
        <v>13.8</v>
      </c>
      <c r="F1885">
        <v>15.5</v>
      </c>
      <c r="G1885" s="2" t="s">
        <v>64</v>
      </c>
      <c r="H1885" s="2">
        <v>0.0</v>
      </c>
      <c r="I1885" s="2">
        <v>0.0</v>
      </c>
      <c r="J1885" s="37">
        <v>0.0</v>
      </c>
      <c r="K1885" s="2">
        <v>0.0</v>
      </c>
      <c r="L1885" s="2">
        <v>0.0</v>
      </c>
      <c r="M1885" s="37">
        <v>0.0</v>
      </c>
    </row>
    <row r="1886" ht="14.25" customHeight="1">
      <c r="A1886" t="s">
        <v>1953</v>
      </c>
      <c r="B1886" t="s">
        <v>1923</v>
      </c>
      <c r="C1886" t="s">
        <v>75</v>
      </c>
      <c r="D1886" t="s">
        <v>63</v>
      </c>
      <c r="E1886">
        <v>8.8</v>
      </c>
      <c r="F1886">
        <v>9.4</v>
      </c>
      <c r="G1886" s="2" t="s">
        <v>64</v>
      </c>
      <c r="H1886" s="2">
        <v>0.0</v>
      </c>
      <c r="I1886" s="2">
        <v>0.0</v>
      </c>
      <c r="J1886" s="37">
        <v>0.0</v>
      </c>
      <c r="K1886" s="2">
        <v>0.0</v>
      </c>
      <c r="L1886" s="2">
        <v>0.0</v>
      </c>
      <c r="M1886" s="37">
        <v>0.0</v>
      </c>
    </row>
    <row r="1887" ht="14.25" customHeight="1">
      <c r="A1887" t="s">
        <v>1954</v>
      </c>
      <c r="B1887" t="s">
        <v>1923</v>
      </c>
      <c r="C1887" t="s">
        <v>75</v>
      </c>
      <c r="D1887" t="s">
        <v>63</v>
      </c>
      <c r="E1887">
        <v>10.5</v>
      </c>
      <c r="F1887">
        <v>13.0</v>
      </c>
      <c r="G1887" s="2" t="s">
        <v>64</v>
      </c>
      <c r="H1887" s="2">
        <v>0.0</v>
      </c>
      <c r="I1887" s="2">
        <v>0.0</v>
      </c>
      <c r="J1887" s="37">
        <v>0.0</v>
      </c>
      <c r="K1887" s="2">
        <v>0.0</v>
      </c>
      <c r="L1887" s="2">
        <v>0.0</v>
      </c>
      <c r="M1887" s="37">
        <v>0.0</v>
      </c>
    </row>
    <row r="1888" ht="14.25" customHeight="1">
      <c r="A1888" t="s">
        <v>1955</v>
      </c>
      <c r="B1888" t="s">
        <v>1923</v>
      </c>
      <c r="C1888" t="s">
        <v>75</v>
      </c>
      <c r="D1888" t="s">
        <v>63</v>
      </c>
      <c r="E1888">
        <v>12.5</v>
      </c>
      <c r="F1888">
        <v>15.0</v>
      </c>
      <c r="G1888" s="2" t="s">
        <v>64</v>
      </c>
      <c r="H1888" s="2">
        <v>0.0</v>
      </c>
      <c r="I1888" s="2">
        <v>0.0</v>
      </c>
      <c r="J1888" s="37">
        <v>0.0</v>
      </c>
      <c r="K1888" s="2">
        <v>0.0</v>
      </c>
      <c r="L1888" s="2">
        <v>0.0</v>
      </c>
      <c r="M1888" s="37">
        <v>0.0</v>
      </c>
    </row>
    <row r="1889" ht="14.25" customHeight="1">
      <c r="A1889" t="s">
        <v>1956</v>
      </c>
      <c r="B1889" t="s">
        <v>1923</v>
      </c>
      <c r="C1889" t="s">
        <v>75</v>
      </c>
      <c r="D1889" t="s">
        <v>63</v>
      </c>
      <c r="E1889">
        <v>15.0</v>
      </c>
      <c r="F1889">
        <v>17.0</v>
      </c>
      <c r="G1889" s="2" t="s">
        <v>64</v>
      </c>
      <c r="H1889" s="2">
        <v>0.0</v>
      </c>
      <c r="I1889" s="2">
        <v>0.0</v>
      </c>
      <c r="J1889" s="37">
        <v>0.0</v>
      </c>
      <c r="K1889" s="2">
        <v>0.0</v>
      </c>
      <c r="L1889" s="2">
        <v>0.0</v>
      </c>
      <c r="M1889" s="37">
        <v>0.0</v>
      </c>
    </row>
    <row r="1890" ht="14.25" customHeight="1">
      <c r="A1890" t="s">
        <v>1957</v>
      </c>
      <c r="B1890" t="s">
        <v>1923</v>
      </c>
      <c r="C1890" t="s">
        <v>75</v>
      </c>
      <c r="D1890" t="s">
        <v>63</v>
      </c>
      <c r="E1890">
        <v>12.5</v>
      </c>
      <c r="F1890">
        <v>15.0</v>
      </c>
      <c r="G1890" s="2" t="s">
        <v>64</v>
      </c>
      <c r="H1890" s="2">
        <v>0.0</v>
      </c>
      <c r="I1890" s="2">
        <v>0.0</v>
      </c>
      <c r="J1890" s="37">
        <v>0.0</v>
      </c>
      <c r="K1890" s="2">
        <v>0.0</v>
      </c>
      <c r="L1890" s="2">
        <v>0.0</v>
      </c>
      <c r="M1890" s="37">
        <v>0.0</v>
      </c>
    </row>
    <row r="1891" ht="14.25" customHeight="1">
      <c r="A1891" t="s">
        <v>1958</v>
      </c>
      <c r="B1891" t="s">
        <v>1923</v>
      </c>
      <c r="C1891" t="s">
        <v>75</v>
      </c>
      <c r="D1891" t="s">
        <v>63</v>
      </c>
      <c r="E1891">
        <v>12.5</v>
      </c>
      <c r="F1891">
        <v>15.0</v>
      </c>
      <c r="G1891" s="2" t="s">
        <v>64</v>
      </c>
      <c r="H1891" s="2">
        <v>0.0</v>
      </c>
      <c r="I1891" s="2">
        <v>0.0</v>
      </c>
      <c r="J1891" s="37">
        <v>0.0</v>
      </c>
      <c r="K1891" s="2">
        <v>0.0</v>
      </c>
      <c r="L1891" s="2">
        <v>0.0</v>
      </c>
      <c r="M1891" s="37">
        <v>0.0</v>
      </c>
    </row>
    <row r="1892" ht="14.25" customHeight="1">
      <c r="A1892" t="s">
        <v>1959</v>
      </c>
      <c r="B1892" t="s">
        <v>1923</v>
      </c>
      <c r="C1892" t="s">
        <v>62</v>
      </c>
      <c r="D1892" t="s">
        <v>63</v>
      </c>
      <c r="E1892">
        <v>8.0</v>
      </c>
      <c r="F1892">
        <v>8.9</v>
      </c>
      <c r="G1892" s="2" t="s">
        <v>64</v>
      </c>
      <c r="H1892" s="2">
        <v>0.0</v>
      </c>
      <c r="I1892" s="2">
        <v>0.0</v>
      </c>
      <c r="J1892" s="37">
        <v>0.0</v>
      </c>
      <c r="K1892" s="2">
        <v>0.0</v>
      </c>
      <c r="L1892" s="2">
        <v>0.0</v>
      </c>
      <c r="M1892" s="37">
        <v>0.0</v>
      </c>
    </row>
    <row r="1893" ht="14.25" customHeight="1">
      <c r="A1893" t="s">
        <v>1960</v>
      </c>
      <c r="B1893" t="s">
        <v>1923</v>
      </c>
      <c r="C1893" t="s">
        <v>62</v>
      </c>
      <c r="D1893" t="s">
        <v>63</v>
      </c>
      <c r="E1893">
        <v>9.5</v>
      </c>
      <c r="F1893">
        <v>10.8</v>
      </c>
      <c r="G1893" s="2" t="s">
        <v>67</v>
      </c>
      <c r="H1893" s="2">
        <v>55.0</v>
      </c>
      <c r="I1893" s="2">
        <v>387.0</v>
      </c>
      <c r="J1893" s="37">
        <v>1738.4</v>
      </c>
      <c r="K1893" s="2">
        <v>63.0</v>
      </c>
      <c r="L1893" s="2">
        <v>550.0</v>
      </c>
      <c r="M1893" s="37">
        <v>2129.98</v>
      </c>
    </row>
    <row r="1894" ht="14.25" customHeight="1">
      <c r="A1894" t="s">
        <v>1961</v>
      </c>
      <c r="B1894" t="s">
        <v>1923</v>
      </c>
      <c r="C1894" t="s">
        <v>62</v>
      </c>
      <c r="D1894" t="s">
        <v>63</v>
      </c>
      <c r="E1894">
        <v>12.3</v>
      </c>
      <c r="F1894">
        <v>13.5</v>
      </c>
      <c r="G1894" s="2" t="s">
        <v>64</v>
      </c>
      <c r="H1894" s="2">
        <v>0.0</v>
      </c>
      <c r="I1894" s="2">
        <v>0.0</v>
      </c>
      <c r="J1894" s="37">
        <v>0.0</v>
      </c>
      <c r="K1894" s="2">
        <v>0.0</v>
      </c>
      <c r="L1894" s="2">
        <v>0.0</v>
      </c>
      <c r="M1894" s="37">
        <v>0.0</v>
      </c>
    </row>
    <row r="1895" ht="14.25" customHeight="1">
      <c r="A1895" t="s">
        <v>1962</v>
      </c>
      <c r="B1895" t="s">
        <v>1923</v>
      </c>
      <c r="C1895" t="s">
        <v>62</v>
      </c>
      <c r="D1895" t="s">
        <v>63</v>
      </c>
      <c r="E1895">
        <v>13.6</v>
      </c>
      <c r="F1895">
        <v>15.5</v>
      </c>
      <c r="G1895" s="2" t="s">
        <v>64</v>
      </c>
      <c r="H1895" s="2">
        <v>0.0</v>
      </c>
      <c r="I1895" s="2">
        <v>0.0</v>
      </c>
      <c r="J1895" s="37">
        <v>0.0</v>
      </c>
      <c r="K1895" s="2">
        <v>0.0</v>
      </c>
      <c r="L1895" s="2">
        <v>0.0</v>
      </c>
      <c r="M1895" s="37">
        <v>0.0</v>
      </c>
    </row>
    <row r="1896" ht="14.25" customHeight="1">
      <c r="A1896" t="s">
        <v>1963</v>
      </c>
      <c r="B1896" t="s">
        <v>1923</v>
      </c>
      <c r="C1896" t="s">
        <v>75</v>
      </c>
      <c r="D1896" t="s">
        <v>63</v>
      </c>
      <c r="E1896">
        <v>8.5</v>
      </c>
      <c r="F1896">
        <v>10.0</v>
      </c>
      <c r="G1896" s="2" t="s">
        <v>64</v>
      </c>
      <c r="H1896" s="2">
        <v>0.0</v>
      </c>
      <c r="I1896" s="2">
        <v>0.0</v>
      </c>
      <c r="J1896" s="37">
        <v>0.0</v>
      </c>
      <c r="K1896" s="2">
        <v>0.0</v>
      </c>
      <c r="L1896" s="2">
        <v>0.0</v>
      </c>
      <c r="M1896" s="37">
        <v>0.0</v>
      </c>
    </row>
    <row r="1897" ht="14.25" customHeight="1">
      <c r="A1897" t="s">
        <v>1948</v>
      </c>
      <c r="B1897" t="s">
        <v>1923</v>
      </c>
      <c r="C1897" t="s">
        <v>75</v>
      </c>
      <c r="D1897" t="s">
        <v>63</v>
      </c>
      <c r="E1897">
        <v>14.0</v>
      </c>
      <c r="F1897">
        <v>16.5</v>
      </c>
      <c r="G1897" s="2" t="s">
        <v>64</v>
      </c>
      <c r="H1897" s="2">
        <v>75.0</v>
      </c>
      <c r="I1897" s="2">
        <v>121.0</v>
      </c>
      <c r="J1897" s="37">
        <v>1841.8</v>
      </c>
      <c r="K1897" s="2">
        <v>90.0</v>
      </c>
      <c r="L1897" s="2">
        <v>392.0</v>
      </c>
      <c r="M1897" s="37">
        <v>2531.0</v>
      </c>
    </row>
    <row r="1898" ht="14.25" customHeight="1">
      <c r="A1898" t="s">
        <v>1964</v>
      </c>
      <c r="B1898" t="s">
        <v>1923</v>
      </c>
      <c r="C1898" t="s">
        <v>75</v>
      </c>
      <c r="D1898" t="s">
        <v>63</v>
      </c>
      <c r="E1898">
        <v>15.2</v>
      </c>
      <c r="F1898">
        <v>18.0</v>
      </c>
      <c r="G1898" s="2" t="s">
        <v>64</v>
      </c>
      <c r="H1898" s="2">
        <v>0.0</v>
      </c>
      <c r="I1898" s="2">
        <v>0.0</v>
      </c>
      <c r="J1898" s="37">
        <v>0.0</v>
      </c>
      <c r="K1898" s="2">
        <v>0.0</v>
      </c>
      <c r="L1898" s="2">
        <v>0.0</v>
      </c>
      <c r="M1898" s="37">
        <v>0.0</v>
      </c>
    </row>
    <row r="1899" ht="14.25" customHeight="1">
      <c r="A1899" t="s">
        <v>1965</v>
      </c>
      <c r="B1899" t="s">
        <v>1923</v>
      </c>
      <c r="C1899" t="s">
        <v>75</v>
      </c>
      <c r="D1899" t="s">
        <v>63</v>
      </c>
      <c r="E1899">
        <v>14.0</v>
      </c>
      <c r="F1899">
        <v>16.5</v>
      </c>
      <c r="G1899" s="2" t="s">
        <v>64</v>
      </c>
      <c r="H1899" s="2">
        <v>0.0</v>
      </c>
      <c r="I1899" s="2">
        <v>0.0</v>
      </c>
      <c r="J1899" s="37">
        <v>0.0</v>
      </c>
      <c r="K1899" s="2">
        <v>0.0</v>
      </c>
      <c r="L1899" s="2">
        <v>0.0</v>
      </c>
      <c r="M1899" s="37">
        <v>0.0</v>
      </c>
    </row>
    <row r="1900" ht="14.25" customHeight="1">
      <c r="A1900" t="s">
        <v>1966</v>
      </c>
      <c r="B1900" t="s">
        <v>1923</v>
      </c>
      <c r="C1900" t="s">
        <v>75</v>
      </c>
      <c r="D1900" t="s">
        <v>63</v>
      </c>
      <c r="E1900">
        <v>15.2</v>
      </c>
      <c r="F1900">
        <v>18.0</v>
      </c>
      <c r="G1900" s="2" t="s">
        <v>64</v>
      </c>
      <c r="H1900" s="2">
        <v>0.0</v>
      </c>
      <c r="I1900" s="2">
        <v>0.0</v>
      </c>
      <c r="J1900" s="37">
        <v>0.0</v>
      </c>
      <c r="K1900" s="2">
        <v>0.0</v>
      </c>
      <c r="L1900" s="2">
        <v>0.0</v>
      </c>
      <c r="M1900" s="37">
        <v>0.0</v>
      </c>
    </row>
    <row r="1901" ht="14.25" customHeight="1">
      <c r="A1901" t="s">
        <v>1967</v>
      </c>
      <c r="B1901" t="s">
        <v>1923</v>
      </c>
      <c r="C1901" t="s">
        <v>75</v>
      </c>
      <c r="D1901" t="s">
        <v>63</v>
      </c>
      <c r="E1901">
        <v>10.5</v>
      </c>
      <c r="F1901">
        <v>13.0</v>
      </c>
      <c r="G1901" s="2" t="s">
        <v>64</v>
      </c>
      <c r="H1901" s="2">
        <v>0.0</v>
      </c>
      <c r="I1901" s="2">
        <v>0.0</v>
      </c>
      <c r="J1901" s="37">
        <v>0.0</v>
      </c>
      <c r="K1901" s="2">
        <v>0.0</v>
      </c>
      <c r="L1901" s="2">
        <v>0.0</v>
      </c>
      <c r="M1901" s="37">
        <v>0.0</v>
      </c>
    </row>
    <row r="1902" ht="14.25" customHeight="1">
      <c r="A1902" t="s">
        <v>1968</v>
      </c>
      <c r="B1902" t="s">
        <v>1923</v>
      </c>
      <c r="C1902" t="s">
        <v>75</v>
      </c>
      <c r="D1902" t="s">
        <v>63</v>
      </c>
      <c r="E1902">
        <v>10.5</v>
      </c>
      <c r="F1902">
        <v>13.0</v>
      </c>
      <c r="G1902" s="2" t="s">
        <v>64</v>
      </c>
      <c r="H1902" s="2">
        <v>0.0</v>
      </c>
      <c r="I1902" s="2">
        <v>0.0</v>
      </c>
      <c r="J1902" s="37">
        <v>0.0</v>
      </c>
      <c r="K1902" s="2">
        <v>0.0</v>
      </c>
      <c r="L1902" s="2">
        <v>0.0</v>
      </c>
      <c r="M1902" s="37">
        <v>0.0</v>
      </c>
    </row>
    <row r="1903" ht="14.25" customHeight="1">
      <c r="A1903" t="s">
        <v>1969</v>
      </c>
      <c r="B1903" t="s">
        <v>1923</v>
      </c>
      <c r="C1903" t="s">
        <v>75</v>
      </c>
      <c r="D1903" t="s">
        <v>63</v>
      </c>
      <c r="E1903">
        <v>10.5</v>
      </c>
      <c r="F1903">
        <v>13.0</v>
      </c>
      <c r="G1903" s="2" t="s">
        <v>67</v>
      </c>
      <c r="H1903" s="2">
        <v>70.0</v>
      </c>
      <c r="I1903" s="2">
        <v>497.0</v>
      </c>
      <c r="J1903" s="37">
        <v>2218.3</v>
      </c>
      <c r="K1903" s="2">
        <v>81.0</v>
      </c>
      <c r="L1903" s="2">
        <v>700.0</v>
      </c>
      <c r="M1903" s="37">
        <v>2729.26</v>
      </c>
    </row>
    <row r="1904" ht="14.25" customHeight="1">
      <c r="A1904" t="s">
        <v>1970</v>
      </c>
      <c r="B1904" t="s">
        <v>1923</v>
      </c>
      <c r="C1904" t="s">
        <v>62</v>
      </c>
      <c r="D1904" t="s">
        <v>63</v>
      </c>
      <c r="E1904">
        <v>5.0</v>
      </c>
      <c r="F1904">
        <v>6.0</v>
      </c>
      <c r="G1904" s="2" t="s">
        <v>67</v>
      </c>
      <c r="H1904" s="2">
        <v>32.0</v>
      </c>
      <c r="I1904" s="2">
        <v>186.0</v>
      </c>
      <c r="J1904" s="37">
        <v>960.52</v>
      </c>
      <c r="K1904" s="2">
        <v>37.0</v>
      </c>
      <c r="L1904" s="2">
        <v>272.0</v>
      </c>
      <c r="M1904" s="37">
        <v>1184.62</v>
      </c>
    </row>
    <row r="1905" ht="14.25" customHeight="1">
      <c r="A1905" t="s">
        <v>1971</v>
      </c>
      <c r="B1905" t="s">
        <v>1923</v>
      </c>
      <c r="C1905" t="s">
        <v>62</v>
      </c>
      <c r="D1905" t="s">
        <v>63</v>
      </c>
      <c r="E1905">
        <v>2.6</v>
      </c>
      <c r="F1905">
        <v>3.2</v>
      </c>
      <c r="G1905" s="2" t="s">
        <v>67</v>
      </c>
      <c r="H1905" s="2">
        <v>15.0</v>
      </c>
      <c r="I1905" s="2">
        <v>61.0</v>
      </c>
      <c r="J1905" s="37">
        <v>416.20000000000005</v>
      </c>
      <c r="K1905" s="2">
        <v>17.0</v>
      </c>
      <c r="L1905" s="2">
        <v>101.0</v>
      </c>
      <c r="M1905" s="37">
        <v>513.12</v>
      </c>
    </row>
    <row r="1906" ht="14.25" customHeight="1">
      <c r="A1906" t="s">
        <v>1972</v>
      </c>
      <c r="B1906" t="s">
        <v>1923</v>
      </c>
      <c r="C1906" t="s">
        <v>62</v>
      </c>
      <c r="D1906" t="s">
        <v>63</v>
      </c>
      <c r="E1906">
        <v>3.4</v>
      </c>
      <c r="F1906">
        <v>4.0</v>
      </c>
      <c r="G1906" s="2" t="s">
        <v>64</v>
      </c>
      <c r="H1906" s="2">
        <v>0.0</v>
      </c>
      <c r="I1906" s="2">
        <v>0.0</v>
      </c>
      <c r="J1906" s="37">
        <v>0.0</v>
      </c>
      <c r="K1906" s="2">
        <v>0.0</v>
      </c>
      <c r="L1906" s="2">
        <v>0.0</v>
      </c>
      <c r="M1906" s="37">
        <v>0.0</v>
      </c>
    </row>
    <row r="1907" ht="14.25" customHeight="1">
      <c r="A1907" t="s">
        <v>1973</v>
      </c>
      <c r="B1907" t="s">
        <v>1923</v>
      </c>
      <c r="C1907" t="s">
        <v>62</v>
      </c>
      <c r="D1907" t="s">
        <v>63</v>
      </c>
      <c r="E1907">
        <v>6.3</v>
      </c>
      <c r="F1907">
        <v>7.3</v>
      </c>
      <c r="G1907" s="2" t="s">
        <v>64</v>
      </c>
      <c r="H1907" s="2">
        <v>0.0</v>
      </c>
      <c r="I1907" s="2">
        <v>0.0</v>
      </c>
      <c r="J1907" s="37">
        <v>0.0</v>
      </c>
      <c r="K1907" s="2">
        <v>0.0</v>
      </c>
      <c r="L1907" s="2">
        <v>0.0</v>
      </c>
      <c r="M1907" s="37">
        <v>0.0</v>
      </c>
    </row>
    <row r="1908" ht="14.25" customHeight="1">
      <c r="A1908" t="s">
        <v>1974</v>
      </c>
      <c r="B1908" t="s">
        <v>1923</v>
      </c>
      <c r="C1908" t="s">
        <v>62</v>
      </c>
      <c r="D1908" t="s">
        <v>63</v>
      </c>
      <c r="E1908">
        <v>4.8</v>
      </c>
      <c r="F1908">
        <v>5.9</v>
      </c>
      <c r="G1908" s="2" t="s">
        <v>64</v>
      </c>
      <c r="H1908" s="2">
        <v>0.0</v>
      </c>
      <c r="I1908" s="2">
        <v>0.0</v>
      </c>
      <c r="J1908" s="37">
        <v>0.0</v>
      </c>
      <c r="K1908" s="2">
        <v>0.0</v>
      </c>
      <c r="L1908" s="2">
        <v>0.0</v>
      </c>
      <c r="M1908" s="37">
        <v>0.0</v>
      </c>
    </row>
    <row r="1909" ht="14.25" customHeight="1">
      <c r="A1909" t="s">
        <v>1975</v>
      </c>
      <c r="B1909" t="s">
        <v>1923</v>
      </c>
      <c r="C1909" t="s">
        <v>75</v>
      </c>
      <c r="D1909" t="s">
        <v>63</v>
      </c>
      <c r="E1909">
        <v>20.0</v>
      </c>
      <c r="F1909">
        <v>22.6</v>
      </c>
      <c r="G1909" s="2" t="s">
        <v>64</v>
      </c>
      <c r="H1909" s="2">
        <v>0.0</v>
      </c>
      <c r="I1909" s="2">
        <v>0.0</v>
      </c>
      <c r="J1909" s="37">
        <v>0.0</v>
      </c>
      <c r="K1909" s="2">
        <v>0.0</v>
      </c>
      <c r="L1909" s="2">
        <v>0.0</v>
      </c>
      <c r="M1909" s="37">
        <v>0.0</v>
      </c>
    </row>
    <row r="1910" ht="14.25" customHeight="1">
      <c r="A1910" t="s">
        <v>1976</v>
      </c>
      <c r="B1910" t="s">
        <v>1923</v>
      </c>
      <c r="C1910" t="s">
        <v>75</v>
      </c>
      <c r="D1910" t="s">
        <v>63</v>
      </c>
      <c r="E1910">
        <v>18.0</v>
      </c>
      <c r="F1910">
        <v>20.6</v>
      </c>
      <c r="G1910" s="2" t="s">
        <v>64</v>
      </c>
      <c r="H1910" s="2">
        <v>0.0</v>
      </c>
      <c r="I1910" s="2">
        <v>0.0</v>
      </c>
      <c r="J1910" s="37">
        <v>0.0</v>
      </c>
      <c r="K1910" s="2">
        <v>0.0</v>
      </c>
      <c r="L1910" s="2">
        <v>0.0</v>
      </c>
      <c r="M1910" s="37">
        <v>0.0</v>
      </c>
    </row>
    <row r="1911" ht="14.25" customHeight="1">
      <c r="A1911" t="s">
        <v>1977</v>
      </c>
      <c r="B1911" t="s">
        <v>1923</v>
      </c>
      <c r="C1911" t="s">
        <v>62</v>
      </c>
      <c r="D1911" t="s">
        <v>63</v>
      </c>
      <c r="E1911">
        <v>2.5</v>
      </c>
      <c r="F1911">
        <v>3.2</v>
      </c>
      <c r="G1911" s="2" t="s">
        <v>67</v>
      </c>
      <c r="H1911" s="2">
        <v>16.0</v>
      </c>
      <c r="I1911" s="2">
        <v>71.0</v>
      </c>
      <c r="J1911" s="37">
        <v>451.66</v>
      </c>
      <c r="K1911" s="2">
        <v>19.0</v>
      </c>
      <c r="L1911" s="2">
        <v>109.0</v>
      </c>
      <c r="M1911" s="37">
        <v>568.44</v>
      </c>
    </row>
    <row r="1912" ht="14.25" customHeight="1">
      <c r="A1912" t="s">
        <v>1978</v>
      </c>
      <c r="B1912" t="s">
        <v>1923</v>
      </c>
      <c r="C1912" t="s">
        <v>62</v>
      </c>
      <c r="D1912" t="s">
        <v>63</v>
      </c>
      <c r="E1912">
        <v>2.5</v>
      </c>
      <c r="F1912">
        <v>3.0</v>
      </c>
      <c r="G1912" s="2" t="s">
        <v>67</v>
      </c>
      <c r="H1912" s="2">
        <v>14.0</v>
      </c>
      <c r="I1912" s="2">
        <v>60.0</v>
      </c>
      <c r="J1912" s="37">
        <v>392.44</v>
      </c>
      <c r="K1912" s="2">
        <v>16.0</v>
      </c>
      <c r="L1912" s="2">
        <v>98.0</v>
      </c>
      <c r="M1912" s="37">
        <v>486.76</v>
      </c>
    </row>
    <row r="1913" ht="14.25" customHeight="1">
      <c r="A1913" t="s">
        <v>1979</v>
      </c>
      <c r="B1913" t="s">
        <v>1923</v>
      </c>
      <c r="C1913" t="s">
        <v>62</v>
      </c>
      <c r="D1913" t="s">
        <v>63</v>
      </c>
      <c r="E1913">
        <v>3.5</v>
      </c>
      <c r="F1913">
        <v>3.7</v>
      </c>
      <c r="G1913" s="2" t="s">
        <v>64</v>
      </c>
      <c r="H1913" s="2">
        <v>0.0</v>
      </c>
      <c r="I1913" s="2">
        <v>0.0</v>
      </c>
      <c r="J1913" s="37">
        <v>0.0</v>
      </c>
      <c r="K1913" s="2">
        <v>0.0</v>
      </c>
      <c r="L1913" s="2">
        <v>0.0</v>
      </c>
      <c r="M1913" s="37">
        <v>0.0</v>
      </c>
    </row>
    <row r="1914" ht="14.25" customHeight="1">
      <c r="A1914" t="s">
        <v>1980</v>
      </c>
      <c r="B1914" t="s">
        <v>1923</v>
      </c>
      <c r="C1914" t="s">
        <v>62</v>
      </c>
      <c r="D1914" t="s">
        <v>63</v>
      </c>
      <c r="E1914">
        <v>5.0</v>
      </c>
      <c r="F1914">
        <v>6.0</v>
      </c>
      <c r="G1914" s="2" t="s">
        <v>67</v>
      </c>
      <c r="H1914" s="2">
        <v>32.0</v>
      </c>
      <c r="I1914" s="2">
        <v>164.0</v>
      </c>
      <c r="J1914" s="37">
        <v>931.9200000000001</v>
      </c>
      <c r="K1914" s="2">
        <v>37.0</v>
      </c>
      <c r="L1914" s="2">
        <v>250.0</v>
      </c>
      <c r="M1914" s="37">
        <v>1156.02</v>
      </c>
    </row>
    <row r="1915" ht="14.25" customHeight="1">
      <c r="A1915" t="s">
        <v>1981</v>
      </c>
      <c r="B1915" t="s">
        <v>1923</v>
      </c>
      <c r="C1915" t="s">
        <v>62</v>
      </c>
      <c r="D1915" t="s">
        <v>63</v>
      </c>
      <c r="E1915">
        <v>4.8</v>
      </c>
      <c r="F1915">
        <v>5.2</v>
      </c>
      <c r="G1915" s="2" t="s">
        <v>67</v>
      </c>
      <c r="H1915" s="2">
        <v>26.0</v>
      </c>
      <c r="I1915" s="2">
        <v>3.0</v>
      </c>
      <c r="J1915" s="37">
        <v>587.86</v>
      </c>
      <c r="K1915" s="2">
        <v>30.0</v>
      </c>
      <c r="L1915" s="2">
        <v>85.0</v>
      </c>
      <c r="M1915" s="37">
        <v>784.3000000000001</v>
      </c>
    </row>
    <row r="1916" ht="14.25" customHeight="1">
      <c r="A1916" t="s">
        <v>1982</v>
      </c>
      <c r="B1916" t="s">
        <v>1923</v>
      </c>
      <c r="C1916" t="s">
        <v>62</v>
      </c>
      <c r="D1916" t="s">
        <v>63</v>
      </c>
      <c r="E1916">
        <v>7.1</v>
      </c>
      <c r="F1916">
        <v>7.8</v>
      </c>
      <c r="G1916" s="2" t="s">
        <v>67</v>
      </c>
      <c r="H1916" s="2">
        <v>41.0</v>
      </c>
      <c r="I1916" s="2">
        <v>58.0</v>
      </c>
      <c r="J1916" s="37">
        <v>996.26</v>
      </c>
      <c r="K1916" s="2">
        <v>47.0</v>
      </c>
      <c r="L1916" s="2">
        <v>181.0</v>
      </c>
      <c r="M1916" s="37">
        <v>1290.92</v>
      </c>
    </row>
    <row r="1917" ht="14.25" customHeight="1">
      <c r="A1917" t="s">
        <v>1983</v>
      </c>
      <c r="B1917" t="s">
        <v>1923</v>
      </c>
      <c r="C1917" t="s">
        <v>62</v>
      </c>
      <c r="D1917" t="s">
        <v>63</v>
      </c>
      <c r="E1917">
        <v>7.1</v>
      </c>
      <c r="F1917">
        <v>7.7</v>
      </c>
      <c r="G1917" s="2" t="s">
        <v>64</v>
      </c>
      <c r="H1917" s="2">
        <v>0.0</v>
      </c>
      <c r="I1917" s="2">
        <v>0.0</v>
      </c>
      <c r="J1917" s="37">
        <v>0.0</v>
      </c>
      <c r="K1917" s="2">
        <v>0.0</v>
      </c>
      <c r="L1917" s="2">
        <v>0.0</v>
      </c>
      <c r="M1917" s="37">
        <v>0.0</v>
      </c>
    </row>
    <row r="1918" ht="14.25" customHeight="1">
      <c r="A1918" t="s">
        <v>1984</v>
      </c>
      <c r="B1918" t="s">
        <v>1923</v>
      </c>
      <c r="C1918" t="s">
        <v>62</v>
      </c>
      <c r="D1918" t="s">
        <v>63</v>
      </c>
      <c r="E1918">
        <v>3.5</v>
      </c>
      <c r="F1918">
        <v>3.7</v>
      </c>
      <c r="G1918" s="2" t="s">
        <v>67</v>
      </c>
      <c r="H1918" s="2">
        <v>18.0</v>
      </c>
      <c r="I1918" s="2">
        <v>39.0</v>
      </c>
      <c r="J1918" s="37">
        <v>454.98</v>
      </c>
      <c r="K1918" s="2">
        <v>21.0</v>
      </c>
      <c r="L1918" s="2">
        <v>93.0</v>
      </c>
      <c r="M1918" s="37">
        <v>592.5600000000001</v>
      </c>
    </row>
    <row r="1919" ht="14.25" customHeight="1">
      <c r="A1919" t="s">
        <v>1985</v>
      </c>
      <c r="B1919" t="s">
        <v>1986</v>
      </c>
      <c r="C1919" t="s">
        <v>75</v>
      </c>
      <c r="D1919" t="s">
        <v>82</v>
      </c>
      <c r="E1919">
        <v>22.0</v>
      </c>
      <c r="F1919">
        <v>26.0</v>
      </c>
      <c r="G1919" s="2" t="s">
        <v>64</v>
      </c>
      <c r="H1919" s="2">
        <v>0.0</v>
      </c>
      <c r="I1919" s="2">
        <v>0.0</v>
      </c>
      <c r="J1919" s="37">
        <v>0.0</v>
      </c>
      <c r="K1919" s="2">
        <v>0.0</v>
      </c>
      <c r="L1919" s="2">
        <v>0.0</v>
      </c>
      <c r="M1919" s="37">
        <v>0.0</v>
      </c>
    </row>
    <row r="1920" ht="14.25" customHeight="1">
      <c r="A1920" t="s">
        <v>1987</v>
      </c>
      <c r="B1920" t="s">
        <v>1986</v>
      </c>
      <c r="C1920" t="s">
        <v>75</v>
      </c>
      <c r="D1920" t="s">
        <v>82</v>
      </c>
      <c r="E1920">
        <v>22.0</v>
      </c>
      <c r="F1920">
        <v>26.0</v>
      </c>
      <c r="G1920" s="2" t="s">
        <v>64</v>
      </c>
      <c r="H1920" s="2">
        <v>0.0</v>
      </c>
      <c r="I1920" s="2">
        <v>0.0</v>
      </c>
      <c r="J1920" s="37">
        <v>0.0</v>
      </c>
      <c r="K1920" s="2">
        <v>0.0</v>
      </c>
      <c r="L1920" s="2">
        <v>0.0</v>
      </c>
      <c r="M1920" s="37">
        <v>0.0</v>
      </c>
    </row>
    <row r="1921" ht="14.25" customHeight="1">
      <c r="A1921" t="s">
        <v>1988</v>
      </c>
      <c r="B1921" t="s">
        <v>1986</v>
      </c>
      <c r="C1921" t="s">
        <v>75</v>
      </c>
      <c r="D1921" t="s">
        <v>82</v>
      </c>
      <c r="E1921">
        <v>22.0</v>
      </c>
      <c r="F1921">
        <v>26.0</v>
      </c>
      <c r="G1921" s="2" t="s">
        <v>64</v>
      </c>
      <c r="H1921" s="2">
        <v>0.0</v>
      </c>
      <c r="I1921" s="2">
        <v>0.0</v>
      </c>
      <c r="J1921" s="37">
        <v>0.0</v>
      </c>
      <c r="K1921" s="2">
        <v>0.0</v>
      </c>
      <c r="L1921" s="2">
        <v>0.0</v>
      </c>
      <c r="M1921" s="37">
        <v>0.0</v>
      </c>
    </row>
    <row r="1922" ht="14.25" customHeight="1">
      <c r="A1922" t="s">
        <v>1989</v>
      </c>
      <c r="B1922" t="s">
        <v>1986</v>
      </c>
      <c r="C1922" t="s">
        <v>75</v>
      </c>
      <c r="D1922" t="s">
        <v>82</v>
      </c>
      <c r="E1922">
        <v>22.0</v>
      </c>
      <c r="F1922">
        <v>26.0</v>
      </c>
      <c r="G1922" s="2" t="s">
        <v>64</v>
      </c>
      <c r="H1922" s="2">
        <v>0.0</v>
      </c>
      <c r="I1922" s="2">
        <v>0.0</v>
      </c>
      <c r="J1922" s="37">
        <v>0.0</v>
      </c>
      <c r="K1922" s="2">
        <v>0.0</v>
      </c>
      <c r="L1922" s="2">
        <v>0.0</v>
      </c>
      <c r="M1922" s="37">
        <v>0.0</v>
      </c>
    </row>
    <row r="1923" ht="14.25" customHeight="1">
      <c r="A1923" t="s">
        <v>1990</v>
      </c>
      <c r="B1923" t="s">
        <v>1986</v>
      </c>
      <c r="C1923" t="s">
        <v>75</v>
      </c>
      <c r="D1923" t="s">
        <v>82</v>
      </c>
      <c r="E1923">
        <v>22.0</v>
      </c>
      <c r="F1923">
        <v>26.0</v>
      </c>
      <c r="G1923" s="2" t="s">
        <v>64</v>
      </c>
      <c r="H1923" s="2">
        <v>0.0</v>
      </c>
      <c r="I1923" s="2">
        <v>0.0</v>
      </c>
      <c r="J1923" s="37">
        <v>0.0</v>
      </c>
      <c r="K1923" s="2">
        <v>0.0</v>
      </c>
      <c r="L1923" s="2">
        <v>0.0</v>
      </c>
      <c r="M1923" s="37">
        <v>0.0</v>
      </c>
    </row>
    <row r="1924" ht="14.25" customHeight="1">
      <c r="A1924" t="s">
        <v>1991</v>
      </c>
      <c r="B1924" t="s">
        <v>1986</v>
      </c>
      <c r="C1924" t="s">
        <v>75</v>
      </c>
      <c r="D1924" t="s">
        <v>82</v>
      </c>
      <c r="E1924">
        <v>27.0</v>
      </c>
      <c r="F1924">
        <v>34.0</v>
      </c>
      <c r="G1924" s="2" t="s">
        <v>64</v>
      </c>
      <c r="H1924" s="2">
        <v>0.0</v>
      </c>
      <c r="I1924" s="2">
        <v>0.0</v>
      </c>
      <c r="J1924" s="37">
        <v>0.0</v>
      </c>
      <c r="K1924" s="2">
        <v>0.0</v>
      </c>
      <c r="L1924" s="2">
        <v>0.0</v>
      </c>
      <c r="M1924" s="37">
        <v>0.0</v>
      </c>
    </row>
    <row r="1925" ht="14.25" customHeight="1">
      <c r="A1925" t="s">
        <v>1992</v>
      </c>
      <c r="B1925" t="s">
        <v>1986</v>
      </c>
      <c r="C1925" t="s">
        <v>75</v>
      </c>
      <c r="D1925" t="s">
        <v>82</v>
      </c>
      <c r="E1925">
        <v>27.0</v>
      </c>
      <c r="F1925">
        <v>34.0</v>
      </c>
      <c r="G1925" s="2" t="s">
        <v>64</v>
      </c>
      <c r="H1925" s="2">
        <v>0.0</v>
      </c>
      <c r="I1925" s="2">
        <v>0.0</v>
      </c>
      <c r="J1925" s="37">
        <v>0.0</v>
      </c>
      <c r="K1925" s="2">
        <v>0.0</v>
      </c>
      <c r="L1925" s="2">
        <v>0.0</v>
      </c>
      <c r="M1925" s="37">
        <v>0.0</v>
      </c>
    </row>
    <row r="1926" ht="14.25" customHeight="1">
      <c r="A1926" t="s">
        <v>1993</v>
      </c>
      <c r="B1926" t="s">
        <v>1986</v>
      </c>
      <c r="C1926" t="s">
        <v>75</v>
      </c>
      <c r="D1926" t="s">
        <v>82</v>
      </c>
      <c r="E1926">
        <v>27.0</v>
      </c>
      <c r="F1926">
        <v>34.0</v>
      </c>
      <c r="G1926" s="2" t="s">
        <v>64</v>
      </c>
      <c r="H1926" s="2">
        <v>0.0</v>
      </c>
      <c r="I1926" s="2">
        <v>0.0</v>
      </c>
      <c r="J1926" s="37">
        <v>0.0</v>
      </c>
      <c r="K1926" s="2">
        <v>0.0</v>
      </c>
      <c r="L1926" s="2">
        <v>0.0</v>
      </c>
      <c r="M1926" s="37">
        <v>0.0</v>
      </c>
    </row>
    <row r="1927" ht="14.25" customHeight="1">
      <c r="A1927" t="s">
        <v>1994</v>
      </c>
      <c r="B1927" t="s">
        <v>1986</v>
      </c>
      <c r="C1927" t="s">
        <v>75</v>
      </c>
      <c r="D1927" t="s">
        <v>82</v>
      </c>
      <c r="E1927">
        <v>27.0</v>
      </c>
      <c r="F1927">
        <v>34.0</v>
      </c>
      <c r="G1927" s="2" t="s">
        <v>64</v>
      </c>
      <c r="H1927" s="2">
        <v>0.0</v>
      </c>
      <c r="I1927" s="2">
        <v>0.0</v>
      </c>
      <c r="J1927" s="37">
        <v>0.0</v>
      </c>
      <c r="K1927" s="2">
        <v>0.0</v>
      </c>
      <c r="L1927" s="2">
        <v>0.0</v>
      </c>
      <c r="M1927" s="37">
        <v>0.0</v>
      </c>
    </row>
    <row r="1928" ht="14.25" customHeight="1">
      <c r="A1928" t="s">
        <v>1995</v>
      </c>
      <c r="B1928" t="s">
        <v>1986</v>
      </c>
      <c r="C1928" t="s">
        <v>75</v>
      </c>
      <c r="D1928" t="s">
        <v>82</v>
      </c>
      <c r="E1928">
        <v>27.0</v>
      </c>
      <c r="F1928">
        <v>34.0</v>
      </c>
      <c r="G1928" s="2" t="s">
        <v>64</v>
      </c>
      <c r="H1928" s="2">
        <v>0.0</v>
      </c>
      <c r="I1928" s="2">
        <v>0.0</v>
      </c>
      <c r="J1928" s="37">
        <v>0.0</v>
      </c>
      <c r="K1928" s="2">
        <v>0.0</v>
      </c>
      <c r="L1928" s="2">
        <v>0.0</v>
      </c>
      <c r="M1928" s="37">
        <v>0.0</v>
      </c>
    </row>
    <row r="1929" ht="14.25" customHeight="1">
      <c r="A1929" t="s">
        <v>1996</v>
      </c>
      <c r="B1929" t="s">
        <v>1997</v>
      </c>
      <c r="C1929" t="s">
        <v>62</v>
      </c>
      <c r="D1929" t="s">
        <v>63</v>
      </c>
      <c r="E1929">
        <v>2.15</v>
      </c>
      <c r="F1929">
        <v>2.1</v>
      </c>
      <c r="G1929" s="2" t="s">
        <v>64</v>
      </c>
      <c r="H1929" s="2">
        <v>0.0</v>
      </c>
      <c r="I1929" s="2">
        <v>0.0</v>
      </c>
      <c r="J1929" s="37">
        <v>0.0</v>
      </c>
      <c r="K1929" s="2">
        <v>0.0</v>
      </c>
      <c r="L1929" s="2">
        <v>0.0</v>
      </c>
      <c r="M1929" s="37">
        <v>0.0</v>
      </c>
    </row>
    <row r="1930" ht="14.25" customHeight="1">
      <c r="A1930" t="s">
        <v>1998</v>
      </c>
      <c r="B1930" t="s">
        <v>1997</v>
      </c>
      <c r="C1930" t="s">
        <v>62</v>
      </c>
      <c r="D1930" t="s">
        <v>63</v>
      </c>
      <c r="E1930">
        <v>2.64</v>
      </c>
      <c r="F1930">
        <v>3.3</v>
      </c>
      <c r="G1930" s="2" t="s">
        <v>67</v>
      </c>
      <c r="H1930" s="2">
        <v>14.0</v>
      </c>
      <c r="I1930" s="2">
        <v>96.0</v>
      </c>
      <c r="J1930" s="37">
        <v>439.24</v>
      </c>
      <c r="K1930" s="2">
        <v>16.0</v>
      </c>
      <c r="L1930" s="2">
        <v>136.0</v>
      </c>
      <c r="M1930" s="37">
        <v>536.1600000000001</v>
      </c>
    </row>
    <row r="1931" ht="14.25" customHeight="1">
      <c r="A1931" t="s">
        <v>1999</v>
      </c>
      <c r="B1931" t="s">
        <v>1997</v>
      </c>
      <c r="C1931" t="s">
        <v>62</v>
      </c>
      <c r="D1931" t="s">
        <v>63</v>
      </c>
      <c r="E1931">
        <v>3.53</v>
      </c>
      <c r="F1931">
        <v>3.65</v>
      </c>
      <c r="G1931" s="2" t="s">
        <v>67</v>
      </c>
      <c r="H1931" s="2">
        <v>15.0</v>
      </c>
      <c r="I1931" s="2">
        <v>52.0</v>
      </c>
      <c r="J1931" s="37">
        <v>404.50000000000006</v>
      </c>
      <c r="K1931" s="2">
        <v>18.0</v>
      </c>
      <c r="L1931" s="2">
        <v>106.0</v>
      </c>
      <c r="M1931" s="37">
        <v>542.08</v>
      </c>
    </row>
    <row r="1932" ht="14.25" customHeight="1">
      <c r="A1932" t="s">
        <v>2000</v>
      </c>
      <c r="B1932" t="s">
        <v>1997</v>
      </c>
      <c r="C1932" t="s">
        <v>62</v>
      </c>
      <c r="D1932" t="s">
        <v>63</v>
      </c>
      <c r="E1932">
        <v>5.3</v>
      </c>
      <c r="F1932">
        <v>5.3</v>
      </c>
      <c r="G1932" s="2" t="s">
        <v>67</v>
      </c>
      <c r="H1932" s="2">
        <v>31.0</v>
      </c>
      <c r="I1932" s="2">
        <v>193.0</v>
      </c>
      <c r="J1932" s="37">
        <v>947.16</v>
      </c>
      <c r="K1932" s="2">
        <v>35.0</v>
      </c>
      <c r="L1932" s="2">
        <v>285.0</v>
      </c>
      <c r="M1932" s="37">
        <v>1156.6</v>
      </c>
    </row>
    <row r="1933" ht="14.25" customHeight="1">
      <c r="A1933" t="s">
        <v>2001</v>
      </c>
      <c r="B1933" t="s">
        <v>1997</v>
      </c>
      <c r="C1933" t="s">
        <v>62</v>
      </c>
      <c r="D1933" t="s">
        <v>63</v>
      </c>
      <c r="E1933">
        <v>7.2</v>
      </c>
      <c r="F1933">
        <v>7.3</v>
      </c>
      <c r="G1933" s="2" t="s">
        <v>67</v>
      </c>
      <c r="H1933" s="2">
        <v>40.0</v>
      </c>
      <c r="I1933" s="2">
        <v>81.0</v>
      </c>
      <c r="J1933" s="37">
        <v>1003.7</v>
      </c>
      <c r="K1933" s="2">
        <v>46.0</v>
      </c>
      <c r="L1933" s="2">
        <v>205.0</v>
      </c>
      <c r="M1933" s="37">
        <v>1299.66</v>
      </c>
    </row>
    <row r="1934" ht="14.25" customHeight="1">
      <c r="A1934" t="s">
        <v>2002</v>
      </c>
      <c r="B1934" t="s">
        <v>1997</v>
      </c>
      <c r="C1934" t="s">
        <v>62</v>
      </c>
      <c r="D1934" t="s">
        <v>63</v>
      </c>
      <c r="E1934">
        <v>8.2</v>
      </c>
      <c r="F1934">
        <v>8.4</v>
      </c>
      <c r="G1934" s="2" t="s">
        <v>67</v>
      </c>
      <c r="H1934" s="2">
        <v>42.0</v>
      </c>
      <c r="I1934" s="2">
        <v>90.0</v>
      </c>
      <c r="J1934" s="37">
        <v>1060.3200000000002</v>
      </c>
      <c r="K1934" s="2">
        <v>49.0</v>
      </c>
      <c r="L1934" s="2">
        <v>231.0</v>
      </c>
      <c r="M1934" s="37">
        <v>1400.84</v>
      </c>
    </row>
    <row r="1935" ht="14.25" customHeight="1">
      <c r="A1935" t="s">
        <v>2003</v>
      </c>
      <c r="B1935" t="s">
        <v>1997</v>
      </c>
      <c r="C1935" t="s">
        <v>62</v>
      </c>
      <c r="D1935" t="s">
        <v>63</v>
      </c>
      <c r="E1935">
        <v>8.8</v>
      </c>
      <c r="F1935">
        <v>8.8</v>
      </c>
      <c r="G1935" s="2" t="s">
        <v>67</v>
      </c>
      <c r="H1935" s="2">
        <v>43.0</v>
      </c>
      <c r="I1935" s="2">
        <v>130.0</v>
      </c>
      <c r="J1935" s="37">
        <v>1134.7800000000002</v>
      </c>
      <c r="K1935" s="2">
        <v>50.0</v>
      </c>
      <c r="L1935" s="2">
        <v>282.0</v>
      </c>
      <c r="M1935" s="37">
        <v>1489.6</v>
      </c>
    </row>
    <row r="1936" ht="14.25" customHeight="1">
      <c r="A1936" t="s">
        <v>2004</v>
      </c>
      <c r="B1936" t="s">
        <v>2005</v>
      </c>
      <c r="C1936" t="s">
        <v>62</v>
      </c>
      <c r="D1936" t="s">
        <v>63</v>
      </c>
      <c r="E1936">
        <v>2.5</v>
      </c>
      <c r="F1936">
        <v>3.2</v>
      </c>
      <c r="G1936" s="2" t="s">
        <v>64</v>
      </c>
      <c r="H1936" s="2">
        <v>0.0</v>
      </c>
      <c r="I1936" s="2">
        <v>0.0</v>
      </c>
      <c r="J1936" s="37">
        <v>0.0</v>
      </c>
      <c r="K1936" s="2">
        <v>0.0</v>
      </c>
      <c r="L1936" s="2">
        <v>0.0</v>
      </c>
      <c r="M1936" s="37">
        <v>0.0</v>
      </c>
    </row>
    <row r="1937" ht="14.25" customHeight="1">
      <c r="A1937" t="s">
        <v>2006</v>
      </c>
      <c r="B1937" t="s">
        <v>2005</v>
      </c>
      <c r="C1937" t="s">
        <v>62</v>
      </c>
      <c r="D1937" t="s">
        <v>63</v>
      </c>
      <c r="E1937">
        <v>3.5</v>
      </c>
      <c r="F1937">
        <v>4.0</v>
      </c>
      <c r="G1937" s="2" t="s">
        <v>67</v>
      </c>
      <c r="H1937" s="2">
        <v>19.0</v>
      </c>
      <c r="I1937" s="2">
        <v>76.0</v>
      </c>
      <c r="J1937" s="37">
        <v>525.54</v>
      </c>
      <c r="K1937" s="2">
        <v>22.0</v>
      </c>
      <c r="L1937" s="2">
        <v>129.0</v>
      </c>
      <c r="M1937" s="37">
        <v>661.82</v>
      </c>
    </row>
    <row r="1938" ht="14.25" customHeight="1">
      <c r="A1938" t="s">
        <v>2007</v>
      </c>
      <c r="B1938" t="s">
        <v>2005</v>
      </c>
      <c r="C1938" t="s">
        <v>62</v>
      </c>
      <c r="D1938" t="s">
        <v>63</v>
      </c>
      <c r="E1938">
        <v>5.0</v>
      </c>
      <c r="F1938">
        <v>6.0</v>
      </c>
      <c r="G1938" s="2" t="s">
        <v>67</v>
      </c>
      <c r="H1938" s="2">
        <v>31.0</v>
      </c>
      <c r="I1938" s="2">
        <v>175.0</v>
      </c>
      <c r="J1938" s="37">
        <v>923.76</v>
      </c>
      <c r="K1938" s="2">
        <v>36.0</v>
      </c>
      <c r="L1938" s="2">
        <v>261.0</v>
      </c>
      <c r="M1938" s="37">
        <v>1147.8600000000001</v>
      </c>
    </row>
    <row r="1939" ht="14.25" customHeight="1">
      <c r="A1939" t="s">
        <v>2008</v>
      </c>
      <c r="B1939" t="s">
        <v>2005</v>
      </c>
      <c r="C1939" t="s">
        <v>62</v>
      </c>
      <c r="D1939" t="s">
        <v>63</v>
      </c>
      <c r="E1939">
        <v>7.1</v>
      </c>
      <c r="F1939">
        <v>8.0</v>
      </c>
      <c r="G1939" s="2" t="s">
        <v>64</v>
      </c>
      <c r="H1939" s="2">
        <v>0.0</v>
      </c>
      <c r="I1939" s="2">
        <v>0.0</v>
      </c>
      <c r="J1939" s="37">
        <v>0.0</v>
      </c>
      <c r="K1939" s="2">
        <v>0.0</v>
      </c>
      <c r="L1939" s="2">
        <v>0.0</v>
      </c>
      <c r="M1939" s="37">
        <v>0.0</v>
      </c>
    </row>
    <row r="1940" ht="14.25" customHeight="1">
      <c r="A1940" t="s">
        <v>2009</v>
      </c>
      <c r="B1940" t="s">
        <v>2005</v>
      </c>
      <c r="C1940" t="s">
        <v>62</v>
      </c>
      <c r="D1940" t="s">
        <v>63</v>
      </c>
      <c r="E1940">
        <v>9.0</v>
      </c>
      <c r="F1940">
        <v>10.0</v>
      </c>
      <c r="G1940" s="2" t="s">
        <v>64</v>
      </c>
      <c r="H1940" s="2">
        <v>0.0</v>
      </c>
      <c r="I1940" s="2">
        <v>0.0</v>
      </c>
      <c r="J1940" s="37">
        <v>0.0</v>
      </c>
      <c r="K1940" s="2">
        <v>0.0</v>
      </c>
      <c r="L1940" s="2">
        <v>0.0</v>
      </c>
      <c r="M1940" s="37">
        <v>0.0</v>
      </c>
    </row>
    <row r="1941" ht="14.25" customHeight="1">
      <c r="A1941" t="s">
        <v>2010</v>
      </c>
      <c r="B1941" t="s">
        <v>2005</v>
      </c>
      <c r="C1941" t="s">
        <v>62</v>
      </c>
      <c r="D1941" t="s">
        <v>63</v>
      </c>
      <c r="E1941">
        <v>10.5</v>
      </c>
      <c r="F1941">
        <v>11.0</v>
      </c>
      <c r="G1941" s="2" t="s">
        <v>67</v>
      </c>
      <c r="H1941" s="2">
        <v>67.0</v>
      </c>
      <c r="I1941" s="2">
        <v>424.0</v>
      </c>
      <c r="J1941" s="37">
        <v>2056.0200000000004</v>
      </c>
      <c r="K1941" s="2">
        <v>77.0</v>
      </c>
      <c r="L1941" s="2">
        <v>627.0</v>
      </c>
      <c r="M1941" s="37">
        <v>2544.52</v>
      </c>
    </row>
    <row r="1942" ht="14.25" customHeight="1">
      <c r="A1942" t="s">
        <v>2011</v>
      </c>
      <c r="B1942" t="s">
        <v>2005</v>
      </c>
      <c r="C1942" t="s">
        <v>62</v>
      </c>
      <c r="D1942" t="s">
        <v>63</v>
      </c>
      <c r="E1942">
        <v>12.5</v>
      </c>
      <c r="F1942">
        <v>13.0</v>
      </c>
      <c r="G1942" s="2" t="s">
        <v>67</v>
      </c>
      <c r="H1942" s="2">
        <v>76.0</v>
      </c>
      <c r="I1942" s="2">
        <v>360.0</v>
      </c>
      <c r="J1942" s="37">
        <v>2174.96</v>
      </c>
      <c r="K1942" s="2">
        <v>88.0</v>
      </c>
      <c r="L1942" s="2">
        <v>602.0</v>
      </c>
      <c r="M1942" s="37">
        <v>2759.08</v>
      </c>
    </row>
    <row r="1943" ht="14.25" customHeight="1">
      <c r="A1943" t="s">
        <v>2012</v>
      </c>
      <c r="B1943" t="s">
        <v>2005</v>
      </c>
      <c r="C1943" t="s">
        <v>62</v>
      </c>
      <c r="D1943" t="s">
        <v>63</v>
      </c>
      <c r="E1943">
        <v>14.0</v>
      </c>
      <c r="F1943">
        <v>14.5</v>
      </c>
      <c r="G1943" s="2" t="s">
        <v>67</v>
      </c>
      <c r="H1943" s="2">
        <v>83.0</v>
      </c>
      <c r="I1943" s="2">
        <v>149.0</v>
      </c>
      <c r="J1943" s="37">
        <v>2057.88</v>
      </c>
      <c r="K1943" s="2">
        <v>96.0</v>
      </c>
      <c r="L1943" s="2">
        <v>420.0</v>
      </c>
      <c r="M1943" s="37">
        <v>2702.16</v>
      </c>
    </row>
    <row r="1944" ht="14.25" customHeight="1">
      <c r="A1944" t="s">
        <v>2013</v>
      </c>
      <c r="B1944" t="s">
        <v>2005</v>
      </c>
      <c r="C1944" t="s">
        <v>75</v>
      </c>
      <c r="D1944" t="s">
        <v>63</v>
      </c>
      <c r="E1944">
        <v>7.4</v>
      </c>
      <c r="F1944">
        <v>7.5</v>
      </c>
      <c r="G1944" s="2" t="s">
        <v>67</v>
      </c>
      <c r="H1944" s="2">
        <v>46.0</v>
      </c>
      <c r="I1944" s="2">
        <v>144.0</v>
      </c>
      <c r="J1944" s="37">
        <v>1220.3600000000001</v>
      </c>
      <c r="K1944" s="2">
        <v>53.0</v>
      </c>
      <c r="L1944" s="2">
        <v>287.0</v>
      </c>
      <c r="M1944" s="37">
        <v>1563.48</v>
      </c>
    </row>
    <row r="1945" ht="14.25" customHeight="1">
      <c r="A1945" t="s">
        <v>2014</v>
      </c>
      <c r="B1945" t="s">
        <v>2005</v>
      </c>
      <c r="C1945" t="s">
        <v>75</v>
      </c>
      <c r="D1945" t="s">
        <v>63</v>
      </c>
      <c r="E1945">
        <v>10.5</v>
      </c>
      <c r="F1945">
        <v>11.0</v>
      </c>
      <c r="G1945" s="2" t="s">
        <v>67</v>
      </c>
      <c r="H1945" s="2">
        <v>64.0</v>
      </c>
      <c r="I1945" s="2">
        <v>104.0</v>
      </c>
      <c r="J1945" s="37">
        <v>1572.64</v>
      </c>
      <c r="K1945" s="2">
        <v>74.0</v>
      </c>
      <c r="L1945" s="2">
        <v>308.0</v>
      </c>
      <c r="M1945" s="37">
        <v>2062.44</v>
      </c>
    </row>
    <row r="1946" ht="14.25" customHeight="1">
      <c r="A1946" t="s">
        <v>2015</v>
      </c>
      <c r="B1946" t="s">
        <v>2005</v>
      </c>
      <c r="C1946" t="s">
        <v>75</v>
      </c>
      <c r="D1946" t="s">
        <v>63</v>
      </c>
      <c r="E1946">
        <v>10.5</v>
      </c>
      <c r="F1946">
        <v>11.0</v>
      </c>
      <c r="G1946" s="2" t="s">
        <v>67</v>
      </c>
      <c r="H1946" s="2">
        <v>64.0</v>
      </c>
      <c r="I1946" s="2">
        <v>160.0</v>
      </c>
      <c r="J1946" s="37">
        <v>1645.44</v>
      </c>
      <c r="K1946" s="2">
        <v>74.0</v>
      </c>
      <c r="L1946" s="2">
        <v>364.0</v>
      </c>
      <c r="M1946" s="37">
        <v>2135.24</v>
      </c>
    </row>
    <row r="1947" ht="14.25" customHeight="1">
      <c r="A1947" t="s">
        <v>2016</v>
      </c>
      <c r="B1947" t="s">
        <v>2005</v>
      </c>
      <c r="C1947" t="s">
        <v>75</v>
      </c>
      <c r="D1947" t="s">
        <v>63</v>
      </c>
      <c r="E1947">
        <v>12.5</v>
      </c>
      <c r="F1947">
        <v>13.5</v>
      </c>
      <c r="G1947" s="2" t="s">
        <v>67</v>
      </c>
      <c r="H1947" s="2">
        <v>80.0</v>
      </c>
      <c r="I1947" s="2">
        <v>186.0</v>
      </c>
      <c r="J1947" s="37">
        <v>2038.6000000000001</v>
      </c>
      <c r="K1947" s="2">
        <v>92.0</v>
      </c>
      <c r="L1947" s="2">
        <v>428.0</v>
      </c>
      <c r="M1947" s="37">
        <v>2622.7200000000003</v>
      </c>
    </row>
    <row r="1948" ht="14.25" customHeight="1">
      <c r="A1948" t="s">
        <v>2017</v>
      </c>
      <c r="B1948" t="s">
        <v>2005</v>
      </c>
      <c r="C1948" t="s">
        <v>75</v>
      </c>
      <c r="D1948" t="s">
        <v>63</v>
      </c>
      <c r="E1948">
        <v>12.5</v>
      </c>
      <c r="F1948">
        <v>13.5</v>
      </c>
      <c r="G1948" s="2" t="s">
        <v>67</v>
      </c>
      <c r="H1948" s="2">
        <v>82.0</v>
      </c>
      <c r="I1948" s="2">
        <v>242.0</v>
      </c>
      <c r="J1948" s="37">
        <v>2156.32</v>
      </c>
      <c r="K1948" s="2">
        <v>94.0</v>
      </c>
      <c r="L1948" s="2">
        <v>484.0</v>
      </c>
      <c r="M1948" s="37">
        <v>2740.4400000000005</v>
      </c>
    </row>
    <row r="1949" ht="14.25" customHeight="1">
      <c r="A1949" t="s">
        <v>2018</v>
      </c>
      <c r="B1949" t="s">
        <v>2005</v>
      </c>
      <c r="C1949" t="s">
        <v>75</v>
      </c>
      <c r="D1949" t="s">
        <v>63</v>
      </c>
      <c r="E1949">
        <v>14.0</v>
      </c>
      <c r="F1949">
        <v>14.5</v>
      </c>
      <c r="G1949" s="2" t="s">
        <v>67</v>
      </c>
      <c r="H1949" s="2">
        <v>84.0</v>
      </c>
      <c r="I1949" s="2">
        <v>177.0</v>
      </c>
      <c r="J1949" s="37">
        <v>2116.7400000000002</v>
      </c>
      <c r="K1949" s="2">
        <v>97.0</v>
      </c>
      <c r="L1949" s="2">
        <v>448.0</v>
      </c>
      <c r="M1949" s="37">
        <v>2761.02</v>
      </c>
    </row>
    <row r="1950" ht="14.25" customHeight="1">
      <c r="A1950" t="s">
        <v>2019</v>
      </c>
      <c r="B1950" t="s">
        <v>2005</v>
      </c>
      <c r="C1950" t="s">
        <v>75</v>
      </c>
      <c r="D1950" t="s">
        <v>63</v>
      </c>
      <c r="E1950">
        <v>14.0</v>
      </c>
      <c r="F1950">
        <v>14.5</v>
      </c>
      <c r="G1950" s="2" t="s">
        <v>67</v>
      </c>
      <c r="H1950" s="2">
        <v>85.0</v>
      </c>
      <c r="I1950" s="2">
        <v>177.0</v>
      </c>
      <c r="J1950" s="37">
        <v>2139.2000000000003</v>
      </c>
      <c r="K1950" s="2">
        <v>98.0</v>
      </c>
      <c r="L1950" s="2">
        <v>448.0</v>
      </c>
      <c r="M1950" s="37">
        <v>2783.48</v>
      </c>
    </row>
    <row r="1951" ht="14.25" customHeight="1">
      <c r="A1951" t="s">
        <v>2020</v>
      </c>
      <c r="B1951" t="s">
        <v>2005</v>
      </c>
      <c r="C1951" t="s">
        <v>75</v>
      </c>
      <c r="D1951" t="s">
        <v>63</v>
      </c>
      <c r="E1951">
        <v>17.0</v>
      </c>
      <c r="F1951">
        <v>17.5</v>
      </c>
      <c r="G1951" s="2" t="s">
        <v>67</v>
      </c>
      <c r="H1951" s="2">
        <v>95.0</v>
      </c>
      <c r="I1951" s="2">
        <v>131.0</v>
      </c>
      <c r="J1951" s="37">
        <v>2304.0000000000005</v>
      </c>
      <c r="K1951" s="2">
        <v>110.0</v>
      </c>
      <c r="L1951" s="2">
        <v>460.0</v>
      </c>
      <c r="M1951" s="37">
        <v>3068.6</v>
      </c>
    </row>
    <row r="1952" ht="14.25" customHeight="1">
      <c r="A1952" t="s">
        <v>2021</v>
      </c>
      <c r="B1952" t="s">
        <v>2005</v>
      </c>
      <c r="C1952" t="s">
        <v>62</v>
      </c>
      <c r="D1952" t="s">
        <v>63</v>
      </c>
      <c r="E1952">
        <v>10.5</v>
      </c>
      <c r="F1952">
        <v>11.0</v>
      </c>
      <c r="G1952" s="2" t="s">
        <v>67</v>
      </c>
      <c r="H1952" s="2">
        <v>63.0</v>
      </c>
      <c r="I1952" s="2">
        <v>293.0</v>
      </c>
      <c r="J1952" s="37">
        <v>1795.88</v>
      </c>
      <c r="K1952" s="2">
        <v>73.0</v>
      </c>
      <c r="L1952" s="2">
        <v>496.0</v>
      </c>
      <c r="M1952" s="37">
        <v>2284.38</v>
      </c>
    </row>
    <row r="1953" ht="14.25" customHeight="1">
      <c r="A1953" t="s">
        <v>2022</v>
      </c>
      <c r="B1953" t="s">
        <v>2005</v>
      </c>
      <c r="C1953" t="s">
        <v>62</v>
      </c>
      <c r="D1953" t="s">
        <v>63</v>
      </c>
      <c r="E1953">
        <v>7.2</v>
      </c>
      <c r="F1953">
        <v>7.7</v>
      </c>
      <c r="G1953" s="2" t="s">
        <v>67</v>
      </c>
      <c r="H1953" s="2">
        <v>45.0</v>
      </c>
      <c r="I1953" s="2">
        <v>227.0</v>
      </c>
      <c r="J1953" s="37">
        <v>1305.8000000000002</v>
      </c>
      <c r="K1953" s="2">
        <v>51.0</v>
      </c>
      <c r="L1953" s="2">
        <v>351.0</v>
      </c>
      <c r="M1953" s="37">
        <v>1601.76</v>
      </c>
    </row>
    <row r="1954" ht="14.25" customHeight="1">
      <c r="A1954" t="s">
        <v>2023</v>
      </c>
      <c r="B1954" t="s">
        <v>2024</v>
      </c>
      <c r="C1954" t="s">
        <v>62</v>
      </c>
      <c r="D1954" t="s">
        <v>63</v>
      </c>
      <c r="E1954">
        <v>2.5</v>
      </c>
      <c r="F1954">
        <v>3.2</v>
      </c>
      <c r="G1954" s="2" t="s">
        <v>67</v>
      </c>
      <c r="H1954" s="2">
        <v>14.0</v>
      </c>
      <c r="I1954" s="2">
        <v>91.0</v>
      </c>
      <c r="J1954" s="37">
        <v>432.74</v>
      </c>
      <c r="K1954" s="2">
        <v>16.0</v>
      </c>
      <c r="L1954" s="2">
        <v>129.0</v>
      </c>
      <c r="M1954" s="37">
        <v>527.0600000000001</v>
      </c>
    </row>
    <row r="1955" ht="14.25" customHeight="1">
      <c r="A1955" t="s">
        <v>2025</v>
      </c>
      <c r="B1955" t="s">
        <v>2024</v>
      </c>
      <c r="C1955" t="s">
        <v>62</v>
      </c>
      <c r="D1955" t="s">
        <v>63</v>
      </c>
      <c r="E1955">
        <v>2.5</v>
      </c>
      <c r="F1955">
        <v>3.2</v>
      </c>
      <c r="G1955" s="2" t="s">
        <v>67</v>
      </c>
      <c r="H1955" s="2">
        <v>14.0</v>
      </c>
      <c r="I1955" s="2">
        <v>91.0</v>
      </c>
      <c r="J1955" s="37">
        <v>432.74</v>
      </c>
      <c r="K1955" s="2">
        <v>16.0</v>
      </c>
      <c r="L1955" s="2">
        <v>129.0</v>
      </c>
      <c r="M1955" s="37">
        <v>527.0600000000001</v>
      </c>
    </row>
    <row r="1956" ht="14.25" customHeight="1">
      <c r="A1956" t="s">
        <v>2026</v>
      </c>
      <c r="B1956" t="s">
        <v>2024</v>
      </c>
      <c r="C1956" t="s">
        <v>62</v>
      </c>
      <c r="D1956" t="s">
        <v>63</v>
      </c>
      <c r="E1956">
        <v>2.5</v>
      </c>
      <c r="F1956">
        <v>3.2</v>
      </c>
      <c r="G1956" s="2" t="s">
        <v>67</v>
      </c>
      <c r="H1956" s="2">
        <v>14.0</v>
      </c>
      <c r="I1956" s="2">
        <v>91.0</v>
      </c>
      <c r="J1956" s="37">
        <v>432.74</v>
      </c>
      <c r="K1956" s="2">
        <v>16.0</v>
      </c>
      <c r="L1956" s="2">
        <v>129.0</v>
      </c>
      <c r="M1956" s="37">
        <v>527.0600000000001</v>
      </c>
    </row>
    <row r="1957" ht="14.25" customHeight="1">
      <c r="A1957" t="s">
        <v>2027</v>
      </c>
      <c r="B1957" t="s">
        <v>2024</v>
      </c>
      <c r="C1957" t="s">
        <v>62</v>
      </c>
      <c r="D1957" t="s">
        <v>63</v>
      </c>
      <c r="E1957">
        <v>5.0</v>
      </c>
      <c r="F1957">
        <v>6.0</v>
      </c>
      <c r="G1957" s="2" t="s">
        <v>67</v>
      </c>
      <c r="H1957" s="2">
        <v>28.0</v>
      </c>
      <c r="I1957" s="2">
        <v>175.0</v>
      </c>
      <c r="J1957" s="37">
        <v>856.38</v>
      </c>
      <c r="K1957" s="2">
        <v>32.0</v>
      </c>
      <c r="L1957" s="2">
        <v>261.0</v>
      </c>
      <c r="M1957" s="37">
        <v>1058.02</v>
      </c>
    </row>
    <row r="1958" ht="14.25" customHeight="1">
      <c r="A1958" t="s">
        <v>2028</v>
      </c>
      <c r="B1958" t="s">
        <v>2024</v>
      </c>
      <c r="C1958" t="s">
        <v>62</v>
      </c>
      <c r="D1958" t="s">
        <v>63</v>
      </c>
      <c r="E1958">
        <v>5.0</v>
      </c>
      <c r="F1958">
        <v>6.0</v>
      </c>
      <c r="G1958" s="2" t="s">
        <v>67</v>
      </c>
      <c r="H1958" s="2">
        <v>28.0</v>
      </c>
      <c r="I1958" s="2">
        <v>175.0</v>
      </c>
      <c r="J1958" s="37">
        <v>856.38</v>
      </c>
      <c r="K1958" s="2">
        <v>32.0</v>
      </c>
      <c r="L1958" s="2">
        <v>261.0</v>
      </c>
      <c r="M1958" s="37">
        <v>1058.02</v>
      </c>
    </row>
    <row r="1959" ht="14.25" customHeight="1">
      <c r="A1959" t="s">
        <v>2029</v>
      </c>
      <c r="B1959" t="s">
        <v>2024</v>
      </c>
      <c r="C1959" t="s">
        <v>62</v>
      </c>
      <c r="D1959" t="s">
        <v>63</v>
      </c>
      <c r="E1959">
        <v>5.0</v>
      </c>
      <c r="F1959">
        <v>6.0</v>
      </c>
      <c r="G1959" s="2" t="s">
        <v>67</v>
      </c>
      <c r="H1959" s="2">
        <v>28.0</v>
      </c>
      <c r="I1959" s="2">
        <v>175.0</v>
      </c>
      <c r="J1959" s="37">
        <v>856.38</v>
      </c>
      <c r="K1959" s="2">
        <v>32.0</v>
      </c>
      <c r="L1959" s="2">
        <v>261.0</v>
      </c>
      <c r="M1959" s="37">
        <v>1058.02</v>
      </c>
    </row>
    <row r="1960" ht="14.25" customHeight="1">
      <c r="A1960" t="s">
        <v>2030</v>
      </c>
      <c r="B1960" t="s">
        <v>2024</v>
      </c>
      <c r="C1960" t="s">
        <v>62</v>
      </c>
      <c r="D1960" t="s">
        <v>63</v>
      </c>
      <c r="E1960">
        <v>7.0</v>
      </c>
      <c r="F1960">
        <v>8.0</v>
      </c>
      <c r="G1960" s="2" t="s">
        <v>64</v>
      </c>
      <c r="H1960" s="2">
        <v>0.0</v>
      </c>
      <c r="I1960" s="2">
        <v>0.0</v>
      </c>
      <c r="J1960" s="37">
        <v>0.0</v>
      </c>
      <c r="K1960" s="2">
        <v>0.0</v>
      </c>
      <c r="L1960" s="2">
        <v>0.0</v>
      </c>
      <c r="M1960" s="37">
        <v>0.0</v>
      </c>
    </row>
    <row r="1961" ht="14.25" customHeight="1">
      <c r="A1961" t="s">
        <v>2031</v>
      </c>
      <c r="B1961" t="s">
        <v>2024</v>
      </c>
      <c r="C1961" t="s">
        <v>62</v>
      </c>
      <c r="D1961" t="s">
        <v>63</v>
      </c>
      <c r="E1961">
        <v>7.0</v>
      </c>
      <c r="F1961">
        <v>8.0</v>
      </c>
      <c r="G1961" s="2" t="s">
        <v>64</v>
      </c>
      <c r="H1961" s="2">
        <v>0.0</v>
      </c>
      <c r="I1961" s="2">
        <v>0.0</v>
      </c>
      <c r="J1961" s="37">
        <v>0.0</v>
      </c>
      <c r="K1961" s="2">
        <v>0.0</v>
      </c>
      <c r="L1961" s="2">
        <v>0.0</v>
      </c>
      <c r="M1961" s="37">
        <v>0.0</v>
      </c>
    </row>
    <row r="1962" ht="14.25" customHeight="1">
      <c r="A1962" t="s">
        <v>2032</v>
      </c>
      <c r="B1962" t="s">
        <v>2024</v>
      </c>
      <c r="C1962" t="s">
        <v>62</v>
      </c>
      <c r="D1962" t="s">
        <v>63</v>
      </c>
      <c r="E1962">
        <v>7.0</v>
      </c>
      <c r="F1962">
        <v>8.0</v>
      </c>
      <c r="G1962" s="2" t="s">
        <v>64</v>
      </c>
      <c r="H1962" s="2">
        <v>0.0</v>
      </c>
      <c r="I1962" s="2">
        <v>0.0</v>
      </c>
      <c r="J1962" s="37">
        <v>0.0</v>
      </c>
      <c r="K1962" s="2">
        <v>0.0</v>
      </c>
      <c r="L1962" s="2">
        <v>0.0</v>
      </c>
      <c r="M1962" s="37">
        <v>0.0</v>
      </c>
    </row>
    <row r="1963" ht="14.25" customHeight="1">
      <c r="A1963" t="s">
        <v>2033</v>
      </c>
      <c r="B1963" t="s">
        <v>2024</v>
      </c>
      <c r="C1963" t="s">
        <v>62</v>
      </c>
      <c r="D1963" t="s">
        <v>63</v>
      </c>
      <c r="E1963">
        <v>3.5</v>
      </c>
      <c r="F1963">
        <v>4.0</v>
      </c>
      <c r="G1963" s="2" t="s">
        <v>64</v>
      </c>
      <c r="H1963" s="2">
        <v>0.0</v>
      </c>
      <c r="I1963" s="2">
        <v>0.0</v>
      </c>
      <c r="J1963" s="37">
        <v>0.0</v>
      </c>
      <c r="K1963" s="2">
        <v>0.0</v>
      </c>
      <c r="L1963" s="2">
        <v>0.0</v>
      </c>
      <c r="M1963" s="37">
        <v>0.0</v>
      </c>
    </row>
    <row r="1964" ht="14.25" customHeight="1">
      <c r="A1964" t="s">
        <v>2034</v>
      </c>
      <c r="B1964" t="s">
        <v>2024</v>
      </c>
      <c r="C1964" t="s">
        <v>62</v>
      </c>
      <c r="D1964" t="s">
        <v>63</v>
      </c>
      <c r="E1964">
        <v>3.5</v>
      </c>
      <c r="F1964">
        <v>4.0</v>
      </c>
      <c r="G1964" s="2" t="s">
        <v>64</v>
      </c>
      <c r="H1964" s="2">
        <v>0.0</v>
      </c>
      <c r="I1964" s="2">
        <v>0.0</v>
      </c>
      <c r="J1964" s="37">
        <v>0.0</v>
      </c>
      <c r="K1964" s="2">
        <v>0.0</v>
      </c>
      <c r="L1964" s="2">
        <v>0.0</v>
      </c>
      <c r="M1964" s="37">
        <v>0.0</v>
      </c>
    </row>
    <row r="1965" ht="14.25" customHeight="1">
      <c r="A1965" t="s">
        <v>2035</v>
      </c>
      <c r="B1965" t="s">
        <v>2024</v>
      </c>
      <c r="C1965" t="s">
        <v>62</v>
      </c>
      <c r="D1965" t="s">
        <v>63</v>
      </c>
      <c r="E1965">
        <v>3.5</v>
      </c>
      <c r="F1965">
        <v>4.0</v>
      </c>
      <c r="G1965" s="2" t="s">
        <v>64</v>
      </c>
      <c r="H1965" s="2">
        <v>0.0</v>
      </c>
      <c r="I1965" s="2">
        <v>0.0</v>
      </c>
      <c r="J1965" s="37">
        <v>0.0</v>
      </c>
      <c r="K1965" s="2">
        <v>0.0</v>
      </c>
      <c r="L1965" s="2">
        <v>0.0</v>
      </c>
      <c r="M1965" s="37">
        <v>0.0</v>
      </c>
    </row>
    <row r="1966" ht="14.25" customHeight="1">
      <c r="A1966" t="s">
        <v>2036</v>
      </c>
      <c r="B1966" t="s">
        <v>2037</v>
      </c>
      <c r="C1966" t="s">
        <v>62</v>
      </c>
      <c r="D1966" t="s">
        <v>63</v>
      </c>
      <c r="E1966">
        <v>3.5</v>
      </c>
      <c r="F1966">
        <v>3.65</v>
      </c>
      <c r="G1966" s="2" t="s">
        <v>67</v>
      </c>
      <c r="H1966" s="2">
        <v>18.0</v>
      </c>
      <c r="I1966" s="2">
        <v>20.0</v>
      </c>
      <c r="J1966" s="37">
        <v>430.28000000000003</v>
      </c>
      <c r="K1966" s="2">
        <v>21.0</v>
      </c>
      <c r="L1966" s="2">
        <v>73.0</v>
      </c>
      <c r="M1966" s="37">
        <v>566.5600000000001</v>
      </c>
    </row>
    <row r="1967" ht="14.25" customHeight="1">
      <c r="A1967" t="s">
        <v>2038</v>
      </c>
      <c r="B1967" t="s">
        <v>2037</v>
      </c>
      <c r="C1967" t="s">
        <v>62</v>
      </c>
      <c r="D1967" t="s">
        <v>268</v>
      </c>
      <c r="E1967">
        <v>2.7</v>
      </c>
      <c r="F1967">
        <v>0.0</v>
      </c>
      <c r="G1967" s="2" t="s">
        <v>64</v>
      </c>
      <c r="H1967" s="2">
        <v>0.0</v>
      </c>
      <c r="I1967" s="2">
        <v>0.0</v>
      </c>
      <c r="J1967" s="37">
        <v>0.0</v>
      </c>
      <c r="K1967" s="2">
        <v>0.0</v>
      </c>
      <c r="L1967" s="2">
        <v>0.0</v>
      </c>
      <c r="M1967" s="37">
        <v>0.0</v>
      </c>
    </row>
    <row r="1968" ht="14.25" customHeight="1">
      <c r="A1968" t="s">
        <v>2039</v>
      </c>
      <c r="B1968" t="s">
        <v>2037</v>
      </c>
      <c r="C1968" t="s">
        <v>62</v>
      </c>
      <c r="D1968" t="s">
        <v>268</v>
      </c>
      <c r="E1968">
        <v>3.0</v>
      </c>
      <c r="F1968">
        <v>0.0</v>
      </c>
      <c r="G1968" s="2" t="s">
        <v>64</v>
      </c>
      <c r="H1968" s="2">
        <v>0.0</v>
      </c>
      <c r="I1968" s="2">
        <v>0.0</v>
      </c>
      <c r="J1968" s="37">
        <v>0.0</v>
      </c>
      <c r="K1968" s="2">
        <v>0.0</v>
      </c>
      <c r="L1968" s="2">
        <v>0.0</v>
      </c>
      <c r="M1968" s="37">
        <v>0.0</v>
      </c>
    </row>
    <row r="1969" ht="14.25" customHeight="1">
      <c r="A1969" t="s">
        <v>2040</v>
      </c>
      <c r="B1969" t="s">
        <v>2037</v>
      </c>
      <c r="C1969" t="s">
        <v>62</v>
      </c>
      <c r="D1969" t="s">
        <v>63</v>
      </c>
      <c r="E1969">
        <v>2.0</v>
      </c>
      <c r="F1969">
        <v>2.25</v>
      </c>
      <c r="G1969" s="2" t="s">
        <v>67</v>
      </c>
      <c r="H1969" s="2">
        <v>12.0</v>
      </c>
      <c r="I1969" s="2">
        <v>65.0</v>
      </c>
      <c r="J1969" s="37">
        <v>354.02</v>
      </c>
      <c r="K1969" s="2">
        <v>13.0</v>
      </c>
      <c r="L1969" s="2">
        <v>95.0</v>
      </c>
      <c r="M1969" s="37">
        <v>415.48</v>
      </c>
    </row>
    <row r="1970" ht="14.25" customHeight="1">
      <c r="A1970" t="s">
        <v>2041</v>
      </c>
      <c r="B1970" t="s">
        <v>2037</v>
      </c>
      <c r="C1970" t="s">
        <v>62</v>
      </c>
      <c r="D1970" t="s">
        <v>63</v>
      </c>
      <c r="E1970">
        <v>2.65</v>
      </c>
      <c r="F1970">
        <v>2.7</v>
      </c>
      <c r="G1970" s="2" t="s">
        <v>67</v>
      </c>
      <c r="H1970" s="2">
        <v>15.0</v>
      </c>
      <c r="I1970" s="2">
        <v>108.0</v>
      </c>
      <c r="J1970" s="37">
        <v>477.30000000000007</v>
      </c>
      <c r="K1970" s="2">
        <v>17.0</v>
      </c>
      <c r="L1970" s="2">
        <v>149.0</v>
      </c>
      <c r="M1970" s="37">
        <v>575.52</v>
      </c>
    </row>
    <row r="1971" ht="14.25" customHeight="1">
      <c r="A1971" t="s">
        <v>2042</v>
      </c>
      <c r="B1971" t="s">
        <v>2037</v>
      </c>
      <c r="C1971" t="s">
        <v>62</v>
      </c>
      <c r="D1971" t="s">
        <v>63</v>
      </c>
      <c r="E1971">
        <v>3.55</v>
      </c>
      <c r="F1971">
        <v>4.0</v>
      </c>
      <c r="G1971" s="2" t="s">
        <v>67</v>
      </c>
      <c r="H1971" s="2">
        <v>19.0</v>
      </c>
      <c r="I1971" s="2">
        <v>84.0</v>
      </c>
      <c r="J1971" s="37">
        <v>535.94</v>
      </c>
      <c r="K1971" s="2">
        <v>21.0</v>
      </c>
      <c r="L1971" s="2">
        <v>137.0</v>
      </c>
      <c r="M1971" s="37">
        <v>649.76</v>
      </c>
    </row>
    <row r="1972" ht="14.25" customHeight="1">
      <c r="A1972" t="s">
        <v>2043</v>
      </c>
      <c r="B1972" t="s">
        <v>2037</v>
      </c>
      <c r="C1972" t="s">
        <v>62</v>
      </c>
      <c r="D1972" t="s">
        <v>63</v>
      </c>
      <c r="E1972">
        <v>5.0</v>
      </c>
      <c r="F1972">
        <v>5.2</v>
      </c>
      <c r="G1972" s="2" t="s">
        <v>67</v>
      </c>
      <c r="H1972" s="2">
        <v>27.0</v>
      </c>
      <c r="I1972" s="2">
        <v>141.0</v>
      </c>
      <c r="J1972" s="37">
        <v>789.72</v>
      </c>
      <c r="K1972" s="2">
        <v>31.0</v>
      </c>
      <c r="L1972" s="2">
        <v>227.0</v>
      </c>
      <c r="M1972" s="37">
        <v>991.36</v>
      </c>
    </row>
    <row r="1973" ht="14.25" customHeight="1">
      <c r="A1973" t="s">
        <v>2044</v>
      </c>
      <c r="B1973" t="s">
        <v>2037</v>
      </c>
      <c r="C1973" t="s">
        <v>62</v>
      </c>
      <c r="D1973" t="s">
        <v>63</v>
      </c>
      <c r="E1973">
        <v>6.0</v>
      </c>
      <c r="F1973">
        <v>6.2</v>
      </c>
      <c r="G1973" s="2" t="s">
        <v>64</v>
      </c>
      <c r="H1973" s="2">
        <v>0.0</v>
      </c>
      <c r="I1973" s="2">
        <v>0.0</v>
      </c>
      <c r="J1973" s="37">
        <v>0.0</v>
      </c>
      <c r="K1973" s="2">
        <v>0.0</v>
      </c>
      <c r="L1973" s="2">
        <v>0.0</v>
      </c>
      <c r="M1973" s="37">
        <v>0.0</v>
      </c>
    </row>
    <row r="1974" ht="14.25" customHeight="1">
      <c r="A1974" t="s">
        <v>2045</v>
      </c>
      <c r="B1974" t="s">
        <v>2037</v>
      </c>
      <c r="C1974" t="s">
        <v>62</v>
      </c>
      <c r="D1974" t="s">
        <v>63</v>
      </c>
      <c r="E1974">
        <v>7.0</v>
      </c>
      <c r="F1974">
        <v>7.5</v>
      </c>
      <c r="G1974" s="2" t="s">
        <v>64</v>
      </c>
      <c r="H1974" s="2">
        <v>0.0</v>
      </c>
      <c r="I1974" s="2">
        <v>0.0</v>
      </c>
      <c r="J1974" s="37">
        <v>0.0</v>
      </c>
      <c r="K1974" s="2">
        <v>0.0</v>
      </c>
      <c r="L1974" s="2">
        <v>0.0</v>
      </c>
      <c r="M1974" s="37">
        <v>0.0</v>
      </c>
    </row>
    <row r="1975" ht="14.25" customHeight="1">
      <c r="A1975" t="s">
        <v>2046</v>
      </c>
      <c r="B1975" t="s">
        <v>2037</v>
      </c>
      <c r="C1975" t="s">
        <v>62</v>
      </c>
      <c r="D1975" t="s">
        <v>63</v>
      </c>
      <c r="E1975">
        <v>8.0</v>
      </c>
      <c r="F1975">
        <v>8.5</v>
      </c>
      <c r="G1975" s="2" t="s">
        <v>64</v>
      </c>
      <c r="H1975" s="2">
        <v>0.0</v>
      </c>
      <c r="I1975" s="2">
        <v>0.0</v>
      </c>
      <c r="J1975" s="37">
        <v>0.0</v>
      </c>
      <c r="K1975" s="2">
        <v>0.0</v>
      </c>
      <c r="L1975" s="2">
        <v>0.0</v>
      </c>
      <c r="M1975" s="37">
        <v>0.0</v>
      </c>
    </row>
    <row r="1976" ht="14.25" customHeight="1">
      <c r="A1976" t="s">
        <v>2047</v>
      </c>
      <c r="B1976" t="s">
        <v>2037</v>
      </c>
      <c r="C1976" t="s">
        <v>62</v>
      </c>
      <c r="D1976" t="s">
        <v>63</v>
      </c>
      <c r="E1976">
        <v>9.0</v>
      </c>
      <c r="F1976">
        <v>10.0</v>
      </c>
      <c r="G1976" s="2" t="s">
        <v>64</v>
      </c>
      <c r="H1976" s="2">
        <v>0.0</v>
      </c>
      <c r="I1976" s="2">
        <v>0.0</v>
      </c>
      <c r="J1976" s="37">
        <v>0.0</v>
      </c>
      <c r="K1976" s="2">
        <v>0.0</v>
      </c>
      <c r="L1976" s="2">
        <v>0.0</v>
      </c>
      <c r="M1976" s="37">
        <v>0.0</v>
      </c>
    </row>
    <row r="1977" ht="14.25" customHeight="1">
      <c r="A1977" t="s">
        <v>2048</v>
      </c>
      <c r="B1977" t="s">
        <v>2024</v>
      </c>
      <c r="C1977" t="s">
        <v>62</v>
      </c>
      <c r="D1977" t="s">
        <v>63</v>
      </c>
      <c r="E1977">
        <v>2.6</v>
      </c>
      <c r="F1977">
        <v>2.7</v>
      </c>
      <c r="G1977" s="2" t="s">
        <v>67</v>
      </c>
      <c r="H1977" s="2">
        <v>13.0</v>
      </c>
      <c r="I1977" s="2">
        <v>67.0</v>
      </c>
      <c r="J1977" s="37">
        <v>379.08000000000004</v>
      </c>
      <c r="K1977" s="2">
        <v>15.0</v>
      </c>
      <c r="L1977" s="2">
        <v>106.0</v>
      </c>
      <c r="M1977" s="37">
        <v>474.70000000000005</v>
      </c>
    </row>
    <row r="1978" ht="14.25" customHeight="1">
      <c r="A1978" t="s">
        <v>2049</v>
      </c>
      <c r="B1978" t="s">
        <v>2024</v>
      </c>
      <c r="C1978" t="s">
        <v>62</v>
      </c>
      <c r="D1978" t="s">
        <v>63</v>
      </c>
      <c r="E1978">
        <v>3.55</v>
      </c>
      <c r="F1978">
        <v>4.0</v>
      </c>
      <c r="G1978" s="2" t="s">
        <v>67</v>
      </c>
      <c r="H1978" s="2">
        <v>19.0</v>
      </c>
      <c r="I1978" s="2">
        <v>84.0</v>
      </c>
      <c r="J1978" s="37">
        <v>535.94</v>
      </c>
      <c r="K1978" s="2">
        <v>21.0</v>
      </c>
      <c r="L1978" s="2">
        <v>137.0</v>
      </c>
      <c r="M1978" s="37">
        <v>649.76</v>
      </c>
    </row>
    <row r="1979" ht="14.25" customHeight="1">
      <c r="A1979" t="s">
        <v>2050</v>
      </c>
      <c r="B1979" t="s">
        <v>2024</v>
      </c>
      <c r="C1979" t="s">
        <v>62</v>
      </c>
      <c r="D1979" t="s">
        <v>63</v>
      </c>
      <c r="E1979">
        <v>2.0</v>
      </c>
      <c r="F1979">
        <v>2.25</v>
      </c>
      <c r="G1979" s="2" t="s">
        <v>67</v>
      </c>
      <c r="H1979" s="2">
        <v>12.0</v>
      </c>
      <c r="I1979" s="2">
        <v>65.0</v>
      </c>
      <c r="J1979" s="37">
        <v>354.02</v>
      </c>
      <c r="K1979" s="2">
        <v>13.0</v>
      </c>
      <c r="L1979" s="2">
        <v>95.0</v>
      </c>
      <c r="M1979" s="37">
        <v>415.48</v>
      </c>
    </row>
    <row r="1980" ht="14.25" customHeight="1">
      <c r="A1980" t="s">
        <v>2051</v>
      </c>
      <c r="B1980" t="s">
        <v>2024</v>
      </c>
      <c r="C1980" t="s">
        <v>62</v>
      </c>
      <c r="D1980" t="s">
        <v>63</v>
      </c>
      <c r="E1980">
        <v>5.0</v>
      </c>
      <c r="F1980">
        <v>5.2</v>
      </c>
      <c r="G1980" s="2" t="s">
        <v>67</v>
      </c>
      <c r="H1980" s="2">
        <v>27.0</v>
      </c>
      <c r="I1980" s="2">
        <v>141.0</v>
      </c>
      <c r="J1980" s="37">
        <v>789.72</v>
      </c>
      <c r="K1980" s="2">
        <v>31.0</v>
      </c>
      <c r="L1980" s="2">
        <v>227.0</v>
      </c>
      <c r="M1980" s="37">
        <v>991.36</v>
      </c>
    </row>
    <row r="1981" ht="14.25" customHeight="1">
      <c r="A1981" t="s">
        <v>2052</v>
      </c>
      <c r="B1981" t="s">
        <v>2024</v>
      </c>
      <c r="C1981" t="s">
        <v>62</v>
      </c>
      <c r="D1981" t="s">
        <v>63</v>
      </c>
      <c r="E1981">
        <v>6.0</v>
      </c>
      <c r="F1981">
        <v>6.2</v>
      </c>
      <c r="G1981" s="2" t="s">
        <v>64</v>
      </c>
      <c r="H1981" s="2">
        <v>0.0</v>
      </c>
      <c r="I1981" s="2">
        <v>0.0</v>
      </c>
      <c r="J1981" s="37">
        <v>0.0</v>
      </c>
      <c r="K1981" s="2">
        <v>0.0</v>
      </c>
      <c r="L1981" s="2">
        <v>0.0</v>
      </c>
      <c r="M1981" s="37">
        <v>0.0</v>
      </c>
    </row>
    <row r="1982" ht="14.25" customHeight="1">
      <c r="A1982" t="s">
        <v>2053</v>
      </c>
      <c r="B1982" t="s">
        <v>2024</v>
      </c>
      <c r="C1982" t="s">
        <v>62</v>
      </c>
      <c r="D1982" t="s">
        <v>63</v>
      </c>
      <c r="E1982">
        <v>7.0</v>
      </c>
      <c r="F1982">
        <v>7.5</v>
      </c>
      <c r="G1982" s="2" t="s">
        <v>64</v>
      </c>
      <c r="H1982" s="2">
        <v>0.0</v>
      </c>
      <c r="I1982" s="2">
        <v>0.0</v>
      </c>
      <c r="J1982" s="37">
        <v>0.0</v>
      </c>
      <c r="K1982" s="2">
        <v>0.0</v>
      </c>
      <c r="L1982" s="2">
        <v>0.0</v>
      </c>
      <c r="M1982" s="37">
        <v>0.0</v>
      </c>
    </row>
    <row r="1983" ht="14.25" customHeight="1">
      <c r="A1983" t="s">
        <v>2054</v>
      </c>
      <c r="B1983" t="s">
        <v>2024</v>
      </c>
      <c r="C1983" t="s">
        <v>62</v>
      </c>
      <c r="D1983" t="s">
        <v>63</v>
      </c>
      <c r="E1983">
        <v>8.0</v>
      </c>
      <c r="F1983">
        <v>8.5</v>
      </c>
      <c r="G1983" s="2" t="s">
        <v>64</v>
      </c>
      <c r="H1983" s="2">
        <v>0.0</v>
      </c>
      <c r="I1983" s="2">
        <v>0.0</v>
      </c>
      <c r="J1983" s="37">
        <v>0.0</v>
      </c>
      <c r="K1983" s="2">
        <v>0.0</v>
      </c>
      <c r="L1983" s="2">
        <v>0.0</v>
      </c>
      <c r="M1983" s="37">
        <v>0.0</v>
      </c>
    </row>
    <row r="1984" ht="14.25" customHeight="1">
      <c r="A1984" t="s">
        <v>2040</v>
      </c>
      <c r="B1984" t="s">
        <v>2037</v>
      </c>
      <c r="C1984" t="s">
        <v>62</v>
      </c>
      <c r="D1984" t="s">
        <v>63</v>
      </c>
      <c r="E1984">
        <v>2.0</v>
      </c>
      <c r="F1984">
        <v>2.25</v>
      </c>
      <c r="G1984" s="2" t="s">
        <v>67</v>
      </c>
      <c r="H1984" s="2">
        <v>12.0</v>
      </c>
      <c r="I1984" s="2">
        <v>65.0</v>
      </c>
      <c r="J1984" s="37">
        <v>354.02</v>
      </c>
      <c r="K1984" s="2">
        <v>13.0</v>
      </c>
      <c r="L1984" s="2">
        <v>95.0</v>
      </c>
      <c r="M1984" s="37">
        <v>415.48</v>
      </c>
    </row>
    <row r="1985" ht="14.25" customHeight="1">
      <c r="A1985" t="s">
        <v>2041</v>
      </c>
      <c r="B1985" t="s">
        <v>2037</v>
      </c>
      <c r="C1985" t="s">
        <v>62</v>
      </c>
      <c r="D1985" t="s">
        <v>63</v>
      </c>
      <c r="E1985">
        <v>2.65</v>
      </c>
      <c r="F1985">
        <v>2.7</v>
      </c>
      <c r="G1985" s="2" t="s">
        <v>67</v>
      </c>
      <c r="H1985" s="2">
        <v>15.0</v>
      </c>
      <c r="I1985" s="2">
        <v>108.0</v>
      </c>
      <c r="J1985" s="37">
        <v>477.30000000000007</v>
      </c>
      <c r="K1985" s="2">
        <v>17.0</v>
      </c>
      <c r="L1985" s="2">
        <v>149.0</v>
      </c>
      <c r="M1985" s="37">
        <v>575.52</v>
      </c>
    </row>
    <row r="1986" ht="14.25" customHeight="1">
      <c r="A1986" t="s">
        <v>2042</v>
      </c>
      <c r="B1986" t="s">
        <v>2037</v>
      </c>
      <c r="C1986" t="s">
        <v>62</v>
      </c>
      <c r="D1986" t="s">
        <v>63</v>
      </c>
      <c r="E1986">
        <v>3.55</v>
      </c>
      <c r="F1986">
        <v>4.0</v>
      </c>
      <c r="G1986" s="2" t="s">
        <v>67</v>
      </c>
      <c r="H1986" s="2">
        <v>19.0</v>
      </c>
      <c r="I1986" s="2">
        <v>84.0</v>
      </c>
      <c r="J1986" s="37">
        <v>535.94</v>
      </c>
      <c r="K1986" s="2">
        <v>21.0</v>
      </c>
      <c r="L1986" s="2">
        <v>137.0</v>
      </c>
      <c r="M1986" s="37">
        <v>649.76</v>
      </c>
    </row>
    <row r="1987" ht="14.25" customHeight="1">
      <c r="A1987" t="s">
        <v>2044</v>
      </c>
      <c r="B1987" t="s">
        <v>2037</v>
      </c>
      <c r="C1987" t="s">
        <v>62</v>
      </c>
      <c r="D1987" t="s">
        <v>63</v>
      </c>
      <c r="E1987">
        <v>6.0</v>
      </c>
      <c r="F1987">
        <v>6.2</v>
      </c>
      <c r="G1987" s="2" t="s">
        <v>64</v>
      </c>
      <c r="H1987" s="2">
        <v>0.0</v>
      </c>
      <c r="I1987" s="2">
        <v>0.0</v>
      </c>
      <c r="J1987" s="37">
        <v>0.0</v>
      </c>
      <c r="K1987" s="2">
        <v>0.0</v>
      </c>
      <c r="L1987" s="2">
        <v>0.0</v>
      </c>
      <c r="M1987" s="37">
        <v>0.0</v>
      </c>
    </row>
    <row r="1988" ht="14.25" customHeight="1">
      <c r="A1988" t="s">
        <v>2055</v>
      </c>
      <c r="B1988" t="s">
        <v>2037</v>
      </c>
      <c r="C1988" t="s">
        <v>62</v>
      </c>
      <c r="D1988" t="s">
        <v>63</v>
      </c>
      <c r="E1988">
        <v>2.5</v>
      </c>
      <c r="F1988">
        <v>3.2</v>
      </c>
      <c r="G1988" s="2" t="s">
        <v>64</v>
      </c>
      <c r="H1988" s="2">
        <v>0.0</v>
      </c>
      <c r="I1988" s="2">
        <v>0.0</v>
      </c>
      <c r="J1988" s="37">
        <v>0.0</v>
      </c>
      <c r="K1988" s="2">
        <v>0.0</v>
      </c>
      <c r="L1988" s="2">
        <v>0.0</v>
      </c>
      <c r="M1988" s="37">
        <v>0.0</v>
      </c>
    </row>
    <row r="1989" ht="14.25" customHeight="1">
      <c r="A1989" t="s">
        <v>2056</v>
      </c>
      <c r="B1989" t="s">
        <v>2037</v>
      </c>
      <c r="C1989" t="s">
        <v>62</v>
      </c>
      <c r="D1989" t="s">
        <v>63</v>
      </c>
      <c r="E1989">
        <v>3.5</v>
      </c>
      <c r="F1989">
        <v>4.0</v>
      </c>
      <c r="G1989" s="2" t="s">
        <v>67</v>
      </c>
      <c r="H1989" s="2">
        <v>19.0</v>
      </c>
      <c r="I1989" s="2">
        <v>76.0</v>
      </c>
      <c r="J1989" s="37">
        <v>525.54</v>
      </c>
      <c r="K1989" s="2">
        <v>22.0</v>
      </c>
      <c r="L1989" s="2">
        <v>129.0</v>
      </c>
      <c r="M1989" s="37">
        <v>661.82</v>
      </c>
    </row>
    <row r="1990" ht="14.25" customHeight="1">
      <c r="A1990" t="s">
        <v>2057</v>
      </c>
      <c r="B1990" t="s">
        <v>2037</v>
      </c>
      <c r="C1990" t="s">
        <v>62</v>
      </c>
      <c r="D1990" t="s">
        <v>63</v>
      </c>
      <c r="E1990">
        <v>5.0</v>
      </c>
      <c r="F1990">
        <v>6.0</v>
      </c>
      <c r="G1990" s="2" t="s">
        <v>67</v>
      </c>
      <c r="H1990" s="2">
        <v>31.0</v>
      </c>
      <c r="I1990" s="2">
        <v>175.0</v>
      </c>
      <c r="J1990" s="37">
        <v>923.76</v>
      </c>
      <c r="K1990" s="2">
        <v>36.0</v>
      </c>
      <c r="L1990" s="2">
        <v>261.0</v>
      </c>
      <c r="M1990" s="37">
        <v>1147.8600000000001</v>
      </c>
    </row>
    <row r="1991" ht="14.25" customHeight="1">
      <c r="A1991" t="s">
        <v>2058</v>
      </c>
      <c r="B1991" t="s">
        <v>2037</v>
      </c>
      <c r="C1991" t="s">
        <v>62</v>
      </c>
      <c r="D1991" t="s">
        <v>63</v>
      </c>
      <c r="E1991">
        <v>7.1</v>
      </c>
      <c r="F1991">
        <v>8.0</v>
      </c>
      <c r="G1991" s="2" t="s">
        <v>64</v>
      </c>
      <c r="H1991" s="2">
        <v>0.0</v>
      </c>
      <c r="I1991" s="2">
        <v>0.0</v>
      </c>
      <c r="J1991" s="37">
        <v>0.0</v>
      </c>
      <c r="K1991" s="2">
        <v>0.0</v>
      </c>
      <c r="L1991" s="2">
        <v>0.0</v>
      </c>
      <c r="M1991" s="37">
        <v>0.0</v>
      </c>
    </row>
    <row r="1992" ht="14.25" customHeight="1">
      <c r="A1992" t="s">
        <v>2033</v>
      </c>
      <c r="B1992" t="s">
        <v>2024</v>
      </c>
      <c r="C1992" t="s">
        <v>62</v>
      </c>
      <c r="D1992" t="s">
        <v>63</v>
      </c>
      <c r="E1992">
        <v>3.5</v>
      </c>
      <c r="F1992">
        <v>4.0</v>
      </c>
      <c r="G1992" s="2" t="s">
        <v>67</v>
      </c>
      <c r="H1992" s="2">
        <v>0.0</v>
      </c>
      <c r="I1992" s="2">
        <v>0.0</v>
      </c>
      <c r="J1992" s="37">
        <v>0.0</v>
      </c>
      <c r="K1992" s="2">
        <v>0.0</v>
      </c>
      <c r="L1992" s="2">
        <v>0.0</v>
      </c>
      <c r="M1992" s="37">
        <v>0.0</v>
      </c>
    </row>
    <row r="1993" ht="14.25" customHeight="1">
      <c r="A1993" t="s">
        <v>2025</v>
      </c>
      <c r="B1993" t="s">
        <v>2024</v>
      </c>
      <c r="C1993" t="s">
        <v>62</v>
      </c>
      <c r="D1993" t="s">
        <v>63</v>
      </c>
      <c r="E1993">
        <v>2.5</v>
      </c>
      <c r="F1993">
        <v>3.2</v>
      </c>
      <c r="G1993" s="2" t="s">
        <v>64</v>
      </c>
      <c r="H1993" s="2">
        <v>14.0</v>
      </c>
      <c r="I1993" s="2">
        <v>91.0</v>
      </c>
      <c r="J1993" s="37">
        <v>432.74</v>
      </c>
      <c r="K1993" s="2">
        <v>16.0</v>
      </c>
      <c r="L1993" s="2">
        <v>129.0</v>
      </c>
      <c r="M1993" s="37">
        <v>527.0600000000001</v>
      </c>
    </row>
    <row r="1994" ht="14.25" customHeight="1">
      <c r="A1994" t="s">
        <v>2059</v>
      </c>
      <c r="B1994" t="s">
        <v>2024</v>
      </c>
      <c r="C1994" t="s">
        <v>62</v>
      </c>
      <c r="D1994" t="s">
        <v>63</v>
      </c>
      <c r="E1994">
        <v>5.0</v>
      </c>
      <c r="F1994">
        <v>6.0</v>
      </c>
      <c r="G1994" s="2" t="s">
        <v>67</v>
      </c>
      <c r="H1994" s="2">
        <v>31.0</v>
      </c>
      <c r="I1994" s="2">
        <v>175.0</v>
      </c>
      <c r="J1994" s="37">
        <v>923.76</v>
      </c>
      <c r="K1994" s="2">
        <v>36.0</v>
      </c>
      <c r="L1994" s="2">
        <v>261.0</v>
      </c>
      <c r="M1994" s="37">
        <v>1147.8600000000001</v>
      </c>
    </row>
    <row r="1995" ht="14.25" customHeight="1">
      <c r="A1995" t="s">
        <v>2031</v>
      </c>
      <c r="B1995" t="s">
        <v>2024</v>
      </c>
      <c r="C1995" t="s">
        <v>62</v>
      </c>
      <c r="D1995" t="s">
        <v>63</v>
      </c>
      <c r="E1995">
        <v>7.1</v>
      </c>
      <c r="F1995">
        <v>8.0</v>
      </c>
      <c r="G1995" s="2" t="s">
        <v>64</v>
      </c>
      <c r="H1995" s="2">
        <v>0.0</v>
      </c>
      <c r="I1995" s="2">
        <v>0.0</v>
      </c>
      <c r="J1995" s="37">
        <v>0.0</v>
      </c>
      <c r="K1995" s="2">
        <v>0.0</v>
      </c>
      <c r="L1995" s="2">
        <v>0.0</v>
      </c>
      <c r="M1995" s="37">
        <v>0.0</v>
      </c>
    </row>
    <row r="1996" ht="14.25" customHeight="1">
      <c r="A1996" t="s">
        <v>2060</v>
      </c>
      <c r="B1996" t="s">
        <v>2037</v>
      </c>
      <c r="C1996" t="s">
        <v>62</v>
      </c>
      <c r="D1996" t="s">
        <v>63</v>
      </c>
      <c r="E1996">
        <v>2.0</v>
      </c>
      <c r="F1996">
        <v>2.25</v>
      </c>
      <c r="G1996" s="2" t="s">
        <v>67</v>
      </c>
      <c r="H1996" s="2">
        <v>12.0</v>
      </c>
      <c r="I1996" s="2">
        <v>65.0</v>
      </c>
      <c r="J1996" s="37">
        <v>354.02</v>
      </c>
      <c r="K1996" s="2">
        <v>13.0</v>
      </c>
      <c r="L1996" s="2">
        <v>95.0</v>
      </c>
      <c r="M1996" s="37">
        <v>415.48</v>
      </c>
    </row>
    <row r="1997" ht="14.25" customHeight="1">
      <c r="A1997" t="s">
        <v>2061</v>
      </c>
      <c r="B1997" t="s">
        <v>2037</v>
      </c>
      <c r="C1997" t="s">
        <v>62</v>
      </c>
      <c r="D1997" t="s">
        <v>63</v>
      </c>
      <c r="E1997">
        <v>2.65</v>
      </c>
      <c r="F1997">
        <v>2.7</v>
      </c>
      <c r="G1997" s="2" t="s">
        <v>67</v>
      </c>
      <c r="H1997" s="2">
        <v>15.0</v>
      </c>
      <c r="I1997" s="2">
        <v>108.0</v>
      </c>
      <c r="J1997" s="37">
        <v>477.30000000000007</v>
      </c>
      <c r="K1997" s="2">
        <v>17.0</v>
      </c>
      <c r="L1997" s="2">
        <v>149.0</v>
      </c>
      <c r="M1997" s="37">
        <v>575.52</v>
      </c>
    </row>
    <row r="1998" ht="14.25" customHeight="1">
      <c r="A1998" t="s">
        <v>2062</v>
      </c>
      <c r="B1998" t="s">
        <v>2037</v>
      </c>
      <c r="C1998" t="s">
        <v>62</v>
      </c>
      <c r="D1998" t="s">
        <v>63</v>
      </c>
      <c r="E1998">
        <v>3.55</v>
      </c>
      <c r="F1998">
        <v>4.0</v>
      </c>
      <c r="G1998" s="2" t="s">
        <v>67</v>
      </c>
      <c r="H1998" s="2">
        <v>19.0</v>
      </c>
      <c r="I1998" s="2">
        <v>84.0</v>
      </c>
      <c r="J1998" s="37">
        <v>535.94</v>
      </c>
      <c r="K1998" s="2">
        <v>21.0</v>
      </c>
      <c r="L1998" s="2">
        <v>137.0</v>
      </c>
      <c r="M1998" s="37">
        <v>649.76</v>
      </c>
    </row>
    <row r="1999" ht="14.25" customHeight="1">
      <c r="A1999" t="s">
        <v>2063</v>
      </c>
      <c r="B1999" t="s">
        <v>2037</v>
      </c>
      <c r="C1999" t="s">
        <v>62</v>
      </c>
      <c r="D1999" t="s">
        <v>63</v>
      </c>
      <c r="E1999">
        <v>5.0</v>
      </c>
      <c r="F1999">
        <v>5.2</v>
      </c>
      <c r="G1999" s="2" t="s">
        <v>67</v>
      </c>
      <c r="H1999" s="2">
        <v>27.0</v>
      </c>
      <c r="I1999" s="2">
        <v>141.0</v>
      </c>
      <c r="J1999" s="37">
        <v>789.72</v>
      </c>
      <c r="K1999" s="2">
        <v>31.0</v>
      </c>
      <c r="L1999" s="2">
        <v>227.0</v>
      </c>
      <c r="M1999" s="37">
        <v>991.36</v>
      </c>
    </row>
    <row r="2000" ht="14.25" customHeight="1">
      <c r="A2000" t="s">
        <v>2064</v>
      </c>
      <c r="B2000" t="s">
        <v>2037</v>
      </c>
      <c r="C2000" t="s">
        <v>62</v>
      </c>
      <c r="D2000" t="s">
        <v>63</v>
      </c>
      <c r="E2000">
        <v>6.0</v>
      </c>
      <c r="F2000">
        <v>6.2</v>
      </c>
      <c r="G2000" s="2" t="s">
        <v>64</v>
      </c>
      <c r="H2000" s="2">
        <v>0.0</v>
      </c>
      <c r="I2000" s="2">
        <v>0.0</v>
      </c>
      <c r="J2000" s="37">
        <v>0.0</v>
      </c>
      <c r="K2000" s="2">
        <v>0.0</v>
      </c>
      <c r="L2000" s="2">
        <v>0.0</v>
      </c>
      <c r="M2000" s="37">
        <v>0.0</v>
      </c>
    </row>
    <row r="2001" ht="14.25" customHeight="1">
      <c r="A2001" t="s">
        <v>2065</v>
      </c>
      <c r="B2001" t="s">
        <v>2037</v>
      </c>
      <c r="C2001" t="s">
        <v>62</v>
      </c>
      <c r="D2001" t="s">
        <v>63</v>
      </c>
      <c r="E2001">
        <v>7.0</v>
      </c>
      <c r="F2001">
        <v>7.5</v>
      </c>
      <c r="G2001" s="2" t="s">
        <v>64</v>
      </c>
      <c r="H2001" s="2">
        <v>0.0</v>
      </c>
      <c r="I2001" s="2">
        <v>0.0</v>
      </c>
      <c r="J2001" s="37">
        <v>0.0</v>
      </c>
      <c r="K2001" s="2">
        <v>0.0</v>
      </c>
      <c r="L2001" s="2">
        <v>0.0</v>
      </c>
      <c r="M2001" s="37">
        <v>0.0</v>
      </c>
    </row>
    <row r="2002" ht="14.25" customHeight="1">
      <c r="A2002" t="s">
        <v>2066</v>
      </c>
      <c r="B2002" t="s">
        <v>2037</v>
      </c>
      <c r="C2002" t="s">
        <v>62</v>
      </c>
      <c r="D2002" t="s">
        <v>63</v>
      </c>
      <c r="E2002">
        <v>8.0</v>
      </c>
      <c r="F2002">
        <v>8.5</v>
      </c>
      <c r="G2002" s="2" t="s">
        <v>64</v>
      </c>
      <c r="H2002" s="2">
        <v>0.0</v>
      </c>
      <c r="I2002" s="2">
        <v>0.0</v>
      </c>
      <c r="J2002" s="37">
        <v>0.0</v>
      </c>
      <c r="K2002" s="2">
        <v>0.0</v>
      </c>
      <c r="L2002" s="2">
        <v>0.0</v>
      </c>
      <c r="M2002" s="37">
        <v>0.0</v>
      </c>
    </row>
    <row r="2003" ht="14.25" customHeight="1">
      <c r="A2003" t="s">
        <v>2067</v>
      </c>
      <c r="B2003" t="s">
        <v>2024</v>
      </c>
      <c r="C2003" t="s">
        <v>62</v>
      </c>
      <c r="D2003" t="s">
        <v>467</v>
      </c>
      <c r="E2003">
        <v>2.6</v>
      </c>
      <c r="F2003">
        <v>2.35</v>
      </c>
      <c r="G2003" s="2" t="s">
        <v>64</v>
      </c>
      <c r="H2003" s="2">
        <v>0.0</v>
      </c>
      <c r="I2003" s="2">
        <v>0.0</v>
      </c>
      <c r="J2003" s="37">
        <v>0.0</v>
      </c>
      <c r="K2003" s="2">
        <v>0.0</v>
      </c>
      <c r="L2003" s="2">
        <v>0.0</v>
      </c>
      <c r="M2003" s="37">
        <v>0.0</v>
      </c>
    </row>
    <row r="2004" ht="14.25" customHeight="1">
      <c r="A2004" t="s">
        <v>2068</v>
      </c>
      <c r="B2004" t="s">
        <v>2024</v>
      </c>
      <c r="C2004" t="s">
        <v>75</v>
      </c>
      <c r="D2004" t="s">
        <v>63</v>
      </c>
      <c r="E2004">
        <v>7.3</v>
      </c>
      <c r="F2004">
        <v>7.5</v>
      </c>
      <c r="G2004" s="2" t="s">
        <v>67</v>
      </c>
      <c r="H2004" s="2">
        <v>44.0</v>
      </c>
      <c r="I2004" s="2">
        <v>142.0</v>
      </c>
      <c r="J2004" s="37">
        <v>1172.84</v>
      </c>
      <c r="K2004" s="2">
        <v>51.0</v>
      </c>
      <c r="L2004" s="2">
        <v>284.0</v>
      </c>
      <c r="M2004" s="37">
        <v>1514.66</v>
      </c>
    </row>
    <row r="2005" ht="14.25" customHeight="1">
      <c r="A2005" t="s">
        <v>2069</v>
      </c>
      <c r="B2005" t="s">
        <v>2024</v>
      </c>
      <c r="C2005" t="s">
        <v>75</v>
      </c>
      <c r="D2005" t="s">
        <v>63</v>
      </c>
      <c r="E2005">
        <v>9.0</v>
      </c>
      <c r="F2005">
        <v>10.0</v>
      </c>
      <c r="G2005" s="2" t="s">
        <v>67</v>
      </c>
      <c r="H2005" s="2">
        <v>60.0</v>
      </c>
      <c r="I2005" s="2">
        <v>198.0</v>
      </c>
      <c r="J2005" s="37">
        <v>1605.0000000000002</v>
      </c>
      <c r="K2005" s="2">
        <v>69.0</v>
      </c>
      <c r="L2005" s="2">
        <v>372.0</v>
      </c>
      <c r="M2005" s="37">
        <v>2033.3400000000001</v>
      </c>
    </row>
    <row r="2006" ht="14.25" customHeight="1">
      <c r="A2006" t="s">
        <v>2070</v>
      </c>
      <c r="B2006" t="s">
        <v>2024</v>
      </c>
      <c r="C2006" t="s">
        <v>75</v>
      </c>
      <c r="D2006" t="s">
        <v>63</v>
      </c>
      <c r="E2006">
        <v>10.5</v>
      </c>
      <c r="F2006">
        <v>11.0</v>
      </c>
      <c r="G2006" s="2" t="s">
        <v>67</v>
      </c>
      <c r="H2006" s="2">
        <v>65.0</v>
      </c>
      <c r="I2006" s="2">
        <v>104.0</v>
      </c>
      <c r="J2006" s="37">
        <v>1595.1000000000001</v>
      </c>
      <c r="K2006" s="2">
        <v>75.0</v>
      </c>
      <c r="L2006" s="2">
        <v>308.0</v>
      </c>
      <c r="M2006" s="37">
        <v>2084.9</v>
      </c>
    </row>
    <row r="2007" ht="14.25" customHeight="1">
      <c r="A2007" t="s">
        <v>2071</v>
      </c>
      <c r="B2007" t="s">
        <v>2024</v>
      </c>
      <c r="C2007" t="s">
        <v>75</v>
      </c>
      <c r="D2007" t="s">
        <v>63</v>
      </c>
      <c r="E2007">
        <v>10.5</v>
      </c>
      <c r="F2007">
        <v>11.0</v>
      </c>
      <c r="G2007" s="2" t="s">
        <v>67</v>
      </c>
      <c r="H2007" s="2">
        <v>65.0</v>
      </c>
      <c r="I2007" s="2">
        <v>160.0</v>
      </c>
      <c r="J2007" s="37">
        <v>1667.9</v>
      </c>
      <c r="K2007" s="2">
        <v>75.0</v>
      </c>
      <c r="L2007" s="2">
        <v>364.0</v>
      </c>
      <c r="M2007" s="37">
        <v>2157.7</v>
      </c>
    </row>
    <row r="2008" ht="14.25" customHeight="1">
      <c r="A2008" t="s">
        <v>2072</v>
      </c>
      <c r="B2008" t="s">
        <v>2024</v>
      </c>
      <c r="C2008" t="s">
        <v>75</v>
      </c>
      <c r="D2008" t="s">
        <v>63</v>
      </c>
      <c r="E2008">
        <v>12.5</v>
      </c>
      <c r="F2008">
        <v>13.0</v>
      </c>
      <c r="G2008" s="2" t="s">
        <v>67</v>
      </c>
      <c r="H2008" s="2">
        <v>78.0</v>
      </c>
      <c r="I2008" s="2">
        <v>214.0</v>
      </c>
      <c r="J2008" s="37">
        <v>2030.0800000000002</v>
      </c>
      <c r="K2008" s="2">
        <v>90.0</v>
      </c>
      <c r="L2008" s="2">
        <v>456.0</v>
      </c>
      <c r="M2008" s="37">
        <v>2614.2000000000003</v>
      </c>
    </row>
    <row r="2009" ht="14.25" customHeight="1">
      <c r="A2009" t="s">
        <v>2073</v>
      </c>
      <c r="B2009" t="s">
        <v>2024</v>
      </c>
      <c r="C2009" t="s">
        <v>75</v>
      </c>
      <c r="D2009" t="s">
        <v>63</v>
      </c>
      <c r="E2009">
        <v>14.0</v>
      </c>
      <c r="F2009">
        <v>14.5</v>
      </c>
      <c r="G2009" s="2" t="s">
        <v>67</v>
      </c>
      <c r="H2009" s="2">
        <v>85.0</v>
      </c>
      <c r="I2009" s="2">
        <v>177.0</v>
      </c>
      <c r="J2009" s="37">
        <v>2139.2000000000003</v>
      </c>
      <c r="K2009" s="2">
        <v>98.0</v>
      </c>
      <c r="L2009" s="2">
        <v>448.0</v>
      </c>
      <c r="M2009" s="37">
        <v>2783.48</v>
      </c>
    </row>
    <row r="2010" ht="14.25" customHeight="1">
      <c r="A2010" t="s">
        <v>2074</v>
      </c>
      <c r="B2010" t="s">
        <v>2024</v>
      </c>
      <c r="C2010" t="s">
        <v>75</v>
      </c>
      <c r="D2010" t="s">
        <v>63</v>
      </c>
      <c r="E2010">
        <v>17.0</v>
      </c>
      <c r="F2010">
        <v>17.5</v>
      </c>
      <c r="G2010" s="2" t="s">
        <v>67</v>
      </c>
      <c r="H2010" s="2">
        <v>99.0</v>
      </c>
      <c r="I2010" s="2">
        <v>131.0</v>
      </c>
      <c r="J2010" s="37">
        <v>2393.84</v>
      </c>
      <c r="K2010" s="2">
        <v>115.0</v>
      </c>
      <c r="L2010" s="2">
        <v>460.0</v>
      </c>
      <c r="M2010" s="37">
        <v>3180.9</v>
      </c>
    </row>
    <row r="2011" ht="14.25" customHeight="1">
      <c r="A2011" t="s">
        <v>2075</v>
      </c>
      <c r="B2011" t="s">
        <v>2037</v>
      </c>
      <c r="C2011" t="s">
        <v>75</v>
      </c>
      <c r="D2011" t="s">
        <v>63</v>
      </c>
      <c r="E2011">
        <v>7.3</v>
      </c>
      <c r="F2011">
        <v>7.4</v>
      </c>
      <c r="G2011" s="2" t="s">
        <v>67</v>
      </c>
      <c r="H2011" s="2">
        <v>44.0</v>
      </c>
      <c r="I2011" s="2">
        <v>142.0</v>
      </c>
      <c r="J2011" s="37">
        <v>1172.84</v>
      </c>
      <c r="K2011" s="2">
        <v>50.0</v>
      </c>
      <c r="L2011" s="2">
        <v>284.0</v>
      </c>
      <c r="M2011" s="37">
        <v>1492.2</v>
      </c>
    </row>
    <row r="2012" ht="14.25" customHeight="1">
      <c r="A2012" t="s">
        <v>2069</v>
      </c>
      <c r="B2012" t="s">
        <v>2037</v>
      </c>
      <c r="C2012" t="s">
        <v>75</v>
      </c>
      <c r="D2012" t="s">
        <v>63</v>
      </c>
      <c r="E2012">
        <v>9.0</v>
      </c>
      <c r="F2012">
        <v>10.0</v>
      </c>
      <c r="G2012" s="2" t="s">
        <v>67</v>
      </c>
      <c r="H2012" s="2">
        <v>60.0</v>
      </c>
      <c r="I2012" s="2">
        <v>198.0</v>
      </c>
      <c r="J2012" s="37">
        <v>1605.0000000000002</v>
      </c>
      <c r="K2012" s="2">
        <v>69.0</v>
      </c>
      <c r="L2012" s="2">
        <v>372.0</v>
      </c>
      <c r="M2012" s="37">
        <v>2033.3400000000001</v>
      </c>
    </row>
    <row r="2013" ht="14.25" customHeight="1">
      <c r="A2013" t="s">
        <v>2076</v>
      </c>
      <c r="B2013" t="s">
        <v>2037</v>
      </c>
      <c r="C2013" t="s">
        <v>75</v>
      </c>
      <c r="D2013" t="s">
        <v>63</v>
      </c>
      <c r="E2013">
        <v>10.5</v>
      </c>
      <c r="F2013">
        <v>11.0</v>
      </c>
      <c r="G2013" s="2" t="s">
        <v>67</v>
      </c>
      <c r="H2013" s="2">
        <v>65.0</v>
      </c>
      <c r="I2013" s="2">
        <v>104.0</v>
      </c>
      <c r="J2013" s="37">
        <v>1595.1000000000001</v>
      </c>
      <c r="K2013" s="2">
        <v>75.0</v>
      </c>
      <c r="L2013" s="2">
        <v>308.0</v>
      </c>
      <c r="M2013" s="37">
        <v>2084.9</v>
      </c>
    </row>
    <row r="2014" ht="14.25" customHeight="1">
      <c r="A2014" t="s">
        <v>2077</v>
      </c>
      <c r="B2014" t="s">
        <v>2037</v>
      </c>
      <c r="C2014" t="s">
        <v>75</v>
      </c>
      <c r="D2014" t="s">
        <v>63</v>
      </c>
      <c r="E2014">
        <v>10.0</v>
      </c>
      <c r="F2014">
        <v>11.0</v>
      </c>
      <c r="G2014" s="2" t="s">
        <v>67</v>
      </c>
      <c r="H2014" s="2">
        <v>64.0</v>
      </c>
      <c r="I2014" s="2">
        <v>70.0</v>
      </c>
      <c r="J2014" s="37">
        <v>1528.44</v>
      </c>
      <c r="K2014" s="2">
        <v>74.0</v>
      </c>
      <c r="L2014" s="2">
        <v>264.0</v>
      </c>
      <c r="M2014" s="37">
        <v>2005.24</v>
      </c>
    </row>
    <row r="2015" ht="14.25" customHeight="1">
      <c r="A2015" t="s">
        <v>2072</v>
      </c>
      <c r="B2015" t="s">
        <v>2037</v>
      </c>
      <c r="C2015" t="s">
        <v>75</v>
      </c>
      <c r="D2015" t="s">
        <v>63</v>
      </c>
      <c r="E2015">
        <v>12.5</v>
      </c>
      <c r="F2015">
        <v>13.0</v>
      </c>
      <c r="G2015" s="2" t="s">
        <v>67</v>
      </c>
      <c r="H2015" s="2">
        <v>78.0</v>
      </c>
      <c r="I2015" s="2">
        <v>242.0</v>
      </c>
      <c r="J2015" s="37">
        <v>2066.48</v>
      </c>
      <c r="K2015" s="2">
        <v>90.0</v>
      </c>
      <c r="L2015" s="2">
        <v>484.0</v>
      </c>
      <c r="M2015" s="37">
        <v>2650.6000000000004</v>
      </c>
    </row>
    <row r="2016" ht="14.25" customHeight="1">
      <c r="A2016" t="s">
        <v>2078</v>
      </c>
      <c r="B2016" t="s">
        <v>2037</v>
      </c>
      <c r="C2016" t="s">
        <v>75</v>
      </c>
      <c r="D2016" t="s">
        <v>63</v>
      </c>
      <c r="E2016">
        <v>14.0</v>
      </c>
      <c r="F2016">
        <v>14.5</v>
      </c>
      <c r="G2016" s="2" t="s">
        <v>67</v>
      </c>
      <c r="H2016" s="2">
        <v>84.0</v>
      </c>
      <c r="I2016" s="2">
        <v>177.0</v>
      </c>
      <c r="J2016" s="37">
        <v>2116.7400000000002</v>
      </c>
      <c r="K2016" s="2">
        <v>97.0</v>
      </c>
      <c r="L2016" s="2">
        <v>448.0</v>
      </c>
      <c r="M2016" s="37">
        <v>2761.02</v>
      </c>
    </row>
    <row r="2017" ht="14.25" customHeight="1">
      <c r="A2017" t="s">
        <v>2074</v>
      </c>
      <c r="B2017" t="s">
        <v>2037</v>
      </c>
      <c r="C2017" t="s">
        <v>75</v>
      </c>
      <c r="D2017" t="s">
        <v>63</v>
      </c>
      <c r="E2017">
        <v>17.0</v>
      </c>
      <c r="F2017">
        <v>17.5</v>
      </c>
      <c r="G2017" s="2" t="s">
        <v>67</v>
      </c>
      <c r="H2017" s="2">
        <v>99.0</v>
      </c>
      <c r="I2017" s="2">
        <v>131.0</v>
      </c>
      <c r="J2017" s="37">
        <v>2393.84</v>
      </c>
      <c r="K2017" s="2">
        <v>115.0</v>
      </c>
      <c r="L2017" s="2">
        <v>460.0</v>
      </c>
      <c r="M2017" s="37">
        <v>3180.9</v>
      </c>
    </row>
    <row r="2018" ht="14.25" customHeight="1">
      <c r="A2018" t="s">
        <v>2079</v>
      </c>
      <c r="B2018" t="s">
        <v>2037</v>
      </c>
      <c r="C2018" t="s">
        <v>62</v>
      </c>
      <c r="D2018" t="s">
        <v>268</v>
      </c>
      <c r="E2018">
        <v>3.378</v>
      </c>
      <c r="F2018">
        <v>2.81</v>
      </c>
      <c r="G2018" s="2" t="s">
        <v>64</v>
      </c>
      <c r="H2018" s="2">
        <v>0.0</v>
      </c>
      <c r="I2018" s="2">
        <v>0.0</v>
      </c>
      <c r="J2018" s="37">
        <v>0.0</v>
      </c>
      <c r="K2018" s="2">
        <v>0.0</v>
      </c>
      <c r="L2018" s="2">
        <v>0.0</v>
      </c>
      <c r="M2018" s="37">
        <v>0.0</v>
      </c>
    </row>
    <row r="2019" ht="14.25" customHeight="1">
      <c r="A2019" t="s">
        <v>2080</v>
      </c>
      <c r="B2019" t="s">
        <v>2024</v>
      </c>
      <c r="C2019" t="s">
        <v>62</v>
      </c>
      <c r="D2019" t="s">
        <v>63</v>
      </c>
      <c r="E2019">
        <v>10.5</v>
      </c>
      <c r="F2019">
        <v>11.0</v>
      </c>
      <c r="G2019" s="2" t="s">
        <v>67</v>
      </c>
      <c r="H2019" s="2">
        <v>67.0</v>
      </c>
      <c r="I2019" s="2">
        <v>424.0</v>
      </c>
      <c r="J2019" s="37">
        <v>2056.0200000000004</v>
      </c>
      <c r="K2019" s="2">
        <v>77.0</v>
      </c>
      <c r="L2019" s="2">
        <v>627.0</v>
      </c>
      <c r="M2019" s="37">
        <v>2544.52</v>
      </c>
    </row>
    <row r="2020" ht="14.25" customHeight="1">
      <c r="A2020" t="s">
        <v>2081</v>
      </c>
      <c r="B2020" t="s">
        <v>2024</v>
      </c>
      <c r="C2020" t="s">
        <v>62</v>
      </c>
      <c r="D2020" t="s">
        <v>63</v>
      </c>
      <c r="E2020">
        <v>12.5</v>
      </c>
      <c r="F2020">
        <v>13.0</v>
      </c>
      <c r="G2020" s="2" t="s">
        <v>67</v>
      </c>
      <c r="H2020" s="2">
        <v>76.0</v>
      </c>
      <c r="I2020" s="2">
        <v>360.0</v>
      </c>
      <c r="J2020" s="37">
        <v>2174.96</v>
      </c>
      <c r="K2020" s="2">
        <v>88.0</v>
      </c>
      <c r="L2020" s="2">
        <v>602.0</v>
      </c>
      <c r="M2020" s="37">
        <v>2759.08</v>
      </c>
    </row>
    <row r="2021" ht="14.25" customHeight="1">
      <c r="A2021" t="s">
        <v>2082</v>
      </c>
      <c r="B2021" t="s">
        <v>2024</v>
      </c>
      <c r="C2021" t="s">
        <v>62</v>
      </c>
      <c r="D2021" t="s">
        <v>63</v>
      </c>
      <c r="E2021">
        <v>14.0</v>
      </c>
      <c r="F2021">
        <v>14.5</v>
      </c>
      <c r="G2021" s="2" t="s">
        <v>67</v>
      </c>
      <c r="H2021" s="2">
        <v>83.0</v>
      </c>
      <c r="I2021" s="2">
        <v>149.0</v>
      </c>
      <c r="J2021" s="37">
        <v>2057.88</v>
      </c>
      <c r="K2021" s="2">
        <v>96.0</v>
      </c>
      <c r="L2021" s="2">
        <v>420.0</v>
      </c>
      <c r="M2021" s="37">
        <v>2702.16</v>
      </c>
    </row>
    <row r="2022" ht="14.25" customHeight="1">
      <c r="A2022" t="s">
        <v>2083</v>
      </c>
      <c r="B2022" t="s">
        <v>2024</v>
      </c>
      <c r="C2022" t="s">
        <v>62</v>
      </c>
      <c r="D2022" t="s">
        <v>63</v>
      </c>
      <c r="E2022">
        <v>2.0</v>
      </c>
      <c r="F2022">
        <v>2.25</v>
      </c>
      <c r="G2022" s="2" t="s">
        <v>67</v>
      </c>
      <c r="H2022" s="2">
        <v>12.0</v>
      </c>
      <c r="I2022" s="2">
        <v>65.0</v>
      </c>
      <c r="J2022" s="37">
        <v>354.02</v>
      </c>
      <c r="K2022" s="2">
        <v>13.0</v>
      </c>
      <c r="L2022" s="2">
        <v>95.0</v>
      </c>
      <c r="M2022" s="37">
        <v>415.48</v>
      </c>
    </row>
    <row r="2023" ht="14.25" customHeight="1">
      <c r="A2023" t="s">
        <v>2084</v>
      </c>
      <c r="B2023" t="s">
        <v>2024</v>
      </c>
      <c r="C2023" t="s">
        <v>62</v>
      </c>
      <c r="D2023" t="s">
        <v>63</v>
      </c>
      <c r="E2023">
        <v>2.6</v>
      </c>
      <c r="F2023">
        <v>2.7</v>
      </c>
      <c r="G2023" s="2" t="s">
        <v>67</v>
      </c>
      <c r="H2023" s="2">
        <v>13.0</v>
      </c>
      <c r="I2023" s="2">
        <v>67.0</v>
      </c>
      <c r="J2023" s="37">
        <v>379.08000000000004</v>
      </c>
      <c r="K2023" s="2">
        <v>15.0</v>
      </c>
      <c r="L2023" s="2">
        <v>106.0</v>
      </c>
      <c r="M2023" s="37">
        <v>474.70000000000005</v>
      </c>
    </row>
    <row r="2024" ht="14.25" customHeight="1">
      <c r="A2024" t="s">
        <v>2085</v>
      </c>
      <c r="B2024" t="s">
        <v>2024</v>
      </c>
      <c r="C2024" t="s">
        <v>62</v>
      </c>
      <c r="D2024" t="s">
        <v>63</v>
      </c>
      <c r="E2024">
        <v>5.0</v>
      </c>
      <c r="F2024">
        <v>5.2</v>
      </c>
      <c r="G2024" s="2" t="s">
        <v>67</v>
      </c>
      <c r="H2024" s="2">
        <v>27.0</v>
      </c>
      <c r="I2024" s="2">
        <v>141.0</v>
      </c>
      <c r="J2024" s="37">
        <v>789.72</v>
      </c>
      <c r="K2024" s="2">
        <v>31.0</v>
      </c>
      <c r="L2024" s="2">
        <v>227.0</v>
      </c>
      <c r="M2024" s="37">
        <v>991.36</v>
      </c>
    </row>
    <row r="2025" ht="14.25" customHeight="1">
      <c r="A2025" t="s">
        <v>2086</v>
      </c>
      <c r="B2025" t="s">
        <v>2024</v>
      </c>
      <c r="C2025" t="s">
        <v>62</v>
      </c>
      <c r="D2025" t="s">
        <v>63</v>
      </c>
      <c r="E2025">
        <v>3.55</v>
      </c>
      <c r="F2025">
        <v>4.0</v>
      </c>
      <c r="G2025" s="2" t="s">
        <v>67</v>
      </c>
      <c r="H2025" s="2">
        <v>19.0</v>
      </c>
      <c r="I2025" s="2">
        <v>84.0</v>
      </c>
      <c r="J2025" s="37">
        <v>535.94</v>
      </c>
      <c r="K2025" s="2">
        <v>21.0</v>
      </c>
      <c r="L2025" s="2">
        <v>137.0</v>
      </c>
      <c r="M2025" s="37">
        <v>649.76</v>
      </c>
    </row>
    <row r="2026" ht="14.25" customHeight="1">
      <c r="A2026" t="s">
        <v>2087</v>
      </c>
      <c r="B2026" t="s">
        <v>2024</v>
      </c>
      <c r="C2026" t="s">
        <v>62</v>
      </c>
      <c r="D2026" t="s">
        <v>63</v>
      </c>
      <c r="E2026">
        <v>7.0</v>
      </c>
      <c r="F2026">
        <v>7.5</v>
      </c>
      <c r="G2026" s="2" t="s">
        <v>67</v>
      </c>
      <c r="H2026" s="2">
        <v>41.0</v>
      </c>
      <c r="I2026" s="2">
        <v>125.0</v>
      </c>
      <c r="J2026" s="37">
        <v>1083.3600000000001</v>
      </c>
      <c r="K2026" s="2">
        <v>47.0</v>
      </c>
      <c r="L2026" s="2">
        <v>246.0</v>
      </c>
      <c r="M2026" s="37">
        <v>1375.42</v>
      </c>
    </row>
    <row r="2027" ht="14.25" customHeight="1">
      <c r="A2027" t="s">
        <v>2088</v>
      </c>
      <c r="B2027" t="s">
        <v>2024</v>
      </c>
      <c r="C2027" t="s">
        <v>62</v>
      </c>
      <c r="D2027" t="s">
        <v>63</v>
      </c>
      <c r="E2027">
        <v>7.0</v>
      </c>
      <c r="F2027">
        <v>7.5</v>
      </c>
      <c r="G2027" s="2" t="s">
        <v>67</v>
      </c>
      <c r="H2027" s="2">
        <v>41.0</v>
      </c>
      <c r="I2027" s="2">
        <v>125.0</v>
      </c>
      <c r="J2027" s="37">
        <v>1083.3600000000001</v>
      </c>
      <c r="K2027" s="2">
        <v>47.0</v>
      </c>
      <c r="L2027" s="2">
        <v>246.0</v>
      </c>
      <c r="M2027" s="37">
        <v>1375.42</v>
      </c>
    </row>
    <row r="2028" ht="14.25" customHeight="1">
      <c r="A2028" t="s">
        <v>2089</v>
      </c>
      <c r="B2028" t="s">
        <v>2024</v>
      </c>
      <c r="C2028" t="s">
        <v>62</v>
      </c>
      <c r="D2028" t="s">
        <v>63</v>
      </c>
      <c r="E2028">
        <v>7.0</v>
      </c>
      <c r="F2028">
        <v>7.5</v>
      </c>
      <c r="G2028" s="2" t="s">
        <v>67</v>
      </c>
      <c r="H2028" s="2">
        <v>41.0</v>
      </c>
      <c r="I2028" s="2">
        <v>125.0</v>
      </c>
      <c r="J2028" s="37">
        <v>1083.3600000000001</v>
      </c>
      <c r="K2028" s="2">
        <v>47.0</v>
      </c>
      <c r="L2028" s="2">
        <v>246.0</v>
      </c>
      <c r="M2028" s="37">
        <v>1375.42</v>
      </c>
    </row>
    <row r="2029" ht="14.25" customHeight="1">
      <c r="A2029" t="s">
        <v>2090</v>
      </c>
      <c r="B2029" t="s">
        <v>2024</v>
      </c>
      <c r="C2029" t="s">
        <v>62</v>
      </c>
      <c r="D2029" t="s">
        <v>63</v>
      </c>
      <c r="E2029">
        <v>7.0</v>
      </c>
      <c r="F2029">
        <v>7.5</v>
      </c>
      <c r="G2029" s="2" t="s">
        <v>67</v>
      </c>
      <c r="H2029" s="2">
        <v>41.0</v>
      </c>
      <c r="I2029" s="2">
        <v>125.0</v>
      </c>
      <c r="J2029" s="37">
        <v>1083.3600000000001</v>
      </c>
      <c r="K2029" s="2">
        <v>47.0</v>
      </c>
      <c r="L2029" s="2">
        <v>246.0</v>
      </c>
      <c r="M2029" s="37">
        <v>1375.42</v>
      </c>
    </row>
    <row r="2030" ht="14.25" customHeight="1">
      <c r="A2030" t="s">
        <v>2091</v>
      </c>
      <c r="B2030" t="s">
        <v>2024</v>
      </c>
      <c r="C2030" t="s">
        <v>62</v>
      </c>
      <c r="D2030" t="s">
        <v>63</v>
      </c>
      <c r="E2030">
        <v>6.0</v>
      </c>
      <c r="F2030">
        <v>6.2</v>
      </c>
      <c r="G2030" s="2" t="s">
        <v>64</v>
      </c>
      <c r="H2030" s="2">
        <v>0.0</v>
      </c>
      <c r="I2030" s="2">
        <v>0.0</v>
      </c>
      <c r="J2030" s="37">
        <v>0.0</v>
      </c>
      <c r="K2030" s="2">
        <v>0.0</v>
      </c>
      <c r="L2030" s="2">
        <v>0.0</v>
      </c>
      <c r="M2030" s="37">
        <v>0.0</v>
      </c>
    </row>
    <row r="2031" ht="14.25" customHeight="1">
      <c r="A2031" t="s">
        <v>2092</v>
      </c>
      <c r="B2031" t="s">
        <v>2024</v>
      </c>
      <c r="C2031" t="s">
        <v>62</v>
      </c>
      <c r="D2031" t="s">
        <v>63</v>
      </c>
      <c r="E2031">
        <v>8.0</v>
      </c>
      <c r="F2031">
        <v>8.5</v>
      </c>
      <c r="G2031" s="2" t="s">
        <v>67</v>
      </c>
      <c r="H2031" s="2">
        <v>44.0</v>
      </c>
      <c r="I2031" s="2">
        <v>47.0</v>
      </c>
      <c r="J2031" s="37">
        <v>1049.34</v>
      </c>
      <c r="K2031" s="2">
        <v>51.0</v>
      </c>
      <c r="L2031" s="2">
        <v>185.0</v>
      </c>
      <c r="M2031" s="37">
        <v>1385.96</v>
      </c>
    </row>
    <row r="2032" ht="14.25" customHeight="1">
      <c r="A2032" t="s">
        <v>2093</v>
      </c>
      <c r="B2032" t="s">
        <v>2024</v>
      </c>
      <c r="C2032" t="s">
        <v>62</v>
      </c>
      <c r="D2032" t="s">
        <v>63</v>
      </c>
      <c r="E2032">
        <v>8.0</v>
      </c>
      <c r="F2032">
        <v>8.5</v>
      </c>
      <c r="G2032" s="2" t="s">
        <v>67</v>
      </c>
      <c r="H2032" s="2">
        <v>44.0</v>
      </c>
      <c r="I2032" s="2">
        <v>47.0</v>
      </c>
      <c r="J2032" s="37">
        <v>1049.34</v>
      </c>
      <c r="K2032" s="2">
        <v>51.0</v>
      </c>
      <c r="L2032" s="2">
        <v>185.0</v>
      </c>
      <c r="M2032" s="37">
        <v>1385.96</v>
      </c>
    </row>
    <row r="2033" ht="14.25" customHeight="1">
      <c r="A2033" t="s">
        <v>2094</v>
      </c>
      <c r="B2033" t="s">
        <v>2024</v>
      </c>
      <c r="C2033" t="s">
        <v>62</v>
      </c>
      <c r="D2033" t="s">
        <v>63</v>
      </c>
      <c r="E2033">
        <v>8.0</v>
      </c>
      <c r="F2033">
        <v>8.5</v>
      </c>
      <c r="G2033" s="2" t="s">
        <v>67</v>
      </c>
      <c r="H2033" s="2">
        <v>44.0</v>
      </c>
      <c r="I2033" s="2">
        <v>47.0</v>
      </c>
      <c r="J2033" s="37">
        <v>1049.34</v>
      </c>
      <c r="K2033" s="2">
        <v>51.0</v>
      </c>
      <c r="L2033" s="2">
        <v>185.0</v>
      </c>
      <c r="M2033" s="37">
        <v>1385.96</v>
      </c>
    </row>
    <row r="2034" ht="14.25" customHeight="1">
      <c r="A2034" t="s">
        <v>2095</v>
      </c>
      <c r="B2034" t="s">
        <v>2024</v>
      </c>
      <c r="C2034" t="s">
        <v>62</v>
      </c>
      <c r="D2034" t="s">
        <v>63</v>
      </c>
      <c r="E2034">
        <v>8.0</v>
      </c>
      <c r="F2034">
        <v>8.5</v>
      </c>
      <c r="G2034" s="2" t="s">
        <v>67</v>
      </c>
      <c r="H2034" s="2">
        <v>44.0</v>
      </c>
      <c r="I2034" s="2">
        <v>47.0</v>
      </c>
      <c r="J2034" s="37">
        <v>1049.34</v>
      </c>
      <c r="K2034" s="2">
        <v>51.0</v>
      </c>
      <c r="L2034" s="2">
        <v>185.0</v>
      </c>
      <c r="M2034" s="37">
        <v>1385.96</v>
      </c>
    </row>
    <row r="2035" ht="14.25" customHeight="1">
      <c r="A2035" t="s">
        <v>2096</v>
      </c>
      <c r="B2035" t="s">
        <v>2037</v>
      </c>
      <c r="C2035" t="s">
        <v>62</v>
      </c>
      <c r="D2035" t="s">
        <v>63</v>
      </c>
      <c r="E2035">
        <v>2.6</v>
      </c>
      <c r="F2035">
        <v>2.65</v>
      </c>
      <c r="G2035" s="2" t="s">
        <v>67</v>
      </c>
      <c r="H2035" s="2">
        <v>14.0</v>
      </c>
      <c r="I2035" s="2">
        <v>106.0</v>
      </c>
      <c r="J2035" s="37">
        <v>452.24</v>
      </c>
      <c r="K2035" s="2">
        <v>16.0</v>
      </c>
      <c r="L2035" s="2">
        <v>146.0</v>
      </c>
      <c r="M2035" s="37">
        <v>549.1600000000001</v>
      </c>
    </row>
    <row r="2036" ht="14.25" customHeight="1">
      <c r="A2036" t="s">
        <v>2097</v>
      </c>
      <c r="B2036" t="s">
        <v>2037</v>
      </c>
      <c r="C2036" t="s">
        <v>62</v>
      </c>
      <c r="D2036" t="s">
        <v>63</v>
      </c>
      <c r="E2036">
        <v>3.55</v>
      </c>
      <c r="F2036">
        <v>3.6</v>
      </c>
      <c r="G2036" s="2" t="s">
        <v>67</v>
      </c>
      <c r="H2036" s="2">
        <v>19.0</v>
      </c>
      <c r="I2036" s="2">
        <v>95.0</v>
      </c>
      <c r="J2036" s="37">
        <v>550.24</v>
      </c>
      <c r="K2036" s="2">
        <v>22.0</v>
      </c>
      <c r="L2036" s="2">
        <v>149.0</v>
      </c>
      <c r="M2036" s="37">
        <v>687.82</v>
      </c>
    </row>
    <row r="2037" ht="14.25" customHeight="1">
      <c r="A2037" t="s">
        <v>2098</v>
      </c>
      <c r="B2037" t="s">
        <v>2037</v>
      </c>
      <c r="C2037" t="s">
        <v>62</v>
      </c>
      <c r="D2037" t="s">
        <v>63</v>
      </c>
      <c r="E2037">
        <v>5.2</v>
      </c>
      <c r="F2037">
        <v>5.2</v>
      </c>
      <c r="G2037" s="2" t="s">
        <v>67</v>
      </c>
      <c r="H2037" s="2">
        <v>31.0</v>
      </c>
      <c r="I2037" s="2">
        <v>142.0</v>
      </c>
      <c r="J2037" s="37">
        <v>880.86</v>
      </c>
      <c r="K2037" s="2">
        <v>35.0</v>
      </c>
      <c r="L2037" s="2">
        <v>232.0</v>
      </c>
      <c r="M2037" s="37">
        <v>1087.7</v>
      </c>
    </row>
    <row r="2038" ht="14.25" customHeight="1">
      <c r="A2038" t="s">
        <v>2099</v>
      </c>
      <c r="B2038" t="s">
        <v>2037</v>
      </c>
      <c r="C2038" t="s">
        <v>62</v>
      </c>
      <c r="D2038" t="s">
        <v>63</v>
      </c>
      <c r="E2038">
        <v>7.0</v>
      </c>
      <c r="F2038">
        <v>8.05</v>
      </c>
      <c r="G2038" s="2" t="s">
        <v>67</v>
      </c>
      <c r="H2038" s="2">
        <v>42.0</v>
      </c>
      <c r="I2038" s="2">
        <v>63.0</v>
      </c>
      <c r="J2038" s="37">
        <v>1025.22</v>
      </c>
      <c r="K2038" s="2">
        <v>48.0</v>
      </c>
      <c r="L2038" s="2">
        <v>184.0</v>
      </c>
      <c r="M2038" s="37">
        <v>1317.28</v>
      </c>
    </row>
    <row r="2039" ht="14.25" customHeight="1">
      <c r="A2039" t="s">
        <v>2100</v>
      </c>
      <c r="B2039" t="s">
        <v>2037</v>
      </c>
      <c r="C2039" t="s">
        <v>62</v>
      </c>
      <c r="D2039" t="s">
        <v>63</v>
      </c>
      <c r="E2039">
        <v>2.6</v>
      </c>
      <c r="F2039">
        <v>2.7</v>
      </c>
      <c r="G2039" s="2" t="s">
        <v>67</v>
      </c>
      <c r="H2039" s="2">
        <v>15.0</v>
      </c>
      <c r="I2039" s="2">
        <v>123.0</v>
      </c>
      <c r="J2039" s="37">
        <v>496.80000000000007</v>
      </c>
      <c r="K2039" s="2">
        <v>17.0</v>
      </c>
      <c r="L2039" s="2">
        <v>163.0</v>
      </c>
      <c r="M2039" s="37">
        <v>593.72</v>
      </c>
    </row>
    <row r="2040" ht="14.25" customHeight="1">
      <c r="A2040" t="s">
        <v>2101</v>
      </c>
      <c r="B2040" t="s">
        <v>2037</v>
      </c>
      <c r="C2040" t="s">
        <v>62</v>
      </c>
      <c r="D2040" t="s">
        <v>63</v>
      </c>
      <c r="E2040">
        <v>3.5</v>
      </c>
      <c r="F2040">
        <v>3.65</v>
      </c>
      <c r="G2040" s="2" t="s">
        <v>67</v>
      </c>
      <c r="H2040" s="2">
        <v>19.0</v>
      </c>
      <c r="I2040" s="2">
        <v>110.0</v>
      </c>
      <c r="J2040" s="37">
        <v>569.74</v>
      </c>
      <c r="K2040" s="2">
        <v>22.0</v>
      </c>
      <c r="L2040" s="2">
        <v>163.0</v>
      </c>
      <c r="M2040" s="37">
        <v>706.02</v>
      </c>
    </row>
    <row r="2041" ht="14.25" customHeight="1">
      <c r="A2041" t="s">
        <v>2102</v>
      </c>
      <c r="B2041" t="s">
        <v>2037</v>
      </c>
      <c r="C2041" t="s">
        <v>62</v>
      </c>
      <c r="D2041" t="s">
        <v>63</v>
      </c>
      <c r="E2041">
        <v>5.0</v>
      </c>
      <c r="F2041">
        <v>5.3</v>
      </c>
      <c r="G2041" s="2" t="s">
        <v>67</v>
      </c>
      <c r="H2041" s="2">
        <v>28.0</v>
      </c>
      <c r="I2041" s="2">
        <v>169.0</v>
      </c>
      <c r="J2041" s="37">
        <v>848.58</v>
      </c>
      <c r="K2041" s="2">
        <v>32.0</v>
      </c>
      <c r="L2041" s="2">
        <v>255.0</v>
      </c>
      <c r="M2041" s="37">
        <v>1050.22</v>
      </c>
    </row>
    <row r="2042" ht="14.25" customHeight="1">
      <c r="A2042" t="s">
        <v>2103</v>
      </c>
      <c r="B2042" t="s">
        <v>2037</v>
      </c>
      <c r="C2042" t="s">
        <v>62</v>
      </c>
      <c r="D2042" t="s">
        <v>63</v>
      </c>
      <c r="E2042">
        <v>7.0</v>
      </c>
      <c r="F2042">
        <v>8.8</v>
      </c>
      <c r="G2042" s="2" t="s">
        <v>67</v>
      </c>
      <c r="H2042" s="2">
        <v>47.0</v>
      </c>
      <c r="I2042" s="2">
        <v>157.0</v>
      </c>
      <c r="J2042" s="37">
        <v>1259.72</v>
      </c>
      <c r="K2042" s="2">
        <v>54.0</v>
      </c>
      <c r="L2042" s="2">
        <v>278.0</v>
      </c>
      <c r="M2042" s="37">
        <v>1574.2400000000002</v>
      </c>
    </row>
    <row r="2043" ht="14.25" customHeight="1">
      <c r="A2043" t="s">
        <v>2104</v>
      </c>
      <c r="B2043" t="s">
        <v>2037</v>
      </c>
      <c r="C2043" t="s">
        <v>62</v>
      </c>
      <c r="D2043" t="s">
        <v>63</v>
      </c>
      <c r="E2043">
        <v>8.0</v>
      </c>
      <c r="F2043">
        <v>9.0</v>
      </c>
      <c r="G2043" s="2" t="s">
        <v>67</v>
      </c>
      <c r="H2043" s="2">
        <v>48.0</v>
      </c>
      <c r="I2043" s="2">
        <v>106.0</v>
      </c>
      <c r="J2043" s="37">
        <v>1215.8799999999999</v>
      </c>
      <c r="K2043" s="2">
        <v>55.0</v>
      </c>
      <c r="L2043" s="2">
        <v>244.0</v>
      </c>
      <c r="M2043" s="37">
        <v>1552.5</v>
      </c>
    </row>
    <row r="2044" ht="14.25" customHeight="1">
      <c r="A2044" t="s">
        <v>2105</v>
      </c>
      <c r="B2044" t="s">
        <v>2037</v>
      </c>
      <c r="C2044" t="s">
        <v>62</v>
      </c>
      <c r="D2044" t="s">
        <v>63</v>
      </c>
      <c r="E2044">
        <v>5.0</v>
      </c>
      <c r="F2044">
        <v>5.3</v>
      </c>
      <c r="G2044" s="2" t="s">
        <v>67</v>
      </c>
      <c r="H2044" s="2">
        <v>29.0</v>
      </c>
      <c r="I2044" s="2">
        <v>169.0</v>
      </c>
      <c r="J2044" s="37">
        <v>871.0400000000001</v>
      </c>
      <c r="K2044" s="2">
        <v>33.0</v>
      </c>
      <c r="L2044" s="2">
        <v>255.0</v>
      </c>
      <c r="M2044" s="37">
        <v>1072.68</v>
      </c>
    </row>
    <row r="2045" ht="14.25" customHeight="1">
      <c r="A2045" t="s">
        <v>2106</v>
      </c>
      <c r="B2045" t="s">
        <v>2037</v>
      </c>
      <c r="C2045" t="s">
        <v>62</v>
      </c>
      <c r="D2045" t="s">
        <v>63</v>
      </c>
      <c r="E2045">
        <v>3.55</v>
      </c>
      <c r="F2045">
        <v>3.8</v>
      </c>
      <c r="G2045" s="2" t="s">
        <v>67</v>
      </c>
      <c r="H2045" s="2">
        <v>20.0</v>
      </c>
      <c r="I2045" s="2">
        <v>95.0</v>
      </c>
      <c r="J2045" s="37">
        <v>572.7</v>
      </c>
      <c r="K2045" s="2">
        <v>22.0</v>
      </c>
      <c r="L2045" s="2">
        <v>149.0</v>
      </c>
      <c r="M2045" s="37">
        <v>687.82</v>
      </c>
    </row>
    <row r="2046" ht="14.25" customHeight="1">
      <c r="A2046" t="s">
        <v>2107</v>
      </c>
      <c r="B2046" t="s">
        <v>2037</v>
      </c>
      <c r="C2046" t="s">
        <v>62</v>
      </c>
      <c r="D2046" t="s">
        <v>63</v>
      </c>
      <c r="E2046">
        <v>5.0</v>
      </c>
      <c r="F2046">
        <v>5.52</v>
      </c>
      <c r="G2046" s="2" t="s">
        <v>67</v>
      </c>
      <c r="H2046" s="2">
        <v>30.0</v>
      </c>
      <c r="I2046" s="2">
        <v>152.0</v>
      </c>
      <c r="J2046" s="37">
        <v>871.4000000000001</v>
      </c>
      <c r="K2046" s="2">
        <v>34.0</v>
      </c>
      <c r="L2046" s="2">
        <v>239.0</v>
      </c>
      <c r="M2046" s="37">
        <v>1074.34</v>
      </c>
    </row>
    <row r="2047" ht="14.25" customHeight="1">
      <c r="A2047" t="s">
        <v>2106</v>
      </c>
      <c r="B2047" t="s">
        <v>2037</v>
      </c>
      <c r="C2047" t="s">
        <v>62</v>
      </c>
      <c r="D2047" t="s">
        <v>63</v>
      </c>
      <c r="E2047">
        <v>3.55</v>
      </c>
      <c r="F2047">
        <v>3.8</v>
      </c>
      <c r="G2047" s="2" t="s">
        <v>67</v>
      </c>
      <c r="H2047" s="2">
        <v>20.0</v>
      </c>
      <c r="I2047" s="2">
        <v>95.0</v>
      </c>
      <c r="J2047" s="37">
        <v>572.7</v>
      </c>
      <c r="K2047" s="2">
        <v>22.0</v>
      </c>
      <c r="L2047" s="2">
        <v>149.0</v>
      </c>
      <c r="M2047" s="37">
        <v>687.82</v>
      </c>
    </row>
    <row r="2048" ht="14.25" customHeight="1">
      <c r="A2048" t="s">
        <v>2108</v>
      </c>
      <c r="B2048" t="s">
        <v>2037</v>
      </c>
      <c r="C2048" t="s">
        <v>75</v>
      </c>
      <c r="D2048" t="s">
        <v>63</v>
      </c>
      <c r="E2048">
        <v>17.0</v>
      </c>
      <c r="F2048">
        <v>17.5</v>
      </c>
      <c r="G2048" s="2" t="s">
        <v>67</v>
      </c>
      <c r="H2048" s="2">
        <v>98.0</v>
      </c>
      <c r="I2048" s="2">
        <v>260.0</v>
      </c>
      <c r="J2048" s="37">
        <v>2539.08</v>
      </c>
      <c r="K2048" s="2">
        <v>114.0</v>
      </c>
      <c r="L2048" s="2">
        <v>589.0</v>
      </c>
      <c r="M2048" s="37">
        <v>3326.1400000000003</v>
      </c>
    </row>
    <row r="2049" ht="14.25" customHeight="1">
      <c r="A2049" t="s">
        <v>2109</v>
      </c>
      <c r="B2049" t="s">
        <v>2037</v>
      </c>
      <c r="C2049" t="s">
        <v>62</v>
      </c>
      <c r="D2049" t="s">
        <v>63</v>
      </c>
      <c r="E2049">
        <v>10.5</v>
      </c>
      <c r="F2049">
        <v>11.5</v>
      </c>
      <c r="G2049" s="2" t="s">
        <v>67</v>
      </c>
      <c r="H2049" s="2">
        <v>65.0</v>
      </c>
      <c r="I2049" s="2">
        <v>295.0</v>
      </c>
      <c r="J2049" s="37">
        <v>1843.4</v>
      </c>
      <c r="K2049" s="2">
        <v>75.0</v>
      </c>
      <c r="L2049" s="2">
        <v>498.0</v>
      </c>
      <c r="M2049" s="37">
        <v>2331.9</v>
      </c>
    </row>
    <row r="2050" ht="14.25" customHeight="1">
      <c r="A2050" t="s">
        <v>2110</v>
      </c>
      <c r="B2050" t="s">
        <v>2037</v>
      </c>
      <c r="C2050" t="s">
        <v>62</v>
      </c>
      <c r="D2050" t="s">
        <v>63</v>
      </c>
      <c r="E2050">
        <v>7.0</v>
      </c>
      <c r="F2050">
        <v>7.7</v>
      </c>
      <c r="G2050" s="2" t="s">
        <v>67</v>
      </c>
      <c r="H2050" s="2">
        <v>45.0</v>
      </c>
      <c r="I2050" s="2">
        <v>192.0</v>
      </c>
      <c r="J2050" s="37">
        <v>1260.3000000000002</v>
      </c>
      <c r="K2050" s="2">
        <v>51.0</v>
      </c>
      <c r="L2050" s="2">
        <v>313.0</v>
      </c>
      <c r="M2050" s="37">
        <v>1552.3600000000001</v>
      </c>
    </row>
    <row r="2051" ht="14.25" customHeight="1">
      <c r="A2051" t="s">
        <v>2111</v>
      </c>
      <c r="B2051" t="s">
        <v>2037</v>
      </c>
      <c r="C2051" t="s">
        <v>62</v>
      </c>
      <c r="D2051" t="s">
        <v>63</v>
      </c>
      <c r="E2051">
        <v>7.0</v>
      </c>
      <c r="F2051">
        <v>8.0</v>
      </c>
      <c r="G2051" s="2" t="s">
        <v>67</v>
      </c>
      <c r="H2051" s="2">
        <v>43.0</v>
      </c>
      <c r="I2051" s="2">
        <v>142.0</v>
      </c>
      <c r="J2051" s="37">
        <v>1150.38</v>
      </c>
      <c r="K2051" s="2">
        <v>49.0</v>
      </c>
      <c r="L2051" s="2">
        <v>262.0</v>
      </c>
      <c r="M2051" s="37">
        <v>1441.1399999999999</v>
      </c>
    </row>
    <row r="2052" ht="14.25" customHeight="1">
      <c r="A2052" t="s">
        <v>2112</v>
      </c>
      <c r="B2052" t="s">
        <v>2037</v>
      </c>
      <c r="C2052" t="s">
        <v>62</v>
      </c>
      <c r="D2052" t="s">
        <v>63</v>
      </c>
      <c r="E2052">
        <v>6.1</v>
      </c>
      <c r="F2052">
        <v>6.6</v>
      </c>
      <c r="G2052" s="2" t="s">
        <v>67</v>
      </c>
      <c r="H2052" s="2">
        <v>34.0</v>
      </c>
      <c r="I2052" s="2">
        <v>80.0</v>
      </c>
      <c r="J2052" s="37">
        <v>867.64</v>
      </c>
      <c r="K2052" s="2">
        <v>39.0</v>
      </c>
      <c r="L2052" s="2">
        <v>186.0</v>
      </c>
      <c r="M2052" s="37">
        <v>1117.74</v>
      </c>
    </row>
    <row r="2053" ht="14.25" customHeight="1">
      <c r="A2053" t="s">
        <v>2113</v>
      </c>
      <c r="B2053" t="s">
        <v>2037</v>
      </c>
      <c r="C2053" t="s">
        <v>62</v>
      </c>
      <c r="D2053" t="s">
        <v>63</v>
      </c>
      <c r="E2053">
        <v>2.0</v>
      </c>
      <c r="F2053">
        <v>2.25</v>
      </c>
      <c r="G2053" s="2" t="s">
        <v>67</v>
      </c>
      <c r="H2053" s="2">
        <v>12.0</v>
      </c>
      <c r="I2053" s="2">
        <v>65.0</v>
      </c>
      <c r="J2053" s="37">
        <v>354.02</v>
      </c>
      <c r="K2053" s="2">
        <v>13.0</v>
      </c>
      <c r="L2053" s="2">
        <v>95.0</v>
      </c>
      <c r="M2053" s="37">
        <v>415.48</v>
      </c>
    </row>
    <row r="2054" ht="14.25" customHeight="1">
      <c r="A2054" t="s">
        <v>2114</v>
      </c>
      <c r="B2054" t="s">
        <v>2037</v>
      </c>
      <c r="C2054" t="s">
        <v>62</v>
      </c>
      <c r="D2054" t="s">
        <v>63</v>
      </c>
      <c r="E2054">
        <v>2.65</v>
      </c>
      <c r="F2054">
        <v>2.7</v>
      </c>
      <c r="G2054" s="2" t="s">
        <v>67</v>
      </c>
      <c r="H2054" s="2">
        <v>15.0</v>
      </c>
      <c r="I2054" s="2">
        <v>108.0</v>
      </c>
      <c r="J2054" s="37">
        <v>477.30000000000007</v>
      </c>
      <c r="K2054" s="2">
        <v>17.0</v>
      </c>
      <c r="L2054" s="2">
        <v>149.0</v>
      </c>
      <c r="M2054" s="37">
        <v>575.52</v>
      </c>
    </row>
    <row r="2055" ht="14.25" customHeight="1">
      <c r="A2055" t="s">
        <v>2115</v>
      </c>
      <c r="B2055" t="s">
        <v>2037</v>
      </c>
      <c r="C2055" t="s">
        <v>62</v>
      </c>
      <c r="D2055" t="s">
        <v>63</v>
      </c>
      <c r="E2055">
        <v>3.55</v>
      </c>
      <c r="F2055">
        <v>3.9</v>
      </c>
      <c r="G2055" s="2" t="s">
        <v>67</v>
      </c>
      <c r="H2055" s="2">
        <v>19.0</v>
      </c>
      <c r="I2055" s="2">
        <v>84.0</v>
      </c>
      <c r="J2055" s="37">
        <v>535.94</v>
      </c>
      <c r="K2055" s="2">
        <v>21.0</v>
      </c>
      <c r="L2055" s="2">
        <v>137.0</v>
      </c>
      <c r="M2055" s="37">
        <v>649.76</v>
      </c>
    </row>
    <row r="2056" ht="14.25" customHeight="1">
      <c r="A2056" t="s">
        <v>2116</v>
      </c>
      <c r="B2056" t="s">
        <v>2037</v>
      </c>
      <c r="C2056" t="s">
        <v>62</v>
      </c>
      <c r="D2056" t="s">
        <v>63</v>
      </c>
      <c r="E2056">
        <v>5.0</v>
      </c>
      <c r="F2056">
        <v>5.5</v>
      </c>
      <c r="G2056" s="2" t="s">
        <v>67</v>
      </c>
      <c r="H2056" s="2">
        <v>30.0</v>
      </c>
      <c r="I2056" s="2">
        <v>152.0</v>
      </c>
      <c r="J2056" s="37">
        <v>871.4000000000001</v>
      </c>
      <c r="K2056" s="2">
        <v>34.0</v>
      </c>
      <c r="L2056" s="2">
        <v>239.0</v>
      </c>
      <c r="M2056" s="37">
        <v>1074.34</v>
      </c>
    </row>
    <row r="2057" ht="14.25" customHeight="1">
      <c r="A2057" t="s">
        <v>2117</v>
      </c>
      <c r="B2057" t="s">
        <v>2037</v>
      </c>
      <c r="C2057" t="s">
        <v>62</v>
      </c>
      <c r="D2057" t="s">
        <v>63</v>
      </c>
      <c r="E2057">
        <v>8.0</v>
      </c>
      <c r="F2057">
        <v>8.6</v>
      </c>
      <c r="G2057" s="2" t="s">
        <v>67</v>
      </c>
      <c r="H2057" s="2">
        <v>45.0</v>
      </c>
      <c r="I2057" s="2">
        <v>159.0</v>
      </c>
      <c r="J2057" s="37">
        <v>1217.4</v>
      </c>
      <c r="K2057" s="2">
        <v>52.0</v>
      </c>
      <c r="L2057" s="2">
        <v>297.0</v>
      </c>
      <c r="M2057" s="37">
        <v>1554.02</v>
      </c>
    </row>
    <row r="2058" ht="14.25" customHeight="1">
      <c r="A2058" t="s">
        <v>2118</v>
      </c>
      <c r="B2058" t="s">
        <v>2037</v>
      </c>
      <c r="C2058" t="s">
        <v>62</v>
      </c>
      <c r="D2058" t="s">
        <v>63</v>
      </c>
      <c r="E2058">
        <v>5.0</v>
      </c>
      <c r="F2058">
        <v>5.2</v>
      </c>
      <c r="G2058" s="2" t="s">
        <v>67</v>
      </c>
      <c r="H2058" s="2">
        <v>28.0</v>
      </c>
      <c r="I2058" s="2">
        <v>113.0</v>
      </c>
      <c r="J2058" s="37">
        <v>775.78</v>
      </c>
      <c r="K2058" s="2">
        <v>32.0</v>
      </c>
      <c r="L2058" s="2">
        <v>199.0</v>
      </c>
      <c r="M2058" s="37">
        <v>977.4200000000001</v>
      </c>
    </row>
    <row r="2059" ht="14.25" customHeight="1">
      <c r="A2059" t="s">
        <v>2119</v>
      </c>
      <c r="B2059" t="s">
        <v>2037</v>
      </c>
      <c r="C2059" t="s">
        <v>62</v>
      </c>
      <c r="D2059" t="s">
        <v>63</v>
      </c>
      <c r="E2059">
        <v>2.76</v>
      </c>
      <c r="F2059">
        <v>2.9</v>
      </c>
      <c r="G2059" s="2" t="s">
        <v>67</v>
      </c>
      <c r="H2059" s="2">
        <v>14.0</v>
      </c>
      <c r="I2059" s="2">
        <v>75.0</v>
      </c>
      <c r="J2059" s="37">
        <v>411.94</v>
      </c>
      <c r="K2059" s="2">
        <v>16.0</v>
      </c>
      <c r="L2059" s="2">
        <v>117.0</v>
      </c>
      <c r="M2059" s="37">
        <v>511.46000000000004</v>
      </c>
    </row>
    <row r="2060" ht="14.25" customHeight="1">
      <c r="A2060" t="s">
        <v>2120</v>
      </c>
      <c r="B2060" t="s">
        <v>2037</v>
      </c>
      <c r="C2060" t="s">
        <v>62</v>
      </c>
      <c r="D2060" t="s">
        <v>63</v>
      </c>
      <c r="E2060">
        <v>3.6</v>
      </c>
      <c r="F2060">
        <v>3.9</v>
      </c>
      <c r="G2060" s="2" t="s">
        <v>67</v>
      </c>
      <c r="H2060" s="2">
        <v>19.0</v>
      </c>
      <c r="I2060" s="2">
        <v>8.0</v>
      </c>
      <c r="J2060" s="37">
        <v>437.14</v>
      </c>
      <c r="K2060" s="2">
        <v>22.0</v>
      </c>
      <c r="L2060" s="2">
        <v>63.0</v>
      </c>
      <c r="M2060" s="37">
        <v>576.02</v>
      </c>
    </row>
    <row r="2061" ht="14.25" customHeight="1">
      <c r="A2061" t="s">
        <v>2121</v>
      </c>
      <c r="B2061" t="s">
        <v>2037</v>
      </c>
      <c r="C2061" t="s">
        <v>62</v>
      </c>
      <c r="D2061" t="s">
        <v>63</v>
      </c>
      <c r="E2061">
        <v>4.9</v>
      </c>
      <c r="F2061">
        <v>5.5</v>
      </c>
      <c r="G2061" s="2" t="s">
        <v>67</v>
      </c>
      <c r="H2061" s="2">
        <v>30.0</v>
      </c>
      <c r="I2061" s="2">
        <v>101.0</v>
      </c>
      <c r="J2061" s="37">
        <v>805.1000000000001</v>
      </c>
      <c r="K2061" s="2">
        <v>34.0</v>
      </c>
      <c r="L2061" s="2">
        <v>186.0</v>
      </c>
      <c r="M2061" s="37">
        <v>1005.44</v>
      </c>
    </row>
    <row r="2062" ht="14.25" customHeight="1">
      <c r="A2062" t="s">
        <v>2122</v>
      </c>
      <c r="B2062" t="s">
        <v>2037</v>
      </c>
      <c r="C2062" t="s">
        <v>62</v>
      </c>
      <c r="D2062" t="s">
        <v>467</v>
      </c>
      <c r="E2062">
        <v>5.4</v>
      </c>
      <c r="F2062">
        <v>4.78</v>
      </c>
      <c r="G2062" s="2" t="s">
        <v>64</v>
      </c>
      <c r="H2062" s="2">
        <v>0.0</v>
      </c>
      <c r="I2062" s="2">
        <v>0.0</v>
      </c>
      <c r="J2062" s="37">
        <v>0.0</v>
      </c>
      <c r="K2062" s="2">
        <v>0.0</v>
      </c>
      <c r="L2062" s="2">
        <v>0.0</v>
      </c>
      <c r="M2062" s="37">
        <v>0.0</v>
      </c>
    </row>
    <row r="2063" ht="14.25" customHeight="1">
      <c r="A2063" t="s">
        <v>2123</v>
      </c>
      <c r="B2063" t="s">
        <v>2037</v>
      </c>
      <c r="C2063" t="s">
        <v>62</v>
      </c>
      <c r="D2063" t="s">
        <v>467</v>
      </c>
      <c r="E2063">
        <v>3.9</v>
      </c>
      <c r="F2063">
        <v>3.5</v>
      </c>
      <c r="G2063" s="2" t="s">
        <v>64</v>
      </c>
      <c r="H2063" s="2">
        <v>0.0</v>
      </c>
      <c r="I2063" s="2">
        <v>0.0</v>
      </c>
      <c r="J2063" s="37">
        <v>0.0</v>
      </c>
      <c r="K2063" s="2">
        <v>0.0</v>
      </c>
      <c r="L2063" s="2">
        <v>0.0</v>
      </c>
      <c r="M2063" s="37">
        <v>0.0</v>
      </c>
    </row>
    <row r="2064" ht="14.25" customHeight="1">
      <c r="A2064" t="s">
        <v>2124</v>
      </c>
      <c r="B2064" t="s">
        <v>2037</v>
      </c>
      <c r="C2064" t="s">
        <v>62</v>
      </c>
      <c r="D2064" t="s">
        <v>268</v>
      </c>
      <c r="E2064">
        <v>3.25</v>
      </c>
      <c r="F2064">
        <v>2.81</v>
      </c>
      <c r="G2064" s="2" t="s">
        <v>64</v>
      </c>
      <c r="H2064" s="2">
        <v>0.0</v>
      </c>
      <c r="I2064" s="2">
        <v>0.0</v>
      </c>
      <c r="J2064" s="37">
        <v>0.0</v>
      </c>
      <c r="K2064" s="2">
        <v>0.0</v>
      </c>
      <c r="L2064" s="2">
        <v>0.0</v>
      </c>
      <c r="M2064" s="37">
        <v>0.0</v>
      </c>
    </row>
    <row r="2065" ht="14.25" customHeight="1">
      <c r="A2065" t="s">
        <v>2125</v>
      </c>
      <c r="B2065" t="s">
        <v>2037</v>
      </c>
      <c r="C2065" t="s">
        <v>62</v>
      </c>
      <c r="D2065" t="s">
        <v>467</v>
      </c>
      <c r="E2065">
        <v>2.8</v>
      </c>
      <c r="F2065">
        <v>2.45</v>
      </c>
      <c r="G2065" s="2" t="s">
        <v>64</v>
      </c>
      <c r="H2065" s="2">
        <v>0.0</v>
      </c>
      <c r="I2065" s="2">
        <v>0.0</v>
      </c>
      <c r="J2065" s="37">
        <v>0.0</v>
      </c>
      <c r="K2065" s="2">
        <v>0.0</v>
      </c>
      <c r="L2065" s="2">
        <v>0.0</v>
      </c>
      <c r="M2065" s="37">
        <v>0.0</v>
      </c>
    </row>
    <row r="2066" ht="14.25" customHeight="1">
      <c r="A2066" t="s">
        <v>2126</v>
      </c>
      <c r="B2066" t="s">
        <v>2037</v>
      </c>
      <c r="C2066" t="s">
        <v>62</v>
      </c>
      <c r="D2066" t="s">
        <v>467</v>
      </c>
      <c r="E2066">
        <v>2.28</v>
      </c>
      <c r="F2066">
        <v>2.0</v>
      </c>
      <c r="G2066" s="2" t="s">
        <v>64</v>
      </c>
      <c r="H2066" s="2">
        <v>0.0</v>
      </c>
      <c r="I2066" s="2">
        <v>0.0</v>
      </c>
      <c r="J2066" s="37">
        <v>0.0</v>
      </c>
      <c r="K2066" s="2">
        <v>0.0</v>
      </c>
      <c r="L2066" s="2">
        <v>0.0</v>
      </c>
      <c r="M2066" s="37">
        <v>0.0</v>
      </c>
    </row>
    <row r="2067" ht="14.25" customHeight="1">
      <c r="A2067" t="s">
        <v>2127</v>
      </c>
      <c r="B2067" t="s">
        <v>2037</v>
      </c>
      <c r="C2067" t="s">
        <v>62</v>
      </c>
      <c r="D2067" t="s">
        <v>467</v>
      </c>
      <c r="E2067">
        <v>2.8</v>
      </c>
      <c r="F2067">
        <v>2.45</v>
      </c>
      <c r="G2067" s="2" t="s">
        <v>64</v>
      </c>
      <c r="H2067" s="2">
        <v>0.0</v>
      </c>
      <c r="I2067" s="2">
        <v>0.0</v>
      </c>
      <c r="J2067" s="37">
        <v>0.0</v>
      </c>
      <c r="K2067" s="2">
        <v>0.0</v>
      </c>
      <c r="L2067" s="2">
        <v>0.0</v>
      </c>
      <c r="M2067" s="37">
        <v>0.0</v>
      </c>
    </row>
    <row r="2068" ht="14.25" customHeight="1">
      <c r="A2068" t="s">
        <v>2128</v>
      </c>
      <c r="B2068" t="s">
        <v>2037</v>
      </c>
      <c r="C2068" t="s">
        <v>62</v>
      </c>
      <c r="D2068" t="s">
        <v>63</v>
      </c>
      <c r="E2068">
        <v>3.5</v>
      </c>
      <c r="F2068">
        <v>3.75</v>
      </c>
      <c r="G2068" s="2" t="s">
        <v>67</v>
      </c>
      <c r="H2068" s="2">
        <v>19.0</v>
      </c>
      <c r="I2068" s="2">
        <v>87.0</v>
      </c>
      <c r="J2068" s="37">
        <v>539.84</v>
      </c>
      <c r="K2068" s="2">
        <v>21.0</v>
      </c>
      <c r="L2068" s="2">
        <v>140.0</v>
      </c>
      <c r="M2068" s="37">
        <v>653.6600000000001</v>
      </c>
    </row>
    <row r="2069" ht="14.25" customHeight="1">
      <c r="A2069" t="s">
        <v>2129</v>
      </c>
      <c r="B2069" t="s">
        <v>2037</v>
      </c>
      <c r="C2069" t="s">
        <v>62</v>
      </c>
      <c r="D2069" t="s">
        <v>63</v>
      </c>
      <c r="E2069">
        <v>3.5</v>
      </c>
      <c r="F2069">
        <v>3.75</v>
      </c>
      <c r="G2069" s="2" t="s">
        <v>67</v>
      </c>
      <c r="H2069" s="2">
        <v>19.0</v>
      </c>
      <c r="I2069" s="2">
        <v>87.0</v>
      </c>
      <c r="J2069" s="37">
        <v>539.84</v>
      </c>
      <c r="K2069" s="2">
        <v>21.0</v>
      </c>
      <c r="L2069" s="2">
        <v>140.0</v>
      </c>
      <c r="M2069" s="37">
        <v>653.6600000000001</v>
      </c>
    </row>
    <row r="2070" ht="14.25" customHeight="1">
      <c r="A2070" t="s">
        <v>2130</v>
      </c>
      <c r="B2070" t="s">
        <v>2024</v>
      </c>
      <c r="C2070" t="s">
        <v>62</v>
      </c>
      <c r="D2070" t="s">
        <v>63</v>
      </c>
      <c r="E2070">
        <v>2.5</v>
      </c>
      <c r="F2070">
        <v>3.2</v>
      </c>
      <c r="G2070" s="2" t="s">
        <v>64</v>
      </c>
      <c r="H2070" s="2">
        <v>0.0</v>
      </c>
      <c r="I2070" s="2">
        <v>0.0</v>
      </c>
      <c r="J2070" s="37">
        <v>0.0</v>
      </c>
      <c r="K2070" s="2">
        <v>0.0</v>
      </c>
      <c r="L2070" s="2">
        <v>0.0</v>
      </c>
      <c r="M2070" s="37">
        <v>0.0</v>
      </c>
    </row>
    <row r="2071" ht="14.25" customHeight="1">
      <c r="A2071" t="s">
        <v>2131</v>
      </c>
      <c r="B2071" t="s">
        <v>2037</v>
      </c>
      <c r="C2071" t="s">
        <v>62</v>
      </c>
      <c r="D2071" t="s">
        <v>63</v>
      </c>
      <c r="E2071">
        <v>2.5</v>
      </c>
      <c r="F2071">
        <v>3.2</v>
      </c>
      <c r="G2071" s="2" t="s">
        <v>64</v>
      </c>
      <c r="H2071" s="2">
        <v>0.0</v>
      </c>
      <c r="I2071" s="2">
        <v>0.0</v>
      </c>
      <c r="J2071" s="37">
        <v>0.0</v>
      </c>
      <c r="K2071" s="2">
        <v>0.0</v>
      </c>
      <c r="L2071" s="2">
        <v>0.0</v>
      </c>
      <c r="M2071" s="37">
        <v>0.0</v>
      </c>
    </row>
    <row r="2072" ht="14.25" customHeight="1">
      <c r="A2072" t="s">
        <v>2132</v>
      </c>
      <c r="B2072" t="s">
        <v>2037</v>
      </c>
      <c r="C2072" t="s">
        <v>62</v>
      </c>
      <c r="D2072" t="s">
        <v>63</v>
      </c>
      <c r="E2072">
        <v>2.0</v>
      </c>
      <c r="F2072">
        <v>2.2</v>
      </c>
      <c r="G2072" s="2" t="s">
        <v>67</v>
      </c>
      <c r="H2072" s="2">
        <v>11.0</v>
      </c>
      <c r="I2072" s="2">
        <v>54.0</v>
      </c>
      <c r="J2072" s="37">
        <v>317.26</v>
      </c>
      <c r="K2072" s="2">
        <v>12.0</v>
      </c>
      <c r="L2072" s="2">
        <v>84.0</v>
      </c>
      <c r="M2072" s="37">
        <v>378.71999999999997</v>
      </c>
    </row>
    <row r="2073" ht="14.25" customHeight="1">
      <c r="A2073" t="s">
        <v>2133</v>
      </c>
      <c r="B2073" t="s">
        <v>2037</v>
      </c>
      <c r="C2073" t="s">
        <v>62</v>
      </c>
      <c r="D2073" t="s">
        <v>63</v>
      </c>
      <c r="E2073">
        <v>2.0</v>
      </c>
      <c r="F2073">
        <v>2.2</v>
      </c>
      <c r="G2073" s="2" t="s">
        <v>67</v>
      </c>
      <c r="H2073" s="2">
        <v>11.0</v>
      </c>
      <c r="I2073" s="2">
        <v>54.0</v>
      </c>
      <c r="J2073" s="37">
        <v>317.26</v>
      </c>
      <c r="K2073" s="2">
        <v>12.0</v>
      </c>
      <c r="L2073" s="2">
        <v>84.0</v>
      </c>
      <c r="M2073" s="37">
        <v>378.71999999999997</v>
      </c>
    </row>
    <row r="2074" ht="14.25" customHeight="1">
      <c r="A2074" t="s">
        <v>2134</v>
      </c>
      <c r="B2074" t="s">
        <v>2037</v>
      </c>
      <c r="C2074" t="s">
        <v>62</v>
      </c>
      <c r="D2074" t="s">
        <v>63</v>
      </c>
      <c r="E2074">
        <v>7.6</v>
      </c>
      <c r="F2074">
        <v>8.0</v>
      </c>
      <c r="G2074" s="2" t="s">
        <v>67</v>
      </c>
      <c r="H2074" s="2">
        <v>41.0</v>
      </c>
      <c r="I2074" s="2">
        <v>33.0</v>
      </c>
      <c r="J2074" s="37">
        <v>963.76</v>
      </c>
      <c r="K2074" s="2">
        <v>47.0</v>
      </c>
      <c r="L2074" s="2">
        <v>164.0</v>
      </c>
      <c r="M2074" s="37">
        <v>1268.8200000000002</v>
      </c>
    </row>
    <row r="2075" ht="14.25" customHeight="1">
      <c r="A2075" t="s">
        <v>2135</v>
      </c>
      <c r="B2075" t="s">
        <v>2037</v>
      </c>
      <c r="C2075" t="s">
        <v>62</v>
      </c>
      <c r="D2075" t="s">
        <v>63</v>
      </c>
      <c r="E2075">
        <v>7.6</v>
      </c>
      <c r="F2075">
        <v>8.0</v>
      </c>
      <c r="G2075" s="2" t="s">
        <v>67</v>
      </c>
      <c r="H2075" s="2">
        <v>41.0</v>
      </c>
      <c r="I2075" s="2">
        <v>33.0</v>
      </c>
      <c r="J2075" s="37">
        <v>963.76</v>
      </c>
      <c r="K2075" s="2">
        <v>47.0</v>
      </c>
      <c r="L2075" s="2">
        <v>164.0</v>
      </c>
      <c r="M2075" s="37">
        <v>1268.8200000000002</v>
      </c>
    </row>
    <row r="2076" ht="14.25" customHeight="1">
      <c r="A2076" t="s">
        <v>2136</v>
      </c>
      <c r="B2076" t="s">
        <v>2037</v>
      </c>
      <c r="C2076" t="s">
        <v>62</v>
      </c>
      <c r="D2076" t="s">
        <v>467</v>
      </c>
      <c r="E2076">
        <v>3.6</v>
      </c>
      <c r="F2076">
        <v>3.5</v>
      </c>
      <c r="G2076" s="2" t="s">
        <v>64</v>
      </c>
      <c r="H2076" s="2">
        <v>0.0</v>
      </c>
      <c r="I2076" s="2">
        <v>0.0</v>
      </c>
      <c r="J2076" s="37">
        <v>0.0</v>
      </c>
      <c r="K2076" s="2">
        <v>0.0</v>
      </c>
      <c r="L2076" s="2">
        <v>0.0</v>
      </c>
      <c r="M2076" s="37">
        <v>0.0</v>
      </c>
    </row>
    <row r="2077" ht="14.25" customHeight="1">
      <c r="A2077" t="s">
        <v>2137</v>
      </c>
      <c r="B2077" t="s">
        <v>2037</v>
      </c>
      <c r="C2077" t="s">
        <v>75</v>
      </c>
      <c r="D2077" t="s">
        <v>63</v>
      </c>
      <c r="E2077">
        <v>7.3</v>
      </c>
      <c r="F2077">
        <v>7.5</v>
      </c>
      <c r="G2077" s="2" t="s">
        <v>67</v>
      </c>
      <c r="H2077" s="2">
        <v>46.0</v>
      </c>
      <c r="I2077" s="2">
        <v>121.0</v>
      </c>
      <c r="J2077" s="37">
        <v>1190.46</v>
      </c>
      <c r="K2077" s="2">
        <v>52.0</v>
      </c>
      <c r="L2077" s="2">
        <v>262.0</v>
      </c>
      <c r="M2077" s="37">
        <v>1508.52</v>
      </c>
    </row>
    <row r="2078" ht="14.25" customHeight="1">
      <c r="A2078" t="s">
        <v>2138</v>
      </c>
      <c r="B2078" t="s">
        <v>2037</v>
      </c>
      <c r="C2078" t="s">
        <v>75</v>
      </c>
      <c r="D2078" t="s">
        <v>63</v>
      </c>
      <c r="E2078">
        <v>10.2</v>
      </c>
      <c r="F2078">
        <v>12.0</v>
      </c>
      <c r="G2078" s="2" t="s">
        <v>67</v>
      </c>
      <c r="H2078" s="2">
        <v>67.0</v>
      </c>
      <c r="I2078" s="2">
        <v>134.0</v>
      </c>
      <c r="J2078" s="37">
        <v>1679.0200000000002</v>
      </c>
      <c r="K2078" s="2">
        <v>78.0</v>
      </c>
      <c r="L2078" s="2">
        <v>332.0</v>
      </c>
      <c r="M2078" s="37">
        <v>2183.48</v>
      </c>
    </row>
    <row r="2079" ht="14.25" customHeight="1">
      <c r="A2079" t="s">
        <v>2139</v>
      </c>
      <c r="B2079" t="s">
        <v>2037</v>
      </c>
      <c r="C2079" t="s">
        <v>75</v>
      </c>
      <c r="D2079" t="s">
        <v>63</v>
      </c>
      <c r="E2079">
        <v>10.5</v>
      </c>
      <c r="F2079">
        <v>12.5</v>
      </c>
      <c r="G2079" s="2" t="s">
        <v>67</v>
      </c>
      <c r="H2079" s="2">
        <v>72.0</v>
      </c>
      <c r="I2079" s="2">
        <v>135.0</v>
      </c>
      <c r="J2079" s="37">
        <v>1792.6200000000001</v>
      </c>
      <c r="K2079" s="2">
        <v>83.0</v>
      </c>
      <c r="L2079" s="2">
        <v>339.0</v>
      </c>
      <c r="M2079" s="37">
        <v>2304.88</v>
      </c>
    </row>
    <row r="2080" ht="14.25" customHeight="1">
      <c r="A2080" t="s">
        <v>2140</v>
      </c>
      <c r="B2080" t="s">
        <v>2037</v>
      </c>
      <c r="C2080" t="s">
        <v>75</v>
      </c>
      <c r="D2080" t="s">
        <v>63</v>
      </c>
      <c r="E2080">
        <v>12.6</v>
      </c>
      <c r="F2080">
        <v>14.5</v>
      </c>
      <c r="G2080" s="2" t="s">
        <v>67</v>
      </c>
      <c r="H2080" s="2">
        <v>87.0</v>
      </c>
      <c r="I2080" s="2">
        <v>167.0</v>
      </c>
      <c r="J2080" s="37">
        <v>2171.12</v>
      </c>
      <c r="K2080" s="2">
        <v>100.0</v>
      </c>
      <c r="L2080" s="2">
        <v>412.0</v>
      </c>
      <c r="M2080" s="37">
        <v>2781.6</v>
      </c>
    </row>
    <row r="2081" ht="14.25" customHeight="1">
      <c r="A2081" t="s">
        <v>2141</v>
      </c>
      <c r="B2081" t="s">
        <v>2037</v>
      </c>
      <c r="C2081" t="s">
        <v>75</v>
      </c>
      <c r="D2081" t="s">
        <v>63</v>
      </c>
      <c r="E2081">
        <v>14.0</v>
      </c>
      <c r="F2081">
        <v>16.8</v>
      </c>
      <c r="G2081" s="2" t="s">
        <v>67</v>
      </c>
      <c r="H2081" s="2">
        <v>94.0</v>
      </c>
      <c r="I2081" s="2">
        <v>188.0</v>
      </c>
      <c r="J2081" s="37">
        <v>2355.6400000000003</v>
      </c>
      <c r="K2081" s="2">
        <v>109.0</v>
      </c>
      <c r="L2081" s="2">
        <v>459.0</v>
      </c>
      <c r="M2081" s="37">
        <v>3044.84</v>
      </c>
    </row>
    <row r="2082" ht="14.25" customHeight="1">
      <c r="A2082" t="s">
        <v>2142</v>
      </c>
      <c r="B2082" t="s">
        <v>2037</v>
      </c>
      <c r="C2082" t="s">
        <v>75</v>
      </c>
      <c r="D2082" t="s">
        <v>63</v>
      </c>
      <c r="E2082">
        <v>17.0</v>
      </c>
      <c r="F2082">
        <v>18.0</v>
      </c>
      <c r="G2082" s="2" t="s">
        <v>67</v>
      </c>
      <c r="H2082" s="2">
        <v>102.0</v>
      </c>
      <c r="I2082" s="2">
        <v>215.0</v>
      </c>
      <c r="J2082" s="37">
        <v>2570.42</v>
      </c>
      <c r="K2082" s="2">
        <v>118.0</v>
      </c>
      <c r="L2082" s="2">
        <v>544.0</v>
      </c>
      <c r="M2082" s="37">
        <v>3357.4800000000005</v>
      </c>
    </row>
    <row r="2083" ht="14.25" customHeight="1">
      <c r="A2083" t="s">
        <v>2143</v>
      </c>
      <c r="B2083" t="s">
        <v>2037</v>
      </c>
      <c r="C2083" t="s">
        <v>62</v>
      </c>
      <c r="D2083" t="s">
        <v>63</v>
      </c>
      <c r="E2083">
        <v>9.0</v>
      </c>
      <c r="F2083">
        <v>9.5</v>
      </c>
      <c r="G2083" s="2" t="s">
        <v>67</v>
      </c>
      <c r="H2083" s="2">
        <v>50.0</v>
      </c>
      <c r="I2083" s="2">
        <v>117.0</v>
      </c>
      <c r="J2083" s="37">
        <v>1275.1</v>
      </c>
      <c r="K2083" s="2">
        <v>57.0</v>
      </c>
      <c r="L2083" s="2">
        <v>272.0</v>
      </c>
      <c r="M2083" s="37">
        <v>1633.8200000000002</v>
      </c>
    </row>
    <row r="2084" ht="14.25" customHeight="1">
      <c r="A2084" t="s">
        <v>2144</v>
      </c>
      <c r="B2084" t="s">
        <v>2037</v>
      </c>
      <c r="C2084" t="s">
        <v>62</v>
      </c>
      <c r="D2084" t="s">
        <v>63</v>
      </c>
      <c r="E2084">
        <v>9.0</v>
      </c>
      <c r="F2084">
        <v>9.5</v>
      </c>
      <c r="G2084" s="2" t="s">
        <v>67</v>
      </c>
      <c r="H2084" s="2">
        <v>50.0</v>
      </c>
      <c r="I2084" s="2">
        <v>117.0</v>
      </c>
      <c r="J2084" s="37">
        <v>1275.1</v>
      </c>
      <c r="K2084" s="2">
        <v>57.0</v>
      </c>
      <c r="L2084" s="2">
        <v>272.0</v>
      </c>
      <c r="M2084" s="37">
        <v>1633.8200000000002</v>
      </c>
    </row>
    <row r="2085" ht="14.25" customHeight="1">
      <c r="A2085" t="s">
        <v>2145</v>
      </c>
      <c r="B2085" t="s">
        <v>2037</v>
      </c>
      <c r="C2085" t="s">
        <v>62</v>
      </c>
      <c r="D2085" t="s">
        <v>63</v>
      </c>
      <c r="E2085">
        <v>2.05</v>
      </c>
      <c r="F2085">
        <v>2.37</v>
      </c>
      <c r="G2085" s="2" t="s">
        <v>67</v>
      </c>
      <c r="H2085" s="2">
        <v>12.0</v>
      </c>
      <c r="I2085" s="2">
        <v>66.0</v>
      </c>
      <c r="J2085" s="37">
        <v>355.32</v>
      </c>
      <c r="K2085" s="2">
        <v>14.0</v>
      </c>
      <c r="L2085" s="2">
        <v>97.0</v>
      </c>
      <c r="M2085" s="37">
        <v>440.54</v>
      </c>
    </row>
    <row r="2086" ht="14.25" customHeight="1">
      <c r="A2086" t="s">
        <v>2146</v>
      </c>
      <c r="B2086" t="s">
        <v>2037</v>
      </c>
      <c r="C2086" t="s">
        <v>62</v>
      </c>
      <c r="D2086" t="s">
        <v>63</v>
      </c>
      <c r="E2086">
        <v>2.05</v>
      </c>
      <c r="F2086">
        <v>2.37</v>
      </c>
      <c r="G2086" s="2" t="s">
        <v>67</v>
      </c>
      <c r="H2086" s="2">
        <v>12.0</v>
      </c>
      <c r="I2086" s="2">
        <v>66.0</v>
      </c>
      <c r="J2086" s="37">
        <v>355.32</v>
      </c>
      <c r="K2086" s="2">
        <v>14.0</v>
      </c>
      <c r="L2086" s="2">
        <v>97.0</v>
      </c>
      <c r="M2086" s="37">
        <v>440.54</v>
      </c>
    </row>
    <row r="2087" ht="14.25" customHeight="1">
      <c r="A2087" t="s">
        <v>2147</v>
      </c>
      <c r="B2087" t="s">
        <v>2037</v>
      </c>
      <c r="C2087" t="s">
        <v>62</v>
      </c>
      <c r="D2087" t="s">
        <v>63</v>
      </c>
      <c r="E2087">
        <v>2.5</v>
      </c>
      <c r="F2087">
        <v>2.795</v>
      </c>
      <c r="G2087" s="2" t="s">
        <v>67</v>
      </c>
      <c r="H2087" s="2">
        <v>14.0</v>
      </c>
      <c r="I2087" s="2">
        <v>80.0</v>
      </c>
      <c r="J2087" s="37">
        <v>418.44</v>
      </c>
      <c r="K2087" s="2">
        <v>16.0</v>
      </c>
      <c r="L2087" s="2">
        <v>118.0</v>
      </c>
      <c r="M2087" s="37">
        <v>512.76</v>
      </c>
    </row>
    <row r="2088" ht="14.25" customHeight="1">
      <c r="A2088" t="s">
        <v>2148</v>
      </c>
      <c r="B2088" t="s">
        <v>2037</v>
      </c>
      <c r="C2088" t="s">
        <v>62</v>
      </c>
      <c r="D2088" t="s">
        <v>63</v>
      </c>
      <c r="E2088">
        <v>3.5</v>
      </c>
      <c r="F2088">
        <v>4.0</v>
      </c>
      <c r="G2088" s="2" t="s">
        <v>67</v>
      </c>
      <c r="H2088" s="2">
        <v>19.0</v>
      </c>
      <c r="I2088" s="2">
        <v>59.0</v>
      </c>
      <c r="J2088" s="37">
        <v>503.44</v>
      </c>
      <c r="K2088" s="2">
        <v>22.0</v>
      </c>
      <c r="L2088" s="2">
        <v>112.0</v>
      </c>
      <c r="M2088" s="37">
        <v>639.72</v>
      </c>
    </row>
    <row r="2089" ht="14.25" customHeight="1">
      <c r="A2089" t="s">
        <v>2149</v>
      </c>
      <c r="B2089" t="s">
        <v>2037</v>
      </c>
      <c r="C2089" t="s">
        <v>62</v>
      </c>
      <c r="D2089" t="s">
        <v>63</v>
      </c>
      <c r="E2089">
        <v>5.0</v>
      </c>
      <c r="F2089">
        <v>5.54</v>
      </c>
      <c r="G2089" s="2" t="s">
        <v>67</v>
      </c>
      <c r="H2089" s="2">
        <v>30.0</v>
      </c>
      <c r="I2089" s="2">
        <v>120.0</v>
      </c>
      <c r="J2089" s="37">
        <v>829.8000000000001</v>
      </c>
      <c r="K2089" s="2">
        <v>34.0</v>
      </c>
      <c r="L2089" s="2">
        <v>206.0</v>
      </c>
      <c r="M2089" s="37">
        <v>1031.44</v>
      </c>
    </row>
    <row r="2090" ht="14.25" customHeight="1">
      <c r="A2090" t="s">
        <v>2150</v>
      </c>
      <c r="B2090" t="s">
        <v>2037</v>
      </c>
      <c r="C2090" t="s">
        <v>62</v>
      </c>
      <c r="D2090" t="s">
        <v>63</v>
      </c>
      <c r="E2090">
        <v>6.0</v>
      </c>
      <c r="F2090">
        <v>6.5</v>
      </c>
      <c r="G2090" s="2" t="s">
        <v>64</v>
      </c>
      <c r="H2090" s="2">
        <v>0.0</v>
      </c>
      <c r="I2090" s="2">
        <v>0.0</v>
      </c>
      <c r="J2090" s="37">
        <v>0.0</v>
      </c>
      <c r="K2090" s="2">
        <v>0.0</v>
      </c>
      <c r="L2090" s="2">
        <v>0.0</v>
      </c>
      <c r="M2090" s="37">
        <v>0.0</v>
      </c>
    </row>
    <row r="2091" ht="14.25" customHeight="1">
      <c r="A2091" t="s">
        <v>2151</v>
      </c>
      <c r="B2091" t="s">
        <v>2037</v>
      </c>
      <c r="C2091" t="s">
        <v>62</v>
      </c>
      <c r="D2091" t="s">
        <v>63</v>
      </c>
      <c r="E2091">
        <v>7.0</v>
      </c>
      <c r="F2091">
        <v>7.5</v>
      </c>
      <c r="G2091" s="2" t="s">
        <v>67</v>
      </c>
      <c r="H2091" s="2">
        <v>40.0</v>
      </c>
      <c r="I2091" s="2">
        <v>91.0</v>
      </c>
      <c r="J2091" s="37">
        <v>1016.7</v>
      </c>
      <c r="K2091" s="2">
        <v>46.0</v>
      </c>
      <c r="L2091" s="2">
        <v>212.0</v>
      </c>
      <c r="M2091" s="37">
        <v>1308.7600000000002</v>
      </c>
    </row>
    <row r="2092" ht="14.25" customHeight="1">
      <c r="A2092" t="s">
        <v>2152</v>
      </c>
      <c r="B2092" t="s">
        <v>2037</v>
      </c>
      <c r="C2092" t="s">
        <v>62</v>
      </c>
      <c r="D2092" t="s">
        <v>63</v>
      </c>
      <c r="E2092">
        <v>7.0</v>
      </c>
      <c r="F2092">
        <v>7.5</v>
      </c>
      <c r="G2092" s="2" t="s">
        <v>67</v>
      </c>
      <c r="H2092" s="2">
        <v>40.0</v>
      </c>
      <c r="I2092" s="2">
        <v>91.0</v>
      </c>
      <c r="J2092" s="37">
        <v>1016.7</v>
      </c>
      <c r="K2092" s="2">
        <v>46.0</v>
      </c>
      <c r="L2092" s="2">
        <v>212.0</v>
      </c>
      <c r="M2092" s="37">
        <v>1308.7600000000002</v>
      </c>
    </row>
    <row r="2093" ht="14.25" customHeight="1">
      <c r="A2093" t="s">
        <v>2153</v>
      </c>
      <c r="B2093" t="s">
        <v>2037</v>
      </c>
      <c r="C2093" t="s">
        <v>62</v>
      </c>
      <c r="D2093" t="s">
        <v>63</v>
      </c>
      <c r="E2093">
        <v>7.65</v>
      </c>
      <c r="F2093">
        <v>8.2</v>
      </c>
      <c r="G2093" s="2" t="s">
        <v>67</v>
      </c>
      <c r="H2093" s="2">
        <v>42.0</v>
      </c>
      <c r="I2093" s="2">
        <v>57.0</v>
      </c>
      <c r="J2093" s="37">
        <v>1017.4200000000001</v>
      </c>
      <c r="K2093" s="2">
        <v>49.0</v>
      </c>
      <c r="L2093" s="2">
        <v>188.0</v>
      </c>
      <c r="M2093" s="37">
        <v>1344.94</v>
      </c>
    </row>
    <row r="2094" ht="14.25" customHeight="1">
      <c r="A2094" t="s">
        <v>2154</v>
      </c>
      <c r="B2094" t="s">
        <v>2037</v>
      </c>
      <c r="C2094" t="s">
        <v>62</v>
      </c>
      <c r="D2094" t="s">
        <v>63</v>
      </c>
      <c r="E2094">
        <v>7.65</v>
      </c>
      <c r="F2094">
        <v>8.2</v>
      </c>
      <c r="G2094" s="2" t="s">
        <v>67</v>
      </c>
      <c r="H2094" s="2">
        <v>42.0</v>
      </c>
      <c r="I2094" s="2">
        <v>57.0</v>
      </c>
      <c r="J2094" s="37">
        <v>1017.4200000000001</v>
      </c>
      <c r="K2094" s="2">
        <v>49.0</v>
      </c>
      <c r="L2094" s="2">
        <v>188.0</v>
      </c>
      <c r="M2094" s="37">
        <v>1344.94</v>
      </c>
    </row>
    <row r="2095" ht="14.25" customHeight="1">
      <c r="A2095" t="s">
        <v>2155</v>
      </c>
      <c r="B2095" t="s">
        <v>2037</v>
      </c>
      <c r="C2095" t="s">
        <v>62</v>
      </c>
      <c r="D2095" t="s">
        <v>63</v>
      </c>
      <c r="E2095">
        <v>2.63</v>
      </c>
      <c r="F2095">
        <v>2.7</v>
      </c>
      <c r="G2095" s="2" t="s">
        <v>67</v>
      </c>
      <c r="H2095" s="2">
        <v>15.0</v>
      </c>
      <c r="I2095" s="2">
        <v>129.0</v>
      </c>
      <c r="J2095" s="37">
        <v>504.6</v>
      </c>
      <c r="K2095" s="2">
        <v>17.0</v>
      </c>
      <c r="L2095" s="2">
        <v>169.0</v>
      </c>
      <c r="M2095" s="37">
        <v>601.52</v>
      </c>
    </row>
    <row r="2096" ht="14.25" customHeight="1">
      <c r="A2096" t="s">
        <v>2156</v>
      </c>
      <c r="B2096" t="s">
        <v>2037</v>
      </c>
      <c r="C2096" t="s">
        <v>62</v>
      </c>
      <c r="D2096" t="s">
        <v>63</v>
      </c>
      <c r="E2096">
        <v>3.5</v>
      </c>
      <c r="F2096">
        <v>3.9</v>
      </c>
      <c r="G2096" s="2" t="s">
        <v>67</v>
      </c>
      <c r="H2096" s="2">
        <v>20.0</v>
      </c>
      <c r="I2096" s="2">
        <v>115.0</v>
      </c>
      <c r="J2096" s="37">
        <v>598.7</v>
      </c>
      <c r="K2096" s="2">
        <v>23.0</v>
      </c>
      <c r="L2096" s="2">
        <v>168.0</v>
      </c>
      <c r="M2096" s="37">
        <v>734.98</v>
      </c>
    </row>
    <row r="2097" ht="14.25" customHeight="1">
      <c r="A2097" t="s">
        <v>2157</v>
      </c>
      <c r="B2097" t="s">
        <v>2037</v>
      </c>
      <c r="C2097" t="s">
        <v>62</v>
      </c>
      <c r="D2097" t="s">
        <v>63</v>
      </c>
      <c r="E2097">
        <v>5.05</v>
      </c>
      <c r="F2097">
        <v>6.0</v>
      </c>
      <c r="G2097" s="2" t="s">
        <v>67</v>
      </c>
      <c r="H2097" s="2">
        <v>34.0</v>
      </c>
      <c r="I2097" s="2">
        <v>223.0</v>
      </c>
      <c r="J2097" s="37">
        <v>1053.54</v>
      </c>
      <c r="K2097" s="2">
        <v>39.0</v>
      </c>
      <c r="L2097" s="2">
        <v>310.0</v>
      </c>
      <c r="M2097" s="37">
        <v>1278.94</v>
      </c>
    </row>
    <row r="2098" ht="14.25" customHeight="1">
      <c r="A2098" t="s">
        <v>2158</v>
      </c>
      <c r="B2098" t="s">
        <v>2037</v>
      </c>
      <c r="C2098" t="s">
        <v>62</v>
      </c>
      <c r="D2098" t="s">
        <v>63</v>
      </c>
      <c r="E2098">
        <v>6.0</v>
      </c>
      <c r="F2098">
        <v>6.6</v>
      </c>
      <c r="G2098" s="2" t="s">
        <v>67</v>
      </c>
      <c r="H2098" s="2">
        <v>36.0</v>
      </c>
      <c r="I2098" s="2">
        <v>161.0</v>
      </c>
      <c r="J2098" s="37">
        <v>1017.8600000000001</v>
      </c>
      <c r="K2098" s="2">
        <v>42.0</v>
      </c>
      <c r="L2098" s="2">
        <v>265.0</v>
      </c>
      <c r="M2098" s="37">
        <v>1287.8200000000002</v>
      </c>
    </row>
    <row r="2099" ht="14.25" customHeight="1">
      <c r="A2099" t="s">
        <v>2159</v>
      </c>
      <c r="B2099" t="s">
        <v>2037</v>
      </c>
      <c r="C2099" t="s">
        <v>62</v>
      </c>
      <c r="D2099" t="s">
        <v>63</v>
      </c>
      <c r="E2099">
        <v>7.2</v>
      </c>
      <c r="F2099">
        <v>8.2</v>
      </c>
      <c r="G2099" s="2" t="s">
        <v>67</v>
      </c>
      <c r="H2099" s="2">
        <v>46.0</v>
      </c>
      <c r="I2099" s="2">
        <v>135.0</v>
      </c>
      <c r="J2099" s="37">
        <v>1208.66</v>
      </c>
      <c r="K2099" s="2">
        <v>52.0</v>
      </c>
      <c r="L2099" s="2">
        <v>259.0</v>
      </c>
      <c r="M2099" s="37">
        <v>1504.6200000000001</v>
      </c>
    </row>
    <row r="2100" ht="14.25" customHeight="1">
      <c r="A2100" t="s">
        <v>2160</v>
      </c>
      <c r="B2100" t="s">
        <v>2037</v>
      </c>
      <c r="C2100" t="s">
        <v>62</v>
      </c>
      <c r="D2100" t="s">
        <v>63</v>
      </c>
      <c r="E2100">
        <v>8.0</v>
      </c>
      <c r="F2100">
        <v>9.0</v>
      </c>
      <c r="G2100" s="2" t="s">
        <v>67</v>
      </c>
      <c r="H2100" s="2">
        <v>48.0</v>
      </c>
      <c r="I2100" s="2">
        <v>61.0</v>
      </c>
      <c r="J2100" s="37">
        <v>1157.3799999999999</v>
      </c>
      <c r="K2100" s="2">
        <v>55.0</v>
      </c>
      <c r="L2100" s="2">
        <v>199.0</v>
      </c>
      <c r="M2100" s="37">
        <v>1494.0</v>
      </c>
    </row>
    <row r="2101" ht="14.25" customHeight="1">
      <c r="A2101" t="s">
        <v>2161</v>
      </c>
      <c r="B2101" t="s">
        <v>2037</v>
      </c>
      <c r="C2101" t="s">
        <v>62</v>
      </c>
      <c r="D2101" t="s">
        <v>63</v>
      </c>
      <c r="E2101">
        <v>9.0</v>
      </c>
      <c r="F2101">
        <v>9.8</v>
      </c>
      <c r="G2101" s="2" t="s">
        <v>67</v>
      </c>
      <c r="H2101" s="2">
        <v>51.0</v>
      </c>
      <c r="I2101" s="2">
        <v>137.0</v>
      </c>
      <c r="J2101" s="37">
        <v>1323.56</v>
      </c>
      <c r="K2101" s="2">
        <v>59.0</v>
      </c>
      <c r="L2101" s="2">
        <v>292.0</v>
      </c>
      <c r="M2101" s="37">
        <v>1704.7400000000002</v>
      </c>
    </row>
    <row r="2102" ht="14.25" customHeight="1">
      <c r="A2102" t="s">
        <v>2162</v>
      </c>
      <c r="B2102" t="s">
        <v>2037</v>
      </c>
      <c r="C2102" t="s">
        <v>62</v>
      </c>
      <c r="D2102" t="s">
        <v>63</v>
      </c>
      <c r="E2102">
        <v>3.5</v>
      </c>
      <c r="F2102">
        <v>3.9</v>
      </c>
      <c r="G2102" s="2" t="s">
        <v>67</v>
      </c>
      <c r="H2102" s="2">
        <v>20.0</v>
      </c>
      <c r="I2102" s="2">
        <v>102.0</v>
      </c>
      <c r="J2102" s="37">
        <v>581.8000000000001</v>
      </c>
      <c r="K2102" s="2">
        <v>23.0</v>
      </c>
      <c r="L2102" s="2">
        <v>155.0</v>
      </c>
      <c r="M2102" s="37">
        <v>718.08</v>
      </c>
    </row>
    <row r="2103" ht="14.25" customHeight="1">
      <c r="A2103" t="s">
        <v>2163</v>
      </c>
      <c r="B2103" t="s">
        <v>2037</v>
      </c>
      <c r="C2103" t="s">
        <v>62</v>
      </c>
      <c r="D2103" t="s">
        <v>63</v>
      </c>
      <c r="E2103">
        <v>2.6</v>
      </c>
      <c r="F2103">
        <v>3.2</v>
      </c>
      <c r="G2103" s="2" t="s">
        <v>67</v>
      </c>
      <c r="H2103" s="2">
        <v>16.0</v>
      </c>
      <c r="I2103" s="2">
        <v>110.0</v>
      </c>
      <c r="J2103" s="37">
        <v>502.36</v>
      </c>
      <c r="K2103" s="2">
        <v>19.0</v>
      </c>
      <c r="L2103" s="2">
        <v>150.0</v>
      </c>
      <c r="M2103" s="37">
        <v>621.74</v>
      </c>
    </row>
    <row r="2104" ht="14.25" customHeight="1">
      <c r="A2104" t="s">
        <v>2164</v>
      </c>
      <c r="B2104" t="s">
        <v>2037</v>
      </c>
      <c r="C2104" t="s">
        <v>62</v>
      </c>
      <c r="D2104" t="s">
        <v>63</v>
      </c>
      <c r="E2104">
        <v>5.0</v>
      </c>
      <c r="F2104">
        <v>6.0</v>
      </c>
      <c r="G2104" s="2" t="s">
        <v>67</v>
      </c>
      <c r="H2104" s="2">
        <v>34.0</v>
      </c>
      <c r="I2104" s="2">
        <v>186.0</v>
      </c>
      <c r="J2104" s="37">
        <v>1005.44</v>
      </c>
      <c r="K2104" s="2">
        <v>39.0</v>
      </c>
      <c r="L2104" s="2">
        <v>272.0</v>
      </c>
      <c r="M2104" s="37">
        <v>1229.54</v>
      </c>
    </row>
    <row r="2105" ht="14.25" customHeight="1">
      <c r="A2105" t="s">
        <v>2165</v>
      </c>
      <c r="B2105" t="s">
        <v>2037</v>
      </c>
      <c r="C2105" t="s">
        <v>62</v>
      </c>
      <c r="D2105" t="s">
        <v>63</v>
      </c>
      <c r="E2105">
        <v>6.0</v>
      </c>
      <c r="F2105">
        <v>6.6</v>
      </c>
      <c r="G2105" s="2" t="s">
        <v>67</v>
      </c>
      <c r="H2105" s="2">
        <v>36.0</v>
      </c>
      <c r="I2105" s="2">
        <v>147.0</v>
      </c>
      <c r="J2105" s="37">
        <v>999.6600000000001</v>
      </c>
      <c r="K2105" s="2">
        <v>41.0</v>
      </c>
      <c r="L2105" s="2">
        <v>251.0</v>
      </c>
      <c r="M2105" s="37">
        <v>1247.16</v>
      </c>
    </row>
    <row r="2106" ht="14.25" customHeight="1">
      <c r="A2106" t="s">
        <v>2166</v>
      </c>
      <c r="B2106" t="s">
        <v>2037</v>
      </c>
      <c r="C2106" t="s">
        <v>62</v>
      </c>
      <c r="D2106" t="s">
        <v>63</v>
      </c>
      <c r="E2106">
        <v>2.53</v>
      </c>
      <c r="F2106">
        <v>2.91</v>
      </c>
      <c r="G2106" s="2" t="s">
        <v>67</v>
      </c>
      <c r="H2106" s="2">
        <v>15.0</v>
      </c>
      <c r="I2106" s="2">
        <v>81.0</v>
      </c>
      <c r="J2106" s="37">
        <v>442.20000000000005</v>
      </c>
      <c r="K2106" s="2">
        <v>17.0</v>
      </c>
      <c r="L2106" s="2">
        <v>119.0</v>
      </c>
      <c r="M2106" s="37">
        <v>536.52</v>
      </c>
    </row>
    <row r="2107" ht="14.25" customHeight="1">
      <c r="A2107" t="s">
        <v>2167</v>
      </c>
      <c r="B2107" t="s">
        <v>2037</v>
      </c>
      <c r="C2107" t="s">
        <v>62</v>
      </c>
      <c r="D2107" t="s">
        <v>63</v>
      </c>
      <c r="E2107">
        <v>2.15</v>
      </c>
      <c r="F2107">
        <v>2.45</v>
      </c>
      <c r="G2107" s="2" t="s">
        <v>67</v>
      </c>
      <c r="H2107" s="2">
        <v>13.0</v>
      </c>
      <c r="I2107" s="2">
        <v>80.0</v>
      </c>
      <c r="J2107" s="37">
        <v>395.98</v>
      </c>
      <c r="K2107" s="2">
        <v>15.0</v>
      </c>
      <c r="L2107" s="2">
        <v>113.0</v>
      </c>
      <c r="M2107" s="37">
        <v>483.80000000000007</v>
      </c>
    </row>
    <row r="2108" ht="14.25" customHeight="1">
      <c r="A2108" t="s">
        <v>2168</v>
      </c>
      <c r="B2108" t="s">
        <v>2037</v>
      </c>
      <c r="C2108" t="s">
        <v>62</v>
      </c>
      <c r="D2108" t="s">
        <v>63</v>
      </c>
      <c r="E2108">
        <v>2.15</v>
      </c>
      <c r="F2108">
        <v>2.45</v>
      </c>
      <c r="G2108" s="2" t="s">
        <v>67</v>
      </c>
      <c r="H2108" s="2">
        <v>13.0</v>
      </c>
      <c r="I2108" s="2">
        <v>80.0</v>
      </c>
      <c r="J2108" s="37">
        <v>395.98</v>
      </c>
      <c r="K2108" s="2">
        <v>15.0</v>
      </c>
      <c r="L2108" s="2">
        <v>113.0</v>
      </c>
      <c r="M2108" s="37">
        <v>483.80000000000007</v>
      </c>
    </row>
    <row r="2109" ht="14.25" customHeight="1">
      <c r="A2109" t="s">
        <v>2169</v>
      </c>
      <c r="B2109" t="s">
        <v>2037</v>
      </c>
      <c r="C2109" t="s">
        <v>62</v>
      </c>
      <c r="D2109" t="s">
        <v>63</v>
      </c>
      <c r="E2109">
        <v>3.5</v>
      </c>
      <c r="F2109">
        <v>4.05</v>
      </c>
      <c r="G2109" s="2" t="s">
        <v>67</v>
      </c>
      <c r="H2109" s="2">
        <v>20.0</v>
      </c>
      <c r="I2109" s="2">
        <v>62.0</v>
      </c>
      <c r="J2109" s="37">
        <v>529.8000000000001</v>
      </c>
      <c r="K2109" s="2">
        <v>23.0</v>
      </c>
      <c r="L2109" s="2">
        <v>115.0</v>
      </c>
      <c r="M2109" s="37">
        <v>666.08</v>
      </c>
    </row>
    <row r="2110" ht="14.25" customHeight="1">
      <c r="A2110" t="s">
        <v>2170</v>
      </c>
      <c r="B2110" t="s">
        <v>2037</v>
      </c>
      <c r="C2110" t="s">
        <v>62</v>
      </c>
      <c r="D2110" t="s">
        <v>63</v>
      </c>
      <c r="E2110">
        <v>5.2</v>
      </c>
      <c r="F2110">
        <v>5.59</v>
      </c>
      <c r="G2110" s="2" t="s">
        <v>67</v>
      </c>
      <c r="H2110" s="2">
        <v>30.0</v>
      </c>
      <c r="I2110" s="2">
        <v>149.0</v>
      </c>
      <c r="J2110" s="37">
        <v>867.5000000000001</v>
      </c>
      <c r="K2110" s="2">
        <v>35.0</v>
      </c>
      <c r="L2110" s="2">
        <v>238.0</v>
      </c>
      <c r="M2110" s="37">
        <v>1095.5</v>
      </c>
    </row>
    <row r="2111" ht="14.25" customHeight="1">
      <c r="A2111" t="s">
        <v>2171</v>
      </c>
      <c r="B2111" t="s">
        <v>2037</v>
      </c>
      <c r="C2111" t="s">
        <v>62</v>
      </c>
      <c r="D2111" t="s">
        <v>63</v>
      </c>
      <c r="E2111">
        <v>6.1</v>
      </c>
      <c r="F2111">
        <v>6.55</v>
      </c>
      <c r="G2111" s="2" t="s">
        <v>64</v>
      </c>
      <c r="H2111" s="2">
        <v>0.0</v>
      </c>
      <c r="I2111" s="2">
        <v>0.0</v>
      </c>
      <c r="J2111" s="37">
        <v>0.0</v>
      </c>
      <c r="K2111" s="2">
        <v>0.0</v>
      </c>
      <c r="L2111" s="2">
        <v>0.0</v>
      </c>
      <c r="M2111" s="37">
        <v>0.0</v>
      </c>
    </row>
    <row r="2112" ht="14.25" customHeight="1">
      <c r="A2112" t="s">
        <v>2172</v>
      </c>
      <c r="B2112" t="s">
        <v>2037</v>
      </c>
      <c r="C2112" t="s">
        <v>62</v>
      </c>
      <c r="D2112" t="s">
        <v>63</v>
      </c>
      <c r="E2112">
        <v>7.95</v>
      </c>
      <c r="F2112">
        <v>8.7</v>
      </c>
      <c r="G2112" s="2" t="s">
        <v>67</v>
      </c>
      <c r="H2112" s="2">
        <v>45.0</v>
      </c>
      <c r="I2112" s="2">
        <v>80.0</v>
      </c>
      <c r="J2112" s="37">
        <v>1114.7</v>
      </c>
      <c r="K2112" s="2">
        <v>52.0</v>
      </c>
      <c r="L2112" s="2">
        <v>217.0</v>
      </c>
      <c r="M2112" s="37">
        <v>1450.02</v>
      </c>
    </row>
    <row r="2113" ht="14.25" customHeight="1">
      <c r="A2113" t="s">
        <v>2173</v>
      </c>
      <c r="B2113" t="s">
        <v>2037</v>
      </c>
      <c r="C2113" t="s">
        <v>62</v>
      </c>
      <c r="D2113" t="s">
        <v>63</v>
      </c>
      <c r="E2113">
        <v>7.95</v>
      </c>
      <c r="F2113">
        <v>8.7</v>
      </c>
      <c r="G2113" s="2" t="s">
        <v>67</v>
      </c>
      <c r="H2113" s="2">
        <v>45.0</v>
      </c>
      <c r="I2113" s="2">
        <v>80.0</v>
      </c>
      <c r="J2113" s="37">
        <v>1114.7</v>
      </c>
      <c r="K2113" s="2">
        <v>52.0</v>
      </c>
      <c r="L2113" s="2">
        <v>217.0</v>
      </c>
      <c r="M2113" s="37">
        <v>1450.02</v>
      </c>
    </row>
    <row r="2114" ht="14.25" customHeight="1">
      <c r="A2114" t="s">
        <v>2174</v>
      </c>
      <c r="B2114" t="s">
        <v>2037</v>
      </c>
      <c r="C2114" t="s">
        <v>62</v>
      </c>
      <c r="D2114" t="s">
        <v>63</v>
      </c>
      <c r="E2114">
        <v>7.0</v>
      </c>
      <c r="F2114">
        <v>7.7</v>
      </c>
      <c r="G2114" s="2" t="s">
        <v>67</v>
      </c>
      <c r="H2114" s="2">
        <v>42.0</v>
      </c>
      <c r="I2114" s="2">
        <v>113.0</v>
      </c>
      <c r="J2114" s="37">
        <v>1090.22</v>
      </c>
      <c r="K2114" s="2">
        <v>48.0</v>
      </c>
      <c r="L2114" s="2">
        <v>234.0</v>
      </c>
      <c r="M2114" s="37">
        <v>1382.28</v>
      </c>
    </row>
    <row r="2115" ht="14.25" customHeight="1">
      <c r="A2115" t="s">
        <v>2175</v>
      </c>
      <c r="B2115" t="s">
        <v>2037</v>
      </c>
      <c r="C2115" t="s">
        <v>62</v>
      </c>
      <c r="D2115" t="s">
        <v>63</v>
      </c>
      <c r="E2115">
        <v>7.0</v>
      </c>
      <c r="F2115">
        <v>7.7</v>
      </c>
      <c r="G2115" s="2" t="s">
        <v>67</v>
      </c>
      <c r="H2115" s="2">
        <v>42.0</v>
      </c>
      <c r="I2115" s="2">
        <v>113.0</v>
      </c>
      <c r="J2115" s="37">
        <v>1090.22</v>
      </c>
      <c r="K2115" s="2">
        <v>48.0</v>
      </c>
      <c r="L2115" s="2">
        <v>234.0</v>
      </c>
      <c r="M2115" s="37">
        <v>1382.28</v>
      </c>
    </row>
    <row r="2116" ht="14.25" customHeight="1">
      <c r="A2116" t="s">
        <v>2176</v>
      </c>
      <c r="B2116" t="s">
        <v>2037</v>
      </c>
      <c r="C2116" t="s">
        <v>62</v>
      </c>
      <c r="D2116" t="s">
        <v>63</v>
      </c>
      <c r="E2116">
        <v>2.6</v>
      </c>
      <c r="F2116">
        <v>3.25</v>
      </c>
      <c r="G2116" s="2" t="s">
        <v>67</v>
      </c>
      <c r="H2116" s="2">
        <v>17.0</v>
      </c>
      <c r="I2116" s="2">
        <v>122.0</v>
      </c>
      <c r="J2116" s="37">
        <v>540.42</v>
      </c>
      <c r="K2116" s="2">
        <v>19.0</v>
      </c>
      <c r="L2116" s="2">
        <v>162.0</v>
      </c>
      <c r="M2116" s="37">
        <v>637.34</v>
      </c>
    </row>
    <row r="2117" ht="14.25" customHeight="1">
      <c r="A2117" t="s">
        <v>2177</v>
      </c>
      <c r="B2117" t="s">
        <v>2037</v>
      </c>
      <c r="C2117" t="s">
        <v>62</v>
      </c>
      <c r="D2117" t="s">
        <v>63</v>
      </c>
      <c r="E2117">
        <v>3.5</v>
      </c>
      <c r="F2117">
        <v>3.8</v>
      </c>
      <c r="G2117" s="2" t="s">
        <v>67</v>
      </c>
      <c r="H2117" s="2">
        <v>20.0</v>
      </c>
      <c r="I2117" s="2">
        <v>86.0</v>
      </c>
      <c r="J2117" s="37">
        <v>561.0</v>
      </c>
      <c r="K2117" s="2">
        <v>23.0</v>
      </c>
      <c r="L2117" s="2">
        <v>139.0</v>
      </c>
      <c r="M2117" s="37">
        <v>697.2800000000001</v>
      </c>
    </row>
    <row r="2118" ht="14.25" customHeight="1">
      <c r="A2118" t="s">
        <v>2178</v>
      </c>
      <c r="B2118" t="s">
        <v>2037</v>
      </c>
      <c r="C2118" t="s">
        <v>62</v>
      </c>
      <c r="D2118" t="s">
        <v>63</v>
      </c>
      <c r="E2118">
        <v>5.0</v>
      </c>
      <c r="F2118">
        <v>6.0</v>
      </c>
      <c r="G2118" s="2" t="s">
        <v>67</v>
      </c>
      <c r="H2118" s="2">
        <v>35.0</v>
      </c>
      <c r="I2118" s="2">
        <v>226.0</v>
      </c>
      <c r="J2118" s="37">
        <v>1079.9</v>
      </c>
      <c r="K2118" s="2">
        <v>40.0</v>
      </c>
      <c r="L2118" s="2">
        <v>312.0</v>
      </c>
      <c r="M2118" s="37">
        <v>1304.0</v>
      </c>
    </row>
    <row r="2119" ht="14.25" customHeight="1">
      <c r="A2119" t="s">
        <v>2179</v>
      </c>
      <c r="B2119" t="s">
        <v>2037</v>
      </c>
      <c r="C2119" t="s">
        <v>62</v>
      </c>
      <c r="D2119" t="s">
        <v>63</v>
      </c>
      <c r="E2119">
        <v>6.0</v>
      </c>
      <c r="F2119">
        <v>6.55</v>
      </c>
      <c r="G2119" s="2" t="s">
        <v>67</v>
      </c>
      <c r="H2119" s="2">
        <v>37.0</v>
      </c>
      <c r="I2119" s="2">
        <v>165.0</v>
      </c>
      <c r="J2119" s="37">
        <v>1045.52</v>
      </c>
      <c r="K2119" s="2">
        <v>42.0</v>
      </c>
      <c r="L2119" s="2">
        <v>268.0</v>
      </c>
      <c r="M2119" s="37">
        <v>1291.72</v>
      </c>
    </row>
    <row r="2120" ht="14.25" customHeight="1">
      <c r="A2120" t="s">
        <v>2180</v>
      </c>
      <c r="B2120" t="s">
        <v>2037</v>
      </c>
      <c r="C2120" t="s">
        <v>62</v>
      </c>
      <c r="D2120" t="s">
        <v>63</v>
      </c>
      <c r="E2120">
        <v>10.0</v>
      </c>
      <c r="F2120">
        <v>10.5</v>
      </c>
      <c r="G2120" s="2" t="s">
        <v>67</v>
      </c>
      <c r="H2120" s="2">
        <v>62.0</v>
      </c>
      <c r="I2120" s="2">
        <v>104.0</v>
      </c>
      <c r="J2120" s="37">
        <v>1527.72</v>
      </c>
      <c r="K2120" s="2">
        <v>71.0</v>
      </c>
      <c r="L2120" s="2">
        <v>297.0</v>
      </c>
      <c r="M2120" s="37">
        <v>1980.7600000000002</v>
      </c>
    </row>
    <row r="2121" ht="14.25" customHeight="1">
      <c r="A2121" t="s">
        <v>2181</v>
      </c>
      <c r="B2121" t="s">
        <v>2037</v>
      </c>
      <c r="C2121" t="s">
        <v>62</v>
      </c>
      <c r="D2121" t="s">
        <v>63</v>
      </c>
      <c r="E2121">
        <v>12.9</v>
      </c>
      <c r="F2121">
        <v>13.3</v>
      </c>
      <c r="G2121" s="2" t="s">
        <v>67</v>
      </c>
      <c r="H2121" s="2">
        <v>79.0</v>
      </c>
      <c r="I2121" s="2">
        <v>253.0</v>
      </c>
      <c r="J2121" s="37">
        <v>2103.2400000000002</v>
      </c>
      <c r="K2121" s="2">
        <v>91.0</v>
      </c>
      <c r="L2121" s="2">
        <v>502.0</v>
      </c>
      <c r="M2121" s="37">
        <v>2696.46</v>
      </c>
    </row>
    <row r="2122" ht="14.25" customHeight="1">
      <c r="A2122" t="s">
        <v>2182</v>
      </c>
      <c r="B2122" t="s">
        <v>2037</v>
      </c>
      <c r="C2122" t="s">
        <v>62</v>
      </c>
      <c r="D2122" t="s">
        <v>63</v>
      </c>
      <c r="E2122">
        <v>14.1</v>
      </c>
      <c r="F2122">
        <v>14.5</v>
      </c>
      <c r="G2122" s="2" t="s">
        <v>67</v>
      </c>
      <c r="H2122" s="2">
        <v>84.0</v>
      </c>
      <c r="I2122" s="2">
        <v>150.0</v>
      </c>
      <c r="J2122" s="37">
        <v>2081.6400000000003</v>
      </c>
      <c r="K2122" s="2">
        <v>97.0</v>
      </c>
      <c r="L2122" s="2">
        <v>423.0</v>
      </c>
      <c r="M2122" s="37">
        <v>2728.52</v>
      </c>
    </row>
    <row r="2123" ht="14.25" customHeight="1">
      <c r="A2123" t="s">
        <v>2183</v>
      </c>
      <c r="B2123" t="s">
        <v>2024</v>
      </c>
      <c r="C2123" t="s">
        <v>75</v>
      </c>
      <c r="D2123" t="s">
        <v>63</v>
      </c>
      <c r="E2123">
        <v>20.5</v>
      </c>
      <c r="F2123">
        <v>23.0</v>
      </c>
      <c r="G2123" s="2" t="s">
        <v>64</v>
      </c>
      <c r="H2123" s="2">
        <v>0.0</v>
      </c>
      <c r="I2123" s="2">
        <v>0.0</v>
      </c>
      <c r="J2123" s="37">
        <v>0.0</v>
      </c>
      <c r="K2123" s="2">
        <v>0.0</v>
      </c>
      <c r="L2123" s="2">
        <v>0.0</v>
      </c>
      <c r="M2123" s="37">
        <v>0.0</v>
      </c>
    </row>
    <row r="2124" ht="14.25" customHeight="1">
      <c r="A2124" t="s">
        <v>2184</v>
      </c>
      <c r="B2124" t="s">
        <v>2024</v>
      </c>
      <c r="C2124" t="s">
        <v>75</v>
      </c>
      <c r="D2124" t="s">
        <v>63</v>
      </c>
      <c r="E2124">
        <v>22.0</v>
      </c>
      <c r="F2124">
        <v>24.5</v>
      </c>
      <c r="G2124" s="2" t="s">
        <v>64</v>
      </c>
      <c r="H2124" s="2">
        <v>0.0</v>
      </c>
      <c r="I2124" s="2">
        <v>0.0</v>
      </c>
      <c r="J2124" s="37">
        <v>0.0</v>
      </c>
      <c r="K2124" s="2">
        <v>0.0</v>
      </c>
      <c r="L2124" s="2">
        <v>0.0</v>
      </c>
      <c r="M2124" s="37">
        <v>0.0</v>
      </c>
    </row>
    <row r="2125" ht="14.25" customHeight="1">
      <c r="A2125" t="s">
        <v>2185</v>
      </c>
      <c r="B2125" t="s">
        <v>2024</v>
      </c>
      <c r="C2125" t="s">
        <v>75</v>
      </c>
      <c r="D2125" t="s">
        <v>63</v>
      </c>
      <c r="E2125">
        <v>20.5</v>
      </c>
      <c r="F2125">
        <v>23.0</v>
      </c>
      <c r="G2125" s="2" t="s">
        <v>64</v>
      </c>
      <c r="H2125" s="2">
        <v>0.0</v>
      </c>
      <c r="I2125" s="2">
        <v>0.0</v>
      </c>
      <c r="J2125" s="37">
        <v>0.0</v>
      </c>
      <c r="K2125" s="2">
        <v>0.0</v>
      </c>
      <c r="L2125" s="2">
        <v>0.0</v>
      </c>
      <c r="M2125" s="37">
        <v>0.0</v>
      </c>
    </row>
    <row r="2126" ht="14.25" customHeight="1">
      <c r="A2126" t="s">
        <v>2186</v>
      </c>
      <c r="B2126" t="s">
        <v>2024</v>
      </c>
      <c r="C2126" t="s">
        <v>75</v>
      </c>
      <c r="D2126" t="s">
        <v>63</v>
      </c>
      <c r="E2126">
        <v>22.0</v>
      </c>
      <c r="F2126">
        <v>24.5</v>
      </c>
      <c r="G2126" s="2" t="s">
        <v>64</v>
      </c>
      <c r="H2126" s="2">
        <v>0.0</v>
      </c>
      <c r="I2126" s="2">
        <v>0.0</v>
      </c>
      <c r="J2126" s="37">
        <v>0.0</v>
      </c>
      <c r="K2126" s="2">
        <v>0.0</v>
      </c>
      <c r="L2126" s="2">
        <v>0.0</v>
      </c>
      <c r="M2126" s="37">
        <v>0.0</v>
      </c>
    </row>
    <row r="2127" ht="14.25" customHeight="1">
      <c r="A2127" t="s">
        <v>2187</v>
      </c>
      <c r="B2127" t="s">
        <v>2188</v>
      </c>
      <c r="C2127" t="s">
        <v>62</v>
      </c>
      <c r="D2127" t="s">
        <v>63</v>
      </c>
      <c r="E2127">
        <v>3.5</v>
      </c>
      <c r="F2127">
        <v>4.5</v>
      </c>
      <c r="G2127" s="2" t="s">
        <v>64</v>
      </c>
      <c r="H2127" s="2">
        <v>0.0</v>
      </c>
      <c r="I2127" s="2">
        <v>0.0</v>
      </c>
      <c r="J2127" s="37">
        <v>0.0</v>
      </c>
      <c r="K2127" s="2">
        <v>0.0</v>
      </c>
      <c r="L2127" s="2">
        <v>0.0</v>
      </c>
      <c r="M2127" s="37">
        <v>0.0</v>
      </c>
    </row>
    <row r="2128" ht="14.25" customHeight="1">
      <c r="A2128" t="s">
        <v>2189</v>
      </c>
      <c r="B2128" t="s">
        <v>2188</v>
      </c>
      <c r="C2128" t="s">
        <v>62</v>
      </c>
      <c r="D2128" t="s">
        <v>63</v>
      </c>
      <c r="E2128">
        <v>2.64</v>
      </c>
      <c r="F2128">
        <v>4.05</v>
      </c>
      <c r="G2128" s="2" t="s">
        <v>64</v>
      </c>
      <c r="H2128" s="2">
        <v>0.0</v>
      </c>
      <c r="I2128" s="2">
        <v>0.0</v>
      </c>
      <c r="J2128" s="37">
        <v>0.0</v>
      </c>
      <c r="K2128" s="2">
        <v>0.0</v>
      </c>
      <c r="L2128" s="2">
        <v>0.0</v>
      </c>
      <c r="M2128" s="37">
        <v>0.0</v>
      </c>
    </row>
    <row r="2129" ht="14.25" customHeight="1">
      <c r="A2129" t="s">
        <v>2190</v>
      </c>
      <c r="B2129" t="s">
        <v>2191</v>
      </c>
      <c r="C2129" t="s">
        <v>62</v>
      </c>
      <c r="D2129" t="s">
        <v>63</v>
      </c>
      <c r="E2129">
        <v>4.995</v>
      </c>
      <c r="F2129">
        <v>5.8</v>
      </c>
      <c r="G2129" s="2" t="s">
        <v>64</v>
      </c>
      <c r="H2129" s="2">
        <v>0.0</v>
      </c>
      <c r="I2129" s="2">
        <v>0.0</v>
      </c>
      <c r="J2129" s="37">
        <v>0.0</v>
      </c>
      <c r="K2129" s="2">
        <v>0.0</v>
      </c>
      <c r="L2129" s="2">
        <v>0.0</v>
      </c>
      <c r="M2129" s="37">
        <v>0.0</v>
      </c>
    </row>
    <row r="2130" ht="14.25" customHeight="1">
      <c r="A2130" t="s">
        <v>2192</v>
      </c>
      <c r="B2130" t="s">
        <v>2193</v>
      </c>
      <c r="C2130" t="s">
        <v>62</v>
      </c>
      <c r="D2130" t="s">
        <v>63</v>
      </c>
      <c r="E2130">
        <v>6.036</v>
      </c>
      <c r="F2130">
        <v>6.8</v>
      </c>
      <c r="G2130" s="2" t="s">
        <v>64</v>
      </c>
      <c r="H2130" s="2">
        <v>0.0</v>
      </c>
      <c r="I2130" s="2">
        <v>0.0</v>
      </c>
      <c r="J2130" s="37">
        <v>0.0</v>
      </c>
      <c r="K2130" s="2">
        <v>0.0</v>
      </c>
      <c r="L2130" s="2">
        <v>0.0</v>
      </c>
      <c r="M2130" s="37">
        <v>0.0</v>
      </c>
    </row>
    <row r="2131" ht="14.25" customHeight="1">
      <c r="A2131" t="s">
        <v>2194</v>
      </c>
      <c r="B2131" t="s">
        <v>2193</v>
      </c>
      <c r="C2131" t="s">
        <v>62</v>
      </c>
      <c r="D2131" t="s">
        <v>63</v>
      </c>
      <c r="E2131">
        <v>6.114</v>
      </c>
      <c r="F2131">
        <v>6.8</v>
      </c>
      <c r="G2131" s="2" t="s">
        <v>64</v>
      </c>
      <c r="H2131" s="2">
        <v>0.0</v>
      </c>
      <c r="I2131" s="2">
        <v>0.0</v>
      </c>
      <c r="J2131" s="37">
        <v>0.0</v>
      </c>
      <c r="K2131" s="2">
        <v>0.0</v>
      </c>
      <c r="L2131" s="2">
        <v>0.0</v>
      </c>
      <c r="M2131" s="37">
        <v>0.0</v>
      </c>
    </row>
    <row r="2132" ht="14.25" customHeight="1">
      <c r="A2132" t="s">
        <v>2195</v>
      </c>
      <c r="B2132" t="s">
        <v>2193</v>
      </c>
      <c r="C2132" t="s">
        <v>62</v>
      </c>
      <c r="D2132" t="s">
        <v>63</v>
      </c>
      <c r="E2132">
        <v>2.5</v>
      </c>
      <c r="F2132">
        <v>3.2</v>
      </c>
      <c r="G2132" s="2" t="s">
        <v>67</v>
      </c>
      <c r="H2132" s="2">
        <v>16.0</v>
      </c>
      <c r="I2132" s="2">
        <v>97.0</v>
      </c>
      <c r="J2132" s="37">
        <v>485.46000000000004</v>
      </c>
      <c r="K2132" s="2">
        <v>18.0</v>
      </c>
      <c r="L2132" s="2">
        <v>134.0</v>
      </c>
      <c r="M2132" s="37">
        <v>578.48</v>
      </c>
    </row>
    <row r="2133" ht="14.25" customHeight="1">
      <c r="A2133" t="s">
        <v>2196</v>
      </c>
      <c r="B2133" t="s">
        <v>2193</v>
      </c>
      <c r="C2133" t="s">
        <v>62</v>
      </c>
      <c r="D2133" t="s">
        <v>63</v>
      </c>
      <c r="E2133">
        <v>2.5</v>
      </c>
      <c r="F2133">
        <v>3.2</v>
      </c>
      <c r="G2133" s="2" t="s">
        <v>67</v>
      </c>
      <c r="H2133" s="2">
        <v>16.0</v>
      </c>
      <c r="I2133" s="2">
        <v>97.0</v>
      </c>
      <c r="J2133" s="37">
        <v>485.46000000000004</v>
      </c>
      <c r="K2133" s="2">
        <v>18.0</v>
      </c>
      <c r="L2133" s="2">
        <v>134.0</v>
      </c>
      <c r="M2133" s="37">
        <v>578.48</v>
      </c>
    </row>
    <row r="2134" ht="14.25" customHeight="1">
      <c r="A2134" t="s">
        <v>2197</v>
      </c>
      <c r="B2134" t="s">
        <v>2193</v>
      </c>
      <c r="C2134" t="s">
        <v>62</v>
      </c>
      <c r="D2134" t="s">
        <v>63</v>
      </c>
      <c r="E2134">
        <v>3.5</v>
      </c>
      <c r="F2134">
        <v>4.0</v>
      </c>
      <c r="G2134" s="2" t="s">
        <v>64</v>
      </c>
      <c r="H2134" s="2">
        <v>0.0</v>
      </c>
      <c r="I2134" s="2">
        <v>0.0</v>
      </c>
      <c r="J2134" s="37">
        <v>0.0</v>
      </c>
      <c r="K2134" s="2">
        <v>0.0</v>
      </c>
      <c r="L2134" s="2">
        <v>0.0</v>
      </c>
      <c r="M2134" s="37">
        <v>0.0</v>
      </c>
    </row>
    <row r="2135" ht="14.25" customHeight="1">
      <c r="A2135" t="s">
        <v>2198</v>
      </c>
      <c r="B2135" t="s">
        <v>2193</v>
      </c>
      <c r="C2135" t="s">
        <v>62</v>
      </c>
      <c r="D2135" t="s">
        <v>63</v>
      </c>
      <c r="E2135">
        <v>5.0</v>
      </c>
      <c r="F2135">
        <v>6.0</v>
      </c>
      <c r="G2135" s="2" t="s">
        <v>67</v>
      </c>
      <c r="H2135" s="2">
        <v>27.0</v>
      </c>
      <c r="I2135" s="2">
        <v>96.0</v>
      </c>
      <c r="J2135" s="37">
        <v>731.22</v>
      </c>
      <c r="K2135" s="2">
        <v>32.0</v>
      </c>
      <c r="L2135" s="2">
        <v>183.0</v>
      </c>
      <c r="M2135" s="37">
        <v>956.62</v>
      </c>
    </row>
    <row r="2136" ht="14.25" customHeight="1">
      <c r="A2136" t="s">
        <v>2199</v>
      </c>
      <c r="B2136" t="s">
        <v>2193</v>
      </c>
      <c r="C2136" t="s">
        <v>62</v>
      </c>
      <c r="D2136" t="s">
        <v>63</v>
      </c>
      <c r="E2136">
        <v>5.0</v>
      </c>
      <c r="F2136">
        <v>6.0</v>
      </c>
      <c r="G2136" s="2" t="s">
        <v>67</v>
      </c>
      <c r="H2136" s="2">
        <v>27.0</v>
      </c>
      <c r="I2136" s="2">
        <v>96.0</v>
      </c>
      <c r="J2136" s="37">
        <v>731.22</v>
      </c>
      <c r="K2136" s="2">
        <v>32.0</v>
      </c>
      <c r="L2136" s="2">
        <v>183.0</v>
      </c>
      <c r="M2136" s="37">
        <v>956.62</v>
      </c>
    </row>
    <row r="2137" ht="14.25" customHeight="1">
      <c r="A2137" t="s">
        <v>2200</v>
      </c>
      <c r="B2137" t="s">
        <v>2191</v>
      </c>
      <c r="C2137" t="s">
        <v>62</v>
      </c>
      <c r="D2137" t="s">
        <v>63</v>
      </c>
      <c r="E2137">
        <v>3.5</v>
      </c>
      <c r="F2137">
        <v>4.0</v>
      </c>
      <c r="G2137" s="2" t="s">
        <v>64</v>
      </c>
      <c r="H2137" s="2">
        <v>0.0</v>
      </c>
      <c r="I2137" s="2">
        <v>0.0</v>
      </c>
      <c r="J2137" s="37">
        <v>0.0</v>
      </c>
      <c r="K2137" s="2">
        <v>0.0</v>
      </c>
      <c r="L2137" s="2">
        <v>0.0</v>
      </c>
      <c r="M2137" s="37">
        <v>0.0</v>
      </c>
    </row>
    <row r="2138" ht="14.25" customHeight="1">
      <c r="A2138" t="s">
        <v>2201</v>
      </c>
      <c r="B2138" t="s">
        <v>2191</v>
      </c>
      <c r="C2138" t="s">
        <v>62</v>
      </c>
      <c r="D2138" t="s">
        <v>63</v>
      </c>
      <c r="E2138">
        <v>4.2</v>
      </c>
      <c r="F2138">
        <v>5.0</v>
      </c>
      <c r="G2138" s="2" t="s">
        <v>64</v>
      </c>
      <c r="H2138" s="2">
        <v>0.0</v>
      </c>
      <c r="I2138" s="2">
        <v>0.0</v>
      </c>
      <c r="J2138" s="37">
        <v>0.0</v>
      </c>
      <c r="K2138" s="2">
        <v>0.0</v>
      </c>
      <c r="L2138" s="2">
        <v>0.0</v>
      </c>
      <c r="M2138" s="37">
        <v>0.0</v>
      </c>
    </row>
    <row r="2139" ht="14.25" customHeight="1">
      <c r="A2139" t="s">
        <v>2202</v>
      </c>
      <c r="B2139" t="s">
        <v>2191</v>
      </c>
      <c r="C2139" t="s">
        <v>62</v>
      </c>
      <c r="D2139" t="s">
        <v>63</v>
      </c>
      <c r="E2139">
        <v>4.8</v>
      </c>
      <c r="F2139">
        <v>5.8</v>
      </c>
      <c r="G2139" s="2" t="s">
        <v>64</v>
      </c>
      <c r="H2139" s="2">
        <v>0.0</v>
      </c>
      <c r="I2139" s="2">
        <v>0.0</v>
      </c>
      <c r="J2139" s="37">
        <v>0.0</v>
      </c>
      <c r="K2139" s="2">
        <v>0.0</v>
      </c>
      <c r="L2139" s="2">
        <v>0.0</v>
      </c>
      <c r="M2139" s="37">
        <v>0.0</v>
      </c>
    </row>
    <row r="2140" ht="14.25" customHeight="1">
      <c r="A2140" t="s">
        <v>2203</v>
      </c>
      <c r="B2140" t="s">
        <v>2193</v>
      </c>
      <c r="C2140" t="s">
        <v>62</v>
      </c>
      <c r="D2140" t="s">
        <v>63</v>
      </c>
      <c r="E2140">
        <v>3.5</v>
      </c>
      <c r="F2140">
        <v>4.0</v>
      </c>
      <c r="G2140" s="2" t="s">
        <v>64</v>
      </c>
      <c r="H2140" s="2">
        <v>0.0</v>
      </c>
      <c r="I2140" s="2">
        <v>0.0</v>
      </c>
      <c r="J2140" s="37">
        <v>0.0</v>
      </c>
      <c r="K2140" s="2">
        <v>0.0</v>
      </c>
      <c r="L2140" s="2">
        <v>0.0</v>
      </c>
      <c r="M2140" s="37">
        <v>0.0</v>
      </c>
    </row>
    <row r="2141" ht="14.25" customHeight="1">
      <c r="A2141" t="s">
        <v>2204</v>
      </c>
      <c r="B2141" t="s">
        <v>2191</v>
      </c>
      <c r="C2141" t="s">
        <v>62</v>
      </c>
      <c r="D2141" t="s">
        <v>63</v>
      </c>
      <c r="E2141">
        <v>3.5</v>
      </c>
      <c r="F2141">
        <v>4.0</v>
      </c>
      <c r="G2141" s="2" t="s">
        <v>64</v>
      </c>
      <c r="H2141" s="2">
        <v>0.0</v>
      </c>
      <c r="I2141" s="2">
        <v>0.0</v>
      </c>
      <c r="J2141" s="37">
        <v>0.0</v>
      </c>
      <c r="K2141" s="2">
        <v>0.0</v>
      </c>
      <c r="L2141" s="2">
        <v>0.0</v>
      </c>
      <c r="M2141" s="37">
        <v>0.0</v>
      </c>
    </row>
    <row r="2142" ht="14.25" customHeight="1">
      <c r="A2142" t="s">
        <v>2205</v>
      </c>
      <c r="B2142" t="s">
        <v>2191</v>
      </c>
      <c r="C2142" t="s">
        <v>62</v>
      </c>
      <c r="D2142" t="s">
        <v>63</v>
      </c>
      <c r="E2142">
        <v>5.0</v>
      </c>
      <c r="F2142">
        <v>5.8</v>
      </c>
      <c r="G2142" s="2" t="s">
        <v>64</v>
      </c>
      <c r="H2142" s="2">
        <v>0.0</v>
      </c>
      <c r="I2142" s="2">
        <v>0.0</v>
      </c>
      <c r="J2142" s="37">
        <v>0.0</v>
      </c>
      <c r="K2142" s="2">
        <v>0.0</v>
      </c>
      <c r="L2142" s="2">
        <v>0.0</v>
      </c>
      <c r="M2142" s="37">
        <v>0.0</v>
      </c>
    </row>
    <row r="2143" ht="14.25" customHeight="1">
      <c r="A2143" t="s">
        <v>2206</v>
      </c>
      <c r="B2143" t="s">
        <v>2191</v>
      </c>
      <c r="C2143" t="s">
        <v>62</v>
      </c>
      <c r="D2143" t="s">
        <v>63</v>
      </c>
      <c r="E2143">
        <v>5.0</v>
      </c>
      <c r="F2143">
        <v>5.8</v>
      </c>
      <c r="G2143" s="2" t="s">
        <v>64</v>
      </c>
      <c r="H2143" s="2">
        <v>0.0</v>
      </c>
      <c r="I2143" s="2">
        <v>0.0</v>
      </c>
      <c r="J2143" s="37">
        <v>0.0</v>
      </c>
      <c r="K2143" s="2">
        <v>0.0</v>
      </c>
      <c r="L2143" s="2">
        <v>0.0</v>
      </c>
      <c r="M2143" s="37">
        <v>0.0</v>
      </c>
    </row>
    <row r="2144" ht="14.25" customHeight="1">
      <c r="A2144" t="s">
        <v>2207</v>
      </c>
      <c r="B2144" t="s">
        <v>2191</v>
      </c>
      <c r="C2144" t="s">
        <v>62</v>
      </c>
      <c r="D2144" t="s">
        <v>63</v>
      </c>
      <c r="E2144">
        <v>2.5</v>
      </c>
      <c r="F2144">
        <v>3.2</v>
      </c>
      <c r="G2144" s="2" t="s">
        <v>67</v>
      </c>
      <c r="H2144" s="2">
        <v>13.0</v>
      </c>
      <c r="I2144" s="2">
        <v>74.0</v>
      </c>
      <c r="J2144" s="37">
        <v>388.18</v>
      </c>
      <c r="K2144" s="2">
        <v>16.0</v>
      </c>
      <c r="L2144" s="2">
        <v>112.0</v>
      </c>
      <c r="M2144" s="37">
        <v>504.96000000000004</v>
      </c>
    </row>
    <row r="2145" ht="14.25" customHeight="1">
      <c r="A2145" t="s">
        <v>2208</v>
      </c>
      <c r="B2145" t="s">
        <v>2191</v>
      </c>
      <c r="C2145" t="s">
        <v>62</v>
      </c>
      <c r="D2145" t="s">
        <v>63</v>
      </c>
      <c r="E2145">
        <v>2.5</v>
      </c>
      <c r="F2145">
        <v>3.2</v>
      </c>
      <c r="G2145" s="2" t="s">
        <v>67</v>
      </c>
      <c r="H2145" s="2">
        <v>13.0</v>
      </c>
      <c r="I2145" s="2">
        <v>74.0</v>
      </c>
      <c r="J2145" s="37">
        <v>388.18</v>
      </c>
      <c r="K2145" s="2">
        <v>16.0</v>
      </c>
      <c r="L2145" s="2">
        <v>112.0</v>
      </c>
      <c r="M2145" s="37">
        <v>504.96000000000004</v>
      </c>
    </row>
    <row r="2146" ht="14.25" customHeight="1">
      <c r="A2146" t="s">
        <v>2209</v>
      </c>
      <c r="B2146" t="s">
        <v>2191</v>
      </c>
      <c r="C2146" t="s">
        <v>62</v>
      </c>
      <c r="D2146" t="s">
        <v>63</v>
      </c>
      <c r="E2146">
        <v>4.2</v>
      </c>
      <c r="F2146">
        <v>5.4</v>
      </c>
      <c r="G2146" s="2" t="s">
        <v>64</v>
      </c>
      <c r="H2146" s="2">
        <v>0.0</v>
      </c>
      <c r="I2146" s="2">
        <v>0.0</v>
      </c>
      <c r="J2146" s="37">
        <v>0.0</v>
      </c>
      <c r="K2146" s="2">
        <v>0.0</v>
      </c>
      <c r="L2146" s="2">
        <v>0.0</v>
      </c>
      <c r="M2146" s="37">
        <v>0.0</v>
      </c>
    </row>
    <row r="2147" ht="14.25" customHeight="1">
      <c r="A2147" t="s">
        <v>2210</v>
      </c>
      <c r="B2147" t="s">
        <v>2191</v>
      </c>
      <c r="C2147" t="s">
        <v>62</v>
      </c>
      <c r="D2147" t="s">
        <v>63</v>
      </c>
      <c r="E2147">
        <v>4.2</v>
      </c>
      <c r="F2147">
        <v>5.4</v>
      </c>
      <c r="G2147" s="2" t="s">
        <v>64</v>
      </c>
      <c r="H2147" s="2">
        <v>0.0</v>
      </c>
      <c r="I2147" s="2">
        <v>0.0</v>
      </c>
      <c r="J2147" s="37">
        <v>0.0</v>
      </c>
      <c r="K2147" s="2">
        <v>0.0</v>
      </c>
      <c r="L2147" s="2">
        <v>0.0</v>
      </c>
      <c r="M2147" s="37">
        <v>0.0</v>
      </c>
    </row>
    <row r="2148" ht="14.25" customHeight="1">
      <c r="A2148" t="s">
        <v>2211</v>
      </c>
      <c r="B2148" t="s">
        <v>2191</v>
      </c>
      <c r="C2148" t="s">
        <v>62</v>
      </c>
      <c r="D2148" t="s">
        <v>63</v>
      </c>
      <c r="E2148">
        <v>2.538</v>
      </c>
      <c r="F2148">
        <v>3.4</v>
      </c>
      <c r="G2148" s="2" t="s">
        <v>67</v>
      </c>
      <c r="H2148" s="2">
        <v>14.0</v>
      </c>
      <c r="I2148" s="2">
        <v>86.0</v>
      </c>
      <c r="J2148" s="37">
        <v>426.24</v>
      </c>
      <c r="K2148" s="2">
        <v>16.0</v>
      </c>
      <c r="L2148" s="2">
        <v>124.0</v>
      </c>
      <c r="M2148" s="37">
        <v>520.5600000000001</v>
      </c>
    </row>
    <row r="2149" ht="14.25" customHeight="1">
      <c r="A2149" t="s">
        <v>2212</v>
      </c>
      <c r="B2149" t="s">
        <v>2193</v>
      </c>
      <c r="C2149" t="s">
        <v>62</v>
      </c>
      <c r="D2149" t="s">
        <v>63</v>
      </c>
      <c r="E2149">
        <v>2.5</v>
      </c>
      <c r="F2149">
        <v>3.2</v>
      </c>
      <c r="G2149" s="2" t="s">
        <v>67</v>
      </c>
      <c r="H2149" s="2">
        <v>14.0</v>
      </c>
      <c r="I2149" s="2">
        <v>108.0</v>
      </c>
      <c r="J2149" s="37">
        <v>454.84000000000003</v>
      </c>
      <c r="K2149" s="2">
        <v>17.0</v>
      </c>
      <c r="L2149" s="2">
        <v>146.0</v>
      </c>
      <c r="M2149" s="37">
        <v>571.62</v>
      </c>
    </row>
    <row r="2150" ht="14.25" customHeight="1">
      <c r="A2150" t="s">
        <v>2213</v>
      </c>
      <c r="B2150" t="s">
        <v>2193</v>
      </c>
      <c r="C2150" t="s">
        <v>62</v>
      </c>
      <c r="D2150" t="s">
        <v>63</v>
      </c>
      <c r="E2150">
        <v>3.5</v>
      </c>
      <c r="F2150">
        <v>3.7</v>
      </c>
      <c r="G2150" s="2" t="s">
        <v>64</v>
      </c>
      <c r="H2150" s="2">
        <v>0.0</v>
      </c>
      <c r="I2150" s="2">
        <v>0.0</v>
      </c>
      <c r="J2150" s="37">
        <v>0.0</v>
      </c>
      <c r="K2150" s="2">
        <v>0.0</v>
      </c>
      <c r="L2150" s="2">
        <v>0.0</v>
      </c>
      <c r="M2150" s="37">
        <v>0.0</v>
      </c>
    </row>
    <row r="2151" ht="14.25" customHeight="1">
      <c r="A2151" t="s">
        <v>2214</v>
      </c>
      <c r="B2151" t="s">
        <v>2193</v>
      </c>
      <c r="C2151" t="s">
        <v>62</v>
      </c>
      <c r="D2151" t="s">
        <v>63</v>
      </c>
      <c r="E2151">
        <v>4.2</v>
      </c>
      <c r="F2151">
        <v>5.4</v>
      </c>
      <c r="G2151" s="2" t="s">
        <v>64</v>
      </c>
      <c r="H2151" s="2">
        <v>0.0</v>
      </c>
      <c r="I2151" s="2">
        <v>0.0</v>
      </c>
      <c r="J2151" s="37">
        <v>0.0</v>
      </c>
      <c r="K2151" s="2">
        <v>0.0</v>
      </c>
      <c r="L2151" s="2">
        <v>0.0</v>
      </c>
      <c r="M2151" s="37">
        <v>0.0</v>
      </c>
    </row>
    <row r="2152" ht="14.25" customHeight="1">
      <c r="A2152" t="s">
        <v>2215</v>
      </c>
      <c r="B2152" t="s">
        <v>2193</v>
      </c>
      <c r="C2152" t="s">
        <v>62</v>
      </c>
      <c r="D2152" t="s">
        <v>63</v>
      </c>
      <c r="E2152">
        <v>4.8</v>
      </c>
      <c r="F2152">
        <v>5.8</v>
      </c>
      <c r="G2152" s="2" t="s">
        <v>67</v>
      </c>
      <c r="H2152" s="2">
        <v>28.0</v>
      </c>
      <c r="I2152" s="2">
        <v>179.0</v>
      </c>
      <c r="J2152" s="37">
        <v>861.58</v>
      </c>
      <c r="K2152" s="2">
        <v>33.0</v>
      </c>
      <c r="L2152" s="2">
        <v>262.0</v>
      </c>
      <c r="M2152" s="37">
        <v>1081.7800000000002</v>
      </c>
    </row>
    <row r="2153" ht="14.25" customHeight="1">
      <c r="A2153" t="s">
        <v>2216</v>
      </c>
      <c r="B2153" t="s">
        <v>2193</v>
      </c>
      <c r="C2153" t="s">
        <v>62</v>
      </c>
      <c r="D2153" t="s">
        <v>63</v>
      </c>
      <c r="E2153">
        <v>6.0</v>
      </c>
      <c r="F2153">
        <v>6.8</v>
      </c>
      <c r="G2153" s="2" t="s">
        <v>67</v>
      </c>
      <c r="H2153" s="2">
        <v>32.0</v>
      </c>
      <c r="I2153" s="2">
        <v>153.0</v>
      </c>
      <c r="J2153" s="37">
        <v>917.62</v>
      </c>
      <c r="K2153" s="2">
        <v>37.0</v>
      </c>
      <c r="L2153" s="2">
        <v>256.0</v>
      </c>
      <c r="M2153" s="37">
        <v>1163.82</v>
      </c>
    </row>
    <row r="2154" ht="14.25" customHeight="1">
      <c r="A2154" t="s">
        <v>2217</v>
      </c>
      <c r="B2154" t="s">
        <v>2193</v>
      </c>
      <c r="C2154" t="s">
        <v>62</v>
      </c>
      <c r="D2154" t="s">
        <v>63</v>
      </c>
      <c r="E2154">
        <v>7.1</v>
      </c>
      <c r="F2154">
        <v>8.0</v>
      </c>
      <c r="G2154" s="2" t="s">
        <v>67</v>
      </c>
      <c r="H2154" s="2">
        <v>34.0</v>
      </c>
      <c r="I2154" s="2">
        <v>109.0</v>
      </c>
      <c r="J2154" s="37">
        <v>905.34</v>
      </c>
      <c r="K2154" s="2">
        <v>41.0</v>
      </c>
      <c r="L2154" s="2">
        <v>231.0</v>
      </c>
      <c r="M2154" s="37">
        <v>1221.16</v>
      </c>
    </row>
    <row r="2155" ht="14.25" customHeight="1">
      <c r="A2155" t="s">
        <v>2218</v>
      </c>
      <c r="B2155" t="s">
        <v>2193</v>
      </c>
      <c r="C2155" t="s">
        <v>62</v>
      </c>
      <c r="D2155" t="s">
        <v>63</v>
      </c>
      <c r="E2155">
        <v>7.8</v>
      </c>
      <c r="F2155">
        <v>9.0</v>
      </c>
      <c r="G2155" s="2" t="s">
        <v>64</v>
      </c>
      <c r="H2155" s="2">
        <v>0.0</v>
      </c>
      <c r="I2155" s="2">
        <v>0.0</v>
      </c>
      <c r="J2155" s="37">
        <v>0.0</v>
      </c>
      <c r="K2155" s="2">
        <v>0.0</v>
      </c>
      <c r="L2155" s="2">
        <v>0.0</v>
      </c>
      <c r="M2155" s="37">
        <v>0.0</v>
      </c>
    </row>
    <row r="2156" ht="14.25" customHeight="1">
      <c r="A2156" t="s">
        <v>2219</v>
      </c>
      <c r="B2156" t="s">
        <v>2193</v>
      </c>
      <c r="C2156" t="s">
        <v>62</v>
      </c>
      <c r="D2156" t="s">
        <v>63</v>
      </c>
      <c r="E2156">
        <v>9.0</v>
      </c>
      <c r="F2156">
        <v>10.3</v>
      </c>
      <c r="G2156" s="2" t="s">
        <v>67</v>
      </c>
      <c r="H2156" s="2">
        <v>51.0</v>
      </c>
      <c r="I2156" s="2">
        <v>8.0</v>
      </c>
      <c r="J2156" s="37">
        <v>1155.8600000000001</v>
      </c>
      <c r="K2156" s="2">
        <v>59.0</v>
      </c>
      <c r="L2156" s="2">
        <v>163.0</v>
      </c>
      <c r="M2156" s="37">
        <v>1537.0400000000002</v>
      </c>
    </row>
    <row r="2157" ht="14.25" customHeight="1">
      <c r="A2157" t="s">
        <v>2220</v>
      </c>
      <c r="B2157" t="s">
        <v>2193</v>
      </c>
      <c r="C2157" t="s">
        <v>62</v>
      </c>
      <c r="D2157" t="s">
        <v>63</v>
      </c>
      <c r="E2157">
        <v>2.5</v>
      </c>
      <c r="F2157">
        <v>3.1</v>
      </c>
      <c r="G2157" s="2" t="s">
        <v>64</v>
      </c>
      <c r="H2157" s="2">
        <v>0.0</v>
      </c>
      <c r="I2157" s="2">
        <v>0.0</v>
      </c>
      <c r="J2157" s="37">
        <v>0.0</v>
      </c>
      <c r="K2157" s="2">
        <v>0.0</v>
      </c>
      <c r="L2157" s="2">
        <v>0.0</v>
      </c>
      <c r="M2157" s="37">
        <v>0.0</v>
      </c>
    </row>
    <row r="2158" ht="14.25" customHeight="1">
      <c r="A2158" t="s">
        <v>2221</v>
      </c>
      <c r="B2158" t="s">
        <v>2193</v>
      </c>
      <c r="C2158" t="s">
        <v>62</v>
      </c>
      <c r="D2158" t="s">
        <v>63</v>
      </c>
      <c r="E2158">
        <v>3.5</v>
      </c>
      <c r="F2158">
        <v>3.7</v>
      </c>
      <c r="G2158" s="2" t="s">
        <v>64</v>
      </c>
      <c r="H2158" s="2">
        <v>0.0</v>
      </c>
      <c r="I2158" s="2">
        <v>0.0</v>
      </c>
      <c r="J2158" s="37">
        <v>0.0</v>
      </c>
      <c r="K2158" s="2">
        <v>0.0</v>
      </c>
      <c r="L2158" s="2">
        <v>0.0</v>
      </c>
      <c r="M2158" s="37">
        <v>0.0</v>
      </c>
    </row>
    <row r="2159" ht="14.25" customHeight="1">
      <c r="A2159" t="s">
        <v>2222</v>
      </c>
      <c r="B2159" t="s">
        <v>2193</v>
      </c>
      <c r="C2159" t="s">
        <v>62</v>
      </c>
      <c r="D2159" t="s">
        <v>63</v>
      </c>
      <c r="E2159">
        <v>5.0</v>
      </c>
      <c r="F2159">
        <v>5.5</v>
      </c>
      <c r="G2159" s="2" t="s">
        <v>64</v>
      </c>
      <c r="H2159" s="2">
        <v>0.0</v>
      </c>
      <c r="I2159" s="2">
        <v>0.0</v>
      </c>
      <c r="J2159" s="37">
        <v>0.0</v>
      </c>
      <c r="K2159" s="2">
        <v>0.0</v>
      </c>
      <c r="L2159" s="2">
        <v>0.0</v>
      </c>
      <c r="M2159" s="37">
        <v>0.0</v>
      </c>
    </row>
    <row r="2160" ht="14.25" customHeight="1">
      <c r="A2160" t="s">
        <v>2223</v>
      </c>
      <c r="B2160" t="s">
        <v>2193</v>
      </c>
      <c r="C2160" t="s">
        <v>62</v>
      </c>
      <c r="D2160" t="s">
        <v>63</v>
      </c>
      <c r="E2160">
        <v>6.0</v>
      </c>
      <c r="F2160">
        <v>6.6</v>
      </c>
      <c r="G2160" s="2" t="s">
        <v>67</v>
      </c>
      <c r="H2160" s="2">
        <v>34.0</v>
      </c>
      <c r="I2160" s="2">
        <v>114.0</v>
      </c>
      <c r="J2160" s="37">
        <v>911.84</v>
      </c>
      <c r="K2160" s="2">
        <v>40.0</v>
      </c>
      <c r="L2160" s="2">
        <v>217.0</v>
      </c>
      <c r="M2160" s="37">
        <v>1180.5</v>
      </c>
    </row>
    <row r="2161" ht="14.25" customHeight="1">
      <c r="A2161" t="s">
        <v>2224</v>
      </c>
      <c r="B2161" t="s">
        <v>2193</v>
      </c>
      <c r="C2161" t="s">
        <v>62</v>
      </c>
      <c r="D2161" t="s">
        <v>63</v>
      </c>
      <c r="E2161">
        <v>7.1</v>
      </c>
      <c r="F2161">
        <v>8.0</v>
      </c>
      <c r="G2161" s="2" t="s">
        <v>64</v>
      </c>
      <c r="H2161" s="2">
        <v>0.0</v>
      </c>
      <c r="I2161" s="2">
        <v>0.0</v>
      </c>
      <c r="J2161" s="37">
        <v>0.0</v>
      </c>
      <c r="K2161" s="2">
        <v>0.0</v>
      </c>
      <c r="L2161" s="2">
        <v>0.0</v>
      </c>
      <c r="M2161" s="37">
        <v>0.0</v>
      </c>
    </row>
    <row r="2162" ht="14.25" customHeight="1">
      <c r="A2162" t="s">
        <v>2225</v>
      </c>
      <c r="B2162" t="s">
        <v>2193</v>
      </c>
      <c r="C2162" t="s">
        <v>62</v>
      </c>
      <c r="D2162" t="s">
        <v>63</v>
      </c>
      <c r="E2162">
        <v>7.8</v>
      </c>
      <c r="F2162">
        <v>9.0</v>
      </c>
      <c r="G2162" s="2" t="s">
        <v>64</v>
      </c>
      <c r="H2162" s="2">
        <v>0.0</v>
      </c>
      <c r="I2162" s="2">
        <v>0.0</v>
      </c>
      <c r="J2162" s="37">
        <v>0.0</v>
      </c>
      <c r="K2162" s="2">
        <v>0.0</v>
      </c>
      <c r="L2162" s="2">
        <v>0.0</v>
      </c>
      <c r="M2162" s="37">
        <v>0.0</v>
      </c>
    </row>
    <row r="2163" ht="14.25" customHeight="1">
      <c r="A2163" t="s">
        <v>2226</v>
      </c>
      <c r="B2163" t="s">
        <v>2193</v>
      </c>
      <c r="C2163" t="s">
        <v>75</v>
      </c>
      <c r="D2163" t="s">
        <v>63</v>
      </c>
      <c r="E2163">
        <v>14.0</v>
      </c>
      <c r="F2163">
        <v>16.0</v>
      </c>
      <c r="G2163" s="2" t="s">
        <v>64</v>
      </c>
      <c r="H2163" s="2">
        <v>0.0</v>
      </c>
      <c r="I2163" s="2">
        <v>0.0</v>
      </c>
      <c r="J2163" s="37">
        <v>0.0</v>
      </c>
      <c r="K2163" s="2">
        <v>0.0</v>
      </c>
      <c r="L2163" s="2">
        <v>0.0</v>
      </c>
      <c r="M2163" s="37">
        <v>0.0</v>
      </c>
    </row>
    <row r="2164" ht="14.25" customHeight="1">
      <c r="A2164" t="s">
        <v>2227</v>
      </c>
      <c r="B2164" t="s">
        <v>2193</v>
      </c>
      <c r="C2164" t="s">
        <v>75</v>
      </c>
      <c r="D2164" t="s">
        <v>63</v>
      </c>
      <c r="E2164">
        <v>10.0</v>
      </c>
      <c r="F2164">
        <v>12.5</v>
      </c>
      <c r="G2164" s="2" t="s">
        <v>64</v>
      </c>
      <c r="H2164" s="2">
        <v>0.0</v>
      </c>
      <c r="I2164" s="2">
        <v>0.0</v>
      </c>
      <c r="J2164" s="37">
        <v>0.0</v>
      </c>
      <c r="K2164" s="2">
        <v>0.0</v>
      </c>
      <c r="L2164" s="2">
        <v>0.0</v>
      </c>
      <c r="M2164" s="37">
        <v>0.0</v>
      </c>
    </row>
    <row r="2165" ht="14.25" customHeight="1">
      <c r="A2165" t="s">
        <v>2228</v>
      </c>
      <c r="B2165" t="s">
        <v>2193</v>
      </c>
      <c r="C2165" t="s">
        <v>75</v>
      </c>
      <c r="D2165" t="s">
        <v>63</v>
      </c>
      <c r="E2165">
        <v>12.0</v>
      </c>
      <c r="F2165">
        <v>14.0</v>
      </c>
      <c r="G2165" s="2" t="s">
        <v>64</v>
      </c>
      <c r="H2165" s="2">
        <v>0.0</v>
      </c>
      <c r="I2165" s="2">
        <v>0.0</v>
      </c>
      <c r="J2165" s="37">
        <v>0.0</v>
      </c>
      <c r="K2165" s="2">
        <v>0.0</v>
      </c>
      <c r="L2165" s="2">
        <v>0.0</v>
      </c>
      <c r="M2165" s="37">
        <v>0.0</v>
      </c>
    </row>
    <row r="2166" ht="14.25" customHeight="1">
      <c r="A2166" t="s">
        <v>2229</v>
      </c>
      <c r="B2166" t="s">
        <v>2193</v>
      </c>
      <c r="C2166" t="s">
        <v>75</v>
      </c>
      <c r="D2166" t="s">
        <v>63</v>
      </c>
      <c r="E2166">
        <v>12.0</v>
      </c>
      <c r="F2166">
        <v>14.0</v>
      </c>
      <c r="G2166" s="2" t="s">
        <v>64</v>
      </c>
      <c r="H2166" s="2">
        <v>0.0</v>
      </c>
      <c r="I2166" s="2">
        <v>0.0</v>
      </c>
      <c r="J2166" s="37">
        <v>0.0</v>
      </c>
      <c r="K2166" s="2">
        <v>0.0</v>
      </c>
      <c r="L2166" s="2">
        <v>0.0</v>
      </c>
      <c r="M2166" s="37">
        <v>0.0</v>
      </c>
    </row>
    <row r="2167" ht="14.25" customHeight="1">
      <c r="A2167" t="s">
        <v>2230</v>
      </c>
      <c r="B2167" t="s">
        <v>2193</v>
      </c>
      <c r="C2167" t="s">
        <v>75</v>
      </c>
      <c r="D2167" t="s">
        <v>63</v>
      </c>
      <c r="E2167">
        <v>12.0</v>
      </c>
      <c r="F2167">
        <v>14.0</v>
      </c>
      <c r="G2167" s="2" t="s">
        <v>64</v>
      </c>
      <c r="H2167" s="2">
        <v>0.0</v>
      </c>
      <c r="I2167" s="2">
        <v>0.0</v>
      </c>
      <c r="J2167" s="37">
        <v>0.0</v>
      </c>
      <c r="K2167" s="2">
        <v>0.0</v>
      </c>
      <c r="L2167" s="2">
        <v>0.0</v>
      </c>
      <c r="M2167" s="37">
        <v>0.0</v>
      </c>
    </row>
    <row r="2168" ht="14.25" customHeight="1">
      <c r="A2168" t="s">
        <v>2231</v>
      </c>
      <c r="B2168" t="s">
        <v>2193</v>
      </c>
      <c r="C2168" t="s">
        <v>75</v>
      </c>
      <c r="D2168" t="s">
        <v>63</v>
      </c>
      <c r="E2168">
        <v>14.0</v>
      </c>
      <c r="F2168">
        <v>16.0</v>
      </c>
      <c r="G2168" s="2" t="s">
        <v>64</v>
      </c>
      <c r="H2168" s="2">
        <v>0.0</v>
      </c>
      <c r="I2168" s="2">
        <v>0.0</v>
      </c>
      <c r="J2168" s="37">
        <v>0.0</v>
      </c>
      <c r="K2168" s="2">
        <v>0.0</v>
      </c>
      <c r="L2168" s="2">
        <v>0.0</v>
      </c>
      <c r="M2168" s="37">
        <v>0.0</v>
      </c>
    </row>
    <row r="2169" ht="14.25" customHeight="1">
      <c r="A2169" t="s">
        <v>2232</v>
      </c>
      <c r="B2169" t="s">
        <v>2193</v>
      </c>
      <c r="C2169" t="s">
        <v>75</v>
      </c>
      <c r="D2169" t="s">
        <v>63</v>
      </c>
      <c r="E2169">
        <v>14.0</v>
      </c>
      <c r="F2169">
        <v>16.0</v>
      </c>
      <c r="G2169" s="2" t="s">
        <v>64</v>
      </c>
      <c r="H2169" s="2">
        <v>0.0</v>
      </c>
      <c r="I2169" s="2">
        <v>0.0</v>
      </c>
      <c r="J2169" s="37">
        <v>0.0</v>
      </c>
      <c r="K2169" s="2">
        <v>0.0</v>
      </c>
      <c r="L2169" s="2">
        <v>0.0</v>
      </c>
      <c r="M2169" s="37">
        <v>0.0</v>
      </c>
    </row>
    <row r="2170" ht="14.25" customHeight="1">
      <c r="A2170" t="s">
        <v>2233</v>
      </c>
      <c r="B2170" t="s">
        <v>2193</v>
      </c>
      <c r="C2170" t="s">
        <v>75</v>
      </c>
      <c r="D2170" t="s">
        <v>63</v>
      </c>
      <c r="E2170">
        <v>14.0</v>
      </c>
      <c r="F2170">
        <v>16.0</v>
      </c>
      <c r="G2170" s="2" t="s">
        <v>64</v>
      </c>
      <c r="H2170" s="2">
        <v>0.0</v>
      </c>
      <c r="I2170" s="2">
        <v>0.0</v>
      </c>
      <c r="J2170" s="37">
        <v>0.0</v>
      </c>
      <c r="K2170" s="2">
        <v>0.0</v>
      </c>
      <c r="L2170" s="2">
        <v>0.0</v>
      </c>
      <c r="M2170" s="37">
        <v>0.0</v>
      </c>
    </row>
    <row r="2171" ht="14.25" customHeight="1">
      <c r="A2171" t="s">
        <v>2234</v>
      </c>
      <c r="B2171" t="s">
        <v>2193</v>
      </c>
      <c r="C2171" t="s">
        <v>75</v>
      </c>
      <c r="D2171" t="s">
        <v>63</v>
      </c>
      <c r="E2171">
        <v>14.0</v>
      </c>
      <c r="F2171">
        <v>16.0</v>
      </c>
      <c r="G2171" s="2" t="s">
        <v>64</v>
      </c>
      <c r="H2171" s="2">
        <v>0.0</v>
      </c>
      <c r="I2171" s="2">
        <v>0.0</v>
      </c>
      <c r="J2171" s="37">
        <v>0.0</v>
      </c>
      <c r="K2171" s="2">
        <v>0.0</v>
      </c>
      <c r="L2171" s="2">
        <v>0.0</v>
      </c>
      <c r="M2171" s="37">
        <v>0.0</v>
      </c>
    </row>
    <row r="2172" ht="14.25" customHeight="1">
      <c r="A2172" t="s">
        <v>2235</v>
      </c>
      <c r="B2172" t="s">
        <v>2193</v>
      </c>
      <c r="C2172" t="s">
        <v>75</v>
      </c>
      <c r="D2172" t="s">
        <v>63</v>
      </c>
      <c r="E2172">
        <v>14.0</v>
      </c>
      <c r="F2172">
        <v>16.0</v>
      </c>
      <c r="G2172" s="2" t="s">
        <v>64</v>
      </c>
      <c r="H2172" s="2">
        <v>0.0</v>
      </c>
      <c r="I2172" s="2">
        <v>0.0</v>
      </c>
      <c r="J2172" s="37">
        <v>0.0</v>
      </c>
      <c r="K2172" s="2">
        <v>0.0</v>
      </c>
      <c r="L2172" s="2">
        <v>0.0</v>
      </c>
      <c r="M2172" s="37">
        <v>0.0</v>
      </c>
    </row>
    <row r="2173" ht="14.25" customHeight="1">
      <c r="A2173" t="s">
        <v>2236</v>
      </c>
      <c r="B2173" t="s">
        <v>2193</v>
      </c>
      <c r="C2173" t="s">
        <v>75</v>
      </c>
      <c r="D2173" t="s">
        <v>63</v>
      </c>
      <c r="E2173">
        <v>10.0</v>
      </c>
      <c r="F2173">
        <v>12.5</v>
      </c>
      <c r="G2173" s="2" t="s">
        <v>64</v>
      </c>
      <c r="H2173" s="2">
        <v>0.0</v>
      </c>
      <c r="I2173" s="2">
        <v>0.0</v>
      </c>
      <c r="J2173" s="37">
        <v>0.0</v>
      </c>
      <c r="K2173" s="2">
        <v>0.0</v>
      </c>
      <c r="L2173" s="2">
        <v>0.0</v>
      </c>
      <c r="M2173" s="37">
        <v>0.0</v>
      </c>
    </row>
    <row r="2174" ht="14.25" customHeight="1">
      <c r="A2174" t="s">
        <v>2237</v>
      </c>
      <c r="B2174" t="s">
        <v>2193</v>
      </c>
      <c r="C2174" t="s">
        <v>75</v>
      </c>
      <c r="D2174" t="s">
        <v>63</v>
      </c>
      <c r="E2174">
        <v>12.0</v>
      </c>
      <c r="F2174">
        <v>14.0</v>
      </c>
      <c r="G2174" s="2" t="s">
        <v>64</v>
      </c>
      <c r="H2174" s="2">
        <v>0.0</v>
      </c>
      <c r="I2174" s="2">
        <v>0.0</v>
      </c>
      <c r="J2174" s="37">
        <v>0.0</v>
      </c>
      <c r="K2174" s="2">
        <v>0.0</v>
      </c>
      <c r="L2174" s="2">
        <v>0.0</v>
      </c>
      <c r="M2174" s="37">
        <v>0.0</v>
      </c>
    </row>
    <row r="2175" ht="14.25" customHeight="1">
      <c r="A2175" t="s">
        <v>2238</v>
      </c>
      <c r="B2175" t="s">
        <v>2193</v>
      </c>
      <c r="C2175" t="s">
        <v>75</v>
      </c>
      <c r="D2175" t="s">
        <v>63</v>
      </c>
      <c r="E2175">
        <v>14.0</v>
      </c>
      <c r="F2175">
        <v>16.0</v>
      </c>
      <c r="G2175" s="2" t="s">
        <v>64</v>
      </c>
      <c r="H2175" s="2">
        <v>0.0</v>
      </c>
      <c r="I2175" s="2">
        <v>0.0</v>
      </c>
      <c r="J2175" s="37">
        <v>0.0</v>
      </c>
      <c r="K2175" s="2">
        <v>0.0</v>
      </c>
      <c r="L2175" s="2">
        <v>0.0</v>
      </c>
      <c r="M2175" s="37">
        <v>0.0</v>
      </c>
    </row>
    <row r="2176" ht="14.25" customHeight="1">
      <c r="A2176" t="s">
        <v>2239</v>
      </c>
      <c r="B2176" t="s">
        <v>2193</v>
      </c>
      <c r="C2176" t="s">
        <v>62</v>
      </c>
      <c r="D2176" t="s">
        <v>63</v>
      </c>
      <c r="E2176">
        <v>2.5</v>
      </c>
      <c r="F2176">
        <v>3.0</v>
      </c>
      <c r="G2176" s="2" t="s">
        <v>64</v>
      </c>
      <c r="H2176" s="2">
        <v>0.0</v>
      </c>
      <c r="I2176" s="2">
        <v>0.0</v>
      </c>
      <c r="J2176" s="37">
        <v>0.0</v>
      </c>
      <c r="K2176" s="2">
        <v>0.0</v>
      </c>
      <c r="L2176" s="2">
        <v>0.0</v>
      </c>
      <c r="M2176" s="37">
        <v>0.0</v>
      </c>
    </row>
    <row r="2177" ht="14.25" customHeight="1">
      <c r="A2177" t="s">
        <v>2240</v>
      </c>
      <c r="B2177" t="s">
        <v>2193</v>
      </c>
      <c r="C2177" t="s">
        <v>62</v>
      </c>
      <c r="D2177" t="s">
        <v>63</v>
      </c>
      <c r="E2177">
        <v>5.6</v>
      </c>
      <c r="F2177">
        <v>6.0</v>
      </c>
      <c r="G2177" s="2" t="s">
        <v>64</v>
      </c>
      <c r="H2177" s="2">
        <v>0.0</v>
      </c>
      <c r="I2177" s="2">
        <v>0.0</v>
      </c>
      <c r="J2177" s="37">
        <v>0.0</v>
      </c>
      <c r="K2177" s="2">
        <v>0.0</v>
      </c>
      <c r="L2177" s="2">
        <v>0.0</v>
      </c>
      <c r="M2177" s="37">
        <v>0.0</v>
      </c>
    </row>
    <row r="2178" ht="14.25" customHeight="1">
      <c r="A2178" t="s">
        <v>2241</v>
      </c>
      <c r="B2178" t="s">
        <v>2193</v>
      </c>
      <c r="C2178" t="s">
        <v>75</v>
      </c>
      <c r="D2178" t="s">
        <v>63</v>
      </c>
      <c r="E2178">
        <v>2.5</v>
      </c>
      <c r="F2178">
        <v>3.0</v>
      </c>
      <c r="G2178" s="2" t="s">
        <v>64</v>
      </c>
      <c r="H2178" s="2">
        <v>0.0</v>
      </c>
      <c r="I2178" s="2">
        <v>0.0</v>
      </c>
      <c r="J2178" s="37">
        <v>0.0</v>
      </c>
      <c r="K2178" s="2">
        <v>0.0</v>
      </c>
      <c r="L2178" s="2">
        <v>0.0</v>
      </c>
      <c r="M2178" s="37">
        <v>0.0</v>
      </c>
    </row>
    <row r="2179" ht="14.25" customHeight="1">
      <c r="A2179" t="s">
        <v>2242</v>
      </c>
      <c r="B2179" t="s">
        <v>2193</v>
      </c>
      <c r="C2179" t="s">
        <v>75</v>
      </c>
      <c r="D2179" t="s">
        <v>63</v>
      </c>
      <c r="E2179">
        <v>2.5</v>
      </c>
      <c r="F2179">
        <v>3.0</v>
      </c>
      <c r="G2179" s="2" t="s">
        <v>64</v>
      </c>
      <c r="H2179" s="2">
        <v>0.0</v>
      </c>
      <c r="I2179" s="2">
        <v>0.0</v>
      </c>
      <c r="J2179" s="37">
        <v>0.0</v>
      </c>
      <c r="K2179" s="2">
        <v>0.0</v>
      </c>
      <c r="L2179" s="2">
        <v>0.0</v>
      </c>
      <c r="M2179" s="37">
        <v>0.0</v>
      </c>
    </row>
    <row r="2180" ht="14.25" customHeight="1">
      <c r="A2180" t="s">
        <v>2243</v>
      </c>
      <c r="B2180" t="s">
        <v>2193</v>
      </c>
      <c r="C2180" t="s">
        <v>75</v>
      </c>
      <c r="D2180" t="s">
        <v>63</v>
      </c>
      <c r="E2180">
        <v>2.5</v>
      </c>
      <c r="F2180">
        <v>3.0</v>
      </c>
      <c r="G2180" s="2" t="s">
        <v>64</v>
      </c>
      <c r="H2180" s="2">
        <v>0.0</v>
      </c>
      <c r="I2180" s="2">
        <v>0.0</v>
      </c>
      <c r="J2180" s="37">
        <v>0.0</v>
      </c>
      <c r="K2180" s="2">
        <v>0.0</v>
      </c>
      <c r="L2180" s="2">
        <v>0.0</v>
      </c>
      <c r="M2180" s="37">
        <v>0.0</v>
      </c>
    </row>
    <row r="2181" ht="14.25" customHeight="1">
      <c r="A2181" t="s">
        <v>2244</v>
      </c>
      <c r="B2181" t="s">
        <v>2193</v>
      </c>
      <c r="C2181" t="s">
        <v>75</v>
      </c>
      <c r="D2181" t="s">
        <v>63</v>
      </c>
      <c r="E2181">
        <v>3.5</v>
      </c>
      <c r="F2181">
        <v>4.0</v>
      </c>
      <c r="G2181" s="2" t="s">
        <v>67</v>
      </c>
      <c r="H2181" s="2">
        <v>22.0</v>
      </c>
      <c r="I2181" s="2">
        <v>66.0</v>
      </c>
      <c r="J2181" s="37">
        <v>579.92</v>
      </c>
      <c r="K2181" s="2">
        <v>26.0</v>
      </c>
      <c r="L2181" s="2">
        <v>134.0</v>
      </c>
      <c r="M2181" s="37">
        <v>758.1600000000001</v>
      </c>
    </row>
    <row r="2182" ht="14.25" customHeight="1">
      <c r="A2182" t="s">
        <v>2245</v>
      </c>
      <c r="B2182" t="s">
        <v>2193</v>
      </c>
      <c r="C2182" t="s">
        <v>75</v>
      </c>
      <c r="D2182" t="s">
        <v>63</v>
      </c>
      <c r="E2182">
        <v>3.5</v>
      </c>
      <c r="F2182">
        <v>4.0</v>
      </c>
      <c r="G2182" s="2" t="s">
        <v>67</v>
      </c>
      <c r="H2182" s="2">
        <v>22.0</v>
      </c>
      <c r="I2182" s="2">
        <v>66.0</v>
      </c>
      <c r="J2182" s="37">
        <v>579.92</v>
      </c>
      <c r="K2182" s="2">
        <v>26.0</v>
      </c>
      <c r="L2182" s="2">
        <v>134.0</v>
      </c>
      <c r="M2182" s="37">
        <v>758.1600000000001</v>
      </c>
    </row>
    <row r="2183" ht="14.25" customHeight="1">
      <c r="A2183" t="s">
        <v>2246</v>
      </c>
      <c r="B2183" t="s">
        <v>2193</v>
      </c>
      <c r="C2183" t="s">
        <v>75</v>
      </c>
      <c r="D2183" t="s">
        <v>63</v>
      </c>
      <c r="E2183">
        <v>3.5</v>
      </c>
      <c r="F2183">
        <v>4.0</v>
      </c>
      <c r="G2183" s="2" t="s">
        <v>67</v>
      </c>
      <c r="H2183" s="2">
        <v>22.0</v>
      </c>
      <c r="I2183" s="2">
        <v>66.0</v>
      </c>
      <c r="J2183" s="37">
        <v>579.92</v>
      </c>
      <c r="K2183" s="2">
        <v>26.0</v>
      </c>
      <c r="L2183" s="2">
        <v>134.0</v>
      </c>
      <c r="M2183" s="37">
        <v>758.1600000000001</v>
      </c>
    </row>
    <row r="2184" ht="14.25" customHeight="1">
      <c r="A2184" t="s">
        <v>2247</v>
      </c>
      <c r="B2184" t="s">
        <v>2193</v>
      </c>
      <c r="C2184" t="s">
        <v>75</v>
      </c>
      <c r="D2184" t="s">
        <v>63</v>
      </c>
      <c r="E2184">
        <v>5.0</v>
      </c>
      <c r="F2184">
        <v>6.0</v>
      </c>
      <c r="G2184" s="2" t="s">
        <v>67</v>
      </c>
      <c r="H2184" s="2">
        <v>31.0</v>
      </c>
      <c r="I2184" s="2">
        <v>119.0</v>
      </c>
      <c r="J2184" s="37">
        <v>850.96</v>
      </c>
      <c r="K2184" s="2">
        <v>37.0</v>
      </c>
      <c r="L2184" s="2">
        <v>216.0</v>
      </c>
      <c r="M2184" s="37">
        <v>1111.82</v>
      </c>
    </row>
    <row r="2185" ht="14.25" customHeight="1">
      <c r="A2185" t="s">
        <v>2248</v>
      </c>
      <c r="B2185" t="s">
        <v>2193</v>
      </c>
      <c r="C2185" t="s">
        <v>75</v>
      </c>
      <c r="D2185" t="s">
        <v>63</v>
      </c>
      <c r="E2185">
        <v>5.0</v>
      </c>
      <c r="F2185">
        <v>6.0</v>
      </c>
      <c r="G2185" s="2" t="s">
        <v>67</v>
      </c>
      <c r="H2185" s="2">
        <v>31.0</v>
      </c>
      <c r="I2185" s="2">
        <v>119.0</v>
      </c>
      <c r="J2185" s="37">
        <v>850.96</v>
      </c>
      <c r="K2185" s="2">
        <v>37.0</v>
      </c>
      <c r="L2185" s="2">
        <v>216.0</v>
      </c>
      <c r="M2185" s="37">
        <v>1111.82</v>
      </c>
    </row>
    <row r="2186" ht="14.25" customHeight="1">
      <c r="A2186" t="s">
        <v>2249</v>
      </c>
      <c r="B2186" t="s">
        <v>2193</v>
      </c>
      <c r="C2186" t="s">
        <v>75</v>
      </c>
      <c r="D2186" t="s">
        <v>63</v>
      </c>
      <c r="E2186">
        <v>5.0</v>
      </c>
      <c r="F2186">
        <v>6.0</v>
      </c>
      <c r="G2186" s="2" t="s">
        <v>67</v>
      </c>
      <c r="H2186" s="2">
        <v>31.0</v>
      </c>
      <c r="I2186" s="2">
        <v>119.0</v>
      </c>
      <c r="J2186" s="37">
        <v>850.96</v>
      </c>
      <c r="K2186" s="2">
        <v>37.0</v>
      </c>
      <c r="L2186" s="2">
        <v>216.0</v>
      </c>
      <c r="M2186" s="37">
        <v>1111.82</v>
      </c>
    </row>
    <row r="2187" ht="14.25" customHeight="1">
      <c r="A2187" t="s">
        <v>2250</v>
      </c>
      <c r="B2187" t="s">
        <v>2193</v>
      </c>
      <c r="C2187" t="s">
        <v>75</v>
      </c>
      <c r="D2187" t="s">
        <v>63</v>
      </c>
      <c r="E2187">
        <v>6.0</v>
      </c>
      <c r="F2187">
        <v>7.0</v>
      </c>
      <c r="G2187" s="2" t="s">
        <v>64</v>
      </c>
      <c r="H2187" s="2">
        <v>0.0</v>
      </c>
      <c r="I2187" s="2">
        <v>0.0</v>
      </c>
      <c r="J2187" s="37">
        <v>0.0</v>
      </c>
      <c r="K2187" s="2">
        <v>0.0</v>
      </c>
      <c r="L2187" s="2">
        <v>0.0</v>
      </c>
      <c r="M2187" s="37">
        <v>0.0</v>
      </c>
    </row>
    <row r="2188" ht="14.25" customHeight="1">
      <c r="A2188" t="s">
        <v>2251</v>
      </c>
      <c r="B2188" t="s">
        <v>2193</v>
      </c>
      <c r="C2188" t="s">
        <v>75</v>
      </c>
      <c r="D2188" t="s">
        <v>63</v>
      </c>
      <c r="E2188">
        <v>6.0</v>
      </c>
      <c r="F2188">
        <v>7.0</v>
      </c>
      <c r="G2188" s="2" t="s">
        <v>64</v>
      </c>
      <c r="H2188" s="2">
        <v>0.0</v>
      </c>
      <c r="I2188" s="2">
        <v>0.0</v>
      </c>
      <c r="J2188" s="37">
        <v>0.0</v>
      </c>
      <c r="K2188" s="2">
        <v>0.0</v>
      </c>
      <c r="L2188" s="2">
        <v>0.0</v>
      </c>
      <c r="M2188" s="37">
        <v>0.0</v>
      </c>
    </row>
    <row r="2189" ht="14.25" customHeight="1">
      <c r="A2189" t="s">
        <v>2252</v>
      </c>
      <c r="B2189" t="s">
        <v>2193</v>
      </c>
      <c r="C2189" t="s">
        <v>75</v>
      </c>
      <c r="D2189" t="s">
        <v>63</v>
      </c>
      <c r="E2189">
        <v>7.1</v>
      </c>
      <c r="F2189">
        <v>8.0</v>
      </c>
      <c r="G2189" s="2" t="s">
        <v>67</v>
      </c>
      <c r="H2189" s="2">
        <v>42.0</v>
      </c>
      <c r="I2189" s="2">
        <v>84.0</v>
      </c>
      <c r="J2189" s="37">
        <v>1052.52</v>
      </c>
      <c r="K2189" s="2">
        <v>49.0</v>
      </c>
      <c r="L2189" s="2">
        <v>221.0</v>
      </c>
      <c r="M2189" s="37">
        <v>1387.84</v>
      </c>
    </row>
    <row r="2190" ht="14.25" customHeight="1">
      <c r="A2190" t="s">
        <v>2253</v>
      </c>
      <c r="B2190" t="s">
        <v>2193</v>
      </c>
      <c r="C2190" t="s">
        <v>75</v>
      </c>
      <c r="D2190" t="s">
        <v>63</v>
      </c>
      <c r="E2190">
        <v>7.1</v>
      </c>
      <c r="F2190">
        <v>8.0</v>
      </c>
      <c r="G2190" s="2" t="s">
        <v>67</v>
      </c>
      <c r="H2190" s="2">
        <v>42.0</v>
      </c>
      <c r="I2190" s="2">
        <v>84.0</v>
      </c>
      <c r="J2190" s="37">
        <v>1052.52</v>
      </c>
      <c r="K2190" s="2">
        <v>49.0</v>
      </c>
      <c r="L2190" s="2">
        <v>221.0</v>
      </c>
      <c r="M2190" s="37">
        <v>1387.84</v>
      </c>
    </row>
    <row r="2191" ht="14.25" customHeight="1">
      <c r="A2191" t="s">
        <v>2254</v>
      </c>
      <c r="B2191" t="s">
        <v>2193</v>
      </c>
      <c r="C2191" t="s">
        <v>75</v>
      </c>
      <c r="D2191" t="s">
        <v>63</v>
      </c>
      <c r="E2191">
        <v>10.0</v>
      </c>
      <c r="F2191">
        <v>12.5</v>
      </c>
      <c r="G2191" s="2" t="s">
        <v>64</v>
      </c>
      <c r="H2191" s="2">
        <v>0.0</v>
      </c>
      <c r="I2191" s="2">
        <v>0.0</v>
      </c>
      <c r="J2191" s="37">
        <v>0.0</v>
      </c>
      <c r="K2191" s="2">
        <v>0.0</v>
      </c>
      <c r="L2191" s="2">
        <v>0.0</v>
      </c>
      <c r="M2191" s="37">
        <v>0.0</v>
      </c>
    </row>
    <row r="2192" ht="14.25" customHeight="1">
      <c r="A2192" t="s">
        <v>2255</v>
      </c>
      <c r="B2192" t="s">
        <v>2193</v>
      </c>
      <c r="C2192" t="s">
        <v>75</v>
      </c>
      <c r="D2192" t="s">
        <v>63</v>
      </c>
      <c r="E2192">
        <v>10.0</v>
      </c>
      <c r="F2192">
        <v>12.5</v>
      </c>
      <c r="G2192" s="2" t="s">
        <v>64</v>
      </c>
      <c r="H2192" s="2">
        <v>0.0</v>
      </c>
      <c r="I2192" s="2">
        <v>0.0</v>
      </c>
      <c r="J2192" s="37">
        <v>0.0</v>
      </c>
      <c r="K2192" s="2">
        <v>0.0</v>
      </c>
      <c r="L2192" s="2">
        <v>0.0</v>
      </c>
      <c r="M2192" s="37">
        <v>0.0</v>
      </c>
    </row>
    <row r="2193" ht="14.25" customHeight="1">
      <c r="A2193" t="s">
        <v>2256</v>
      </c>
      <c r="B2193" t="s">
        <v>2193</v>
      </c>
      <c r="C2193" t="s">
        <v>75</v>
      </c>
      <c r="D2193" t="s">
        <v>63</v>
      </c>
      <c r="E2193">
        <v>6.0</v>
      </c>
      <c r="F2193">
        <v>7.0</v>
      </c>
      <c r="G2193" s="2" t="s">
        <v>64</v>
      </c>
      <c r="H2193" s="2">
        <v>0.0</v>
      </c>
      <c r="I2193" s="2">
        <v>0.0</v>
      </c>
      <c r="J2193" s="37">
        <v>0.0</v>
      </c>
      <c r="K2193" s="2">
        <v>0.0</v>
      </c>
      <c r="L2193" s="2">
        <v>0.0</v>
      </c>
      <c r="M2193" s="37">
        <v>0.0</v>
      </c>
    </row>
    <row r="2194" ht="14.25" customHeight="1">
      <c r="A2194" t="s">
        <v>2257</v>
      </c>
      <c r="B2194" t="s">
        <v>2193</v>
      </c>
      <c r="C2194" t="s">
        <v>62</v>
      </c>
      <c r="D2194" t="s">
        <v>63</v>
      </c>
      <c r="E2194">
        <v>7.1</v>
      </c>
      <c r="F2194">
        <v>8.0</v>
      </c>
      <c r="G2194" s="2" t="s">
        <v>67</v>
      </c>
      <c r="H2194" s="2">
        <v>42.0</v>
      </c>
      <c r="I2194" s="2">
        <v>109.0</v>
      </c>
      <c r="J2194" s="37">
        <v>1085.02</v>
      </c>
      <c r="K2194" s="2">
        <v>49.0</v>
      </c>
      <c r="L2194" s="2">
        <v>231.0</v>
      </c>
      <c r="M2194" s="37">
        <v>1400.84</v>
      </c>
    </row>
    <row r="2195" ht="14.25" customHeight="1">
      <c r="A2195" t="s">
        <v>2258</v>
      </c>
      <c r="B2195" t="s">
        <v>2193</v>
      </c>
      <c r="C2195" t="s">
        <v>62</v>
      </c>
      <c r="D2195" t="s">
        <v>63</v>
      </c>
      <c r="E2195">
        <v>7.1</v>
      </c>
      <c r="F2195">
        <v>8.0</v>
      </c>
      <c r="G2195" s="2" t="s">
        <v>67</v>
      </c>
      <c r="H2195" s="2">
        <v>42.0</v>
      </c>
      <c r="I2195" s="2">
        <v>109.0</v>
      </c>
      <c r="J2195" s="37">
        <v>1085.02</v>
      </c>
      <c r="K2195" s="2">
        <v>49.0</v>
      </c>
      <c r="L2195" s="2">
        <v>231.0</v>
      </c>
      <c r="M2195" s="37">
        <v>1400.84</v>
      </c>
    </row>
    <row r="2196" ht="14.25" customHeight="1">
      <c r="A2196" t="s">
        <v>2259</v>
      </c>
      <c r="B2196" t="s">
        <v>2193</v>
      </c>
      <c r="C2196" t="s">
        <v>62</v>
      </c>
      <c r="D2196" t="s">
        <v>63</v>
      </c>
      <c r="E2196">
        <v>7.1</v>
      </c>
      <c r="F2196">
        <v>8.0</v>
      </c>
      <c r="G2196" s="2" t="s">
        <v>67</v>
      </c>
      <c r="H2196" s="2">
        <v>42.0</v>
      </c>
      <c r="I2196" s="2">
        <v>109.0</v>
      </c>
      <c r="J2196" s="37">
        <v>1085.02</v>
      </c>
      <c r="K2196" s="2">
        <v>49.0</v>
      </c>
      <c r="L2196" s="2">
        <v>231.0</v>
      </c>
      <c r="M2196" s="37">
        <v>1400.84</v>
      </c>
    </row>
    <row r="2197" ht="14.25" customHeight="1">
      <c r="A2197" t="s">
        <v>2260</v>
      </c>
      <c r="B2197" t="s">
        <v>2193</v>
      </c>
      <c r="C2197" t="s">
        <v>62</v>
      </c>
      <c r="D2197" t="s">
        <v>63</v>
      </c>
      <c r="E2197">
        <v>7.1</v>
      </c>
      <c r="F2197">
        <v>8.0</v>
      </c>
      <c r="G2197" s="2" t="s">
        <v>67</v>
      </c>
      <c r="H2197" s="2">
        <v>42.0</v>
      </c>
      <c r="I2197" s="2">
        <v>109.0</v>
      </c>
      <c r="J2197" s="37">
        <v>1085.02</v>
      </c>
      <c r="K2197" s="2">
        <v>49.0</v>
      </c>
      <c r="L2197" s="2">
        <v>231.0</v>
      </c>
      <c r="M2197" s="37">
        <v>1400.84</v>
      </c>
    </row>
    <row r="2198" ht="14.25" customHeight="1">
      <c r="A2198" t="s">
        <v>2261</v>
      </c>
      <c r="B2198" t="s">
        <v>2193</v>
      </c>
      <c r="C2198" t="s">
        <v>62</v>
      </c>
      <c r="D2198" t="s">
        <v>63</v>
      </c>
      <c r="E2198">
        <v>7.1</v>
      </c>
      <c r="F2198">
        <v>8.0</v>
      </c>
      <c r="G2198" s="2" t="s">
        <v>67</v>
      </c>
      <c r="H2198" s="2">
        <v>42.0</v>
      </c>
      <c r="I2198" s="2">
        <v>109.0</v>
      </c>
      <c r="J2198" s="37">
        <v>1085.02</v>
      </c>
      <c r="K2198" s="2">
        <v>49.0</v>
      </c>
      <c r="L2198" s="2">
        <v>231.0</v>
      </c>
      <c r="M2198" s="37">
        <v>1400.84</v>
      </c>
    </row>
    <row r="2199" ht="14.25" customHeight="1">
      <c r="A2199" t="s">
        <v>2262</v>
      </c>
      <c r="B2199" t="s">
        <v>2193</v>
      </c>
      <c r="C2199" t="s">
        <v>62</v>
      </c>
      <c r="D2199" t="s">
        <v>63</v>
      </c>
      <c r="E2199">
        <v>7.1</v>
      </c>
      <c r="F2199">
        <v>8.0</v>
      </c>
      <c r="G2199" s="2" t="s">
        <v>67</v>
      </c>
      <c r="H2199" s="2">
        <v>42.0</v>
      </c>
      <c r="I2199" s="2">
        <v>109.0</v>
      </c>
      <c r="J2199" s="37">
        <v>1085.02</v>
      </c>
      <c r="K2199" s="2">
        <v>49.0</v>
      </c>
      <c r="L2199" s="2">
        <v>231.0</v>
      </c>
      <c r="M2199" s="37">
        <v>1400.84</v>
      </c>
    </row>
    <row r="2200" ht="14.25" customHeight="1">
      <c r="A2200" t="s">
        <v>2263</v>
      </c>
      <c r="B2200" t="s">
        <v>2193</v>
      </c>
      <c r="C2200" t="s">
        <v>62</v>
      </c>
      <c r="D2200" t="s">
        <v>63</v>
      </c>
      <c r="E2200">
        <v>7.1</v>
      </c>
      <c r="F2200">
        <v>8.0</v>
      </c>
      <c r="G2200" s="2" t="s">
        <v>67</v>
      </c>
      <c r="H2200" s="2">
        <v>42.0</v>
      </c>
      <c r="I2200" s="2">
        <v>109.0</v>
      </c>
      <c r="J2200" s="37">
        <v>1085.02</v>
      </c>
      <c r="K2200" s="2">
        <v>49.0</v>
      </c>
      <c r="L2200" s="2">
        <v>231.0</v>
      </c>
      <c r="M2200" s="37">
        <v>1400.84</v>
      </c>
    </row>
    <row r="2201" ht="14.25" customHeight="1">
      <c r="A2201" t="s">
        <v>2264</v>
      </c>
      <c r="B2201" t="s">
        <v>2193</v>
      </c>
      <c r="C2201" t="s">
        <v>62</v>
      </c>
      <c r="D2201" t="s">
        <v>63</v>
      </c>
      <c r="E2201">
        <v>7.1</v>
      </c>
      <c r="F2201">
        <v>8.0</v>
      </c>
      <c r="G2201" s="2" t="s">
        <v>67</v>
      </c>
      <c r="H2201" s="2">
        <v>42.0</v>
      </c>
      <c r="I2201" s="2">
        <v>109.0</v>
      </c>
      <c r="J2201" s="37">
        <v>1085.02</v>
      </c>
      <c r="K2201" s="2">
        <v>49.0</v>
      </c>
      <c r="L2201" s="2">
        <v>231.0</v>
      </c>
      <c r="M2201" s="37">
        <v>1400.84</v>
      </c>
    </row>
    <row r="2202" ht="14.25" customHeight="1">
      <c r="A2202" t="s">
        <v>2265</v>
      </c>
      <c r="B2202" t="s">
        <v>2193</v>
      </c>
      <c r="C2202" t="s">
        <v>62</v>
      </c>
      <c r="D2202" t="s">
        <v>63</v>
      </c>
      <c r="E2202">
        <v>7.1</v>
      </c>
      <c r="F2202">
        <v>8.0</v>
      </c>
      <c r="G2202" s="2" t="s">
        <v>67</v>
      </c>
      <c r="H2202" s="2">
        <v>42.0</v>
      </c>
      <c r="I2202" s="2">
        <v>109.0</v>
      </c>
      <c r="J2202" s="37">
        <v>1085.02</v>
      </c>
      <c r="K2202" s="2">
        <v>49.0</v>
      </c>
      <c r="L2202" s="2">
        <v>231.0</v>
      </c>
      <c r="M2202" s="37">
        <v>1400.84</v>
      </c>
    </row>
    <row r="2203" ht="14.25" customHeight="1">
      <c r="A2203" t="s">
        <v>2266</v>
      </c>
      <c r="B2203" t="s">
        <v>2193</v>
      </c>
      <c r="C2203" t="s">
        <v>62</v>
      </c>
      <c r="D2203" t="s">
        <v>63</v>
      </c>
      <c r="E2203">
        <v>7.8</v>
      </c>
      <c r="F2203">
        <v>9.0</v>
      </c>
      <c r="G2203" s="2" t="s">
        <v>67</v>
      </c>
      <c r="H2203" s="2">
        <v>45.0</v>
      </c>
      <c r="I2203" s="2">
        <v>34.0</v>
      </c>
      <c r="J2203" s="37">
        <v>1054.9</v>
      </c>
      <c r="K2203" s="2">
        <v>52.0</v>
      </c>
      <c r="L2203" s="2">
        <v>169.0</v>
      </c>
      <c r="M2203" s="37">
        <v>1387.6200000000001</v>
      </c>
    </row>
    <row r="2204" ht="14.25" customHeight="1">
      <c r="A2204" t="s">
        <v>2267</v>
      </c>
      <c r="B2204" t="s">
        <v>2193</v>
      </c>
      <c r="C2204" t="s">
        <v>62</v>
      </c>
      <c r="D2204" t="s">
        <v>63</v>
      </c>
      <c r="E2204">
        <v>7.8</v>
      </c>
      <c r="F2204">
        <v>9.0</v>
      </c>
      <c r="G2204" s="2" t="s">
        <v>67</v>
      </c>
      <c r="H2204" s="2">
        <v>45.0</v>
      </c>
      <c r="I2204" s="2">
        <v>34.0</v>
      </c>
      <c r="J2204" s="37">
        <v>1054.9</v>
      </c>
      <c r="K2204" s="2">
        <v>52.0</v>
      </c>
      <c r="L2204" s="2">
        <v>169.0</v>
      </c>
      <c r="M2204" s="37">
        <v>1387.6200000000001</v>
      </c>
    </row>
    <row r="2205" ht="14.25" customHeight="1">
      <c r="A2205" t="s">
        <v>2268</v>
      </c>
      <c r="B2205" t="s">
        <v>2193</v>
      </c>
      <c r="C2205" t="s">
        <v>62</v>
      </c>
      <c r="D2205" t="s">
        <v>63</v>
      </c>
      <c r="E2205">
        <v>7.8</v>
      </c>
      <c r="F2205">
        <v>9.0</v>
      </c>
      <c r="G2205" s="2" t="s">
        <v>67</v>
      </c>
      <c r="H2205" s="2">
        <v>45.0</v>
      </c>
      <c r="I2205" s="2">
        <v>34.0</v>
      </c>
      <c r="J2205" s="37">
        <v>1054.9</v>
      </c>
      <c r="K2205" s="2">
        <v>52.0</v>
      </c>
      <c r="L2205" s="2">
        <v>169.0</v>
      </c>
      <c r="M2205" s="37">
        <v>1387.6200000000001</v>
      </c>
    </row>
    <row r="2206" ht="14.25" customHeight="1">
      <c r="A2206" t="s">
        <v>2269</v>
      </c>
      <c r="B2206" t="s">
        <v>2193</v>
      </c>
      <c r="C2206" t="s">
        <v>62</v>
      </c>
      <c r="D2206" t="s">
        <v>63</v>
      </c>
      <c r="E2206">
        <v>7.8</v>
      </c>
      <c r="F2206">
        <v>9.0</v>
      </c>
      <c r="G2206" s="2" t="s">
        <v>67</v>
      </c>
      <c r="H2206" s="2">
        <v>45.0</v>
      </c>
      <c r="I2206" s="2">
        <v>34.0</v>
      </c>
      <c r="J2206" s="37">
        <v>1054.9</v>
      </c>
      <c r="K2206" s="2">
        <v>52.0</v>
      </c>
      <c r="L2206" s="2">
        <v>169.0</v>
      </c>
      <c r="M2206" s="37">
        <v>1387.6200000000001</v>
      </c>
    </row>
    <row r="2207" ht="14.25" customHeight="1">
      <c r="A2207" t="s">
        <v>2270</v>
      </c>
      <c r="B2207" t="s">
        <v>2193</v>
      </c>
      <c r="C2207" t="s">
        <v>62</v>
      </c>
      <c r="D2207" t="s">
        <v>63</v>
      </c>
      <c r="E2207">
        <v>7.8</v>
      </c>
      <c r="F2207">
        <v>9.0</v>
      </c>
      <c r="G2207" s="2" t="s">
        <v>67</v>
      </c>
      <c r="H2207" s="2">
        <v>45.0</v>
      </c>
      <c r="I2207" s="2">
        <v>34.0</v>
      </c>
      <c r="J2207" s="37">
        <v>1054.9</v>
      </c>
      <c r="K2207" s="2">
        <v>52.0</v>
      </c>
      <c r="L2207" s="2">
        <v>169.0</v>
      </c>
      <c r="M2207" s="37">
        <v>1387.6200000000001</v>
      </c>
    </row>
    <row r="2208" ht="14.25" customHeight="1">
      <c r="A2208" t="s">
        <v>2271</v>
      </c>
      <c r="B2208" t="s">
        <v>2193</v>
      </c>
      <c r="C2208" t="s">
        <v>62</v>
      </c>
      <c r="D2208" t="s">
        <v>63</v>
      </c>
      <c r="E2208">
        <v>7.8</v>
      </c>
      <c r="F2208">
        <v>9.0</v>
      </c>
      <c r="G2208" s="2" t="s">
        <v>67</v>
      </c>
      <c r="H2208" s="2">
        <v>45.0</v>
      </c>
      <c r="I2208" s="2">
        <v>34.0</v>
      </c>
      <c r="J2208" s="37">
        <v>1054.9</v>
      </c>
      <c r="K2208" s="2">
        <v>52.0</v>
      </c>
      <c r="L2208" s="2">
        <v>169.0</v>
      </c>
      <c r="M2208" s="37">
        <v>1387.6200000000001</v>
      </c>
    </row>
    <row r="2209" ht="14.25" customHeight="1">
      <c r="A2209" t="s">
        <v>2272</v>
      </c>
      <c r="B2209" t="s">
        <v>2193</v>
      </c>
      <c r="C2209" t="s">
        <v>62</v>
      </c>
      <c r="D2209" t="s">
        <v>63</v>
      </c>
      <c r="E2209">
        <v>7.8</v>
      </c>
      <c r="F2209">
        <v>9.0</v>
      </c>
      <c r="G2209" s="2" t="s">
        <v>67</v>
      </c>
      <c r="H2209" s="2">
        <v>45.0</v>
      </c>
      <c r="I2209" s="2">
        <v>34.0</v>
      </c>
      <c r="J2209" s="37">
        <v>1054.9</v>
      </c>
      <c r="K2209" s="2">
        <v>52.0</v>
      </c>
      <c r="L2209" s="2">
        <v>169.0</v>
      </c>
      <c r="M2209" s="37">
        <v>1387.6200000000001</v>
      </c>
    </row>
    <row r="2210" ht="14.25" customHeight="1">
      <c r="A2210" t="s">
        <v>2273</v>
      </c>
      <c r="B2210" t="s">
        <v>2193</v>
      </c>
      <c r="C2210" t="s">
        <v>62</v>
      </c>
      <c r="D2210" t="s">
        <v>63</v>
      </c>
      <c r="E2210">
        <v>7.8</v>
      </c>
      <c r="F2210">
        <v>9.0</v>
      </c>
      <c r="G2210" s="2" t="s">
        <v>67</v>
      </c>
      <c r="H2210" s="2">
        <v>45.0</v>
      </c>
      <c r="I2210" s="2">
        <v>34.0</v>
      </c>
      <c r="J2210" s="37">
        <v>1054.9</v>
      </c>
      <c r="K2210" s="2">
        <v>52.0</v>
      </c>
      <c r="L2210" s="2">
        <v>169.0</v>
      </c>
      <c r="M2210" s="37">
        <v>1387.6200000000001</v>
      </c>
    </row>
    <row r="2211" ht="14.25" customHeight="1">
      <c r="A2211" t="s">
        <v>2274</v>
      </c>
      <c r="B2211" t="s">
        <v>2193</v>
      </c>
      <c r="C2211" t="s">
        <v>62</v>
      </c>
      <c r="D2211" t="s">
        <v>63</v>
      </c>
      <c r="E2211">
        <v>7.8</v>
      </c>
      <c r="F2211">
        <v>9.0</v>
      </c>
      <c r="G2211" s="2" t="s">
        <v>67</v>
      </c>
      <c r="H2211" s="2">
        <v>45.0</v>
      </c>
      <c r="I2211" s="2">
        <v>34.0</v>
      </c>
      <c r="J2211" s="37">
        <v>1054.9</v>
      </c>
      <c r="K2211" s="2">
        <v>52.0</v>
      </c>
      <c r="L2211" s="2">
        <v>169.0</v>
      </c>
      <c r="M2211" s="37">
        <v>1387.6200000000001</v>
      </c>
    </row>
    <row r="2212" ht="14.25" customHeight="1">
      <c r="A2212" t="s">
        <v>2275</v>
      </c>
      <c r="B2212" t="s">
        <v>2193</v>
      </c>
      <c r="C2212" t="s">
        <v>75</v>
      </c>
      <c r="D2212" t="s">
        <v>63</v>
      </c>
      <c r="E2212">
        <v>24.5</v>
      </c>
      <c r="F2212">
        <v>28.0</v>
      </c>
      <c r="G2212" s="2" t="s">
        <v>64</v>
      </c>
      <c r="H2212" s="2">
        <v>0.0</v>
      </c>
      <c r="I2212" s="2">
        <v>0.0</v>
      </c>
      <c r="J2212" s="37">
        <v>0.0</v>
      </c>
      <c r="K2212" s="2">
        <v>0.0</v>
      </c>
      <c r="L2212" s="2">
        <v>0.0</v>
      </c>
      <c r="M2212" s="37">
        <v>0.0</v>
      </c>
    </row>
    <row r="2213" ht="14.25" customHeight="1">
      <c r="A2213" t="s">
        <v>2276</v>
      </c>
      <c r="B2213" t="s">
        <v>2193</v>
      </c>
      <c r="C2213" t="s">
        <v>75</v>
      </c>
      <c r="D2213" t="s">
        <v>63</v>
      </c>
      <c r="E2213">
        <v>20.0</v>
      </c>
      <c r="F2213">
        <v>22.4</v>
      </c>
      <c r="G2213" s="2" t="s">
        <v>67</v>
      </c>
      <c r="H2213" s="2">
        <v>114.0</v>
      </c>
      <c r="I2213" s="2">
        <v>28.0</v>
      </c>
      <c r="J2213" s="37">
        <v>2596.84</v>
      </c>
      <c r="K2213" s="2">
        <v>134.0</v>
      </c>
      <c r="L2213" s="2">
        <v>416.0</v>
      </c>
      <c r="M2213" s="37">
        <v>3550.4400000000005</v>
      </c>
    </row>
    <row r="2214" ht="14.25" customHeight="1">
      <c r="A2214" t="s">
        <v>2277</v>
      </c>
      <c r="B2214" t="s">
        <v>2193</v>
      </c>
      <c r="C2214" t="s">
        <v>62</v>
      </c>
      <c r="D2214" t="s">
        <v>63</v>
      </c>
      <c r="E2214">
        <v>5.0</v>
      </c>
      <c r="F2214">
        <v>6.0</v>
      </c>
      <c r="G2214" s="2" t="s">
        <v>67</v>
      </c>
      <c r="H2214" s="2">
        <v>32.0</v>
      </c>
      <c r="I2214" s="2">
        <v>96.0</v>
      </c>
      <c r="J2214" s="37">
        <v>843.52</v>
      </c>
      <c r="K2214" s="2">
        <v>37.0</v>
      </c>
      <c r="L2214" s="2">
        <v>183.0</v>
      </c>
      <c r="M2214" s="37">
        <v>1068.92</v>
      </c>
    </row>
    <row r="2215" ht="14.25" customHeight="1">
      <c r="A2215" t="s">
        <v>2278</v>
      </c>
      <c r="B2215" t="s">
        <v>2193</v>
      </c>
      <c r="C2215" t="s">
        <v>62</v>
      </c>
      <c r="D2215" t="s">
        <v>63</v>
      </c>
      <c r="E2215">
        <v>5.0</v>
      </c>
      <c r="F2215">
        <v>6.0</v>
      </c>
      <c r="G2215" s="2" t="s">
        <v>67</v>
      </c>
      <c r="H2215" s="2">
        <v>32.0</v>
      </c>
      <c r="I2215" s="2">
        <v>96.0</v>
      </c>
      <c r="J2215" s="37">
        <v>843.52</v>
      </c>
      <c r="K2215" s="2">
        <v>37.0</v>
      </c>
      <c r="L2215" s="2">
        <v>183.0</v>
      </c>
      <c r="M2215" s="37">
        <v>1068.92</v>
      </c>
    </row>
    <row r="2216" ht="14.25" customHeight="1">
      <c r="A2216" t="s">
        <v>2279</v>
      </c>
      <c r="B2216" t="s">
        <v>2193</v>
      </c>
      <c r="C2216" t="s">
        <v>62</v>
      </c>
      <c r="D2216" t="s">
        <v>63</v>
      </c>
      <c r="E2216">
        <v>5.0</v>
      </c>
      <c r="F2216">
        <v>6.0</v>
      </c>
      <c r="G2216" s="2" t="s">
        <v>67</v>
      </c>
      <c r="H2216" s="2">
        <v>32.0</v>
      </c>
      <c r="I2216" s="2">
        <v>96.0</v>
      </c>
      <c r="J2216" s="37">
        <v>843.52</v>
      </c>
      <c r="K2216" s="2">
        <v>37.0</v>
      </c>
      <c r="L2216" s="2">
        <v>183.0</v>
      </c>
      <c r="M2216" s="37">
        <v>1068.92</v>
      </c>
    </row>
    <row r="2217" ht="14.25" customHeight="1">
      <c r="A2217" t="s">
        <v>2280</v>
      </c>
      <c r="B2217" t="s">
        <v>2193</v>
      </c>
      <c r="C2217" t="s">
        <v>62</v>
      </c>
      <c r="D2217" t="s">
        <v>63</v>
      </c>
      <c r="E2217">
        <v>6.1</v>
      </c>
      <c r="F2217">
        <v>6.8</v>
      </c>
      <c r="G2217" s="2" t="s">
        <v>67</v>
      </c>
      <c r="H2217" s="2">
        <v>36.0</v>
      </c>
      <c r="I2217" s="2">
        <v>92.0</v>
      </c>
      <c r="J2217" s="37">
        <v>928.1600000000001</v>
      </c>
      <c r="K2217" s="2">
        <v>41.0</v>
      </c>
      <c r="L2217" s="2">
        <v>197.0</v>
      </c>
      <c r="M2217" s="37">
        <v>1176.96</v>
      </c>
    </row>
    <row r="2218" ht="14.25" customHeight="1">
      <c r="A2218" t="s">
        <v>2281</v>
      </c>
      <c r="B2218" t="s">
        <v>2193</v>
      </c>
      <c r="C2218" t="s">
        <v>62</v>
      </c>
      <c r="D2218" t="s">
        <v>63</v>
      </c>
      <c r="E2218">
        <v>6.1</v>
      </c>
      <c r="F2218">
        <v>6.8</v>
      </c>
      <c r="G2218" s="2" t="s">
        <v>67</v>
      </c>
      <c r="H2218" s="2">
        <v>36.0</v>
      </c>
      <c r="I2218" s="2">
        <v>92.0</v>
      </c>
      <c r="J2218" s="37">
        <v>928.1600000000001</v>
      </c>
      <c r="K2218" s="2">
        <v>41.0</v>
      </c>
      <c r="L2218" s="2">
        <v>197.0</v>
      </c>
      <c r="M2218" s="37">
        <v>1176.96</v>
      </c>
    </row>
    <row r="2219" ht="14.25" customHeight="1">
      <c r="A2219" t="s">
        <v>2282</v>
      </c>
      <c r="B2219" t="s">
        <v>2193</v>
      </c>
      <c r="C2219" t="s">
        <v>62</v>
      </c>
      <c r="D2219" t="s">
        <v>63</v>
      </c>
      <c r="E2219">
        <v>6.1</v>
      </c>
      <c r="F2219">
        <v>6.8</v>
      </c>
      <c r="G2219" s="2" t="s">
        <v>67</v>
      </c>
      <c r="H2219" s="2">
        <v>36.0</v>
      </c>
      <c r="I2219" s="2">
        <v>92.0</v>
      </c>
      <c r="J2219" s="37">
        <v>928.1600000000001</v>
      </c>
      <c r="K2219" s="2">
        <v>41.0</v>
      </c>
      <c r="L2219" s="2">
        <v>197.0</v>
      </c>
      <c r="M2219" s="37">
        <v>1176.96</v>
      </c>
    </row>
    <row r="2220" ht="14.25" customHeight="1">
      <c r="A2220" t="s">
        <v>2283</v>
      </c>
      <c r="B2220" t="s">
        <v>2193</v>
      </c>
      <c r="C2220" t="s">
        <v>62</v>
      </c>
      <c r="D2220" t="s">
        <v>63</v>
      </c>
      <c r="E2220">
        <v>6.1</v>
      </c>
      <c r="F2220">
        <v>6.8</v>
      </c>
      <c r="G2220" s="2" t="s">
        <v>67</v>
      </c>
      <c r="H2220" s="2">
        <v>36.0</v>
      </c>
      <c r="I2220" s="2">
        <v>92.0</v>
      </c>
      <c r="J2220" s="37">
        <v>928.1600000000001</v>
      </c>
      <c r="K2220" s="2">
        <v>41.0</v>
      </c>
      <c r="L2220" s="2">
        <v>197.0</v>
      </c>
      <c r="M2220" s="37">
        <v>1176.96</v>
      </c>
    </row>
    <row r="2221" ht="14.25" customHeight="1">
      <c r="A2221" t="s">
        <v>2284</v>
      </c>
      <c r="B2221" t="s">
        <v>2193</v>
      </c>
      <c r="C2221" t="s">
        <v>62</v>
      </c>
      <c r="D2221" t="s">
        <v>63</v>
      </c>
      <c r="E2221">
        <v>5.0</v>
      </c>
      <c r="F2221">
        <v>6.0</v>
      </c>
      <c r="G2221" s="2" t="s">
        <v>67</v>
      </c>
      <c r="H2221" s="2">
        <v>32.0</v>
      </c>
      <c r="I2221" s="2">
        <v>96.0</v>
      </c>
      <c r="J2221" s="37">
        <v>843.52</v>
      </c>
      <c r="K2221" s="2">
        <v>37.0</v>
      </c>
      <c r="L2221" s="2">
        <v>183.0</v>
      </c>
      <c r="M2221" s="37">
        <v>1068.92</v>
      </c>
    </row>
    <row r="2222" ht="14.25" customHeight="1">
      <c r="A2222" t="s">
        <v>2285</v>
      </c>
      <c r="B2222" t="s">
        <v>2193</v>
      </c>
      <c r="C2222" t="s">
        <v>75</v>
      </c>
      <c r="D2222" t="s">
        <v>63</v>
      </c>
      <c r="E2222">
        <v>16.0</v>
      </c>
      <c r="F2222">
        <v>18.0</v>
      </c>
      <c r="G2222" s="2" t="s">
        <v>67</v>
      </c>
      <c r="H2222" s="2">
        <v>98.0</v>
      </c>
      <c r="I2222" s="2">
        <v>118.0</v>
      </c>
      <c r="J2222" s="37">
        <v>2354.48</v>
      </c>
      <c r="K2222" s="2">
        <v>114.0</v>
      </c>
      <c r="L2222" s="2">
        <v>428.0</v>
      </c>
      <c r="M2222" s="37">
        <v>3116.84</v>
      </c>
    </row>
    <row r="2223" ht="14.25" customHeight="1">
      <c r="A2223" t="s">
        <v>2286</v>
      </c>
      <c r="B2223" t="s">
        <v>2193</v>
      </c>
      <c r="C2223" t="s">
        <v>75</v>
      </c>
      <c r="D2223" t="s">
        <v>63</v>
      </c>
      <c r="E2223">
        <v>16.0</v>
      </c>
      <c r="F2223">
        <v>18.0</v>
      </c>
      <c r="G2223" s="2" t="s">
        <v>67</v>
      </c>
      <c r="H2223" s="2">
        <v>97.0</v>
      </c>
      <c r="I2223" s="2">
        <v>118.0</v>
      </c>
      <c r="J2223" s="37">
        <v>2332.02</v>
      </c>
      <c r="K2223" s="2">
        <v>113.0</v>
      </c>
      <c r="L2223" s="2">
        <v>428.0</v>
      </c>
      <c r="M2223" s="37">
        <v>3094.38</v>
      </c>
    </row>
    <row r="2224" ht="14.25" customHeight="1">
      <c r="A2224" t="s">
        <v>2287</v>
      </c>
      <c r="B2224" t="s">
        <v>2193</v>
      </c>
      <c r="C2224" t="s">
        <v>75</v>
      </c>
      <c r="D2224" t="s">
        <v>63</v>
      </c>
      <c r="E2224">
        <v>18.0</v>
      </c>
      <c r="F2224">
        <v>20.0</v>
      </c>
      <c r="G2224" s="2" t="s">
        <v>67</v>
      </c>
      <c r="H2224" s="2">
        <v>106.0</v>
      </c>
      <c r="I2224" s="2">
        <v>160.0</v>
      </c>
      <c r="J2224" s="37">
        <v>2588.76</v>
      </c>
      <c r="K2224" s="2">
        <v>124.0</v>
      </c>
      <c r="L2224" s="2">
        <v>509.0</v>
      </c>
      <c r="M2224" s="37">
        <v>3446.74</v>
      </c>
    </row>
    <row r="2225" ht="14.25" customHeight="1">
      <c r="A2225" t="s">
        <v>2288</v>
      </c>
      <c r="B2225" t="s">
        <v>2193</v>
      </c>
      <c r="C2225" t="s">
        <v>75</v>
      </c>
      <c r="D2225" t="s">
        <v>63</v>
      </c>
      <c r="E2225">
        <v>18.0</v>
      </c>
      <c r="F2225">
        <v>20.0</v>
      </c>
      <c r="G2225" s="2" t="s">
        <v>67</v>
      </c>
      <c r="H2225" s="2">
        <v>106.0</v>
      </c>
      <c r="I2225" s="2">
        <v>160.0</v>
      </c>
      <c r="J2225" s="37">
        <v>2588.76</v>
      </c>
      <c r="K2225" s="2">
        <v>124.0</v>
      </c>
      <c r="L2225" s="2">
        <v>509.0</v>
      </c>
      <c r="M2225" s="37">
        <v>3446.74</v>
      </c>
    </row>
    <row r="2226" ht="14.25" customHeight="1">
      <c r="A2226" t="s">
        <v>2289</v>
      </c>
      <c r="B2226" t="s">
        <v>2193</v>
      </c>
      <c r="C2226" t="s">
        <v>75</v>
      </c>
      <c r="D2226" t="s">
        <v>63</v>
      </c>
      <c r="E2226">
        <v>7.1</v>
      </c>
      <c r="F2226">
        <v>8.0</v>
      </c>
      <c r="G2226" s="2" t="s">
        <v>67</v>
      </c>
      <c r="H2226" s="2">
        <v>45.0</v>
      </c>
      <c r="I2226" s="2">
        <v>246.0</v>
      </c>
      <c r="J2226" s="37">
        <v>1330.5</v>
      </c>
      <c r="K2226" s="2">
        <v>52.0</v>
      </c>
      <c r="L2226" s="2">
        <v>384.0</v>
      </c>
      <c r="M2226" s="37">
        <v>1667.1200000000001</v>
      </c>
    </row>
    <row r="2227" ht="14.25" customHeight="1">
      <c r="A2227" t="s">
        <v>2290</v>
      </c>
      <c r="B2227" t="s">
        <v>2193</v>
      </c>
      <c r="C2227" t="s">
        <v>75</v>
      </c>
      <c r="D2227" t="s">
        <v>63</v>
      </c>
      <c r="E2227">
        <v>7.1</v>
      </c>
      <c r="F2227">
        <v>8.0</v>
      </c>
      <c r="G2227" s="2" t="s">
        <v>67</v>
      </c>
      <c r="H2227" s="2">
        <v>45.0</v>
      </c>
      <c r="I2227" s="2">
        <v>246.0</v>
      </c>
      <c r="J2227" s="37">
        <v>1330.5</v>
      </c>
      <c r="K2227" s="2">
        <v>52.0</v>
      </c>
      <c r="L2227" s="2">
        <v>384.0</v>
      </c>
      <c r="M2227" s="37">
        <v>1667.1200000000001</v>
      </c>
    </row>
    <row r="2228" ht="14.25" customHeight="1">
      <c r="A2228" t="s">
        <v>2291</v>
      </c>
      <c r="B2228" t="s">
        <v>2193</v>
      </c>
      <c r="C2228" t="s">
        <v>75</v>
      </c>
      <c r="D2228" t="s">
        <v>63</v>
      </c>
      <c r="E2228">
        <v>7.1</v>
      </c>
      <c r="F2228">
        <v>8.0</v>
      </c>
      <c r="G2228" s="2" t="s">
        <v>67</v>
      </c>
      <c r="H2228" s="2">
        <v>45.0</v>
      </c>
      <c r="I2228" s="2">
        <v>246.0</v>
      </c>
      <c r="J2228" s="37">
        <v>1330.5</v>
      </c>
      <c r="K2228" s="2">
        <v>52.0</v>
      </c>
      <c r="L2228" s="2">
        <v>384.0</v>
      </c>
      <c r="M2228" s="37">
        <v>1667.1200000000001</v>
      </c>
    </row>
    <row r="2229" ht="14.25" customHeight="1">
      <c r="A2229" t="s">
        <v>2292</v>
      </c>
      <c r="B2229" t="s">
        <v>2193</v>
      </c>
      <c r="C2229" t="s">
        <v>75</v>
      </c>
      <c r="D2229" t="s">
        <v>63</v>
      </c>
      <c r="E2229">
        <v>7.1</v>
      </c>
      <c r="F2229">
        <v>8.0</v>
      </c>
      <c r="G2229" s="2" t="s">
        <v>67</v>
      </c>
      <c r="H2229" s="2">
        <v>45.0</v>
      </c>
      <c r="I2229" s="2">
        <v>246.0</v>
      </c>
      <c r="J2229" s="37">
        <v>1330.5</v>
      </c>
      <c r="K2229" s="2">
        <v>52.0</v>
      </c>
      <c r="L2229" s="2">
        <v>384.0</v>
      </c>
      <c r="M2229" s="37">
        <v>1667.1200000000001</v>
      </c>
    </row>
    <row r="2230" ht="14.25" customHeight="1">
      <c r="A2230" t="s">
        <v>2293</v>
      </c>
      <c r="B2230" t="s">
        <v>2193</v>
      </c>
      <c r="C2230" t="s">
        <v>75</v>
      </c>
      <c r="D2230" t="s">
        <v>63</v>
      </c>
      <c r="E2230">
        <v>7.1</v>
      </c>
      <c r="F2230">
        <v>8.0</v>
      </c>
      <c r="G2230" s="2" t="s">
        <v>67</v>
      </c>
      <c r="H2230" s="2">
        <v>45.0</v>
      </c>
      <c r="I2230" s="2">
        <v>246.0</v>
      </c>
      <c r="J2230" s="37">
        <v>1330.5</v>
      </c>
      <c r="K2230" s="2">
        <v>52.0</v>
      </c>
      <c r="L2230" s="2">
        <v>384.0</v>
      </c>
      <c r="M2230" s="37">
        <v>1667.1200000000001</v>
      </c>
    </row>
    <row r="2231" ht="14.25" customHeight="1">
      <c r="A2231" t="s">
        <v>2294</v>
      </c>
      <c r="B2231" t="s">
        <v>2193</v>
      </c>
      <c r="C2231" t="s">
        <v>62</v>
      </c>
      <c r="D2231" t="s">
        <v>63</v>
      </c>
      <c r="E2231">
        <v>7.1</v>
      </c>
      <c r="F2231">
        <v>8.0</v>
      </c>
      <c r="G2231" s="2" t="s">
        <v>64</v>
      </c>
      <c r="H2231" s="2">
        <v>0.0</v>
      </c>
      <c r="I2231" s="2">
        <v>0.0</v>
      </c>
      <c r="J2231" s="37">
        <v>0.0</v>
      </c>
      <c r="K2231" s="2">
        <v>0.0</v>
      </c>
      <c r="L2231" s="2">
        <v>0.0</v>
      </c>
      <c r="M2231" s="37">
        <v>0.0</v>
      </c>
    </row>
    <row r="2232" ht="14.25" customHeight="1">
      <c r="A2232" t="s">
        <v>2295</v>
      </c>
      <c r="B2232" t="s">
        <v>2193</v>
      </c>
      <c r="C2232" t="s">
        <v>62</v>
      </c>
      <c r="D2232" t="s">
        <v>63</v>
      </c>
      <c r="E2232">
        <v>7.1</v>
      </c>
      <c r="F2232">
        <v>8.0</v>
      </c>
      <c r="G2232" s="2" t="s">
        <v>64</v>
      </c>
      <c r="H2232" s="2">
        <v>0.0</v>
      </c>
      <c r="I2232" s="2">
        <v>0.0</v>
      </c>
      <c r="J2232" s="37">
        <v>0.0</v>
      </c>
      <c r="K2232" s="2">
        <v>0.0</v>
      </c>
      <c r="L2232" s="2">
        <v>0.0</v>
      </c>
      <c r="M2232" s="37">
        <v>0.0</v>
      </c>
    </row>
    <row r="2233" ht="14.25" customHeight="1">
      <c r="A2233" t="s">
        <v>2296</v>
      </c>
      <c r="B2233" t="s">
        <v>2193</v>
      </c>
      <c r="C2233" t="s">
        <v>62</v>
      </c>
      <c r="D2233" t="s">
        <v>63</v>
      </c>
      <c r="E2233">
        <v>7.1</v>
      </c>
      <c r="F2233">
        <v>8.0</v>
      </c>
      <c r="G2233" s="2" t="s">
        <v>64</v>
      </c>
      <c r="H2233" s="2">
        <v>0.0</v>
      </c>
      <c r="I2233" s="2">
        <v>0.0</v>
      </c>
      <c r="J2233" s="37">
        <v>0.0</v>
      </c>
      <c r="K2233" s="2">
        <v>0.0</v>
      </c>
      <c r="L2233" s="2">
        <v>0.0</v>
      </c>
      <c r="M2233" s="37">
        <v>0.0</v>
      </c>
    </row>
    <row r="2234" ht="14.25" customHeight="1">
      <c r="A2234" t="s">
        <v>2297</v>
      </c>
      <c r="B2234" t="s">
        <v>2193</v>
      </c>
      <c r="C2234" t="s">
        <v>62</v>
      </c>
      <c r="D2234" t="s">
        <v>63</v>
      </c>
      <c r="E2234">
        <v>7.1</v>
      </c>
      <c r="F2234">
        <v>8.0</v>
      </c>
      <c r="G2234" s="2" t="s">
        <v>64</v>
      </c>
      <c r="H2234" s="2">
        <v>0.0</v>
      </c>
      <c r="I2234" s="2">
        <v>0.0</v>
      </c>
      <c r="J2234" s="37">
        <v>0.0</v>
      </c>
      <c r="K2234" s="2">
        <v>0.0</v>
      </c>
      <c r="L2234" s="2">
        <v>0.0</v>
      </c>
      <c r="M2234" s="37">
        <v>0.0</v>
      </c>
    </row>
    <row r="2235" ht="14.25" customHeight="1">
      <c r="A2235" t="s">
        <v>2298</v>
      </c>
      <c r="B2235" t="s">
        <v>2193</v>
      </c>
      <c r="C2235" t="s">
        <v>62</v>
      </c>
      <c r="D2235" t="s">
        <v>63</v>
      </c>
      <c r="E2235">
        <v>7.1</v>
      </c>
      <c r="F2235">
        <v>8.0</v>
      </c>
      <c r="G2235" s="2" t="s">
        <v>64</v>
      </c>
      <c r="H2235" s="2">
        <v>0.0</v>
      </c>
      <c r="I2235" s="2">
        <v>0.0</v>
      </c>
      <c r="J2235" s="37">
        <v>0.0</v>
      </c>
      <c r="K2235" s="2">
        <v>0.0</v>
      </c>
      <c r="L2235" s="2">
        <v>0.0</v>
      </c>
      <c r="M2235" s="37">
        <v>0.0</v>
      </c>
    </row>
    <row r="2236" ht="14.25" customHeight="1">
      <c r="A2236" t="s">
        <v>2299</v>
      </c>
      <c r="B2236" t="s">
        <v>2193</v>
      </c>
      <c r="C2236" t="s">
        <v>75</v>
      </c>
      <c r="D2236" t="s">
        <v>63</v>
      </c>
      <c r="E2236">
        <v>10.0</v>
      </c>
      <c r="F2236">
        <v>11.2</v>
      </c>
      <c r="G2236" s="2" t="s">
        <v>64</v>
      </c>
      <c r="H2236" s="2">
        <v>0.0</v>
      </c>
      <c r="I2236" s="2">
        <v>0.0</v>
      </c>
      <c r="J2236" s="37">
        <v>0.0</v>
      </c>
      <c r="K2236" s="2">
        <v>0.0</v>
      </c>
      <c r="L2236" s="2">
        <v>0.0</v>
      </c>
      <c r="M2236" s="37">
        <v>0.0</v>
      </c>
    </row>
    <row r="2237" ht="14.25" customHeight="1">
      <c r="A2237" t="s">
        <v>2300</v>
      </c>
      <c r="B2237" t="s">
        <v>2193</v>
      </c>
      <c r="C2237" t="s">
        <v>62</v>
      </c>
      <c r="D2237" t="s">
        <v>63</v>
      </c>
      <c r="E2237">
        <v>10.0</v>
      </c>
      <c r="F2237">
        <v>11.2</v>
      </c>
      <c r="G2237" s="2" t="s">
        <v>67</v>
      </c>
      <c r="H2237" s="2">
        <v>59.0</v>
      </c>
      <c r="I2237" s="2">
        <v>446.0</v>
      </c>
      <c r="J2237" s="37">
        <v>1904.94</v>
      </c>
      <c r="K2237" s="2">
        <v>69.0</v>
      </c>
      <c r="L2237" s="2">
        <v>639.0</v>
      </c>
      <c r="M2237" s="37">
        <v>2380.44</v>
      </c>
    </row>
    <row r="2238" ht="14.25" customHeight="1">
      <c r="A2238" t="s">
        <v>2301</v>
      </c>
      <c r="B2238" t="s">
        <v>2193</v>
      </c>
      <c r="C2238" t="s">
        <v>62</v>
      </c>
      <c r="D2238" t="s">
        <v>63</v>
      </c>
      <c r="E2238">
        <v>10.0</v>
      </c>
      <c r="F2238">
        <v>11.2</v>
      </c>
      <c r="G2238" s="2" t="s">
        <v>67</v>
      </c>
      <c r="H2238" s="2">
        <v>59.0</v>
      </c>
      <c r="I2238" s="2">
        <v>446.0</v>
      </c>
      <c r="J2238" s="37">
        <v>1904.94</v>
      </c>
      <c r="K2238" s="2">
        <v>69.0</v>
      </c>
      <c r="L2238" s="2">
        <v>639.0</v>
      </c>
      <c r="M2238" s="37">
        <v>2380.44</v>
      </c>
    </row>
    <row r="2239" ht="14.25" customHeight="1">
      <c r="A2239" t="s">
        <v>2302</v>
      </c>
      <c r="B2239" t="s">
        <v>2193</v>
      </c>
      <c r="C2239" t="s">
        <v>62</v>
      </c>
      <c r="D2239" t="s">
        <v>63</v>
      </c>
      <c r="E2239">
        <v>10.0</v>
      </c>
      <c r="F2239">
        <v>11.2</v>
      </c>
      <c r="G2239" s="2" t="s">
        <v>67</v>
      </c>
      <c r="H2239" s="2">
        <v>59.0</v>
      </c>
      <c r="I2239" s="2">
        <v>446.0</v>
      </c>
      <c r="J2239" s="37">
        <v>1904.94</v>
      </c>
      <c r="K2239" s="2">
        <v>69.0</v>
      </c>
      <c r="L2239" s="2">
        <v>639.0</v>
      </c>
      <c r="M2239" s="37">
        <v>2380.44</v>
      </c>
    </row>
    <row r="2240" ht="14.25" customHeight="1">
      <c r="A2240" t="s">
        <v>2303</v>
      </c>
      <c r="B2240" t="s">
        <v>2193</v>
      </c>
      <c r="C2240" t="s">
        <v>62</v>
      </c>
      <c r="D2240" t="s">
        <v>63</v>
      </c>
      <c r="E2240">
        <v>10.0</v>
      </c>
      <c r="F2240">
        <v>11.2</v>
      </c>
      <c r="G2240" s="2" t="s">
        <v>67</v>
      </c>
      <c r="H2240" s="2">
        <v>59.0</v>
      </c>
      <c r="I2240" s="2">
        <v>446.0</v>
      </c>
      <c r="J2240" s="37">
        <v>1904.94</v>
      </c>
      <c r="K2240" s="2">
        <v>69.0</v>
      </c>
      <c r="L2240" s="2">
        <v>639.0</v>
      </c>
      <c r="M2240" s="37">
        <v>2380.44</v>
      </c>
    </row>
    <row r="2241" ht="14.25" customHeight="1">
      <c r="A2241" t="s">
        <v>2304</v>
      </c>
      <c r="B2241" t="s">
        <v>2193</v>
      </c>
      <c r="C2241" t="s">
        <v>62</v>
      </c>
      <c r="D2241" t="s">
        <v>63</v>
      </c>
      <c r="E2241">
        <v>10.0</v>
      </c>
      <c r="F2241">
        <v>11.2</v>
      </c>
      <c r="G2241" s="2" t="s">
        <v>67</v>
      </c>
      <c r="H2241" s="2">
        <v>59.0</v>
      </c>
      <c r="I2241" s="2">
        <v>446.0</v>
      </c>
      <c r="J2241" s="37">
        <v>1904.94</v>
      </c>
      <c r="K2241" s="2">
        <v>69.0</v>
      </c>
      <c r="L2241" s="2">
        <v>639.0</v>
      </c>
      <c r="M2241" s="37">
        <v>2380.44</v>
      </c>
    </row>
    <row r="2242" ht="14.25" customHeight="1">
      <c r="A2242" t="s">
        <v>2305</v>
      </c>
      <c r="B2242" t="s">
        <v>2193</v>
      </c>
      <c r="C2242" t="s">
        <v>75</v>
      </c>
      <c r="D2242" t="s">
        <v>63</v>
      </c>
      <c r="E2242">
        <v>10.0</v>
      </c>
      <c r="F2242">
        <v>11.2</v>
      </c>
      <c r="G2242" s="2" t="s">
        <v>64</v>
      </c>
      <c r="H2242" s="2">
        <v>0.0</v>
      </c>
      <c r="I2242" s="2">
        <v>0.0</v>
      </c>
      <c r="J2242" s="37">
        <v>0.0</v>
      </c>
      <c r="K2242" s="2">
        <v>0.0</v>
      </c>
      <c r="L2242" s="2">
        <v>0.0</v>
      </c>
      <c r="M2242" s="37">
        <v>0.0</v>
      </c>
    </row>
    <row r="2243" ht="14.25" customHeight="1">
      <c r="A2243" t="s">
        <v>2306</v>
      </c>
      <c r="B2243" t="s">
        <v>2193</v>
      </c>
      <c r="C2243" t="s">
        <v>75</v>
      </c>
      <c r="D2243" t="s">
        <v>63</v>
      </c>
      <c r="E2243">
        <v>10.0</v>
      </c>
      <c r="F2243">
        <v>11.2</v>
      </c>
      <c r="G2243" s="2" t="s">
        <v>64</v>
      </c>
      <c r="H2243" s="2">
        <v>0.0</v>
      </c>
      <c r="I2243" s="2">
        <v>0.0</v>
      </c>
      <c r="J2243" s="37">
        <v>0.0</v>
      </c>
      <c r="K2243" s="2">
        <v>0.0</v>
      </c>
      <c r="L2243" s="2">
        <v>0.0</v>
      </c>
      <c r="M2243" s="37">
        <v>0.0</v>
      </c>
    </row>
    <row r="2244" ht="14.25" customHeight="1">
      <c r="A2244" t="s">
        <v>2307</v>
      </c>
      <c r="B2244" t="s">
        <v>2193</v>
      </c>
      <c r="C2244" t="s">
        <v>75</v>
      </c>
      <c r="D2244" t="s">
        <v>63</v>
      </c>
      <c r="E2244">
        <v>10.0</v>
      </c>
      <c r="F2244">
        <v>11.2</v>
      </c>
      <c r="G2244" s="2" t="s">
        <v>64</v>
      </c>
      <c r="H2244" s="2">
        <v>0.0</v>
      </c>
      <c r="I2244" s="2">
        <v>0.0</v>
      </c>
      <c r="J2244" s="37">
        <v>0.0</v>
      </c>
      <c r="K2244" s="2">
        <v>0.0</v>
      </c>
      <c r="L2244" s="2">
        <v>0.0</v>
      </c>
      <c r="M2244" s="37">
        <v>0.0</v>
      </c>
    </row>
    <row r="2245" ht="14.25" customHeight="1">
      <c r="A2245" t="s">
        <v>2308</v>
      </c>
      <c r="B2245" t="s">
        <v>2193</v>
      </c>
      <c r="C2245" t="s">
        <v>75</v>
      </c>
      <c r="D2245" t="s">
        <v>63</v>
      </c>
      <c r="E2245">
        <v>10.0</v>
      </c>
      <c r="F2245">
        <v>11.2</v>
      </c>
      <c r="G2245" s="2" t="s">
        <v>64</v>
      </c>
      <c r="H2245" s="2">
        <v>0.0</v>
      </c>
      <c r="I2245" s="2">
        <v>0.0</v>
      </c>
      <c r="J2245" s="37">
        <v>0.0</v>
      </c>
      <c r="K2245" s="2">
        <v>0.0</v>
      </c>
      <c r="L2245" s="2">
        <v>0.0</v>
      </c>
      <c r="M2245" s="37">
        <v>0.0</v>
      </c>
    </row>
    <row r="2246" ht="14.25" customHeight="1">
      <c r="A2246" t="s">
        <v>2309</v>
      </c>
      <c r="B2246" t="s">
        <v>2193</v>
      </c>
      <c r="C2246" t="s">
        <v>62</v>
      </c>
      <c r="D2246" t="s">
        <v>63</v>
      </c>
      <c r="E2246">
        <v>12.5</v>
      </c>
      <c r="F2246">
        <v>14.0</v>
      </c>
      <c r="G2246" s="2" t="s">
        <v>67</v>
      </c>
      <c r="H2246" s="2">
        <v>73.0</v>
      </c>
      <c r="I2246" s="2">
        <v>270.0</v>
      </c>
      <c r="J2246" s="37">
        <v>1990.5800000000002</v>
      </c>
      <c r="K2246" s="2">
        <v>86.0</v>
      </c>
      <c r="L2246" s="2">
        <v>512.0</v>
      </c>
      <c r="M2246" s="37">
        <v>2597.1600000000003</v>
      </c>
    </row>
    <row r="2247" ht="14.25" customHeight="1">
      <c r="A2247" t="s">
        <v>2310</v>
      </c>
      <c r="B2247" t="s">
        <v>2193</v>
      </c>
      <c r="C2247" t="s">
        <v>62</v>
      </c>
      <c r="D2247" t="s">
        <v>63</v>
      </c>
      <c r="E2247">
        <v>12.5</v>
      </c>
      <c r="F2247">
        <v>14.0</v>
      </c>
      <c r="G2247" s="2" t="s">
        <v>67</v>
      </c>
      <c r="H2247" s="2">
        <v>73.0</v>
      </c>
      <c r="I2247" s="2">
        <v>270.0</v>
      </c>
      <c r="J2247" s="37">
        <v>1990.5800000000002</v>
      </c>
      <c r="K2247" s="2">
        <v>86.0</v>
      </c>
      <c r="L2247" s="2">
        <v>512.0</v>
      </c>
      <c r="M2247" s="37">
        <v>2597.1600000000003</v>
      </c>
    </row>
    <row r="2248" ht="14.25" customHeight="1">
      <c r="A2248" t="s">
        <v>2311</v>
      </c>
      <c r="B2248" t="s">
        <v>2193</v>
      </c>
      <c r="C2248" t="s">
        <v>62</v>
      </c>
      <c r="D2248" t="s">
        <v>63</v>
      </c>
      <c r="E2248">
        <v>12.5</v>
      </c>
      <c r="F2248">
        <v>14.0</v>
      </c>
      <c r="G2248" s="2" t="s">
        <v>67</v>
      </c>
      <c r="H2248" s="2">
        <v>73.0</v>
      </c>
      <c r="I2248" s="2">
        <v>270.0</v>
      </c>
      <c r="J2248" s="37">
        <v>1990.5800000000002</v>
      </c>
      <c r="K2248" s="2">
        <v>86.0</v>
      </c>
      <c r="L2248" s="2">
        <v>512.0</v>
      </c>
      <c r="M2248" s="37">
        <v>2597.1600000000003</v>
      </c>
    </row>
    <row r="2249" ht="14.25" customHeight="1">
      <c r="A2249" t="s">
        <v>2312</v>
      </c>
      <c r="B2249" t="s">
        <v>2193</v>
      </c>
      <c r="C2249" t="s">
        <v>62</v>
      </c>
      <c r="D2249" t="s">
        <v>63</v>
      </c>
      <c r="E2249">
        <v>12.5</v>
      </c>
      <c r="F2249">
        <v>14.0</v>
      </c>
      <c r="G2249" s="2" t="s">
        <v>67</v>
      </c>
      <c r="H2249" s="2">
        <v>73.0</v>
      </c>
      <c r="I2249" s="2">
        <v>270.0</v>
      </c>
      <c r="J2249" s="37">
        <v>1990.5800000000002</v>
      </c>
      <c r="K2249" s="2">
        <v>86.0</v>
      </c>
      <c r="L2249" s="2">
        <v>512.0</v>
      </c>
      <c r="M2249" s="37">
        <v>2597.1600000000003</v>
      </c>
    </row>
    <row r="2250" ht="14.25" customHeight="1">
      <c r="A2250" t="s">
        <v>2313</v>
      </c>
      <c r="B2250" t="s">
        <v>2193</v>
      </c>
      <c r="C2250" t="s">
        <v>62</v>
      </c>
      <c r="D2250" t="s">
        <v>63</v>
      </c>
      <c r="E2250">
        <v>12.5</v>
      </c>
      <c r="F2250">
        <v>14.0</v>
      </c>
      <c r="G2250" s="2" t="s">
        <v>67</v>
      </c>
      <c r="H2250" s="2">
        <v>73.0</v>
      </c>
      <c r="I2250" s="2">
        <v>270.0</v>
      </c>
      <c r="J2250" s="37">
        <v>1990.5800000000002</v>
      </c>
      <c r="K2250" s="2">
        <v>86.0</v>
      </c>
      <c r="L2250" s="2">
        <v>512.0</v>
      </c>
      <c r="M2250" s="37">
        <v>2597.1600000000003</v>
      </c>
    </row>
    <row r="2251" ht="14.25" customHeight="1">
      <c r="A2251" t="s">
        <v>2314</v>
      </c>
      <c r="B2251" t="s">
        <v>2193</v>
      </c>
      <c r="C2251" t="s">
        <v>62</v>
      </c>
      <c r="D2251" t="s">
        <v>63</v>
      </c>
      <c r="E2251">
        <v>10.0</v>
      </c>
      <c r="F2251">
        <v>11.2</v>
      </c>
      <c r="G2251" s="2" t="s">
        <v>67</v>
      </c>
      <c r="H2251" s="2">
        <v>60.0</v>
      </c>
      <c r="I2251" s="2">
        <v>446.0</v>
      </c>
      <c r="J2251" s="37">
        <v>1927.4</v>
      </c>
      <c r="K2251" s="2">
        <v>70.0</v>
      </c>
      <c r="L2251" s="2">
        <v>639.0</v>
      </c>
      <c r="M2251" s="37">
        <v>2402.9</v>
      </c>
    </row>
    <row r="2252" ht="14.25" customHeight="1">
      <c r="A2252" t="s">
        <v>2315</v>
      </c>
      <c r="B2252" t="s">
        <v>2193</v>
      </c>
      <c r="C2252" t="s">
        <v>62</v>
      </c>
      <c r="D2252" t="s">
        <v>63</v>
      </c>
      <c r="E2252">
        <v>10.0</v>
      </c>
      <c r="F2252">
        <v>11.2</v>
      </c>
      <c r="G2252" s="2" t="s">
        <v>67</v>
      </c>
      <c r="H2252" s="2">
        <v>60.0</v>
      </c>
      <c r="I2252" s="2">
        <v>446.0</v>
      </c>
      <c r="J2252" s="37">
        <v>1927.4</v>
      </c>
      <c r="K2252" s="2">
        <v>70.0</v>
      </c>
      <c r="L2252" s="2">
        <v>639.0</v>
      </c>
      <c r="M2252" s="37">
        <v>2402.9</v>
      </c>
    </row>
    <row r="2253" ht="14.25" customHeight="1">
      <c r="A2253" t="s">
        <v>2316</v>
      </c>
      <c r="B2253" t="s">
        <v>2193</v>
      </c>
      <c r="C2253" t="s">
        <v>62</v>
      </c>
      <c r="D2253" t="s">
        <v>63</v>
      </c>
      <c r="E2253">
        <v>10.0</v>
      </c>
      <c r="F2253">
        <v>11.2</v>
      </c>
      <c r="G2253" s="2" t="s">
        <v>67</v>
      </c>
      <c r="H2253" s="2">
        <v>60.0</v>
      </c>
      <c r="I2253" s="2">
        <v>446.0</v>
      </c>
      <c r="J2253" s="37">
        <v>1927.4</v>
      </c>
      <c r="K2253" s="2">
        <v>70.0</v>
      </c>
      <c r="L2253" s="2">
        <v>639.0</v>
      </c>
      <c r="M2253" s="37">
        <v>2402.9</v>
      </c>
    </row>
    <row r="2254" ht="14.25" customHeight="1">
      <c r="A2254" t="s">
        <v>2317</v>
      </c>
      <c r="B2254" t="s">
        <v>2193</v>
      </c>
      <c r="C2254" t="s">
        <v>62</v>
      </c>
      <c r="D2254" t="s">
        <v>63</v>
      </c>
      <c r="E2254">
        <v>10.0</v>
      </c>
      <c r="F2254">
        <v>11.2</v>
      </c>
      <c r="G2254" s="2" t="s">
        <v>67</v>
      </c>
      <c r="H2254" s="2">
        <v>60.0</v>
      </c>
      <c r="I2254" s="2">
        <v>446.0</v>
      </c>
      <c r="J2254" s="37">
        <v>1927.4</v>
      </c>
      <c r="K2254" s="2">
        <v>70.0</v>
      </c>
      <c r="L2254" s="2">
        <v>639.0</v>
      </c>
      <c r="M2254" s="37">
        <v>2402.9</v>
      </c>
    </row>
    <row r="2255" ht="14.25" customHeight="1">
      <c r="A2255" t="s">
        <v>2318</v>
      </c>
      <c r="B2255" t="s">
        <v>2193</v>
      </c>
      <c r="C2255" t="s">
        <v>62</v>
      </c>
      <c r="D2255" t="s">
        <v>63</v>
      </c>
      <c r="E2255">
        <v>10.0</v>
      </c>
      <c r="F2255">
        <v>11.2</v>
      </c>
      <c r="G2255" s="2" t="s">
        <v>67</v>
      </c>
      <c r="H2255" s="2">
        <v>60.0</v>
      </c>
      <c r="I2255" s="2">
        <v>446.0</v>
      </c>
      <c r="J2255" s="37">
        <v>1927.4</v>
      </c>
      <c r="K2255" s="2">
        <v>70.0</v>
      </c>
      <c r="L2255" s="2">
        <v>639.0</v>
      </c>
      <c r="M2255" s="37">
        <v>2402.9</v>
      </c>
    </row>
    <row r="2256" ht="14.25" customHeight="1">
      <c r="A2256" t="s">
        <v>2319</v>
      </c>
      <c r="B2256" t="s">
        <v>2193</v>
      </c>
      <c r="C2256" t="s">
        <v>75</v>
      </c>
      <c r="D2256" t="s">
        <v>63</v>
      </c>
      <c r="E2256">
        <v>12.5</v>
      </c>
      <c r="F2256">
        <v>14.0</v>
      </c>
      <c r="G2256" s="2" t="s">
        <v>64</v>
      </c>
      <c r="H2256" s="2">
        <v>0.0</v>
      </c>
      <c r="I2256" s="2">
        <v>0.0</v>
      </c>
      <c r="J2256" s="37">
        <v>0.0</v>
      </c>
      <c r="K2256" s="2">
        <v>0.0</v>
      </c>
      <c r="L2256" s="2">
        <v>0.0</v>
      </c>
      <c r="M2256" s="37">
        <v>0.0</v>
      </c>
    </row>
    <row r="2257" ht="14.25" customHeight="1">
      <c r="A2257" t="s">
        <v>2320</v>
      </c>
      <c r="B2257" t="s">
        <v>2193</v>
      </c>
      <c r="C2257" t="s">
        <v>75</v>
      </c>
      <c r="D2257" t="s">
        <v>63</v>
      </c>
      <c r="E2257">
        <v>12.5</v>
      </c>
      <c r="F2257">
        <v>14.0</v>
      </c>
      <c r="G2257" s="2" t="s">
        <v>64</v>
      </c>
      <c r="H2257" s="2">
        <v>0.0</v>
      </c>
      <c r="I2257" s="2">
        <v>0.0</v>
      </c>
      <c r="J2257" s="37">
        <v>0.0</v>
      </c>
      <c r="K2257" s="2">
        <v>0.0</v>
      </c>
      <c r="L2257" s="2">
        <v>0.0</v>
      </c>
      <c r="M2257" s="37">
        <v>0.0</v>
      </c>
    </row>
    <row r="2258" ht="14.25" customHeight="1">
      <c r="A2258" t="s">
        <v>2321</v>
      </c>
      <c r="B2258" t="s">
        <v>2193</v>
      </c>
      <c r="C2258" t="s">
        <v>75</v>
      </c>
      <c r="D2258" t="s">
        <v>63</v>
      </c>
      <c r="E2258">
        <v>12.5</v>
      </c>
      <c r="F2258">
        <v>14.0</v>
      </c>
      <c r="G2258" s="2" t="s">
        <v>64</v>
      </c>
      <c r="H2258" s="2">
        <v>0.0</v>
      </c>
      <c r="I2258" s="2">
        <v>0.0</v>
      </c>
      <c r="J2258" s="37">
        <v>0.0</v>
      </c>
      <c r="K2258" s="2">
        <v>0.0</v>
      </c>
      <c r="L2258" s="2">
        <v>0.0</v>
      </c>
      <c r="M2258" s="37">
        <v>0.0</v>
      </c>
    </row>
    <row r="2259" ht="14.25" customHeight="1">
      <c r="A2259" t="s">
        <v>2322</v>
      </c>
      <c r="B2259" t="s">
        <v>2193</v>
      </c>
      <c r="C2259" t="s">
        <v>75</v>
      </c>
      <c r="D2259" t="s">
        <v>63</v>
      </c>
      <c r="E2259">
        <v>12.5</v>
      </c>
      <c r="F2259">
        <v>14.0</v>
      </c>
      <c r="G2259" s="2" t="s">
        <v>64</v>
      </c>
      <c r="H2259" s="2">
        <v>0.0</v>
      </c>
      <c r="I2259" s="2">
        <v>0.0</v>
      </c>
      <c r="J2259" s="37">
        <v>0.0</v>
      </c>
      <c r="K2259" s="2">
        <v>0.0</v>
      </c>
      <c r="L2259" s="2">
        <v>0.0</v>
      </c>
      <c r="M2259" s="37">
        <v>0.0</v>
      </c>
    </row>
    <row r="2260" ht="14.25" customHeight="1">
      <c r="A2260" t="s">
        <v>2323</v>
      </c>
      <c r="B2260" t="s">
        <v>2193</v>
      </c>
      <c r="C2260" t="s">
        <v>62</v>
      </c>
      <c r="D2260" t="s">
        <v>63</v>
      </c>
      <c r="E2260">
        <v>12.5</v>
      </c>
      <c r="F2260">
        <v>14.0</v>
      </c>
      <c r="G2260" s="2" t="s">
        <v>64</v>
      </c>
      <c r="H2260" s="2">
        <v>0.0</v>
      </c>
      <c r="I2260" s="2">
        <v>0.0</v>
      </c>
      <c r="J2260" s="37">
        <v>0.0</v>
      </c>
      <c r="K2260" s="2">
        <v>0.0</v>
      </c>
      <c r="L2260" s="2">
        <v>0.0</v>
      </c>
      <c r="M2260" s="37">
        <v>0.0</v>
      </c>
    </row>
    <row r="2261" ht="14.25" customHeight="1">
      <c r="A2261" t="s">
        <v>2324</v>
      </c>
      <c r="B2261" t="s">
        <v>2193</v>
      </c>
      <c r="C2261" t="s">
        <v>62</v>
      </c>
      <c r="D2261" t="s">
        <v>63</v>
      </c>
      <c r="E2261">
        <v>12.5</v>
      </c>
      <c r="F2261">
        <v>14.0</v>
      </c>
      <c r="G2261" s="2" t="s">
        <v>64</v>
      </c>
      <c r="H2261" s="2">
        <v>0.0</v>
      </c>
      <c r="I2261" s="2">
        <v>0.0</v>
      </c>
      <c r="J2261" s="37">
        <v>0.0</v>
      </c>
      <c r="K2261" s="2">
        <v>0.0</v>
      </c>
      <c r="L2261" s="2">
        <v>0.0</v>
      </c>
      <c r="M2261" s="37">
        <v>0.0</v>
      </c>
    </row>
    <row r="2262" ht="14.25" customHeight="1">
      <c r="A2262" t="s">
        <v>2325</v>
      </c>
      <c r="B2262" t="s">
        <v>2193</v>
      </c>
      <c r="C2262" t="s">
        <v>62</v>
      </c>
      <c r="D2262" t="s">
        <v>63</v>
      </c>
      <c r="E2262">
        <v>12.5</v>
      </c>
      <c r="F2262">
        <v>14.0</v>
      </c>
      <c r="G2262" s="2" t="s">
        <v>64</v>
      </c>
      <c r="H2262" s="2">
        <v>0.0</v>
      </c>
      <c r="I2262" s="2">
        <v>0.0</v>
      </c>
      <c r="J2262" s="37">
        <v>0.0</v>
      </c>
      <c r="K2262" s="2">
        <v>0.0</v>
      </c>
      <c r="L2262" s="2">
        <v>0.0</v>
      </c>
      <c r="M2262" s="37">
        <v>0.0</v>
      </c>
    </row>
    <row r="2263" ht="14.25" customHeight="1">
      <c r="A2263" t="s">
        <v>2326</v>
      </c>
      <c r="B2263" t="s">
        <v>2193</v>
      </c>
      <c r="C2263" t="s">
        <v>62</v>
      </c>
      <c r="D2263" t="s">
        <v>63</v>
      </c>
      <c r="E2263">
        <v>12.5</v>
      </c>
      <c r="F2263">
        <v>14.0</v>
      </c>
      <c r="G2263" s="2" t="s">
        <v>64</v>
      </c>
      <c r="H2263" s="2">
        <v>0.0</v>
      </c>
      <c r="I2263" s="2">
        <v>0.0</v>
      </c>
      <c r="J2263" s="37">
        <v>0.0</v>
      </c>
      <c r="K2263" s="2">
        <v>0.0</v>
      </c>
      <c r="L2263" s="2">
        <v>0.0</v>
      </c>
      <c r="M2263" s="37">
        <v>0.0</v>
      </c>
    </row>
    <row r="2264" ht="14.25" customHeight="1">
      <c r="A2264" t="s">
        <v>2327</v>
      </c>
      <c r="B2264" t="s">
        <v>2193</v>
      </c>
      <c r="C2264" t="s">
        <v>62</v>
      </c>
      <c r="D2264" t="s">
        <v>63</v>
      </c>
      <c r="E2264">
        <v>12.5</v>
      </c>
      <c r="F2264">
        <v>14.0</v>
      </c>
      <c r="G2264" s="2" t="s">
        <v>64</v>
      </c>
      <c r="H2264" s="2">
        <v>0.0</v>
      </c>
      <c r="I2264" s="2">
        <v>0.0</v>
      </c>
      <c r="J2264" s="37">
        <v>0.0</v>
      </c>
      <c r="K2264" s="2">
        <v>0.0</v>
      </c>
      <c r="L2264" s="2">
        <v>0.0</v>
      </c>
      <c r="M2264" s="37">
        <v>0.0</v>
      </c>
    </row>
    <row r="2265" ht="14.25" customHeight="1">
      <c r="A2265" t="s">
        <v>2328</v>
      </c>
      <c r="B2265" t="s">
        <v>2193</v>
      </c>
      <c r="C2265" t="s">
        <v>75</v>
      </c>
      <c r="D2265" t="s">
        <v>63</v>
      </c>
      <c r="E2265">
        <v>14.0</v>
      </c>
      <c r="F2265">
        <v>16.0</v>
      </c>
      <c r="G2265" s="2" t="s">
        <v>64</v>
      </c>
      <c r="H2265" s="2">
        <v>0.0</v>
      </c>
      <c r="I2265" s="2">
        <v>0.0</v>
      </c>
      <c r="J2265" s="37">
        <v>0.0</v>
      </c>
      <c r="K2265" s="2">
        <v>0.0</v>
      </c>
      <c r="L2265" s="2">
        <v>0.0</v>
      </c>
      <c r="M2265" s="37">
        <v>0.0</v>
      </c>
    </row>
    <row r="2266" ht="14.25" customHeight="1">
      <c r="A2266" t="s">
        <v>2329</v>
      </c>
      <c r="B2266" t="s">
        <v>2193</v>
      </c>
      <c r="C2266" t="s">
        <v>75</v>
      </c>
      <c r="D2266" t="s">
        <v>63</v>
      </c>
      <c r="E2266">
        <v>14.0</v>
      </c>
      <c r="F2266">
        <v>16.0</v>
      </c>
      <c r="G2266" s="2" t="s">
        <v>64</v>
      </c>
      <c r="H2266" s="2">
        <v>0.0</v>
      </c>
      <c r="I2266" s="2">
        <v>0.0</v>
      </c>
      <c r="J2266" s="37">
        <v>0.0</v>
      </c>
      <c r="K2266" s="2">
        <v>0.0</v>
      </c>
      <c r="L2266" s="2">
        <v>0.0</v>
      </c>
      <c r="M2266" s="37">
        <v>0.0</v>
      </c>
    </row>
    <row r="2267" ht="14.25" customHeight="1">
      <c r="A2267" t="s">
        <v>2330</v>
      </c>
      <c r="B2267" t="s">
        <v>2193</v>
      </c>
      <c r="C2267" t="s">
        <v>75</v>
      </c>
      <c r="D2267" t="s">
        <v>63</v>
      </c>
      <c r="E2267">
        <v>14.0</v>
      </c>
      <c r="F2267">
        <v>16.0</v>
      </c>
      <c r="G2267" s="2" t="s">
        <v>64</v>
      </c>
      <c r="H2267" s="2">
        <v>0.0</v>
      </c>
      <c r="I2267" s="2">
        <v>0.0</v>
      </c>
      <c r="J2267" s="37">
        <v>0.0</v>
      </c>
      <c r="K2267" s="2">
        <v>0.0</v>
      </c>
      <c r="L2267" s="2">
        <v>0.0</v>
      </c>
      <c r="M2267" s="37">
        <v>0.0</v>
      </c>
    </row>
    <row r="2268" ht="14.25" customHeight="1">
      <c r="A2268" t="s">
        <v>2331</v>
      </c>
      <c r="B2268" t="s">
        <v>2193</v>
      </c>
      <c r="C2268" t="s">
        <v>75</v>
      </c>
      <c r="D2268" t="s">
        <v>63</v>
      </c>
      <c r="E2268">
        <v>14.0</v>
      </c>
      <c r="F2268">
        <v>16.0</v>
      </c>
      <c r="G2268" s="2" t="s">
        <v>64</v>
      </c>
      <c r="H2268" s="2">
        <v>0.0</v>
      </c>
      <c r="I2268" s="2">
        <v>0.0</v>
      </c>
      <c r="J2268" s="37">
        <v>0.0</v>
      </c>
      <c r="K2268" s="2">
        <v>0.0</v>
      </c>
      <c r="L2268" s="2">
        <v>0.0</v>
      </c>
      <c r="M2268" s="37">
        <v>0.0</v>
      </c>
    </row>
    <row r="2269" ht="14.25" customHeight="1">
      <c r="A2269" t="s">
        <v>2332</v>
      </c>
      <c r="B2269" t="s">
        <v>2193</v>
      </c>
      <c r="C2269" t="s">
        <v>75</v>
      </c>
      <c r="D2269" t="s">
        <v>63</v>
      </c>
      <c r="E2269">
        <v>14.0</v>
      </c>
      <c r="F2269">
        <v>16.0</v>
      </c>
      <c r="G2269" s="2" t="s">
        <v>64</v>
      </c>
      <c r="H2269" s="2">
        <v>0.0</v>
      </c>
      <c r="I2269" s="2">
        <v>0.0</v>
      </c>
      <c r="J2269" s="37">
        <v>0.0</v>
      </c>
      <c r="K2269" s="2">
        <v>0.0</v>
      </c>
      <c r="L2269" s="2">
        <v>0.0</v>
      </c>
      <c r="M2269" s="37">
        <v>0.0</v>
      </c>
    </row>
    <row r="2270" ht="14.25" customHeight="1">
      <c r="A2270" t="s">
        <v>2333</v>
      </c>
      <c r="B2270" t="s">
        <v>2193</v>
      </c>
      <c r="C2270" t="s">
        <v>62</v>
      </c>
      <c r="D2270" t="s">
        <v>63</v>
      </c>
      <c r="E2270">
        <v>13.5</v>
      </c>
      <c r="F2270">
        <v>16.0</v>
      </c>
      <c r="G2270" s="2" t="s">
        <v>67</v>
      </c>
      <c r="H2270" s="2">
        <v>78.0</v>
      </c>
      <c r="I2270" s="2">
        <v>238.0</v>
      </c>
      <c r="J2270" s="37">
        <v>2061.28</v>
      </c>
      <c r="K2270" s="2">
        <v>92.0</v>
      </c>
      <c r="L2270" s="2">
        <v>499.0</v>
      </c>
      <c r="M2270" s="37">
        <v>2715.0200000000004</v>
      </c>
    </row>
    <row r="2271" ht="14.25" customHeight="1">
      <c r="A2271" t="s">
        <v>2334</v>
      </c>
      <c r="B2271" t="s">
        <v>2193</v>
      </c>
      <c r="C2271" t="s">
        <v>62</v>
      </c>
      <c r="D2271" t="s">
        <v>63</v>
      </c>
      <c r="E2271">
        <v>13.5</v>
      </c>
      <c r="F2271">
        <v>16.0</v>
      </c>
      <c r="G2271" s="2" t="s">
        <v>67</v>
      </c>
      <c r="H2271" s="2">
        <v>78.0</v>
      </c>
      <c r="I2271" s="2">
        <v>238.0</v>
      </c>
      <c r="J2271" s="37">
        <v>2061.28</v>
      </c>
      <c r="K2271" s="2">
        <v>92.0</v>
      </c>
      <c r="L2271" s="2">
        <v>499.0</v>
      </c>
      <c r="M2271" s="37">
        <v>2715.0200000000004</v>
      </c>
    </row>
    <row r="2272" ht="14.25" customHeight="1">
      <c r="A2272" t="s">
        <v>2335</v>
      </c>
      <c r="B2272" t="s">
        <v>2193</v>
      </c>
      <c r="C2272" t="s">
        <v>62</v>
      </c>
      <c r="D2272" t="s">
        <v>63</v>
      </c>
      <c r="E2272">
        <v>13.5</v>
      </c>
      <c r="F2272">
        <v>16.0</v>
      </c>
      <c r="G2272" s="2" t="s">
        <v>67</v>
      </c>
      <c r="H2272" s="2">
        <v>78.0</v>
      </c>
      <c r="I2272" s="2">
        <v>238.0</v>
      </c>
      <c r="J2272" s="37">
        <v>2061.28</v>
      </c>
      <c r="K2272" s="2">
        <v>92.0</v>
      </c>
      <c r="L2272" s="2">
        <v>499.0</v>
      </c>
      <c r="M2272" s="37">
        <v>2715.0200000000004</v>
      </c>
    </row>
    <row r="2273" ht="14.25" customHeight="1">
      <c r="A2273" t="s">
        <v>2336</v>
      </c>
      <c r="B2273" t="s">
        <v>2193</v>
      </c>
      <c r="C2273" t="s">
        <v>62</v>
      </c>
      <c r="D2273" t="s">
        <v>63</v>
      </c>
      <c r="E2273">
        <v>13.5</v>
      </c>
      <c r="F2273">
        <v>16.0</v>
      </c>
      <c r="G2273" s="2" t="s">
        <v>67</v>
      </c>
      <c r="H2273" s="2">
        <v>78.0</v>
      </c>
      <c r="I2273" s="2">
        <v>238.0</v>
      </c>
      <c r="J2273" s="37">
        <v>2061.28</v>
      </c>
      <c r="K2273" s="2">
        <v>92.0</v>
      </c>
      <c r="L2273" s="2">
        <v>499.0</v>
      </c>
      <c r="M2273" s="37">
        <v>2715.0200000000004</v>
      </c>
    </row>
    <row r="2274" ht="14.25" customHeight="1">
      <c r="A2274" t="s">
        <v>2337</v>
      </c>
      <c r="B2274" t="s">
        <v>2193</v>
      </c>
      <c r="C2274" t="s">
        <v>62</v>
      </c>
      <c r="D2274" t="s">
        <v>63</v>
      </c>
      <c r="E2274">
        <v>13.5</v>
      </c>
      <c r="F2274">
        <v>16.0</v>
      </c>
      <c r="G2274" s="2" t="s">
        <v>67</v>
      </c>
      <c r="H2274" s="2">
        <v>78.0</v>
      </c>
      <c r="I2274" s="2">
        <v>238.0</v>
      </c>
      <c r="J2274" s="37">
        <v>2061.28</v>
      </c>
      <c r="K2274" s="2">
        <v>92.0</v>
      </c>
      <c r="L2274" s="2">
        <v>499.0</v>
      </c>
      <c r="M2274" s="37">
        <v>2715.0200000000004</v>
      </c>
    </row>
    <row r="2275" ht="14.25" customHeight="1">
      <c r="A2275" t="s">
        <v>2338</v>
      </c>
      <c r="B2275" t="s">
        <v>2193</v>
      </c>
      <c r="C2275" t="s">
        <v>75</v>
      </c>
      <c r="D2275" t="s">
        <v>63</v>
      </c>
      <c r="E2275">
        <v>12.5</v>
      </c>
      <c r="F2275">
        <v>14.0</v>
      </c>
      <c r="G2275" s="2" t="s">
        <v>64</v>
      </c>
      <c r="H2275" s="2">
        <v>0.0</v>
      </c>
      <c r="I2275" s="2">
        <v>0.0</v>
      </c>
      <c r="J2275" s="37">
        <v>0.0</v>
      </c>
      <c r="K2275" s="2">
        <v>0.0</v>
      </c>
      <c r="L2275" s="2">
        <v>0.0</v>
      </c>
      <c r="M2275" s="37">
        <v>0.0</v>
      </c>
    </row>
    <row r="2276" ht="14.25" customHeight="1">
      <c r="A2276" t="s">
        <v>2339</v>
      </c>
      <c r="B2276" t="s">
        <v>2193</v>
      </c>
      <c r="C2276" t="s">
        <v>62</v>
      </c>
      <c r="D2276" t="s">
        <v>63</v>
      </c>
      <c r="E2276">
        <v>13.5</v>
      </c>
      <c r="F2276">
        <v>16.0</v>
      </c>
      <c r="G2276" s="2" t="s">
        <v>67</v>
      </c>
      <c r="H2276" s="2">
        <v>79.0</v>
      </c>
      <c r="I2276" s="2">
        <v>238.0</v>
      </c>
      <c r="J2276" s="37">
        <v>2083.7400000000002</v>
      </c>
      <c r="K2276" s="2">
        <v>93.0</v>
      </c>
      <c r="L2276" s="2">
        <v>499.0</v>
      </c>
      <c r="M2276" s="37">
        <v>2737.4800000000005</v>
      </c>
    </row>
    <row r="2277" ht="14.25" customHeight="1">
      <c r="A2277" t="s">
        <v>2340</v>
      </c>
      <c r="B2277" t="s">
        <v>2193</v>
      </c>
      <c r="C2277" t="s">
        <v>62</v>
      </c>
      <c r="D2277" t="s">
        <v>63</v>
      </c>
      <c r="E2277">
        <v>13.5</v>
      </c>
      <c r="F2277">
        <v>16.0</v>
      </c>
      <c r="G2277" s="2" t="s">
        <v>67</v>
      </c>
      <c r="H2277" s="2">
        <v>79.0</v>
      </c>
      <c r="I2277" s="2">
        <v>238.0</v>
      </c>
      <c r="J2277" s="37">
        <v>2083.7400000000002</v>
      </c>
      <c r="K2277" s="2">
        <v>93.0</v>
      </c>
      <c r="L2277" s="2">
        <v>499.0</v>
      </c>
      <c r="M2277" s="37">
        <v>2737.4800000000005</v>
      </c>
    </row>
    <row r="2278" ht="14.25" customHeight="1">
      <c r="A2278" t="s">
        <v>2341</v>
      </c>
      <c r="B2278" t="s">
        <v>2193</v>
      </c>
      <c r="C2278" t="s">
        <v>62</v>
      </c>
      <c r="D2278" t="s">
        <v>63</v>
      </c>
      <c r="E2278">
        <v>13.5</v>
      </c>
      <c r="F2278">
        <v>16.0</v>
      </c>
      <c r="G2278" s="2" t="s">
        <v>67</v>
      </c>
      <c r="H2278" s="2">
        <v>79.0</v>
      </c>
      <c r="I2278" s="2">
        <v>238.0</v>
      </c>
      <c r="J2278" s="37">
        <v>2083.7400000000002</v>
      </c>
      <c r="K2278" s="2">
        <v>93.0</v>
      </c>
      <c r="L2278" s="2">
        <v>499.0</v>
      </c>
      <c r="M2278" s="37">
        <v>2737.4800000000005</v>
      </c>
    </row>
    <row r="2279" ht="14.25" customHeight="1">
      <c r="A2279" t="s">
        <v>2342</v>
      </c>
      <c r="B2279" t="s">
        <v>2193</v>
      </c>
      <c r="C2279" t="s">
        <v>62</v>
      </c>
      <c r="D2279" t="s">
        <v>63</v>
      </c>
      <c r="E2279">
        <v>13.5</v>
      </c>
      <c r="F2279">
        <v>16.0</v>
      </c>
      <c r="G2279" s="2" t="s">
        <v>67</v>
      </c>
      <c r="H2279" s="2">
        <v>79.0</v>
      </c>
      <c r="I2279" s="2">
        <v>238.0</v>
      </c>
      <c r="J2279" s="37">
        <v>2083.7400000000002</v>
      </c>
      <c r="K2279" s="2">
        <v>93.0</v>
      </c>
      <c r="L2279" s="2">
        <v>499.0</v>
      </c>
      <c r="M2279" s="37">
        <v>2737.4800000000005</v>
      </c>
    </row>
    <row r="2280" ht="14.25" customHeight="1">
      <c r="A2280" t="s">
        <v>2343</v>
      </c>
      <c r="B2280" t="s">
        <v>2193</v>
      </c>
      <c r="C2280" t="s">
        <v>62</v>
      </c>
      <c r="D2280" t="s">
        <v>63</v>
      </c>
      <c r="E2280">
        <v>13.5</v>
      </c>
      <c r="F2280">
        <v>16.0</v>
      </c>
      <c r="G2280" s="2" t="s">
        <v>67</v>
      </c>
      <c r="H2280" s="2">
        <v>79.0</v>
      </c>
      <c r="I2280" s="2">
        <v>238.0</v>
      </c>
      <c r="J2280" s="37">
        <v>2083.7400000000002</v>
      </c>
      <c r="K2280" s="2">
        <v>93.0</v>
      </c>
      <c r="L2280" s="2">
        <v>499.0</v>
      </c>
      <c r="M2280" s="37">
        <v>2737.4800000000005</v>
      </c>
    </row>
    <row r="2281" ht="14.25" customHeight="1">
      <c r="A2281" t="s">
        <v>2344</v>
      </c>
      <c r="B2281" t="s">
        <v>2193</v>
      </c>
      <c r="C2281" t="s">
        <v>62</v>
      </c>
      <c r="D2281" t="s">
        <v>63</v>
      </c>
      <c r="E2281">
        <v>7.1</v>
      </c>
      <c r="F2281">
        <v>8.0</v>
      </c>
      <c r="G2281" s="2" t="s">
        <v>67</v>
      </c>
      <c r="H2281" s="2">
        <v>41.0</v>
      </c>
      <c r="I2281" s="2">
        <v>187.0</v>
      </c>
      <c r="J2281" s="37">
        <v>1163.96</v>
      </c>
      <c r="K2281" s="2">
        <v>48.0</v>
      </c>
      <c r="L2281" s="2">
        <v>310.0</v>
      </c>
      <c r="M2281" s="37">
        <v>1481.08</v>
      </c>
    </row>
    <row r="2282" ht="14.25" customHeight="1">
      <c r="A2282" t="s">
        <v>2345</v>
      </c>
      <c r="B2282" t="s">
        <v>2193</v>
      </c>
      <c r="C2282" t="s">
        <v>62</v>
      </c>
      <c r="D2282" t="s">
        <v>63</v>
      </c>
      <c r="E2282">
        <v>7.1</v>
      </c>
      <c r="F2282">
        <v>8.0</v>
      </c>
      <c r="G2282" s="2" t="s">
        <v>67</v>
      </c>
      <c r="H2282" s="2">
        <v>41.0</v>
      </c>
      <c r="I2282" s="2">
        <v>187.0</v>
      </c>
      <c r="J2282" s="37">
        <v>1163.96</v>
      </c>
      <c r="K2282" s="2">
        <v>48.0</v>
      </c>
      <c r="L2282" s="2">
        <v>310.0</v>
      </c>
      <c r="M2282" s="37">
        <v>1481.08</v>
      </c>
    </row>
    <row r="2283" ht="14.25" customHeight="1">
      <c r="A2283" t="s">
        <v>2346</v>
      </c>
      <c r="B2283" t="s">
        <v>2193</v>
      </c>
      <c r="C2283" t="s">
        <v>62</v>
      </c>
      <c r="D2283" t="s">
        <v>63</v>
      </c>
      <c r="E2283">
        <v>7.1</v>
      </c>
      <c r="F2283">
        <v>8.0</v>
      </c>
      <c r="G2283" s="2" t="s">
        <v>67</v>
      </c>
      <c r="H2283" s="2">
        <v>41.0</v>
      </c>
      <c r="I2283" s="2">
        <v>187.0</v>
      </c>
      <c r="J2283" s="37">
        <v>1163.96</v>
      </c>
      <c r="K2283" s="2">
        <v>48.0</v>
      </c>
      <c r="L2283" s="2">
        <v>310.0</v>
      </c>
      <c r="M2283" s="37">
        <v>1481.08</v>
      </c>
    </row>
    <row r="2284" ht="14.25" customHeight="1">
      <c r="A2284" t="s">
        <v>2347</v>
      </c>
      <c r="B2284" t="s">
        <v>2193</v>
      </c>
      <c r="C2284" t="s">
        <v>62</v>
      </c>
      <c r="D2284" t="s">
        <v>63</v>
      </c>
      <c r="E2284">
        <v>6.0</v>
      </c>
      <c r="F2284">
        <v>7.0</v>
      </c>
      <c r="G2284" s="2" t="s">
        <v>67</v>
      </c>
      <c r="H2284" s="2">
        <v>36.0</v>
      </c>
      <c r="I2284" s="2">
        <v>147.0</v>
      </c>
      <c r="J2284" s="37">
        <v>999.6600000000001</v>
      </c>
      <c r="K2284" s="2">
        <v>41.0</v>
      </c>
      <c r="L2284" s="2">
        <v>251.0</v>
      </c>
      <c r="M2284" s="37">
        <v>1247.16</v>
      </c>
    </row>
    <row r="2285" ht="14.25" customHeight="1">
      <c r="A2285" t="s">
        <v>2348</v>
      </c>
      <c r="B2285" t="s">
        <v>2193</v>
      </c>
      <c r="C2285" t="s">
        <v>62</v>
      </c>
      <c r="D2285" t="s">
        <v>63</v>
      </c>
      <c r="E2285">
        <v>6.0</v>
      </c>
      <c r="F2285">
        <v>7.0</v>
      </c>
      <c r="G2285" s="2" t="s">
        <v>67</v>
      </c>
      <c r="H2285" s="2">
        <v>36.0</v>
      </c>
      <c r="I2285" s="2">
        <v>147.0</v>
      </c>
      <c r="J2285" s="37">
        <v>999.6600000000001</v>
      </c>
      <c r="K2285" s="2">
        <v>41.0</v>
      </c>
      <c r="L2285" s="2">
        <v>251.0</v>
      </c>
      <c r="M2285" s="37">
        <v>1247.16</v>
      </c>
    </row>
    <row r="2286" ht="14.25" customHeight="1">
      <c r="A2286" t="s">
        <v>2349</v>
      </c>
      <c r="B2286" t="s">
        <v>2193</v>
      </c>
      <c r="C2286" t="s">
        <v>62</v>
      </c>
      <c r="D2286" t="s">
        <v>63</v>
      </c>
      <c r="E2286">
        <v>6.0</v>
      </c>
      <c r="F2286">
        <v>7.0</v>
      </c>
      <c r="G2286" s="2" t="s">
        <v>67</v>
      </c>
      <c r="H2286" s="2">
        <v>36.0</v>
      </c>
      <c r="I2286" s="2">
        <v>147.0</v>
      </c>
      <c r="J2286" s="37">
        <v>999.6600000000001</v>
      </c>
      <c r="K2286" s="2">
        <v>41.0</v>
      </c>
      <c r="L2286" s="2">
        <v>251.0</v>
      </c>
      <c r="M2286" s="37">
        <v>1247.16</v>
      </c>
    </row>
    <row r="2287" ht="14.25" customHeight="1">
      <c r="A2287" t="s">
        <v>2350</v>
      </c>
      <c r="B2287" t="s">
        <v>2193</v>
      </c>
      <c r="C2287" t="s">
        <v>62</v>
      </c>
      <c r="D2287" t="s">
        <v>63</v>
      </c>
      <c r="E2287">
        <v>5.0</v>
      </c>
      <c r="F2287">
        <v>6.0</v>
      </c>
      <c r="G2287" s="2" t="s">
        <v>64</v>
      </c>
      <c r="H2287" s="2">
        <v>0.0</v>
      </c>
      <c r="I2287" s="2">
        <v>0.0</v>
      </c>
      <c r="J2287" s="37">
        <v>0.0</v>
      </c>
      <c r="K2287" s="2">
        <v>0.0</v>
      </c>
      <c r="L2287" s="2">
        <v>0.0</v>
      </c>
      <c r="M2287" s="37">
        <v>0.0</v>
      </c>
    </row>
    <row r="2288" ht="14.25" customHeight="1">
      <c r="A2288" t="s">
        <v>2351</v>
      </c>
      <c r="B2288" t="s">
        <v>2193</v>
      </c>
      <c r="C2288" t="s">
        <v>62</v>
      </c>
      <c r="D2288" t="s">
        <v>63</v>
      </c>
      <c r="E2288">
        <v>5.0</v>
      </c>
      <c r="F2288">
        <v>6.0</v>
      </c>
      <c r="G2288" s="2" t="s">
        <v>64</v>
      </c>
      <c r="H2288" s="2">
        <v>0.0</v>
      </c>
      <c r="I2288" s="2">
        <v>0.0</v>
      </c>
      <c r="J2288" s="37">
        <v>0.0</v>
      </c>
      <c r="K2288" s="2">
        <v>0.0</v>
      </c>
      <c r="L2288" s="2">
        <v>0.0</v>
      </c>
      <c r="M2288" s="37">
        <v>0.0</v>
      </c>
    </row>
    <row r="2289" ht="14.25" customHeight="1">
      <c r="A2289" t="s">
        <v>2352</v>
      </c>
      <c r="B2289" t="s">
        <v>2193</v>
      </c>
      <c r="C2289" t="s">
        <v>62</v>
      </c>
      <c r="D2289" t="s">
        <v>63</v>
      </c>
      <c r="E2289">
        <v>5.0</v>
      </c>
      <c r="F2289">
        <v>6.0</v>
      </c>
      <c r="G2289" s="2" t="s">
        <v>64</v>
      </c>
      <c r="H2289" s="2">
        <v>0.0</v>
      </c>
      <c r="I2289" s="2">
        <v>0.0</v>
      </c>
      <c r="J2289" s="37">
        <v>0.0</v>
      </c>
      <c r="K2289" s="2">
        <v>0.0</v>
      </c>
      <c r="L2289" s="2">
        <v>0.0</v>
      </c>
      <c r="M2289" s="37">
        <v>0.0</v>
      </c>
    </row>
    <row r="2290" ht="14.25" customHeight="1">
      <c r="A2290" t="s">
        <v>2353</v>
      </c>
      <c r="B2290" t="s">
        <v>2193</v>
      </c>
      <c r="C2290" t="s">
        <v>62</v>
      </c>
      <c r="D2290" t="s">
        <v>63</v>
      </c>
      <c r="E2290">
        <v>7.1</v>
      </c>
      <c r="F2290">
        <v>8.0</v>
      </c>
      <c r="G2290" s="2" t="s">
        <v>64</v>
      </c>
      <c r="H2290" s="2">
        <v>0.0</v>
      </c>
      <c r="I2290" s="2">
        <v>0.0</v>
      </c>
      <c r="J2290" s="37">
        <v>0.0</v>
      </c>
      <c r="K2290" s="2">
        <v>0.0</v>
      </c>
      <c r="L2290" s="2">
        <v>0.0</v>
      </c>
      <c r="M2290" s="37">
        <v>0.0</v>
      </c>
    </row>
    <row r="2291" ht="14.25" customHeight="1">
      <c r="A2291" t="s">
        <v>2354</v>
      </c>
      <c r="B2291" t="s">
        <v>2193</v>
      </c>
      <c r="C2291" t="s">
        <v>62</v>
      </c>
      <c r="D2291" t="s">
        <v>63</v>
      </c>
      <c r="E2291">
        <v>7.1</v>
      </c>
      <c r="F2291">
        <v>8.0</v>
      </c>
      <c r="G2291" s="2" t="s">
        <v>64</v>
      </c>
      <c r="H2291" s="2">
        <v>0.0</v>
      </c>
      <c r="I2291" s="2">
        <v>0.0</v>
      </c>
      <c r="J2291" s="37">
        <v>0.0</v>
      </c>
      <c r="K2291" s="2">
        <v>0.0</v>
      </c>
      <c r="L2291" s="2">
        <v>0.0</v>
      </c>
      <c r="M2291" s="37">
        <v>0.0</v>
      </c>
    </row>
    <row r="2292" ht="14.25" customHeight="1">
      <c r="A2292" t="s">
        <v>2355</v>
      </c>
      <c r="B2292" t="s">
        <v>2193</v>
      </c>
      <c r="C2292" t="s">
        <v>62</v>
      </c>
      <c r="D2292" t="s">
        <v>63</v>
      </c>
      <c r="E2292">
        <v>7.1</v>
      </c>
      <c r="F2292">
        <v>8.0</v>
      </c>
      <c r="G2292" s="2" t="s">
        <v>64</v>
      </c>
      <c r="H2292" s="2">
        <v>0.0</v>
      </c>
      <c r="I2292" s="2">
        <v>0.0</v>
      </c>
      <c r="J2292" s="37">
        <v>0.0</v>
      </c>
      <c r="K2292" s="2">
        <v>0.0</v>
      </c>
      <c r="L2292" s="2">
        <v>0.0</v>
      </c>
      <c r="M2292" s="37">
        <v>0.0</v>
      </c>
    </row>
    <row r="2293" ht="14.25" customHeight="1">
      <c r="A2293" t="s">
        <v>2356</v>
      </c>
      <c r="B2293" t="s">
        <v>2193</v>
      </c>
      <c r="C2293" t="s">
        <v>62</v>
      </c>
      <c r="D2293" t="s">
        <v>63</v>
      </c>
      <c r="E2293">
        <v>2.5</v>
      </c>
      <c r="F2293">
        <v>3.2</v>
      </c>
      <c r="G2293" s="2" t="s">
        <v>64</v>
      </c>
      <c r="H2293" s="2">
        <v>0.0</v>
      </c>
      <c r="I2293" s="2">
        <v>0.0</v>
      </c>
      <c r="J2293" s="37">
        <v>0.0</v>
      </c>
      <c r="K2293" s="2">
        <v>0.0</v>
      </c>
      <c r="L2293" s="2">
        <v>0.0</v>
      </c>
      <c r="M2293" s="37">
        <v>0.0</v>
      </c>
    </row>
    <row r="2294" ht="14.25" customHeight="1">
      <c r="A2294" t="s">
        <v>2357</v>
      </c>
      <c r="B2294" t="s">
        <v>2193</v>
      </c>
      <c r="C2294" t="s">
        <v>62</v>
      </c>
      <c r="D2294" t="s">
        <v>63</v>
      </c>
      <c r="E2294">
        <v>2.5</v>
      </c>
      <c r="F2294">
        <v>3.2</v>
      </c>
      <c r="G2294" s="2" t="s">
        <v>64</v>
      </c>
      <c r="H2294" s="2">
        <v>0.0</v>
      </c>
      <c r="I2294" s="2">
        <v>0.0</v>
      </c>
      <c r="J2294" s="37">
        <v>0.0</v>
      </c>
      <c r="K2294" s="2">
        <v>0.0</v>
      </c>
      <c r="L2294" s="2">
        <v>0.0</v>
      </c>
      <c r="M2294" s="37">
        <v>0.0</v>
      </c>
    </row>
    <row r="2295" ht="14.25" customHeight="1">
      <c r="A2295" t="s">
        <v>2358</v>
      </c>
      <c r="B2295" t="s">
        <v>2193</v>
      </c>
      <c r="C2295" t="s">
        <v>62</v>
      </c>
      <c r="D2295" t="s">
        <v>63</v>
      </c>
      <c r="E2295">
        <v>2.5</v>
      </c>
      <c r="F2295">
        <v>3.2</v>
      </c>
      <c r="G2295" s="2" t="s">
        <v>64</v>
      </c>
      <c r="H2295" s="2">
        <v>0.0</v>
      </c>
      <c r="I2295" s="2">
        <v>0.0</v>
      </c>
      <c r="J2295" s="37">
        <v>0.0</v>
      </c>
      <c r="K2295" s="2">
        <v>0.0</v>
      </c>
      <c r="L2295" s="2">
        <v>0.0</v>
      </c>
      <c r="M2295" s="37">
        <v>0.0</v>
      </c>
    </row>
    <row r="2296" ht="14.25" customHeight="1">
      <c r="A2296" t="s">
        <v>2359</v>
      </c>
      <c r="B2296" t="s">
        <v>2193</v>
      </c>
      <c r="C2296" t="s">
        <v>62</v>
      </c>
      <c r="D2296" t="s">
        <v>63</v>
      </c>
      <c r="E2296">
        <v>2.5</v>
      </c>
      <c r="F2296">
        <v>3.2</v>
      </c>
      <c r="G2296" s="2" t="s">
        <v>67</v>
      </c>
      <c r="H2296" s="2">
        <v>17.0</v>
      </c>
      <c r="I2296" s="2">
        <v>102.0</v>
      </c>
      <c r="J2296" s="37">
        <v>514.42</v>
      </c>
      <c r="K2296" s="2">
        <v>19.0</v>
      </c>
      <c r="L2296" s="2">
        <v>140.0</v>
      </c>
      <c r="M2296" s="37">
        <v>608.74</v>
      </c>
    </row>
    <row r="2297" ht="14.25" customHeight="1">
      <c r="A2297" t="s">
        <v>2360</v>
      </c>
      <c r="B2297" t="s">
        <v>2193</v>
      </c>
      <c r="C2297" t="s">
        <v>62</v>
      </c>
      <c r="D2297" t="s">
        <v>63</v>
      </c>
      <c r="E2297">
        <v>2.5</v>
      </c>
      <c r="F2297">
        <v>3.2</v>
      </c>
      <c r="G2297" s="2" t="s">
        <v>67</v>
      </c>
      <c r="H2297" s="2">
        <v>17.0</v>
      </c>
      <c r="I2297" s="2">
        <v>102.0</v>
      </c>
      <c r="J2297" s="37">
        <v>514.42</v>
      </c>
      <c r="K2297" s="2">
        <v>19.0</v>
      </c>
      <c r="L2297" s="2">
        <v>140.0</v>
      </c>
      <c r="M2297" s="37">
        <v>608.74</v>
      </c>
    </row>
    <row r="2298" ht="14.25" customHeight="1">
      <c r="A2298" t="s">
        <v>2361</v>
      </c>
      <c r="B2298" t="s">
        <v>2193</v>
      </c>
      <c r="C2298" t="s">
        <v>62</v>
      </c>
      <c r="D2298" t="s">
        <v>63</v>
      </c>
      <c r="E2298">
        <v>2.5</v>
      </c>
      <c r="F2298">
        <v>3.2</v>
      </c>
      <c r="G2298" s="2" t="s">
        <v>67</v>
      </c>
      <c r="H2298" s="2">
        <v>17.0</v>
      </c>
      <c r="I2298" s="2">
        <v>102.0</v>
      </c>
      <c r="J2298" s="37">
        <v>514.42</v>
      </c>
      <c r="K2298" s="2">
        <v>19.0</v>
      </c>
      <c r="L2298" s="2">
        <v>140.0</v>
      </c>
      <c r="M2298" s="37">
        <v>608.74</v>
      </c>
    </row>
    <row r="2299" ht="14.25" customHeight="1">
      <c r="A2299" t="s">
        <v>2362</v>
      </c>
      <c r="B2299" t="s">
        <v>2193</v>
      </c>
      <c r="C2299" t="s">
        <v>62</v>
      </c>
      <c r="D2299" t="s">
        <v>63</v>
      </c>
      <c r="E2299">
        <v>2.5</v>
      </c>
      <c r="F2299">
        <v>3.2</v>
      </c>
      <c r="G2299" s="2" t="s">
        <v>67</v>
      </c>
      <c r="H2299" s="2">
        <v>17.0</v>
      </c>
      <c r="I2299" s="2">
        <v>102.0</v>
      </c>
      <c r="J2299" s="37">
        <v>514.42</v>
      </c>
      <c r="K2299" s="2">
        <v>19.0</v>
      </c>
      <c r="L2299" s="2">
        <v>140.0</v>
      </c>
      <c r="M2299" s="37">
        <v>608.74</v>
      </c>
    </row>
    <row r="2300" ht="14.25" customHeight="1">
      <c r="A2300" t="s">
        <v>2363</v>
      </c>
      <c r="B2300" t="s">
        <v>2193</v>
      </c>
      <c r="C2300" t="s">
        <v>62</v>
      </c>
      <c r="D2300" t="s">
        <v>63</v>
      </c>
      <c r="E2300">
        <v>2.5</v>
      </c>
      <c r="F2300">
        <v>3.2</v>
      </c>
      <c r="G2300" s="2" t="s">
        <v>67</v>
      </c>
      <c r="H2300" s="2">
        <v>17.0</v>
      </c>
      <c r="I2300" s="2">
        <v>102.0</v>
      </c>
      <c r="J2300" s="37">
        <v>514.42</v>
      </c>
      <c r="K2300" s="2">
        <v>19.0</v>
      </c>
      <c r="L2300" s="2">
        <v>140.0</v>
      </c>
      <c r="M2300" s="37">
        <v>608.74</v>
      </c>
    </row>
    <row r="2301" ht="14.25" customHeight="1">
      <c r="A2301" t="s">
        <v>2364</v>
      </c>
      <c r="B2301" t="s">
        <v>2193</v>
      </c>
      <c r="C2301" t="s">
        <v>62</v>
      </c>
      <c r="D2301" t="s">
        <v>63</v>
      </c>
      <c r="E2301">
        <v>2.5</v>
      </c>
      <c r="F2301">
        <v>3.2</v>
      </c>
      <c r="G2301" s="2" t="s">
        <v>67</v>
      </c>
      <c r="H2301" s="2">
        <v>17.0</v>
      </c>
      <c r="I2301" s="2">
        <v>102.0</v>
      </c>
      <c r="J2301" s="37">
        <v>514.42</v>
      </c>
      <c r="K2301" s="2">
        <v>19.0</v>
      </c>
      <c r="L2301" s="2">
        <v>140.0</v>
      </c>
      <c r="M2301" s="37">
        <v>608.74</v>
      </c>
    </row>
    <row r="2302" ht="14.25" customHeight="1">
      <c r="A2302" t="s">
        <v>2365</v>
      </c>
      <c r="B2302" t="s">
        <v>2193</v>
      </c>
      <c r="C2302" t="s">
        <v>62</v>
      </c>
      <c r="D2302" t="s">
        <v>63</v>
      </c>
      <c r="E2302">
        <v>2.5</v>
      </c>
      <c r="F2302">
        <v>3.2</v>
      </c>
      <c r="G2302" s="2" t="s">
        <v>67</v>
      </c>
      <c r="H2302" s="2">
        <v>17.0</v>
      </c>
      <c r="I2302" s="2">
        <v>102.0</v>
      </c>
      <c r="J2302" s="37">
        <v>514.42</v>
      </c>
      <c r="K2302" s="2">
        <v>19.0</v>
      </c>
      <c r="L2302" s="2">
        <v>140.0</v>
      </c>
      <c r="M2302" s="37">
        <v>608.74</v>
      </c>
    </row>
    <row r="2303" ht="14.25" customHeight="1">
      <c r="A2303" t="s">
        <v>2366</v>
      </c>
      <c r="B2303" t="s">
        <v>2193</v>
      </c>
      <c r="C2303" t="s">
        <v>62</v>
      </c>
      <c r="D2303" t="s">
        <v>63</v>
      </c>
      <c r="E2303">
        <v>4.2</v>
      </c>
      <c r="F2303">
        <v>5.4</v>
      </c>
      <c r="G2303" s="2" t="s">
        <v>67</v>
      </c>
      <c r="H2303" s="2">
        <v>28.0</v>
      </c>
      <c r="I2303" s="2">
        <v>64.0</v>
      </c>
      <c r="J2303" s="37">
        <v>712.08</v>
      </c>
      <c r="K2303" s="2">
        <v>32.0</v>
      </c>
      <c r="L2303" s="2">
        <v>136.0</v>
      </c>
      <c r="M2303" s="37">
        <v>895.52</v>
      </c>
    </row>
    <row r="2304" ht="14.25" customHeight="1">
      <c r="A2304" t="s">
        <v>2367</v>
      </c>
      <c r="B2304" t="s">
        <v>2193</v>
      </c>
      <c r="C2304" t="s">
        <v>62</v>
      </c>
      <c r="D2304" t="s">
        <v>63</v>
      </c>
      <c r="E2304">
        <v>4.2</v>
      </c>
      <c r="F2304">
        <v>5.4</v>
      </c>
      <c r="G2304" s="2" t="s">
        <v>67</v>
      </c>
      <c r="H2304" s="2">
        <v>28.0</v>
      </c>
      <c r="I2304" s="2">
        <v>64.0</v>
      </c>
      <c r="J2304" s="37">
        <v>712.08</v>
      </c>
      <c r="K2304" s="2">
        <v>32.0</v>
      </c>
      <c r="L2304" s="2">
        <v>136.0</v>
      </c>
      <c r="M2304" s="37">
        <v>895.52</v>
      </c>
    </row>
    <row r="2305" ht="14.25" customHeight="1">
      <c r="A2305" t="s">
        <v>2368</v>
      </c>
      <c r="B2305" t="s">
        <v>2193</v>
      </c>
      <c r="C2305" t="s">
        <v>62</v>
      </c>
      <c r="D2305" t="s">
        <v>63</v>
      </c>
      <c r="E2305">
        <v>4.2</v>
      </c>
      <c r="F2305">
        <v>5.4</v>
      </c>
      <c r="G2305" s="2" t="s">
        <v>67</v>
      </c>
      <c r="H2305" s="2">
        <v>28.0</v>
      </c>
      <c r="I2305" s="2">
        <v>64.0</v>
      </c>
      <c r="J2305" s="37">
        <v>712.08</v>
      </c>
      <c r="K2305" s="2">
        <v>32.0</v>
      </c>
      <c r="L2305" s="2">
        <v>136.0</v>
      </c>
      <c r="M2305" s="37">
        <v>895.52</v>
      </c>
    </row>
    <row r="2306" ht="14.25" customHeight="1">
      <c r="A2306" t="s">
        <v>2369</v>
      </c>
      <c r="B2306" t="s">
        <v>2193</v>
      </c>
      <c r="C2306" t="s">
        <v>62</v>
      </c>
      <c r="D2306" t="s">
        <v>63</v>
      </c>
      <c r="E2306">
        <v>4.2</v>
      </c>
      <c r="F2306">
        <v>5.4</v>
      </c>
      <c r="G2306" s="2" t="s">
        <v>67</v>
      </c>
      <c r="H2306" s="2">
        <v>28.0</v>
      </c>
      <c r="I2306" s="2">
        <v>64.0</v>
      </c>
      <c r="J2306" s="37">
        <v>712.08</v>
      </c>
      <c r="K2306" s="2">
        <v>32.0</v>
      </c>
      <c r="L2306" s="2">
        <v>136.0</v>
      </c>
      <c r="M2306" s="37">
        <v>895.52</v>
      </c>
    </row>
    <row r="2307" ht="14.25" customHeight="1">
      <c r="A2307" t="s">
        <v>2370</v>
      </c>
      <c r="B2307" t="s">
        <v>2193</v>
      </c>
      <c r="C2307" t="s">
        <v>62</v>
      </c>
      <c r="D2307" t="s">
        <v>63</v>
      </c>
      <c r="E2307">
        <v>4.2</v>
      </c>
      <c r="F2307">
        <v>5.4</v>
      </c>
      <c r="G2307" s="2" t="s">
        <v>67</v>
      </c>
      <c r="H2307" s="2">
        <v>28.0</v>
      </c>
      <c r="I2307" s="2">
        <v>64.0</v>
      </c>
      <c r="J2307" s="37">
        <v>712.08</v>
      </c>
      <c r="K2307" s="2">
        <v>32.0</v>
      </c>
      <c r="L2307" s="2">
        <v>136.0</v>
      </c>
      <c r="M2307" s="37">
        <v>895.52</v>
      </c>
    </row>
    <row r="2308" ht="14.25" customHeight="1">
      <c r="A2308" t="s">
        <v>2371</v>
      </c>
      <c r="B2308" t="s">
        <v>2193</v>
      </c>
      <c r="C2308" t="s">
        <v>62</v>
      </c>
      <c r="D2308" t="s">
        <v>63</v>
      </c>
      <c r="E2308">
        <v>4.2</v>
      </c>
      <c r="F2308">
        <v>5.4</v>
      </c>
      <c r="G2308" s="2" t="s">
        <v>67</v>
      </c>
      <c r="H2308" s="2">
        <v>28.0</v>
      </c>
      <c r="I2308" s="2">
        <v>64.0</v>
      </c>
      <c r="J2308" s="37">
        <v>712.08</v>
      </c>
      <c r="K2308" s="2">
        <v>32.0</v>
      </c>
      <c r="L2308" s="2">
        <v>136.0</v>
      </c>
      <c r="M2308" s="37">
        <v>895.52</v>
      </c>
    </row>
    <row r="2309" ht="14.25" customHeight="1">
      <c r="A2309" t="s">
        <v>2372</v>
      </c>
      <c r="B2309" t="s">
        <v>2193</v>
      </c>
      <c r="C2309" t="s">
        <v>62</v>
      </c>
      <c r="D2309" t="s">
        <v>63</v>
      </c>
      <c r="E2309">
        <v>4.2</v>
      </c>
      <c r="F2309">
        <v>5.4</v>
      </c>
      <c r="G2309" s="2" t="s">
        <v>67</v>
      </c>
      <c r="H2309" s="2">
        <v>28.0</v>
      </c>
      <c r="I2309" s="2">
        <v>64.0</v>
      </c>
      <c r="J2309" s="37">
        <v>712.08</v>
      </c>
      <c r="K2309" s="2">
        <v>32.0</v>
      </c>
      <c r="L2309" s="2">
        <v>136.0</v>
      </c>
      <c r="M2309" s="37">
        <v>895.52</v>
      </c>
    </row>
    <row r="2310" ht="14.25" customHeight="1">
      <c r="A2310" t="s">
        <v>2373</v>
      </c>
      <c r="B2310" t="s">
        <v>2193</v>
      </c>
      <c r="C2310" t="s">
        <v>62</v>
      </c>
      <c r="D2310" t="s">
        <v>63</v>
      </c>
      <c r="E2310">
        <v>5.0</v>
      </c>
      <c r="F2310">
        <v>6.0</v>
      </c>
      <c r="G2310" s="2" t="s">
        <v>67</v>
      </c>
      <c r="H2310" s="2">
        <v>33.0</v>
      </c>
      <c r="I2310" s="2">
        <v>130.0</v>
      </c>
      <c r="J2310" s="37">
        <v>910.1800000000001</v>
      </c>
      <c r="K2310" s="2">
        <v>38.0</v>
      </c>
      <c r="L2310" s="2">
        <v>216.0</v>
      </c>
      <c r="M2310" s="37">
        <v>1134.28</v>
      </c>
    </row>
    <row r="2311" ht="14.25" customHeight="1">
      <c r="A2311" t="s">
        <v>2374</v>
      </c>
      <c r="B2311" t="s">
        <v>2193</v>
      </c>
      <c r="C2311" t="s">
        <v>62</v>
      </c>
      <c r="D2311" t="s">
        <v>63</v>
      </c>
      <c r="E2311">
        <v>5.0</v>
      </c>
      <c r="F2311">
        <v>6.0</v>
      </c>
      <c r="G2311" s="2" t="s">
        <v>67</v>
      </c>
      <c r="H2311" s="2">
        <v>33.0</v>
      </c>
      <c r="I2311" s="2">
        <v>130.0</v>
      </c>
      <c r="J2311" s="37">
        <v>910.1800000000001</v>
      </c>
      <c r="K2311" s="2">
        <v>38.0</v>
      </c>
      <c r="L2311" s="2">
        <v>216.0</v>
      </c>
      <c r="M2311" s="37">
        <v>1134.28</v>
      </c>
    </row>
    <row r="2312" ht="14.25" customHeight="1">
      <c r="A2312" t="s">
        <v>2375</v>
      </c>
      <c r="B2312" t="s">
        <v>2193</v>
      </c>
      <c r="C2312" t="s">
        <v>62</v>
      </c>
      <c r="D2312" t="s">
        <v>63</v>
      </c>
      <c r="E2312">
        <v>5.0</v>
      </c>
      <c r="F2312">
        <v>6.0</v>
      </c>
      <c r="G2312" s="2" t="s">
        <v>67</v>
      </c>
      <c r="H2312" s="2">
        <v>33.0</v>
      </c>
      <c r="I2312" s="2">
        <v>130.0</v>
      </c>
      <c r="J2312" s="37">
        <v>910.1800000000001</v>
      </c>
      <c r="K2312" s="2">
        <v>38.0</v>
      </c>
      <c r="L2312" s="2">
        <v>216.0</v>
      </c>
      <c r="M2312" s="37">
        <v>1134.28</v>
      </c>
    </row>
    <row r="2313" ht="14.25" customHeight="1">
      <c r="A2313" t="s">
        <v>2376</v>
      </c>
      <c r="B2313" t="s">
        <v>2193</v>
      </c>
      <c r="C2313" t="s">
        <v>62</v>
      </c>
      <c r="D2313" t="s">
        <v>63</v>
      </c>
      <c r="E2313">
        <v>5.0</v>
      </c>
      <c r="F2313">
        <v>6.0</v>
      </c>
      <c r="G2313" s="2" t="s">
        <v>67</v>
      </c>
      <c r="H2313" s="2">
        <v>33.0</v>
      </c>
      <c r="I2313" s="2">
        <v>130.0</v>
      </c>
      <c r="J2313" s="37">
        <v>910.1800000000001</v>
      </c>
      <c r="K2313" s="2">
        <v>38.0</v>
      </c>
      <c r="L2313" s="2">
        <v>216.0</v>
      </c>
      <c r="M2313" s="37">
        <v>1134.28</v>
      </c>
    </row>
    <row r="2314" ht="14.25" customHeight="1">
      <c r="A2314" t="s">
        <v>2377</v>
      </c>
      <c r="B2314" t="s">
        <v>2193</v>
      </c>
      <c r="C2314" t="s">
        <v>62</v>
      </c>
      <c r="D2314" t="s">
        <v>63</v>
      </c>
      <c r="E2314">
        <v>5.0</v>
      </c>
      <c r="F2314">
        <v>6.0</v>
      </c>
      <c r="G2314" s="2" t="s">
        <v>67</v>
      </c>
      <c r="H2314" s="2">
        <v>33.0</v>
      </c>
      <c r="I2314" s="2">
        <v>130.0</v>
      </c>
      <c r="J2314" s="37">
        <v>910.1800000000001</v>
      </c>
      <c r="K2314" s="2">
        <v>38.0</v>
      </c>
      <c r="L2314" s="2">
        <v>216.0</v>
      </c>
      <c r="M2314" s="37">
        <v>1134.28</v>
      </c>
    </row>
    <row r="2315" ht="14.25" customHeight="1">
      <c r="A2315" t="s">
        <v>2378</v>
      </c>
      <c r="B2315" t="s">
        <v>2193</v>
      </c>
      <c r="C2315" t="s">
        <v>62</v>
      </c>
      <c r="D2315" t="s">
        <v>63</v>
      </c>
      <c r="E2315">
        <v>5.0</v>
      </c>
      <c r="F2315">
        <v>6.0</v>
      </c>
      <c r="G2315" s="2" t="s">
        <v>67</v>
      </c>
      <c r="H2315" s="2">
        <v>33.0</v>
      </c>
      <c r="I2315" s="2">
        <v>130.0</v>
      </c>
      <c r="J2315" s="37">
        <v>910.1800000000001</v>
      </c>
      <c r="K2315" s="2">
        <v>38.0</v>
      </c>
      <c r="L2315" s="2">
        <v>216.0</v>
      </c>
      <c r="M2315" s="37">
        <v>1134.28</v>
      </c>
    </row>
    <row r="2316" ht="14.25" customHeight="1">
      <c r="A2316" t="s">
        <v>2379</v>
      </c>
      <c r="B2316" t="s">
        <v>2193</v>
      </c>
      <c r="C2316" t="s">
        <v>62</v>
      </c>
      <c r="D2316" t="s">
        <v>63</v>
      </c>
      <c r="E2316">
        <v>5.0</v>
      </c>
      <c r="F2316">
        <v>6.0</v>
      </c>
      <c r="G2316" s="2" t="s">
        <v>67</v>
      </c>
      <c r="H2316" s="2">
        <v>33.0</v>
      </c>
      <c r="I2316" s="2">
        <v>130.0</v>
      </c>
      <c r="J2316" s="37">
        <v>910.1800000000001</v>
      </c>
      <c r="K2316" s="2">
        <v>38.0</v>
      </c>
      <c r="L2316" s="2">
        <v>216.0</v>
      </c>
      <c r="M2316" s="37">
        <v>1134.28</v>
      </c>
    </row>
    <row r="2317" ht="14.25" customHeight="1">
      <c r="A2317" t="s">
        <v>2380</v>
      </c>
      <c r="B2317" t="s">
        <v>2193</v>
      </c>
      <c r="C2317" t="s">
        <v>62</v>
      </c>
      <c r="D2317" t="s">
        <v>63</v>
      </c>
      <c r="E2317">
        <v>5.0</v>
      </c>
      <c r="F2317">
        <v>6.0</v>
      </c>
      <c r="G2317" s="2" t="s">
        <v>67</v>
      </c>
      <c r="H2317" s="2">
        <v>33.0</v>
      </c>
      <c r="I2317" s="2">
        <v>130.0</v>
      </c>
      <c r="J2317" s="37">
        <v>910.1800000000001</v>
      </c>
      <c r="K2317" s="2">
        <v>38.0</v>
      </c>
      <c r="L2317" s="2">
        <v>216.0</v>
      </c>
      <c r="M2317" s="37">
        <v>1134.28</v>
      </c>
    </row>
    <row r="2318" ht="14.25" customHeight="1">
      <c r="A2318" t="s">
        <v>2381</v>
      </c>
      <c r="B2318" t="s">
        <v>2193</v>
      </c>
      <c r="C2318" t="s">
        <v>62</v>
      </c>
      <c r="D2318" t="s">
        <v>63</v>
      </c>
      <c r="E2318">
        <v>5.0</v>
      </c>
      <c r="F2318">
        <v>6.0</v>
      </c>
      <c r="G2318" s="2" t="s">
        <v>67</v>
      </c>
      <c r="H2318" s="2">
        <v>33.0</v>
      </c>
      <c r="I2318" s="2">
        <v>130.0</v>
      </c>
      <c r="J2318" s="37">
        <v>910.1800000000001</v>
      </c>
      <c r="K2318" s="2">
        <v>38.0</v>
      </c>
      <c r="L2318" s="2">
        <v>216.0</v>
      </c>
      <c r="M2318" s="37">
        <v>1134.28</v>
      </c>
    </row>
    <row r="2319" ht="14.25" customHeight="1">
      <c r="A2319" t="s">
        <v>2382</v>
      </c>
      <c r="B2319" t="s">
        <v>2193</v>
      </c>
      <c r="C2319" t="s">
        <v>62</v>
      </c>
      <c r="D2319" t="s">
        <v>63</v>
      </c>
      <c r="E2319">
        <v>5.0</v>
      </c>
      <c r="F2319">
        <v>6.0</v>
      </c>
      <c r="G2319" s="2" t="s">
        <v>67</v>
      </c>
      <c r="H2319" s="2">
        <v>33.0</v>
      </c>
      <c r="I2319" s="2">
        <v>130.0</v>
      </c>
      <c r="J2319" s="37">
        <v>910.1800000000001</v>
      </c>
      <c r="K2319" s="2">
        <v>38.0</v>
      </c>
      <c r="L2319" s="2">
        <v>216.0</v>
      </c>
      <c r="M2319" s="37">
        <v>1134.28</v>
      </c>
    </row>
    <row r="2320" ht="14.25" customHeight="1">
      <c r="A2320" t="s">
        <v>2383</v>
      </c>
      <c r="B2320" t="s">
        <v>2193</v>
      </c>
      <c r="C2320" t="s">
        <v>62</v>
      </c>
      <c r="D2320" t="s">
        <v>63</v>
      </c>
      <c r="E2320">
        <v>5.0</v>
      </c>
      <c r="F2320">
        <v>6.0</v>
      </c>
      <c r="G2320" s="2" t="s">
        <v>67</v>
      </c>
      <c r="H2320" s="2">
        <v>33.0</v>
      </c>
      <c r="I2320" s="2">
        <v>130.0</v>
      </c>
      <c r="J2320" s="37">
        <v>910.1800000000001</v>
      </c>
      <c r="K2320" s="2">
        <v>38.0</v>
      </c>
      <c r="L2320" s="2">
        <v>216.0</v>
      </c>
      <c r="M2320" s="37">
        <v>1134.28</v>
      </c>
    </row>
    <row r="2321" ht="14.25" customHeight="1">
      <c r="A2321" t="s">
        <v>2384</v>
      </c>
      <c r="B2321" t="s">
        <v>2193</v>
      </c>
      <c r="C2321" t="s">
        <v>62</v>
      </c>
      <c r="D2321" t="s">
        <v>63</v>
      </c>
      <c r="E2321">
        <v>5.0</v>
      </c>
      <c r="F2321">
        <v>6.0</v>
      </c>
      <c r="G2321" s="2" t="s">
        <v>67</v>
      </c>
      <c r="H2321" s="2">
        <v>33.0</v>
      </c>
      <c r="I2321" s="2">
        <v>130.0</v>
      </c>
      <c r="J2321" s="37">
        <v>910.1800000000001</v>
      </c>
      <c r="K2321" s="2">
        <v>38.0</v>
      </c>
      <c r="L2321" s="2">
        <v>216.0</v>
      </c>
      <c r="M2321" s="37">
        <v>1134.28</v>
      </c>
    </row>
    <row r="2322" ht="14.25" customHeight="1">
      <c r="A2322" t="s">
        <v>2385</v>
      </c>
      <c r="B2322" t="s">
        <v>2193</v>
      </c>
      <c r="C2322" t="s">
        <v>62</v>
      </c>
      <c r="D2322" t="s">
        <v>63</v>
      </c>
      <c r="E2322">
        <v>5.0</v>
      </c>
      <c r="F2322">
        <v>6.0</v>
      </c>
      <c r="G2322" s="2" t="s">
        <v>67</v>
      </c>
      <c r="H2322" s="2">
        <v>33.0</v>
      </c>
      <c r="I2322" s="2">
        <v>130.0</v>
      </c>
      <c r="J2322" s="37">
        <v>910.1800000000001</v>
      </c>
      <c r="K2322" s="2">
        <v>38.0</v>
      </c>
      <c r="L2322" s="2">
        <v>216.0</v>
      </c>
      <c r="M2322" s="37">
        <v>1134.28</v>
      </c>
    </row>
    <row r="2323" ht="14.25" customHeight="1">
      <c r="A2323" t="s">
        <v>2386</v>
      </c>
      <c r="B2323" t="s">
        <v>2193</v>
      </c>
      <c r="C2323" t="s">
        <v>62</v>
      </c>
      <c r="D2323" t="s">
        <v>63</v>
      </c>
      <c r="E2323">
        <v>5.0</v>
      </c>
      <c r="F2323">
        <v>6.0</v>
      </c>
      <c r="G2323" s="2" t="s">
        <v>67</v>
      </c>
      <c r="H2323" s="2">
        <v>33.0</v>
      </c>
      <c r="I2323" s="2">
        <v>130.0</v>
      </c>
      <c r="J2323" s="37">
        <v>910.1800000000001</v>
      </c>
      <c r="K2323" s="2">
        <v>38.0</v>
      </c>
      <c r="L2323" s="2">
        <v>216.0</v>
      </c>
      <c r="M2323" s="37">
        <v>1134.28</v>
      </c>
    </row>
    <row r="2324" ht="14.25" customHeight="1">
      <c r="A2324" t="s">
        <v>2387</v>
      </c>
      <c r="B2324" t="s">
        <v>2193</v>
      </c>
      <c r="C2324" t="s">
        <v>62</v>
      </c>
      <c r="D2324" t="s">
        <v>63</v>
      </c>
      <c r="E2324">
        <v>6.0</v>
      </c>
      <c r="F2324">
        <v>6.8</v>
      </c>
      <c r="G2324" s="2" t="s">
        <v>67</v>
      </c>
      <c r="H2324" s="2">
        <v>39.0</v>
      </c>
      <c r="I2324" s="2">
        <v>153.0</v>
      </c>
      <c r="J2324" s="37">
        <v>1074.8400000000001</v>
      </c>
      <c r="K2324" s="2">
        <v>44.0</v>
      </c>
      <c r="L2324" s="2">
        <v>256.0</v>
      </c>
      <c r="M2324" s="37">
        <v>1321.04</v>
      </c>
    </row>
    <row r="2325" ht="14.25" customHeight="1">
      <c r="A2325" t="s">
        <v>2388</v>
      </c>
      <c r="B2325" t="s">
        <v>2193</v>
      </c>
      <c r="C2325" t="s">
        <v>62</v>
      </c>
      <c r="D2325" t="s">
        <v>63</v>
      </c>
      <c r="E2325">
        <v>6.0</v>
      </c>
      <c r="F2325">
        <v>6.8</v>
      </c>
      <c r="G2325" s="2" t="s">
        <v>67</v>
      </c>
      <c r="H2325" s="2">
        <v>39.0</v>
      </c>
      <c r="I2325" s="2">
        <v>153.0</v>
      </c>
      <c r="J2325" s="37">
        <v>1074.8400000000001</v>
      </c>
      <c r="K2325" s="2">
        <v>44.0</v>
      </c>
      <c r="L2325" s="2">
        <v>256.0</v>
      </c>
      <c r="M2325" s="37">
        <v>1321.04</v>
      </c>
    </row>
    <row r="2326" ht="14.25" customHeight="1">
      <c r="A2326" t="s">
        <v>2389</v>
      </c>
      <c r="B2326" t="s">
        <v>2193</v>
      </c>
      <c r="C2326" t="s">
        <v>62</v>
      </c>
      <c r="D2326" t="s">
        <v>63</v>
      </c>
      <c r="E2326">
        <v>6.0</v>
      </c>
      <c r="F2326">
        <v>6.8</v>
      </c>
      <c r="G2326" s="2" t="s">
        <v>67</v>
      </c>
      <c r="H2326" s="2">
        <v>39.0</v>
      </c>
      <c r="I2326" s="2">
        <v>153.0</v>
      </c>
      <c r="J2326" s="37">
        <v>1074.8400000000001</v>
      </c>
      <c r="K2326" s="2">
        <v>44.0</v>
      </c>
      <c r="L2326" s="2">
        <v>256.0</v>
      </c>
      <c r="M2326" s="37">
        <v>1321.04</v>
      </c>
    </row>
    <row r="2327" ht="14.25" customHeight="1">
      <c r="A2327" t="s">
        <v>2390</v>
      </c>
      <c r="B2327" t="s">
        <v>2193</v>
      </c>
      <c r="C2327" t="s">
        <v>62</v>
      </c>
      <c r="D2327" t="s">
        <v>63</v>
      </c>
      <c r="E2327">
        <v>6.0</v>
      </c>
      <c r="F2327">
        <v>6.8</v>
      </c>
      <c r="G2327" s="2" t="s">
        <v>67</v>
      </c>
      <c r="H2327" s="2">
        <v>39.0</v>
      </c>
      <c r="I2327" s="2">
        <v>153.0</v>
      </c>
      <c r="J2327" s="37">
        <v>1074.8400000000001</v>
      </c>
      <c r="K2327" s="2">
        <v>44.0</v>
      </c>
      <c r="L2327" s="2">
        <v>256.0</v>
      </c>
      <c r="M2327" s="37">
        <v>1321.04</v>
      </c>
    </row>
    <row r="2328" ht="14.25" customHeight="1">
      <c r="A2328" t="s">
        <v>2391</v>
      </c>
      <c r="B2328" t="s">
        <v>2193</v>
      </c>
      <c r="C2328" t="s">
        <v>62</v>
      </c>
      <c r="D2328" t="s">
        <v>63</v>
      </c>
      <c r="E2328">
        <v>6.0</v>
      </c>
      <c r="F2328">
        <v>6.8</v>
      </c>
      <c r="G2328" s="2" t="s">
        <v>67</v>
      </c>
      <c r="H2328" s="2">
        <v>39.0</v>
      </c>
      <c r="I2328" s="2">
        <v>153.0</v>
      </c>
      <c r="J2328" s="37">
        <v>1074.8400000000001</v>
      </c>
      <c r="K2328" s="2">
        <v>44.0</v>
      </c>
      <c r="L2328" s="2">
        <v>256.0</v>
      </c>
      <c r="M2328" s="37">
        <v>1321.04</v>
      </c>
    </row>
    <row r="2329" ht="14.25" customHeight="1">
      <c r="A2329" t="s">
        <v>2392</v>
      </c>
      <c r="B2329" t="s">
        <v>2193</v>
      </c>
      <c r="C2329" t="s">
        <v>62</v>
      </c>
      <c r="D2329" t="s">
        <v>63</v>
      </c>
      <c r="E2329">
        <v>6.0</v>
      </c>
      <c r="F2329">
        <v>6.8</v>
      </c>
      <c r="G2329" s="2" t="s">
        <v>67</v>
      </c>
      <c r="H2329" s="2">
        <v>39.0</v>
      </c>
      <c r="I2329" s="2">
        <v>153.0</v>
      </c>
      <c r="J2329" s="37">
        <v>1074.8400000000001</v>
      </c>
      <c r="K2329" s="2">
        <v>44.0</v>
      </c>
      <c r="L2329" s="2">
        <v>256.0</v>
      </c>
      <c r="M2329" s="37">
        <v>1321.04</v>
      </c>
    </row>
    <row r="2330" ht="14.25" customHeight="1">
      <c r="A2330" t="s">
        <v>2393</v>
      </c>
      <c r="B2330" t="s">
        <v>2193</v>
      </c>
      <c r="C2330" t="s">
        <v>62</v>
      </c>
      <c r="D2330" t="s">
        <v>63</v>
      </c>
      <c r="E2330">
        <v>6.0</v>
      </c>
      <c r="F2330">
        <v>6.8</v>
      </c>
      <c r="G2330" s="2" t="s">
        <v>67</v>
      </c>
      <c r="H2330" s="2">
        <v>39.0</v>
      </c>
      <c r="I2330" s="2">
        <v>153.0</v>
      </c>
      <c r="J2330" s="37">
        <v>1074.8400000000001</v>
      </c>
      <c r="K2330" s="2">
        <v>44.0</v>
      </c>
      <c r="L2330" s="2">
        <v>256.0</v>
      </c>
      <c r="M2330" s="37">
        <v>1321.04</v>
      </c>
    </row>
    <row r="2331" ht="14.25" customHeight="1">
      <c r="A2331" t="s">
        <v>2394</v>
      </c>
      <c r="B2331" t="s">
        <v>2193</v>
      </c>
      <c r="C2331" t="s">
        <v>62</v>
      </c>
      <c r="D2331" t="s">
        <v>63</v>
      </c>
      <c r="E2331">
        <v>6.0</v>
      </c>
      <c r="F2331">
        <v>6.8</v>
      </c>
      <c r="G2331" s="2" t="s">
        <v>67</v>
      </c>
      <c r="H2331" s="2">
        <v>37.0</v>
      </c>
      <c r="I2331" s="2">
        <v>153.0</v>
      </c>
      <c r="J2331" s="37">
        <v>1029.92</v>
      </c>
      <c r="K2331" s="2">
        <v>43.0</v>
      </c>
      <c r="L2331" s="2">
        <v>256.0</v>
      </c>
      <c r="M2331" s="37">
        <v>1298.5800000000002</v>
      </c>
    </row>
    <row r="2332" ht="14.25" customHeight="1">
      <c r="A2332" t="s">
        <v>2395</v>
      </c>
      <c r="B2332" t="s">
        <v>2193</v>
      </c>
      <c r="C2332" t="s">
        <v>62</v>
      </c>
      <c r="D2332" t="s">
        <v>63</v>
      </c>
      <c r="E2332">
        <v>6.0</v>
      </c>
      <c r="F2332">
        <v>6.8</v>
      </c>
      <c r="G2332" s="2" t="s">
        <v>67</v>
      </c>
      <c r="H2332" s="2">
        <v>37.0</v>
      </c>
      <c r="I2332" s="2">
        <v>153.0</v>
      </c>
      <c r="J2332" s="37">
        <v>1029.92</v>
      </c>
      <c r="K2332" s="2">
        <v>43.0</v>
      </c>
      <c r="L2332" s="2">
        <v>256.0</v>
      </c>
      <c r="M2332" s="37">
        <v>1298.5800000000002</v>
      </c>
    </row>
    <row r="2333" ht="14.25" customHeight="1">
      <c r="A2333" t="s">
        <v>2396</v>
      </c>
      <c r="B2333" t="s">
        <v>2193</v>
      </c>
      <c r="C2333" t="s">
        <v>62</v>
      </c>
      <c r="D2333" t="s">
        <v>63</v>
      </c>
      <c r="E2333">
        <v>6.0</v>
      </c>
      <c r="F2333">
        <v>6.8</v>
      </c>
      <c r="G2333" s="2" t="s">
        <v>67</v>
      </c>
      <c r="H2333" s="2">
        <v>37.0</v>
      </c>
      <c r="I2333" s="2">
        <v>153.0</v>
      </c>
      <c r="J2333" s="37">
        <v>1029.92</v>
      </c>
      <c r="K2333" s="2">
        <v>43.0</v>
      </c>
      <c r="L2333" s="2">
        <v>256.0</v>
      </c>
      <c r="M2333" s="37">
        <v>1298.5800000000002</v>
      </c>
    </row>
    <row r="2334" ht="14.25" customHeight="1">
      <c r="A2334" t="s">
        <v>2397</v>
      </c>
      <c r="B2334" t="s">
        <v>2193</v>
      </c>
      <c r="C2334" t="s">
        <v>62</v>
      </c>
      <c r="D2334" t="s">
        <v>63</v>
      </c>
      <c r="E2334">
        <v>6.0</v>
      </c>
      <c r="F2334">
        <v>6.8</v>
      </c>
      <c r="G2334" s="2" t="s">
        <v>67</v>
      </c>
      <c r="H2334" s="2">
        <v>37.0</v>
      </c>
      <c r="I2334" s="2">
        <v>153.0</v>
      </c>
      <c r="J2334" s="37">
        <v>1029.92</v>
      </c>
      <c r="K2334" s="2">
        <v>43.0</v>
      </c>
      <c r="L2334" s="2">
        <v>256.0</v>
      </c>
      <c r="M2334" s="37">
        <v>1298.5800000000002</v>
      </c>
    </row>
    <row r="2335" ht="14.25" customHeight="1">
      <c r="A2335" t="s">
        <v>2398</v>
      </c>
      <c r="B2335" t="s">
        <v>2193</v>
      </c>
      <c r="C2335" t="s">
        <v>62</v>
      </c>
      <c r="D2335" t="s">
        <v>63</v>
      </c>
      <c r="E2335">
        <v>6.0</v>
      </c>
      <c r="F2335">
        <v>6.8</v>
      </c>
      <c r="G2335" s="2" t="s">
        <v>67</v>
      </c>
      <c r="H2335" s="2">
        <v>37.0</v>
      </c>
      <c r="I2335" s="2">
        <v>153.0</v>
      </c>
      <c r="J2335" s="37">
        <v>1029.92</v>
      </c>
      <c r="K2335" s="2">
        <v>43.0</v>
      </c>
      <c r="L2335" s="2">
        <v>256.0</v>
      </c>
      <c r="M2335" s="37">
        <v>1298.5800000000002</v>
      </c>
    </row>
    <row r="2336" ht="14.25" customHeight="1">
      <c r="A2336" t="s">
        <v>2399</v>
      </c>
      <c r="B2336" t="s">
        <v>2193</v>
      </c>
      <c r="C2336" t="s">
        <v>62</v>
      </c>
      <c r="D2336" t="s">
        <v>63</v>
      </c>
      <c r="E2336">
        <v>6.0</v>
      </c>
      <c r="F2336">
        <v>6.8</v>
      </c>
      <c r="G2336" s="2" t="s">
        <v>67</v>
      </c>
      <c r="H2336" s="2">
        <v>37.0</v>
      </c>
      <c r="I2336" s="2">
        <v>153.0</v>
      </c>
      <c r="J2336" s="37">
        <v>1029.92</v>
      </c>
      <c r="K2336" s="2">
        <v>43.0</v>
      </c>
      <c r="L2336" s="2">
        <v>256.0</v>
      </c>
      <c r="M2336" s="37">
        <v>1298.5800000000002</v>
      </c>
    </row>
    <row r="2337" ht="14.25" customHeight="1">
      <c r="A2337" t="s">
        <v>2400</v>
      </c>
      <c r="B2337" t="s">
        <v>2193</v>
      </c>
      <c r="C2337" t="s">
        <v>62</v>
      </c>
      <c r="D2337" t="s">
        <v>63</v>
      </c>
      <c r="E2337">
        <v>6.0</v>
      </c>
      <c r="F2337">
        <v>6.8</v>
      </c>
      <c r="G2337" s="2" t="s">
        <v>67</v>
      </c>
      <c r="H2337" s="2">
        <v>37.0</v>
      </c>
      <c r="I2337" s="2">
        <v>153.0</v>
      </c>
      <c r="J2337" s="37">
        <v>1029.92</v>
      </c>
      <c r="K2337" s="2">
        <v>43.0</v>
      </c>
      <c r="L2337" s="2">
        <v>256.0</v>
      </c>
      <c r="M2337" s="37">
        <v>1298.5800000000002</v>
      </c>
    </row>
    <row r="2338" ht="14.25" customHeight="1">
      <c r="A2338" t="s">
        <v>2401</v>
      </c>
      <c r="B2338" t="s">
        <v>2193</v>
      </c>
      <c r="C2338" t="s">
        <v>62</v>
      </c>
      <c r="D2338" t="s">
        <v>63</v>
      </c>
      <c r="E2338">
        <v>4.2</v>
      </c>
      <c r="F2338">
        <v>5.4</v>
      </c>
      <c r="G2338" s="2" t="s">
        <v>67</v>
      </c>
      <c r="H2338" s="2">
        <v>29.0</v>
      </c>
      <c r="I2338" s="2">
        <v>64.0</v>
      </c>
      <c r="J2338" s="37">
        <v>734.5400000000001</v>
      </c>
      <c r="K2338" s="2">
        <v>34.0</v>
      </c>
      <c r="L2338" s="2">
        <v>136.0</v>
      </c>
      <c r="M2338" s="37">
        <v>940.44</v>
      </c>
    </row>
    <row r="2339" ht="14.25" customHeight="1">
      <c r="A2339" t="s">
        <v>2402</v>
      </c>
      <c r="B2339" t="s">
        <v>2193</v>
      </c>
      <c r="C2339" t="s">
        <v>62</v>
      </c>
      <c r="D2339" t="s">
        <v>63</v>
      </c>
      <c r="E2339">
        <v>4.2</v>
      </c>
      <c r="F2339">
        <v>5.4</v>
      </c>
      <c r="G2339" s="2" t="s">
        <v>67</v>
      </c>
      <c r="H2339" s="2">
        <v>29.0</v>
      </c>
      <c r="I2339" s="2">
        <v>64.0</v>
      </c>
      <c r="J2339" s="37">
        <v>734.5400000000001</v>
      </c>
      <c r="K2339" s="2">
        <v>34.0</v>
      </c>
      <c r="L2339" s="2">
        <v>136.0</v>
      </c>
      <c r="M2339" s="37">
        <v>940.44</v>
      </c>
    </row>
    <row r="2340" ht="14.25" customHeight="1">
      <c r="A2340" t="s">
        <v>2403</v>
      </c>
      <c r="B2340" t="s">
        <v>2193</v>
      </c>
      <c r="C2340" t="s">
        <v>62</v>
      </c>
      <c r="D2340" t="s">
        <v>63</v>
      </c>
      <c r="E2340">
        <v>4.2</v>
      </c>
      <c r="F2340">
        <v>5.4</v>
      </c>
      <c r="G2340" s="2" t="s">
        <v>67</v>
      </c>
      <c r="H2340" s="2">
        <v>29.0</v>
      </c>
      <c r="I2340" s="2">
        <v>64.0</v>
      </c>
      <c r="J2340" s="37">
        <v>734.5400000000001</v>
      </c>
      <c r="K2340" s="2">
        <v>34.0</v>
      </c>
      <c r="L2340" s="2">
        <v>136.0</v>
      </c>
      <c r="M2340" s="37">
        <v>940.44</v>
      </c>
    </row>
    <row r="2341" ht="14.25" customHeight="1">
      <c r="A2341" t="s">
        <v>2404</v>
      </c>
      <c r="B2341" t="s">
        <v>2193</v>
      </c>
      <c r="C2341" t="s">
        <v>62</v>
      </c>
      <c r="D2341" t="s">
        <v>63</v>
      </c>
      <c r="E2341">
        <v>4.2</v>
      </c>
      <c r="F2341">
        <v>5.4</v>
      </c>
      <c r="G2341" s="2" t="s">
        <v>67</v>
      </c>
      <c r="H2341" s="2">
        <v>29.0</v>
      </c>
      <c r="I2341" s="2">
        <v>64.0</v>
      </c>
      <c r="J2341" s="37">
        <v>734.5400000000001</v>
      </c>
      <c r="K2341" s="2">
        <v>34.0</v>
      </c>
      <c r="L2341" s="2">
        <v>136.0</v>
      </c>
      <c r="M2341" s="37">
        <v>940.44</v>
      </c>
    </row>
    <row r="2342" ht="14.25" customHeight="1">
      <c r="A2342" t="s">
        <v>2405</v>
      </c>
      <c r="B2342" t="s">
        <v>2193</v>
      </c>
      <c r="C2342" t="s">
        <v>62</v>
      </c>
      <c r="D2342" t="s">
        <v>63</v>
      </c>
      <c r="E2342">
        <v>4.2</v>
      </c>
      <c r="F2342">
        <v>5.4</v>
      </c>
      <c r="G2342" s="2" t="s">
        <v>67</v>
      </c>
      <c r="H2342" s="2">
        <v>29.0</v>
      </c>
      <c r="I2342" s="2">
        <v>64.0</v>
      </c>
      <c r="J2342" s="37">
        <v>734.5400000000001</v>
      </c>
      <c r="K2342" s="2">
        <v>34.0</v>
      </c>
      <c r="L2342" s="2">
        <v>136.0</v>
      </c>
      <c r="M2342" s="37">
        <v>940.44</v>
      </c>
    </row>
    <row r="2343" ht="14.25" customHeight="1">
      <c r="A2343" t="s">
        <v>2406</v>
      </c>
      <c r="B2343" t="s">
        <v>2193</v>
      </c>
      <c r="C2343" t="s">
        <v>62</v>
      </c>
      <c r="D2343" t="s">
        <v>63</v>
      </c>
      <c r="E2343">
        <v>4.2</v>
      </c>
      <c r="F2343">
        <v>5.4</v>
      </c>
      <c r="G2343" s="2" t="s">
        <v>67</v>
      </c>
      <c r="H2343" s="2">
        <v>29.0</v>
      </c>
      <c r="I2343" s="2">
        <v>64.0</v>
      </c>
      <c r="J2343" s="37">
        <v>734.5400000000001</v>
      </c>
      <c r="K2343" s="2">
        <v>34.0</v>
      </c>
      <c r="L2343" s="2">
        <v>136.0</v>
      </c>
      <c r="M2343" s="37">
        <v>940.44</v>
      </c>
    </row>
    <row r="2344" ht="14.25" customHeight="1">
      <c r="A2344" t="s">
        <v>2407</v>
      </c>
      <c r="B2344" t="s">
        <v>2193</v>
      </c>
      <c r="C2344" t="s">
        <v>62</v>
      </c>
      <c r="D2344" t="s">
        <v>63</v>
      </c>
      <c r="E2344">
        <v>4.2</v>
      </c>
      <c r="F2344">
        <v>5.4</v>
      </c>
      <c r="G2344" s="2" t="s">
        <v>67</v>
      </c>
      <c r="H2344" s="2">
        <v>29.0</v>
      </c>
      <c r="I2344" s="2">
        <v>64.0</v>
      </c>
      <c r="J2344" s="37">
        <v>734.5400000000001</v>
      </c>
      <c r="K2344" s="2">
        <v>34.0</v>
      </c>
      <c r="L2344" s="2">
        <v>136.0</v>
      </c>
      <c r="M2344" s="37">
        <v>940.44</v>
      </c>
    </row>
    <row r="2345" ht="14.25" customHeight="1">
      <c r="A2345" t="s">
        <v>2408</v>
      </c>
      <c r="B2345" t="s">
        <v>2193</v>
      </c>
      <c r="C2345" t="s">
        <v>62</v>
      </c>
      <c r="D2345" t="s">
        <v>63</v>
      </c>
      <c r="E2345">
        <v>3.5</v>
      </c>
      <c r="F2345">
        <v>3.7</v>
      </c>
      <c r="G2345" s="2" t="s">
        <v>67</v>
      </c>
      <c r="H2345" s="2">
        <v>19.0</v>
      </c>
      <c r="I2345" s="2">
        <v>48.0</v>
      </c>
      <c r="J2345" s="37">
        <v>489.14</v>
      </c>
      <c r="K2345" s="2">
        <v>22.0</v>
      </c>
      <c r="L2345" s="2">
        <v>101.0</v>
      </c>
      <c r="M2345" s="37">
        <v>625.4200000000001</v>
      </c>
    </row>
    <row r="2346" ht="14.25" customHeight="1">
      <c r="A2346" t="s">
        <v>2409</v>
      </c>
      <c r="B2346" t="s">
        <v>2193</v>
      </c>
      <c r="C2346" t="s">
        <v>62</v>
      </c>
      <c r="D2346" t="s">
        <v>63</v>
      </c>
      <c r="E2346">
        <v>3.5</v>
      </c>
      <c r="F2346">
        <v>3.7</v>
      </c>
      <c r="G2346" s="2" t="s">
        <v>67</v>
      </c>
      <c r="H2346" s="2">
        <v>19.0</v>
      </c>
      <c r="I2346" s="2">
        <v>48.0</v>
      </c>
      <c r="J2346" s="37">
        <v>489.14</v>
      </c>
      <c r="K2346" s="2">
        <v>22.0</v>
      </c>
      <c r="L2346" s="2">
        <v>101.0</v>
      </c>
      <c r="M2346" s="37">
        <v>625.4200000000001</v>
      </c>
    </row>
    <row r="2347" ht="14.25" customHeight="1">
      <c r="A2347" t="s">
        <v>2410</v>
      </c>
      <c r="B2347" t="s">
        <v>2193</v>
      </c>
      <c r="C2347" t="s">
        <v>62</v>
      </c>
      <c r="D2347" t="s">
        <v>63</v>
      </c>
      <c r="E2347">
        <v>3.5</v>
      </c>
      <c r="F2347">
        <v>3.7</v>
      </c>
      <c r="G2347" s="2" t="s">
        <v>67</v>
      </c>
      <c r="H2347" s="2">
        <v>19.0</v>
      </c>
      <c r="I2347" s="2">
        <v>48.0</v>
      </c>
      <c r="J2347" s="37">
        <v>489.14</v>
      </c>
      <c r="K2347" s="2">
        <v>22.0</v>
      </c>
      <c r="L2347" s="2">
        <v>101.0</v>
      </c>
      <c r="M2347" s="37">
        <v>625.4200000000001</v>
      </c>
    </row>
    <row r="2348" ht="14.25" customHeight="1">
      <c r="A2348" t="s">
        <v>2411</v>
      </c>
      <c r="B2348" t="s">
        <v>2193</v>
      </c>
      <c r="C2348" t="s">
        <v>62</v>
      </c>
      <c r="D2348" t="s">
        <v>63</v>
      </c>
      <c r="E2348">
        <v>3.5</v>
      </c>
      <c r="F2348">
        <v>3.7</v>
      </c>
      <c r="G2348" s="2" t="s">
        <v>67</v>
      </c>
      <c r="H2348" s="2">
        <v>19.0</v>
      </c>
      <c r="I2348" s="2">
        <v>48.0</v>
      </c>
      <c r="J2348" s="37">
        <v>489.14</v>
      </c>
      <c r="K2348" s="2">
        <v>22.0</v>
      </c>
      <c r="L2348" s="2">
        <v>101.0</v>
      </c>
      <c r="M2348" s="37">
        <v>625.4200000000001</v>
      </c>
    </row>
    <row r="2349" ht="14.25" customHeight="1">
      <c r="A2349" t="s">
        <v>2412</v>
      </c>
      <c r="B2349" t="s">
        <v>2193</v>
      </c>
      <c r="C2349" t="s">
        <v>62</v>
      </c>
      <c r="D2349" t="s">
        <v>63</v>
      </c>
      <c r="E2349">
        <v>3.5</v>
      </c>
      <c r="F2349">
        <v>3.7</v>
      </c>
      <c r="G2349" s="2" t="s">
        <v>67</v>
      </c>
      <c r="H2349" s="2">
        <v>19.0</v>
      </c>
      <c r="I2349" s="2">
        <v>48.0</v>
      </c>
      <c r="J2349" s="37">
        <v>489.14</v>
      </c>
      <c r="K2349" s="2">
        <v>22.0</v>
      </c>
      <c r="L2349" s="2">
        <v>101.0</v>
      </c>
      <c r="M2349" s="37">
        <v>625.4200000000001</v>
      </c>
    </row>
    <row r="2350" ht="14.25" customHeight="1">
      <c r="A2350" t="s">
        <v>2413</v>
      </c>
      <c r="B2350" t="s">
        <v>2193</v>
      </c>
      <c r="C2350" t="s">
        <v>62</v>
      </c>
      <c r="D2350" t="s">
        <v>63</v>
      </c>
      <c r="E2350">
        <v>3.5</v>
      </c>
      <c r="F2350">
        <v>3.7</v>
      </c>
      <c r="G2350" s="2" t="s">
        <v>67</v>
      </c>
      <c r="H2350" s="2">
        <v>19.0</v>
      </c>
      <c r="I2350" s="2">
        <v>48.0</v>
      </c>
      <c r="J2350" s="37">
        <v>489.14</v>
      </c>
      <c r="K2350" s="2">
        <v>22.0</v>
      </c>
      <c r="L2350" s="2">
        <v>101.0</v>
      </c>
      <c r="M2350" s="37">
        <v>625.4200000000001</v>
      </c>
    </row>
    <row r="2351" ht="14.25" customHeight="1">
      <c r="A2351" t="s">
        <v>2414</v>
      </c>
      <c r="B2351" t="s">
        <v>2193</v>
      </c>
      <c r="C2351" t="s">
        <v>62</v>
      </c>
      <c r="D2351" t="s">
        <v>63</v>
      </c>
      <c r="E2351">
        <v>3.5</v>
      </c>
      <c r="F2351">
        <v>3.7</v>
      </c>
      <c r="G2351" s="2" t="s">
        <v>67</v>
      </c>
      <c r="H2351" s="2">
        <v>19.0</v>
      </c>
      <c r="I2351" s="2">
        <v>48.0</v>
      </c>
      <c r="J2351" s="37">
        <v>489.14</v>
      </c>
      <c r="K2351" s="2">
        <v>22.0</v>
      </c>
      <c r="L2351" s="2">
        <v>101.0</v>
      </c>
      <c r="M2351" s="37">
        <v>625.4200000000001</v>
      </c>
    </row>
    <row r="2352" ht="14.25" customHeight="1">
      <c r="A2352" t="s">
        <v>2415</v>
      </c>
      <c r="B2352" t="s">
        <v>2193</v>
      </c>
      <c r="C2352" t="s">
        <v>62</v>
      </c>
      <c r="D2352" t="s">
        <v>63</v>
      </c>
      <c r="E2352">
        <v>3.5</v>
      </c>
      <c r="F2352">
        <v>3.7</v>
      </c>
      <c r="G2352" s="2" t="s">
        <v>67</v>
      </c>
      <c r="H2352" s="2">
        <v>18.0</v>
      </c>
      <c r="I2352" s="2">
        <v>48.0</v>
      </c>
      <c r="J2352" s="37">
        <v>466.68000000000006</v>
      </c>
      <c r="K2352" s="2">
        <v>21.0</v>
      </c>
      <c r="L2352" s="2">
        <v>101.0</v>
      </c>
      <c r="M2352" s="37">
        <v>602.96</v>
      </c>
    </row>
    <row r="2353" ht="14.25" customHeight="1">
      <c r="A2353" t="s">
        <v>2416</v>
      </c>
      <c r="B2353" t="s">
        <v>2193</v>
      </c>
      <c r="C2353" t="s">
        <v>62</v>
      </c>
      <c r="D2353" t="s">
        <v>63</v>
      </c>
      <c r="E2353">
        <v>3.5</v>
      </c>
      <c r="F2353">
        <v>3.7</v>
      </c>
      <c r="G2353" s="2" t="s">
        <v>67</v>
      </c>
      <c r="H2353" s="2">
        <v>18.0</v>
      </c>
      <c r="I2353" s="2">
        <v>48.0</v>
      </c>
      <c r="J2353" s="37">
        <v>466.68000000000006</v>
      </c>
      <c r="K2353" s="2">
        <v>21.0</v>
      </c>
      <c r="L2353" s="2">
        <v>101.0</v>
      </c>
      <c r="M2353" s="37">
        <v>602.96</v>
      </c>
    </row>
    <row r="2354" ht="14.25" customHeight="1">
      <c r="A2354" t="s">
        <v>2417</v>
      </c>
      <c r="B2354" t="s">
        <v>2193</v>
      </c>
      <c r="C2354" t="s">
        <v>62</v>
      </c>
      <c r="D2354" t="s">
        <v>63</v>
      </c>
      <c r="E2354">
        <v>3.5</v>
      </c>
      <c r="F2354">
        <v>3.7</v>
      </c>
      <c r="G2354" s="2" t="s">
        <v>67</v>
      </c>
      <c r="H2354" s="2">
        <v>18.0</v>
      </c>
      <c r="I2354" s="2">
        <v>48.0</v>
      </c>
      <c r="J2354" s="37">
        <v>466.68000000000006</v>
      </c>
      <c r="K2354" s="2">
        <v>21.0</v>
      </c>
      <c r="L2354" s="2">
        <v>101.0</v>
      </c>
      <c r="M2354" s="37">
        <v>602.96</v>
      </c>
    </row>
    <row r="2355" ht="14.25" customHeight="1">
      <c r="A2355" t="s">
        <v>2418</v>
      </c>
      <c r="B2355" t="s">
        <v>2193</v>
      </c>
      <c r="C2355" t="s">
        <v>62</v>
      </c>
      <c r="D2355" t="s">
        <v>63</v>
      </c>
      <c r="E2355">
        <v>3.5</v>
      </c>
      <c r="F2355">
        <v>3.7</v>
      </c>
      <c r="G2355" s="2" t="s">
        <v>67</v>
      </c>
      <c r="H2355" s="2">
        <v>18.0</v>
      </c>
      <c r="I2355" s="2">
        <v>48.0</v>
      </c>
      <c r="J2355" s="37">
        <v>466.68000000000006</v>
      </c>
      <c r="K2355" s="2">
        <v>21.0</v>
      </c>
      <c r="L2355" s="2">
        <v>101.0</v>
      </c>
      <c r="M2355" s="37">
        <v>602.96</v>
      </c>
    </row>
    <row r="2356" ht="14.25" customHeight="1">
      <c r="A2356" t="s">
        <v>2419</v>
      </c>
      <c r="B2356" t="s">
        <v>2193</v>
      </c>
      <c r="C2356" t="s">
        <v>62</v>
      </c>
      <c r="D2356" t="s">
        <v>63</v>
      </c>
      <c r="E2356">
        <v>3.5</v>
      </c>
      <c r="F2356">
        <v>3.7</v>
      </c>
      <c r="G2356" s="2" t="s">
        <v>67</v>
      </c>
      <c r="H2356" s="2">
        <v>18.0</v>
      </c>
      <c r="I2356" s="2">
        <v>48.0</v>
      </c>
      <c r="J2356" s="37">
        <v>466.68000000000006</v>
      </c>
      <c r="K2356" s="2">
        <v>21.0</v>
      </c>
      <c r="L2356" s="2">
        <v>101.0</v>
      </c>
      <c r="M2356" s="37">
        <v>602.96</v>
      </c>
    </row>
    <row r="2357" ht="14.25" customHeight="1">
      <c r="A2357" t="s">
        <v>2420</v>
      </c>
      <c r="B2357" t="s">
        <v>2193</v>
      </c>
      <c r="C2357" t="s">
        <v>62</v>
      </c>
      <c r="D2357" t="s">
        <v>63</v>
      </c>
      <c r="E2357">
        <v>3.5</v>
      </c>
      <c r="F2357">
        <v>3.7</v>
      </c>
      <c r="G2357" s="2" t="s">
        <v>67</v>
      </c>
      <c r="H2357" s="2">
        <v>18.0</v>
      </c>
      <c r="I2357" s="2">
        <v>48.0</v>
      </c>
      <c r="J2357" s="37">
        <v>466.68000000000006</v>
      </c>
      <c r="K2357" s="2">
        <v>21.0</v>
      </c>
      <c r="L2357" s="2">
        <v>101.0</v>
      </c>
      <c r="M2357" s="37">
        <v>602.96</v>
      </c>
    </row>
    <row r="2358" ht="14.25" customHeight="1">
      <c r="A2358" t="s">
        <v>2421</v>
      </c>
      <c r="B2358" t="s">
        <v>2193</v>
      </c>
      <c r="C2358" t="s">
        <v>62</v>
      </c>
      <c r="D2358" t="s">
        <v>63</v>
      </c>
      <c r="E2358">
        <v>3.5</v>
      </c>
      <c r="F2358">
        <v>3.7</v>
      </c>
      <c r="G2358" s="2" t="s">
        <v>67</v>
      </c>
      <c r="H2358" s="2">
        <v>18.0</v>
      </c>
      <c r="I2358" s="2">
        <v>48.0</v>
      </c>
      <c r="J2358" s="37">
        <v>466.68000000000006</v>
      </c>
      <c r="K2358" s="2">
        <v>21.0</v>
      </c>
      <c r="L2358" s="2">
        <v>101.0</v>
      </c>
      <c r="M2358" s="37">
        <v>602.96</v>
      </c>
    </row>
    <row r="2359" ht="14.25" customHeight="1">
      <c r="A2359" t="s">
        <v>2422</v>
      </c>
      <c r="B2359" t="s">
        <v>2193</v>
      </c>
      <c r="C2359" t="s">
        <v>62</v>
      </c>
      <c r="D2359" t="s">
        <v>63</v>
      </c>
      <c r="E2359">
        <v>2.5</v>
      </c>
      <c r="F2359">
        <v>3.2</v>
      </c>
      <c r="G2359" s="2" t="s">
        <v>67</v>
      </c>
      <c r="H2359" s="2">
        <v>16.0</v>
      </c>
      <c r="I2359" s="2">
        <v>102.0</v>
      </c>
      <c r="J2359" s="37">
        <v>491.96000000000004</v>
      </c>
      <c r="K2359" s="2">
        <v>19.0</v>
      </c>
      <c r="L2359" s="2">
        <v>140.0</v>
      </c>
      <c r="M2359" s="37">
        <v>608.74</v>
      </c>
    </row>
    <row r="2360" ht="14.25" customHeight="1">
      <c r="A2360" t="s">
        <v>2423</v>
      </c>
      <c r="B2360" t="s">
        <v>2193</v>
      </c>
      <c r="C2360" t="s">
        <v>62</v>
      </c>
      <c r="D2360" t="s">
        <v>63</v>
      </c>
      <c r="E2360">
        <v>2.5</v>
      </c>
      <c r="F2360">
        <v>3.2</v>
      </c>
      <c r="G2360" s="2" t="s">
        <v>67</v>
      </c>
      <c r="H2360" s="2">
        <v>16.0</v>
      </c>
      <c r="I2360" s="2">
        <v>102.0</v>
      </c>
      <c r="J2360" s="37">
        <v>491.96000000000004</v>
      </c>
      <c r="K2360" s="2">
        <v>19.0</v>
      </c>
      <c r="L2360" s="2">
        <v>140.0</v>
      </c>
      <c r="M2360" s="37">
        <v>608.74</v>
      </c>
    </row>
    <row r="2361" ht="14.25" customHeight="1">
      <c r="A2361" t="s">
        <v>2424</v>
      </c>
      <c r="B2361" t="s">
        <v>2193</v>
      </c>
      <c r="C2361" t="s">
        <v>62</v>
      </c>
      <c r="D2361" t="s">
        <v>63</v>
      </c>
      <c r="E2361">
        <v>2.5</v>
      </c>
      <c r="F2361">
        <v>3.2</v>
      </c>
      <c r="G2361" s="2" t="s">
        <v>67</v>
      </c>
      <c r="H2361" s="2">
        <v>16.0</v>
      </c>
      <c r="I2361" s="2">
        <v>102.0</v>
      </c>
      <c r="J2361" s="37">
        <v>491.96000000000004</v>
      </c>
      <c r="K2361" s="2">
        <v>19.0</v>
      </c>
      <c r="L2361" s="2">
        <v>140.0</v>
      </c>
      <c r="M2361" s="37">
        <v>608.74</v>
      </c>
    </row>
    <row r="2362" ht="14.25" customHeight="1">
      <c r="A2362" t="s">
        <v>2425</v>
      </c>
      <c r="B2362" t="s">
        <v>2193</v>
      </c>
      <c r="C2362" t="s">
        <v>62</v>
      </c>
      <c r="D2362" t="s">
        <v>63</v>
      </c>
      <c r="E2362">
        <v>2.5</v>
      </c>
      <c r="F2362">
        <v>3.2</v>
      </c>
      <c r="G2362" s="2" t="s">
        <v>67</v>
      </c>
      <c r="H2362" s="2">
        <v>16.0</v>
      </c>
      <c r="I2362" s="2">
        <v>102.0</v>
      </c>
      <c r="J2362" s="37">
        <v>491.96000000000004</v>
      </c>
      <c r="K2362" s="2">
        <v>19.0</v>
      </c>
      <c r="L2362" s="2">
        <v>140.0</v>
      </c>
      <c r="M2362" s="37">
        <v>608.74</v>
      </c>
    </row>
    <row r="2363" ht="14.25" customHeight="1">
      <c r="A2363" t="s">
        <v>2426</v>
      </c>
      <c r="B2363" t="s">
        <v>2193</v>
      </c>
      <c r="C2363" t="s">
        <v>62</v>
      </c>
      <c r="D2363" t="s">
        <v>63</v>
      </c>
      <c r="E2363">
        <v>2.5</v>
      </c>
      <c r="F2363">
        <v>3.2</v>
      </c>
      <c r="G2363" s="2" t="s">
        <v>67</v>
      </c>
      <c r="H2363" s="2">
        <v>16.0</v>
      </c>
      <c r="I2363" s="2">
        <v>102.0</v>
      </c>
      <c r="J2363" s="37">
        <v>491.96000000000004</v>
      </c>
      <c r="K2363" s="2">
        <v>19.0</v>
      </c>
      <c r="L2363" s="2">
        <v>140.0</v>
      </c>
      <c r="M2363" s="37">
        <v>608.74</v>
      </c>
    </row>
    <row r="2364" ht="14.25" customHeight="1">
      <c r="A2364" t="s">
        <v>2427</v>
      </c>
      <c r="B2364" t="s">
        <v>2193</v>
      </c>
      <c r="C2364" t="s">
        <v>62</v>
      </c>
      <c r="D2364" t="s">
        <v>63</v>
      </c>
      <c r="E2364">
        <v>2.5</v>
      </c>
      <c r="F2364">
        <v>3.2</v>
      </c>
      <c r="G2364" s="2" t="s">
        <v>67</v>
      </c>
      <c r="H2364" s="2">
        <v>16.0</v>
      </c>
      <c r="I2364" s="2">
        <v>102.0</v>
      </c>
      <c r="J2364" s="37">
        <v>491.96000000000004</v>
      </c>
      <c r="K2364" s="2">
        <v>19.0</v>
      </c>
      <c r="L2364" s="2">
        <v>140.0</v>
      </c>
      <c r="M2364" s="37">
        <v>608.74</v>
      </c>
    </row>
    <row r="2365" ht="14.25" customHeight="1">
      <c r="A2365" t="s">
        <v>2428</v>
      </c>
      <c r="B2365" t="s">
        <v>2193</v>
      </c>
      <c r="C2365" t="s">
        <v>62</v>
      </c>
      <c r="D2365" t="s">
        <v>63</v>
      </c>
      <c r="E2365">
        <v>2.5</v>
      </c>
      <c r="F2365">
        <v>3.2</v>
      </c>
      <c r="G2365" s="2" t="s">
        <v>67</v>
      </c>
      <c r="H2365" s="2">
        <v>16.0</v>
      </c>
      <c r="I2365" s="2">
        <v>102.0</v>
      </c>
      <c r="J2365" s="37">
        <v>491.96000000000004</v>
      </c>
      <c r="K2365" s="2">
        <v>19.0</v>
      </c>
      <c r="L2365" s="2">
        <v>140.0</v>
      </c>
      <c r="M2365" s="37">
        <v>608.74</v>
      </c>
    </row>
    <row r="2366" ht="14.25" customHeight="1">
      <c r="A2366" t="s">
        <v>2429</v>
      </c>
      <c r="B2366" t="s">
        <v>2193</v>
      </c>
      <c r="C2366" t="s">
        <v>62</v>
      </c>
      <c r="D2366" t="s">
        <v>63</v>
      </c>
      <c r="E2366">
        <v>7.8</v>
      </c>
      <c r="F2366">
        <v>9.0</v>
      </c>
      <c r="G2366" s="2" t="s">
        <v>67</v>
      </c>
      <c r="H2366" s="2">
        <v>46.0</v>
      </c>
      <c r="I2366" s="2">
        <v>34.0</v>
      </c>
      <c r="J2366" s="37">
        <v>1077.3600000000001</v>
      </c>
      <c r="K2366" s="2">
        <v>53.0</v>
      </c>
      <c r="L2366" s="2">
        <v>169.0</v>
      </c>
      <c r="M2366" s="37">
        <v>1410.0800000000002</v>
      </c>
    </row>
    <row r="2367" ht="14.25" customHeight="1">
      <c r="A2367" t="s">
        <v>2430</v>
      </c>
      <c r="B2367" t="s">
        <v>2193</v>
      </c>
      <c r="C2367" t="s">
        <v>62</v>
      </c>
      <c r="D2367" t="s">
        <v>63</v>
      </c>
      <c r="E2367">
        <v>7.8</v>
      </c>
      <c r="F2367">
        <v>9.0</v>
      </c>
      <c r="G2367" s="2" t="s">
        <v>67</v>
      </c>
      <c r="H2367" s="2">
        <v>46.0</v>
      </c>
      <c r="I2367" s="2">
        <v>34.0</v>
      </c>
      <c r="J2367" s="37">
        <v>1077.3600000000001</v>
      </c>
      <c r="K2367" s="2">
        <v>53.0</v>
      </c>
      <c r="L2367" s="2">
        <v>169.0</v>
      </c>
      <c r="M2367" s="37">
        <v>1410.0800000000002</v>
      </c>
    </row>
    <row r="2368" ht="14.25" customHeight="1">
      <c r="A2368" t="s">
        <v>2431</v>
      </c>
      <c r="B2368" t="s">
        <v>2193</v>
      </c>
      <c r="C2368" t="s">
        <v>62</v>
      </c>
      <c r="D2368" t="s">
        <v>63</v>
      </c>
      <c r="E2368">
        <v>7.8</v>
      </c>
      <c r="F2368">
        <v>9.0</v>
      </c>
      <c r="G2368" s="2" t="s">
        <v>67</v>
      </c>
      <c r="H2368" s="2">
        <v>46.0</v>
      </c>
      <c r="I2368" s="2">
        <v>34.0</v>
      </c>
      <c r="J2368" s="37">
        <v>1077.3600000000001</v>
      </c>
      <c r="K2368" s="2">
        <v>53.0</v>
      </c>
      <c r="L2368" s="2">
        <v>169.0</v>
      </c>
      <c r="M2368" s="37">
        <v>1410.0800000000002</v>
      </c>
    </row>
    <row r="2369" ht="14.25" customHeight="1">
      <c r="A2369" t="s">
        <v>2432</v>
      </c>
      <c r="B2369" t="s">
        <v>2193</v>
      </c>
      <c r="C2369" t="s">
        <v>62</v>
      </c>
      <c r="D2369" t="s">
        <v>63</v>
      </c>
      <c r="E2369">
        <v>7.8</v>
      </c>
      <c r="F2369">
        <v>9.0</v>
      </c>
      <c r="G2369" s="2" t="s">
        <v>67</v>
      </c>
      <c r="H2369" s="2">
        <v>46.0</v>
      </c>
      <c r="I2369" s="2">
        <v>34.0</v>
      </c>
      <c r="J2369" s="37">
        <v>1077.3600000000001</v>
      </c>
      <c r="K2369" s="2">
        <v>53.0</v>
      </c>
      <c r="L2369" s="2">
        <v>169.0</v>
      </c>
      <c r="M2369" s="37">
        <v>1410.0800000000002</v>
      </c>
    </row>
    <row r="2370" ht="14.25" customHeight="1">
      <c r="A2370" t="s">
        <v>2433</v>
      </c>
      <c r="B2370" t="s">
        <v>2193</v>
      </c>
      <c r="C2370" t="s">
        <v>62</v>
      </c>
      <c r="D2370" t="s">
        <v>63</v>
      </c>
      <c r="E2370">
        <v>7.8</v>
      </c>
      <c r="F2370">
        <v>9.0</v>
      </c>
      <c r="G2370" s="2" t="s">
        <v>67</v>
      </c>
      <c r="H2370" s="2">
        <v>46.0</v>
      </c>
      <c r="I2370" s="2">
        <v>34.0</v>
      </c>
      <c r="J2370" s="37">
        <v>1077.3600000000001</v>
      </c>
      <c r="K2370" s="2">
        <v>53.0</v>
      </c>
      <c r="L2370" s="2">
        <v>169.0</v>
      </c>
      <c r="M2370" s="37">
        <v>1410.0800000000002</v>
      </c>
    </row>
    <row r="2371" ht="14.25" customHeight="1">
      <c r="A2371" t="s">
        <v>2434</v>
      </c>
      <c r="B2371" t="s">
        <v>2193</v>
      </c>
      <c r="C2371" t="s">
        <v>62</v>
      </c>
      <c r="D2371" t="s">
        <v>63</v>
      </c>
      <c r="E2371">
        <v>7.8</v>
      </c>
      <c r="F2371">
        <v>9.0</v>
      </c>
      <c r="G2371" s="2" t="s">
        <v>67</v>
      </c>
      <c r="H2371" s="2">
        <v>46.0</v>
      </c>
      <c r="I2371" s="2">
        <v>34.0</v>
      </c>
      <c r="J2371" s="37">
        <v>1077.3600000000001</v>
      </c>
      <c r="K2371" s="2">
        <v>53.0</v>
      </c>
      <c r="L2371" s="2">
        <v>169.0</v>
      </c>
      <c r="M2371" s="37">
        <v>1410.0800000000002</v>
      </c>
    </row>
    <row r="2372" ht="14.25" customHeight="1">
      <c r="A2372" t="s">
        <v>2435</v>
      </c>
      <c r="B2372" t="s">
        <v>2193</v>
      </c>
      <c r="C2372" t="s">
        <v>62</v>
      </c>
      <c r="D2372" t="s">
        <v>63</v>
      </c>
      <c r="E2372">
        <v>7.8</v>
      </c>
      <c r="F2372">
        <v>9.0</v>
      </c>
      <c r="G2372" s="2" t="s">
        <v>67</v>
      </c>
      <c r="H2372" s="2">
        <v>46.0</v>
      </c>
      <c r="I2372" s="2">
        <v>34.0</v>
      </c>
      <c r="J2372" s="37">
        <v>1077.3600000000001</v>
      </c>
      <c r="K2372" s="2">
        <v>53.0</v>
      </c>
      <c r="L2372" s="2">
        <v>169.0</v>
      </c>
      <c r="M2372" s="37">
        <v>1410.0800000000002</v>
      </c>
    </row>
    <row r="2373" ht="14.25" customHeight="1">
      <c r="A2373" t="s">
        <v>2436</v>
      </c>
      <c r="B2373" t="s">
        <v>2193</v>
      </c>
      <c r="C2373" t="s">
        <v>62</v>
      </c>
      <c r="D2373" t="s">
        <v>63</v>
      </c>
      <c r="E2373">
        <v>7.1</v>
      </c>
      <c r="F2373">
        <v>8.0</v>
      </c>
      <c r="G2373" s="2" t="s">
        <v>67</v>
      </c>
      <c r="H2373" s="2">
        <v>43.0</v>
      </c>
      <c r="I2373" s="2">
        <v>109.0</v>
      </c>
      <c r="J2373" s="37">
        <v>1107.48</v>
      </c>
      <c r="K2373" s="2">
        <v>49.0</v>
      </c>
      <c r="L2373" s="2">
        <v>231.0</v>
      </c>
      <c r="M2373" s="37">
        <v>1400.84</v>
      </c>
    </row>
    <row r="2374" ht="14.25" customHeight="1">
      <c r="A2374" t="s">
        <v>2437</v>
      </c>
      <c r="B2374" t="s">
        <v>2193</v>
      </c>
      <c r="C2374" t="s">
        <v>62</v>
      </c>
      <c r="D2374" t="s">
        <v>63</v>
      </c>
      <c r="E2374">
        <v>7.1</v>
      </c>
      <c r="F2374">
        <v>8.0</v>
      </c>
      <c r="G2374" s="2" t="s">
        <v>67</v>
      </c>
      <c r="H2374" s="2">
        <v>43.0</v>
      </c>
      <c r="I2374" s="2">
        <v>109.0</v>
      </c>
      <c r="J2374" s="37">
        <v>1107.48</v>
      </c>
      <c r="K2374" s="2">
        <v>49.0</v>
      </c>
      <c r="L2374" s="2">
        <v>231.0</v>
      </c>
      <c r="M2374" s="37">
        <v>1400.84</v>
      </c>
    </row>
    <row r="2375" ht="14.25" customHeight="1">
      <c r="A2375" t="s">
        <v>2438</v>
      </c>
      <c r="B2375" t="s">
        <v>2193</v>
      </c>
      <c r="C2375" t="s">
        <v>62</v>
      </c>
      <c r="D2375" t="s">
        <v>63</v>
      </c>
      <c r="E2375">
        <v>7.1</v>
      </c>
      <c r="F2375">
        <v>8.0</v>
      </c>
      <c r="G2375" s="2" t="s">
        <v>67</v>
      </c>
      <c r="H2375" s="2">
        <v>43.0</v>
      </c>
      <c r="I2375" s="2">
        <v>109.0</v>
      </c>
      <c r="J2375" s="37">
        <v>1107.48</v>
      </c>
      <c r="K2375" s="2">
        <v>49.0</v>
      </c>
      <c r="L2375" s="2">
        <v>231.0</v>
      </c>
      <c r="M2375" s="37">
        <v>1400.84</v>
      </c>
    </row>
    <row r="2376" ht="14.25" customHeight="1">
      <c r="A2376" t="s">
        <v>2439</v>
      </c>
      <c r="B2376" t="s">
        <v>2193</v>
      </c>
      <c r="C2376" t="s">
        <v>62</v>
      </c>
      <c r="D2376" t="s">
        <v>63</v>
      </c>
      <c r="E2376">
        <v>7.1</v>
      </c>
      <c r="F2376">
        <v>8.0</v>
      </c>
      <c r="G2376" s="2" t="s">
        <v>67</v>
      </c>
      <c r="H2376" s="2">
        <v>43.0</v>
      </c>
      <c r="I2376" s="2">
        <v>109.0</v>
      </c>
      <c r="J2376" s="37">
        <v>1107.48</v>
      </c>
      <c r="K2376" s="2">
        <v>49.0</v>
      </c>
      <c r="L2376" s="2">
        <v>231.0</v>
      </c>
      <c r="M2376" s="37">
        <v>1400.84</v>
      </c>
    </row>
    <row r="2377" ht="14.25" customHeight="1">
      <c r="A2377" t="s">
        <v>2440</v>
      </c>
      <c r="B2377" t="s">
        <v>2193</v>
      </c>
      <c r="C2377" t="s">
        <v>62</v>
      </c>
      <c r="D2377" t="s">
        <v>63</v>
      </c>
      <c r="E2377">
        <v>7.1</v>
      </c>
      <c r="F2377">
        <v>8.0</v>
      </c>
      <c r="G2377" s="2" t="s">
        <v>67</v>
      </c>
      <c r="H2377" s="2">
        <v>43.0</v>
      </c>
      <c r="I2377" s="2">
        <v>109.0</v>
      </c>
      <c r="J2377" s="37">
        <v>1107.48</v>
      </c>
      <c r="K2377" s="2">
        <v>49.0</v>
      </c>
      <c r="L2377" s="2">
        <v>231.0</v>
      </c>
      <c r="M2377" s="37">
        <v>1400.84</v>
      </c>
    </row>
    <row r="2378" ht="14.25" customHeight="1">
      <c r="A2378" t="s">
        <v>2441</v>
      </c>
      <c r="B2378" t="s">
        <v>2193</v>
      </c>
      <c r="C2378" t="s">
        <v>62</v>
      </c>
      <c r="D2378" t="s">
        <v>63</v>
      </c>
      <c r="E2378">
        <v>7.1</v>
      </c>
      <c r="F2378">
        <v>8.0</v>
      </c>
      <c r="G2378" s="2" t="s">
        <v>67</v>
      </c>
      <c r="H2378" s="2">
        <v>43.0</v>
      </c>
      <c r="I2378" s="2">
        <v>109.0</v>
      </c>
      <c r="J2378" s="37">
        <v>1107.48</v>
      </c>
      <c r="K2378" s="2">
        <v>49.0</v>
      </c>
      <c r="L2378" s="2">
        <v>231.0</v>
      </c>
      <c r="M2378" s="37">
        <v>1400.84</v>
      </c>
    </row>
    <row r="2379" ht="14.25" customHeight="1">
      <c r="A2379" t="s">
        <v>2442</v>
      </c>
      <c r="B2379" t="s">
        <v>2193</v>
      </c>
      <c r="C2379" t="s">
        <v>62</v>
      </c>
      <c r="D2379" t="s">
        <v>63</v>
      </c>
      <c r="E2379">
        <v>7.1</v>
      </c>
      <c r="F2379">
        <v>8.0</v>
      </c>
      <c r="G2379" s="2" t="s">
        <v>67</v>
      </c>
      <c r="H2379" s="2">
        <v>43.0</v>
      </c>
      <c r="I2379" s="2">
        <v>109.0</v>
      </c>
      <c r="J2379" s="37">
        <v>1107.48</v>
      </c>
      <c r="K2379" s="2">
        <v>49.0</v>
      </c>
      <c r="L2379" s="2">
        <v>231.0</v>
      </c>
      <c r="M2379" s="37">
        <v>1400.84</v>
      </c>
    </row>
    <row r="2380" ht="14.25" customHeight="1">
      <c r="A2380" t="s">
        <v>2443</v>
      </c>
      <c r="B2380" t="s">
        <v>2193</v>
      </c>
      <c r="C2380" t="s">
        <v>62</v>
      </c>
      <c r="D2380" t="s">
        <v>63</v>
      </c>
      <c r="E2380">
        <v>2.5</v>
      </c>
      <c r="F2380">
        <v>3.2</v>
      </c>
      <c r="G2380" s="2" t="s">
        <v>67</v>
      </c>
      <c r="H2380" s="2">
        <v>15.0</v>
      </c>
      <c r="I2380" s="2">
        <v>80.0</v>
      </c>
      <c r="J2380" s="37">
        <v>440.90000000000003</v>
      </c>
      <c r="K2380" s="2">
        <v>17.0</v>
      </c>
      <c r="L2380" s="2">
        <v>118.0</v>
      </c>
      <c r="M2380" s="37">
        <v>535.22</v>
      </c>
    </row>
    <row r="2381" ht="14.25" customHeight="1">
      <c r="A2381" t="s">
        <v>2444</v>
      </c>
      <c r="B2381" t="s">
        <v>2193</v>
      </c>
      <c r="C2381" t="s">
        <v>62</v>
      </c>
      <c r="D2381" t="s">
        <v>63</v>
      </c>
      <c r="E2381">
        <v>2.5</v>
      </c>
      <c r="F2381">
        <v>3.2</v>
      </c>
      <c r="G2381" s="2" t="s">
        <v>67</v>
      </c>
      <c r="H2381" s="2">
        <v>15.0</v>
      </c>
      <c r="I2381" s="2">
        <v>80.0</v>
      </c>
      <c r="J2381" s="37">
        <v>440.90000000000003</v>
      </c>
      <c r="K2381" s="2">
        <v>17.0</v>
      </c>
      <c r="L2381" s="2">
        <v>118.0</v>
      </c>
      <c r="M2381" s="37">
        <v>535.22</v>
      </c>
    </row>
    <row r="2382" ht="14.25" customHeight="1">
      <c r="A2382" t="s">
        <v>2445</v>
      </c>
      <c r="B2382" t="s">
        <v>2193</v>
      </c>
      <c r="C2382" t="s">
        <v>62</v>
      </c>
      <c r="D2382" t="s">
        <v>63</v>
      </c>
      <c r="E2382">
        <v>2.5</v>
      </c>
      <c r="F2382">
        <v>3.2</v>
      </c>
      <c r="G2382" s="2" t="s">
        <v>67</v>
      </c>
      <c r="H2382" s="2">
        <v>15.0</v>
      </c>
      <c r="I2382" s="2">
        <v>80.0</v>
      </c>
      <c r="J2382" s="37">
        <v>440.90000000000003</v>
      </c>
      <c r="K2382" s="2">
        <v>17.0</v>
      </c>
      <c r="L2382" s="2">
        <v>118.0</v>
      </c>
      <c r="M2382" s="37">
        <v>535.22</v>
      </c>
    </row>
    <row r="2383" ht="14.25" customHeight="1">
      <c r="A2383" t="s">
        <v>2446</v>
      </c>
      <c r="B2383" t="s">
        <v>2193</v>
      </c>
      <c r="C2383" t="s">
        <v>62</v>
      </c>
      <c r="D2383" t="s">
        <v>63</v>
      </c>
      <c r="E2383">
        <v>2.5</v>
      </c>
      <c r="F2383">
        <v>3.2</v>
      </c>
      <c r="G2383" s="2" t="s">
        <v>67</v>
      </c>
      <c r="H2383" s="2">
        <v>15.0</v>
      </c>
      <c r="I2383" s="2">
        <v>80.0</v>
      </c>
      <c r="J2383" s="37">
        <v>440.90000000000003</v>
      </c>
      <c r="K2383" s="2">
        <v>17.0</v>
      </c>
      <c r="L2383" s="2">
        <v>118.0</v>
      </c>
      <c r="M2383" s="37">
        <v>535.22</v>
      </c>
    </row>
    <row r="2384" ht="14.25" customHeight="1">
      <c r="A2384" t="s">
        <v>2447</v>
      </c>
      <c r="B2384" t="s">
        <v>2193</v>
      </c>
      <c r="C2384" t="s">
        <v>62</v>
      </c>
      <c r="D2384" t="s">
        <v>63</v>
      </c>
      <c r="E2384">
        <v>2.5</v>
      </c>
      <c r="F2384">
        <v>3.2</v>
      </c>
      <c r="G2384" s="2" t="s">
        <v>67</v>
      </c>
      <c r="H2384" s="2">
        <v>15.0</v>
      </c>
      <c r="I2384" s="2">
        <v>80.0</v>
      </c>
      <c r="J2384" s="37">
        <v>440.90000000000003</v>
      </c>
      <c r="K2384" s="2">
        <v>17.0</v>
      </c>
      <c r="L2384" s="2">
        <v>118.0</v>
      </c>
      <c r="M2384" s="37">
        <v>535.22</v>
      </c>
    </row>
    <row r="2385" ht="14.25" customHeight="1">
      <c r="A2385" t="s">
        <v>2448</v>
      </c>
      <c r="B2385" t="s">
        <v>2193</v>
      </c>
      <c r="C2385" t="s">
        <v>62</v>
      </c>
      <c r="D2385" t="s">
        <v>63</v>
      </c>
      <c r="E2385">
        <v>2.5</v>
      </c>
      <c r="F2385">
        <v>3.2</v>
      </c>
      <c r="G2385" s="2" t="s">
        <v>67</v>
      </c>
      <c r="H2385" s="2">
        <v>15.0</v>
      </c>
      <c r="I2385" s="2">
        <v>80.0</v>
      </c>
      <c r="J2385" s="37">
        <v>440.90000000000003</v>
      </c>
      <c r="K2385" s="2">
        <v>17.0</v>
      </c>
      <c r="L2385" s="2">
        <v>118.0</v>
      </c>
      <c r="M2385" s="37">
        <v>535.22</v>
      </c>
    </row>
    <row r="2386" ht="14.25" customHeight="1">
      <c r="A2386" t="s">
        <v>2449</v>
      </c>
      <c r="B2386" t="s">
        <v>2193</v>
      </c>
      <c r="C2386" t="s">
        <v>62</v>
      </c>
      <c r="D2386" t="s">
        <v>63</v>
      </c>
      <c r="E2386">
        <v>2.5</v>
      </c>
      <c r="F2386">
        <v>3.2</v>
      </c>
      <c r="G2386" s="2" t="s">
        <v>67</v>
      </c>
      <c r="H2386" s="2">
        <v>15.0</v>
      </c>
      <c r="I2386" s="2">
        <v>80.0</v>
      </c>
      <c r="J2386" s="37">
        <v>440.90000000000003</v>
      </c>
      <c r="K2386" s="2">
        <v>17.0</v>
      </c>
      <c r="L2386" s="2">
        <v>118.0</v>
      </c>
      <c r="M2386" s="37">
        <v>535.22</v>
      </c>
    </row>
    <row r="2387" ht="14.25" customHeight="1">
      <c r="A2387" t="s">
        <v>2450</v>
      </c>
      <c r="B2387" t="s">
        <v>2193</v>
      </c>
      <c r="C2387" t="s">
        <v>62</v>
      </c>
      <c r="D2387" t="s">
        <v>63</v>
      </c>
      <c r="E2387">
        <v>3.5</v>
      </c>
      <c r="F2387">
        <v>4.0</v>
      </c>
      <c r="G2387" s="2" t="s">
        <v>64</v>
      </c>
      <c r="H2387" s="2">
        <v>0.0</v>
      </c>
      <c r="I2387" s="2">
        <v>0.0</v>
      </c>
      <c r="J2387" s="37">
        <v>0.0</v>
      </c>
      <c r="K2387" s="2">
        <v>0.0</v>
      </c>
      <c r="L2387" s="2">
        <v>0.0</v>
      </c>
      <c r="M2387" s="37">
        <v>0.0</v>
      </c>
    </row>
    <row r="2388" ht="14.25" customHeight="1">
      <c r="A2388" t="s">
        <v>2451</v>
      </c>
      <c r="B2388" t="s">
        <v>2193</v>
      </c>
      <c r="C2388" t="s">
        <v>62</v>
      </c>
      <c r="D2388" t="s">
        <v>63</v>
      </c>
      <c r="E2388">
        <v>3.5</v>
      </c>
      <c r="F2388">
        <v>4.0</v>
      </c>
      <c r="G2388" s="2" t="s">
        <v>64</v>
      </c>
      <c r="H2388" s="2">
        <v>0.0</v>
      </c>
      <c r="I2388" s="2">
        <v>0.0</v>
      </c>
      <c r="J2388" s="37">
        <v>0.0</v>
      </c>
      <c r="K2388" s="2">
        <v>0.0</v>
      </c>
      <c r="L2388" s="2">
        <v>0.0</v>
      </c>
      <c r="M2388" s="37">
        <v>0.0</v>
      </c>
    </row>
    <row r="2389" ht="14.25" customHeight="1">
      <c r="A2389" t="s">
        <v>2452</v>
      </c>
      <c r="B2389" t="s">
        <v>2193</v>
      </c>
      <c r="C2389" t="s">
        <v>62</v>
      </c>
      <c r="D2389" t="s">
        <v>63</v>
      </c>
      <c r="E2389">
        <v>3.5</v>
      </c>
      <c r="F2389">
        <v>4.0</v>
      </c>
      <c r="G2389" s="2" t="s">
        <v>64</v>
      </c>
      <c r="H2389" s="2">
        <v>0.0</v>
      </c>
      <c r="I2389" s="2">
        <v>0.0</v>
      </c>
      <c r="J2389" s="37">
        <v>0.0</v>
      </c>
      <c r="K2389" s="2">
        <v>0.0</v>
      </c>
      <c r="L2389" s="2">
        <v>0.0</v>
      </c>
      <c r="M2389" s="37">
        <v>0.0</v>
      </c>
    </row>
    <row r="2390" ht="14.25" customHeight="1">
      <c r="A2390" t="s">
        <v>2453</v>
      </c>
      <c r="B2390" t="s">
        <v>2193</v>
      </c>
      <c r="C2390" t="s">
        <v>62</v>
      </c>
      <c r="D2390" t="s">
        <v>63</v>
      </c>
      <c r="E2390">
        <v>3.5</v>
      </c>
      <c r="F2390">
        <v>4.0</v>
      </c>
      <c r="G2390" s="2" t="s">
        <v>64</v>
      </c>
      <c r="H2390" s="2">
        <v>0.0</v>
      </c>
      <c r="I2390" s="2">
        <v>0.0</v>
      </c>
      <c r="J2390" s="37">
        <v>0.0</v>
      </c>
      <c r="K2390" s="2">
        <v>0.0</v>
      </c>
      <c r="L2390" s="2">
        <v>0.0</v>
      </c>
      <c r="M2390" s="37">
        <v>0.0</v>
      </c>
    </row>
    <row r="2391" ht="14.25" customHeight="1">
      <c r="A2391" t="s">
        <v>2454</v>
      </c>
      <c r="B2391" t="s">
        <v>2193</v>
      </c>
      <c r="C2391" t="s">
        <v>62</v>
      </c>
      <c r="D2391" t="s">
        <v>63</v>
      </c>
      <c r="E2391">
        <v>3.5</v>
      </c>
      <c r="F2391">
        <v>4.0</v>
      </c>
      <c r="G2391" s="2" t="s">
        <v>64</v>
      </c>
      <c r="H2391" s="2">
        <v>0.0</v>
      </c>
      <c r="I2391" s="2">
        <v>0.0</v>
      </c>
      <c r="J2391" s="37">
        <v>0.0</v>
      </c>
      <c r="K2391" s="2">
        <v>0.0</v>
      </c>
      <c r="L2391" s="2">
        <v>0.0</v>
      </c>
      <c r="M2391" s="37">
        <v>0.0</v>
      </c>
    </row>
    <row r="2392" ht="14.25" customHeight="1">
      <c r="A2392" t="s">
        <v>2455</v>
      </c>
      <c r="B2392" t="s">
        <v>2193</v>
      </c>
      <c r="C2392" t="s">
        <v>62</v>
      </c>
      <c r="D2392" t="s">
        <v>63</v>
      </c>
      <c r="E2392">
        <v>3.5</v>
      </c>
      <c r="F2392">
        <v>4.0</v>
      </c>
      <c r="G2392" s="2" t="s">
        <v>64</v>
      </c>
      <c r="H2392" s="2">
        <v>0.0</v>
      </c>
      <c r="I2392" s="2">
        <v>0.0</v>
      </c>
      <c r="J2392" s="37">
        <v>0.0</v>
      </c>
      <c r="K2392" s="2">
        <v>0.0</v>
      </c>
      <c r="L2392" s="2">
        <v>0.0</v>
      </c>
      <c r="M2392" s="37">
        <v>0.0</v>
      </c>
    </row>
    <row r="2393" ht="14.25" customHeight="1">
      <c r="A2393" t="s">
        <v>2456</v>
      </c>
      <c r="B2393" t="s">
        <v>2193</v>
      </c>
      <c r="C2393" t="s">
        <v>62</v>
      </c>
      <c r="D2393" t="s">
        <v>63</v>
      </c>
      <c r="E2393">
        <v>3.5</v>
      </c>
      <c r="F2393">
        <v>4.0</v>
      </c>
      <c r="G2393" s="2" t="s">
        <v>64</v>
      </c>
      <c r="H2393" s="2">
        <v>0.0</v>
      </c>
      <c r="I2393" s="2">
        <v>0.0</v>
      </c>
      <c r="J2393" s="37">
        <v>0.0</v>
      </c>
      <c r="K2393" s="2">
        <v>0.0</v>
      </c>
      <c r="L2393" s="2">
        <v>0.0</v>
      </c>
      <c r="M2393" s="37">
        <v>0.0</v>
      </c>
    </row>
    <row r="2394" ht="14.25" customHeight="1">
      <c r="A2394" t="s">
        <v>2457</v>
      </c>
      <c r="B2394" t="s">
        <v>2193</v>
      </c>
      <c r="C2394" t="s">
        <v>62</v>
      </c>
      <c r="D2394" t="s">
        <v>63</v>
      </c>
      <c r="E2394">
        <v>4.2</v>
      </c>
      <c r="F2394">
        <v>5.4</v>
      </c>
      <c r="G2394" s="2" t="s">
        <v>64</v>
      </c>
      <c r="H2394" s="2">
        <v>0.0</v>
      </c>
      <c r="I2394" s="2">
        <v>0.0</v>
      </c>
      <c r="J2394" s="37">
        <v>0.0</v>
      </c>
      <c r="K2394" s="2">
        <v>0.0</v>
      </c>
      <c r="L2394" s="2">
        <v>0.0</v>
      </c>
      <c r="M2394" s="37">
        <v>0.0</v>
      </c>
    </row>
    <row r="2395" ht="14.25" customHeight="1">
      <c r="A2395" t="s">
        <v>2458</v>
      </c>
      <c r="B2395" t="s">
        <v>2193</v>
      </c>
      <c r="C2395" t="s">
        <v>62</v>
      </c>
      <c r="D2395" t="s">
        <v>63</v>
      </c>
      <c r="E2395">
        <v>4.2</v>
      </c>
      <c r="F2395">
        <v>5.4</v>
      </c>
      <c r="G2395" s="2" t="s">
        <v>64</v>
      </c>
      <c r="H2395" s="2">
        <v>0.0</v>
      </c>
      <c r="I2395" s="2">
        <v>0.0</v>
      </c>
      <c r="J2395" s="37">
        <v>0.0</v>
      </c>
      <c r="K2395" s="2">
        <v>0.0</v>
      </c>
      <c r="L2395" s="2">
        <v>0.0</v>
      </c>
      <c r="M2395" s="37">
        <v>0.0</v>
      </c>
    </row>
    <row r="2396" ht="14.25" customHeight="1">
      <c r="A2396" t="s">
        <v>2459</v>
      </c>
      <c r="B2396" t="s">
        <v>2193</v>
      </c>
      <c r="C2396" t="s">
        <v>62</v>
      </c>
      <c r="D2396" t="s">
        <v>63</v>
      </c>
      <c r="E2396">
        <v>4.2</v>
      </c>
      <c r="F2396">
        <v>5.4</v>
      </c>
      <c r="G2396" s="2" t="s">
        <v>64</v>
      </c>
      <c r="H2396" s="2">
        <v>0.0</v>
      </c>
      <c r="I2396" s="2">
        <v>0.0</v>
      </c>
      <c r="J2396" s="37">
        <v>0.0</v>
      </c>
      <c r="K2396" s="2">
        <v>0.0</v>
      </c>
      <c r="L2396" s="2">
        <v>0.0</v>
      </c>
      <c r="M2396" s="37">
        <v>0.0</v>
      </c>
    </row>
    <row r="2397" ht="14.25" customHeight="1">
      <c r="A2397" t="s">
        <v>2460</v>
      </c>
      <c r="B2397" t="s">
        <v>2193</v>
      </c>
      <c r="C2397" t="s">
        <v>62</v>
      </c>
      <c r="D2397" t="s">
        <v>63</v>
      </c>
      <c r="E2397">
        <v>4.2</v>
      </c>
      <c r="F2397">
        <v>5.4</v>
      </c>
      <c r="G2397" s="2" t="s">
        <v>64</v>
      </c>
      <c r="H2397" s="2">
        <v>0.0</v>
      </c>
      <c r="I2397" s="2">
        <v>0.0</v>
      </c>
      <c r="J2397" s="37">
        <v>0.0</v>
      </c>
      <c r="K2397" s="2">
        <v>0.0</v>
      </c>
      <c r="L2397" s="2">
        <v>0.0</v>
      </c>
      <c r="M2397" s="37">
        <v>0.0</v>
      </c>
    </row>
    <row r="2398" ht="14.25" customHeight="1">
      <c r="A2398" t="s">
        <v>2461</v>
      </c>
      <c r="B2398" t="s">
        <v>2193</v>
      </c>
      <c r="C2398" t="s">
        <v>62</v>
      </c>
      <c r="D2398" t="s">
        <v>63</v>
      </c>
      <c r="E2398">
        <v>4.2</v>
      </c>
      <c r="F2398">
        <v>5.4</v>
      </c>
      <c r="G2398" s="2" t="s">
        <v>64</v>
      </c>
      <c r="H2398" s="2">
        <v>0.0</v>
      </c>
      <c r="I2398" s="2">
        <v>0.0</v>
      </c>
      <c r="J2398" s="37">
        <v>0.0</v>
      </c>
      <c r="K2398" s="2">
        <v>0.0</v>
      </c>
      <c r="L2398" s="2">
        <v>0.0</v>
      </c>
      <c r="M2398" s="37">
        <v>0.0</v>
      </c>
    </row>
    <row r="2399" ht="14.25" customHeight="1">
      <c r="A2399" t="s">
        <v>2462</v>
      </c>
      <c r="B2399" t="s">
        <v>2193</v>
      </c>
      <c r="C2399" t="s">
        <v>62</v>
      </c>
      <c r="D2399" t="s">
        <v>63</v>
      </c>
      <c r="E2399">
        <v>4.2</v>
      </c>
      <c r="F2399">
        <v>5.4</v>
      </c>
      <c r="G2399" s="2" t="s">
        <v>64</v>
      </c>
      <c r="H2399" s="2">
        <v>0.0</v>
      </c>
      <c r="I2399" s="2">
        <v>0.0</v>
      </c>
      <c r="J2399" s="37">
        <v>0.0</v>
      </c>
      <c r="K2399" s="2">
        <v>0.0</v>
      </c>
      <c r="L2399" s="2">
        <v>0.0</v>
      </c>
      <c r="M2399" s="37">
        <v>0.0</v>
      </c>
    </row>
    <row r="2400" ht="14.25" customHeight="1">
      <c r="A2400" t="s">
        <v>2463</v>
      </c>
      <c r="B2400" t="s">
        <v>2193</v>
      </c>
      <c r="C2400" t="s">
        <v>62</v>
      </c>
      <c r="D2400" t="s">
        <v>63</v>
      </c>
      <c r="E2400">
        <v>4.2</v>
      </c>
      <c r="F2400">
        <v>5.4</v>
      </c>
      <c r="G2400" s="2" t="s">
        <v>64</v>
      </c>
      <c r="H2400" s="2">
        <v>0.0</v>
      </c>
      <c r="I2400" s="2">
        <v>0.0</v>
      </c>
      <c r="J2400" s="37">
        <v>0.0</v>
      </c>
      <c r="K2400" s="2">
        <v>0.0</v>
      </c>
      <c r="L2400" s="2">
        <v>0.0</v>
      </c>
      <c r="M2400" s="37">
        <v>0.0</v>
      </c>
    </row>
    <row r="2401" ht="14.25" customHeight="1">
      <c r="A2401" t="s">
        <v>2464</v>
      </c>
      <c r="B2401" t="s">
        <v>2193</v>
      </c>
      <c r="C2401" t="s">
        <v>62</v>
      </c>
      <c r="D2401" t="s">
        <v>63</v>
      </c>
      <c r="E2401">
        <v>5.0</v>
      </c>
      <c r="F2401">
        <v>5.8</v>
      </c>
      <c r="G2401" s="2" t="s">
        <v>64</v>
      </c>
      <c r="H2401" s="2">
        <v>0.0</v>
      </c>
      <c r="I2401" s="2">
        <v>0.0</v>
      </c>
      <c r="J2401" s="37">
        <v>0.0</v>
      </c>
      <c r="K2401" s="2">
        <v>0.0</v>
      </c>
      <c r="L2401" s="2">
        <v>0.0</v>
      </c>
      <c r="M2401" s="37">
        <v>0.0</v>
      </c>
    </row>
    <row r="2402" ht="14.25" customHeight="1">
      <c r="A2402" t="s">
        <v>2465</v>
      </c>
      <c r="B2402" t="s">
        <v>2193</v>
      </c>
      <c r="C2402" t="s">
        <v>62</v>
      </c>
      <c r="D2402" t="s">
        <v>63</v>
      </c>
      <c r="E2402">
        <v>5.0</v>
      </c>
      <c r="F2402">
        <v>5.8</v>
      </c>
      <c r="G2402" s="2" t="s">
        <v>64</v>
      </c>
      <c r="H2402" s="2">
        <v>0.0</v>
      </c>
      <c r="I2402" s="2">
        <v>0.0</v>
      </c>
      <c r="J2402" s="37">
        <v>0.0</v>
      </c>
      <c r="K2402" s="2">
        <v>0.0</v>
      </c>
      <c r="L2402" s="2">
        <v>0.0</v>
      </c>
      <c r="M2402" s="37">
        <v>0.0</v>
      </c>
    </row>
    <row r="2403" ht="14.25" customHeight="1">
      <c r="A2403" t="s">
        <v>2466</v>
      </c>
      <c r="B2403" t="s">
        <v>2193</v>
      </c>
      <c r="C2403" t="s">
        <v>62</v>
      </c>
      <c r="D2403" t="s">
        <v>63</v>
      </c>
      <c r="E2403">
        <v>5.0</v>
      </c>
      <c r="F2403">
        <v>5.8</v>
      </c>
      <c r="G2403" s="2" t="s">
        <v>64</v>
      </c>
      <c r="H2403" s="2">
        <v>0.0</v>
      </c>
      <c r="I2403" s="2">
        <v>0.0</v>
      </c>
      <c r="J2403" s="37">
        <v>0.0</v>
      </c>
      <c r="K2403" s="2">
        <v>0.0</v>
      </c>
      <c r="L2403" s="2">
        <v>0.0</v>
      </c>
      <c r="M2403" s="37">
        <v>0.0</v>
      </c>
    </row>
    <row r="2404" ht="14.25" customHeight="1">
      <c r="A2404" t="s">
        <v>2467</v>
      </c>
      <c r="B2404" t="s">
        <v>2193</v>
      </c>
      <c r="C2404" t="s">
        <v>62</v>
      </c>
      <c r="D2404" t="s">
        <v>63</v>
      </c>
      <c r="E2404">
        <v>5.0</v>
      </c>
      <c r="F2404">
        <v>5.8</v>
      </c>
      <c r="G2404" s="2" t="s">
        <v>64</v>
      </c>
      <c r="H2404" s="2">
        <v>0.0</v>
      </c>
      <c r="I2404" s="2">
        <v>0.0</v>
      </c>
      <c r="J2404" s="37">
        <v>0.0</v>
      </c>
      <c r="K2404" s="2">
        <v>0.0</v>
      </c>
      <c r="L2404" s="2">
        <v>0.0</v>
      </c>
      <c r="M2404" s="37">
        <v>0.0</v>
      </c>
    </row>
    <row r="2405" ht="14.25" customHeight="1">
      <c r="A2405" t="s">
        <v>2468</v>
      </c>
      <c r="B2405" t="s">
        <v>2193</v>
      </c>
      <c r="C2405" t="s">
        <v>62</v>
      </c>
      <c r="D2405" t="s">
        <v>63</v>
      </c>
      <c r="E2405">
        <v>5.0</v>
      </c>
      <c r="F2405">
        <v>5.8</v>
      </c>
      <c r="G2405" s="2" t="s">
        <v>64</v>
      </c>
      <c r="H2405" s="2">
        <v>0.0</v>
      </c>
      <c r="I2405" s="2">
        <v>0.0</v>
      </c>
      <c r="J2405" s="37">
        <v>0.0</v>
      </c>
      <c r="K2405" s="2">
        <v>0.0</v>
      </c>
      <c r="L2405" s="2">
        <v>0.0</v>
      </c>
      <c r="M2405" s="37">
        <v>0.0</v>
      </c>
    </row>
    <row r="2406" ht="14.25" customHeight="1">
      <c r="A2406" t="s">
        <v>2469</v>
      </c>
      <c r="B2406" t="s">
        <v>2193</v>
      </c>
      <c r="C2406" t="s">
        <v>62</v>
      </c>
      <c r="D2406" t="s">
        <v>63</v>
      </c>
      <c r="E2406">
        <v>5.0</v>
      </c>
      <c r="F2406">
        <v>5.8</v>
      </c>
      <c r="G2406" s="2" t="s">
        <v>64</v>
      </c>
      <c r="H2406" s="2">
        <v>0.0</v>
      </c>
      <c r="I2406" s="2">
        <v>0.0</v>
      </c>
      <c r="J2406" s="37">
        <v>0.0</v>
      </c>
      <c r="K2406" s="2">
        <v>0.0</v>
      </c>
      <c r="L2406" s="2">
        <v>0.0</v>
      </c>
      <c r="M2406" s="37">
        <v>0.0</v>
      </c>
    </row>
    <row r="2407" ht="14.25" customHeight="1">
      <c r="A2407" t="s">
        <v>2470</v>
      </c>
      <c r="B2407" t="s">
        <v>2193</v>
      </c>
      <c r="C2407" t="s">
        <v>62</v>
      </c>
      <c r="D2407" t="s">
        <v>63</v>
      </c>
      <c r="E2407">
        <v>5.0</v>
      </c>
      <c r="F2407">
        <v>5.8</v>
      </c>
      <c r="G2407" s="2" t="s">
        <v>64</v>
      </c>
      <c r="H2407" s="2">
        <v>0.0</v>
      </c>
      <c r="I2407" s="2">
        <v>0.0</v>
      </c>
      <c r="J2407" s="37">
        <v>0.0</v>
      </c>
      <c r="K2407" s="2">
        <v>0.0</v>
      </c>
      <c r="L2407" s="2">
        <v>0.0</v>
      </c>
      <c r="M2407" s="37">
        <v>0.0</v>
      </c>
    </row>
    <row r="2408" ht="14.25" customHeight="1">
      <c r="A2408" t="s">
        <v>2471</v>
      </c>
      <c r="B2408" t="s">
        <v>2193</v>
      </c>
      <c r="C2408" t="s">
        <v>75</v>
      </c>
      <c r="D2408" t="s">
        <v>63</v>
      </c>
      <c r="E2408">
        <v>12.5</v>
      </c>
      <c r="F2408">
        <v>14.0</v>
      </c>
      <c r="G2408" s="2" t="s">
        <v>67</v>
      </c>
      <c r="H2408" s="2">
        <v>73.0</v>
      </c>
      <c r="I2408" s="2">
        <v>208.0</v>
      </c>
      <c r="J2408" s="37">
        <v>1909.9800000000002</v>
      </c>
      <c r="K2408" s="2">
        <v>85.0</v>
      </c>
      <c r="L2408" s="2">
        <v>450.0</v>
      </c>
      <c r="M2408" s="37">
        <v>2494.1000000000004</v>
      </c>
    </row>
    <row r="2409" ht="14.25" customHeight="1">
      <c r="A2409" t="s">
        <v>2472</v>
      </c>
      <c r="B2409" t="s">
        <v>2193</v>
      </c>
      <c r="C2409" t="s">
        <v>75</v>
      </c>
      <c r="D2409" t="s">
        <v>63</v>
      </c>
      <c r="E2409">
        <v>12.5</v>
      </c>
      <c r="F2409">
        <v>14.0</v>
      </c>
      <c r="G2409" s="2" t="s">
        <v>67</v>
      </c>
      <c r="H2409" s="2">
        <v>73.0</v>
      </c>
      <c r="I2409" s="2">
        <v>208.0</v>
      </c>
      <c r="J2409" s="37">
        <v>1909.9800000000002</v>
      </c>
      <c r="K2409" s="2">
        <v>85.0</v>
      </c>
      <c r="L2409" s="2">
        <v>450.0</v>
      </c>
      <c r="M2409" s="37">
        <v>2494.1000000000004</v>
      </c>
    </row>
    <row r="2410" ht="14.25" customHeight="1">
      <c r="A2410" t="s">
        <v>2473</v>
      </c>
      <c r="B2410" t="s">
        <v>2193</v>
      </c>
      <c r="C2410" t="s">
        <v>75</v>
      </c>
      <c r="D2410" t="s">
        <v>63</v>
      </c>
      <c r="E2410">
        <v>12.5</v>
      </c>
      <c r="F2410">
        <v>14.0</v>
      </c>
      <c r="G2410" s="2" t="s">
        <v>67</v>
      </c>
      <c r="H2410" s="2">
        <v>73.0</v>
      </c>
      <c r="I2410" s="2">
        <v>208.0</v>
      </c>
      <c r="J2410" s="37">
        <v>1909.9800000000002</v>
      </c>
      <c r="K2410" s="2">
        <v>85.0</v>
      </c>
      <c r="L2410" s="2">
        <v>450.0</v>
      </c>
      <c r="M2410" s="37">
        <v>2494.1000000000004</v>
      </c>
    </row>
    <row r="2411" ht="14.25" customHeight="1">
      <c r="A2411" t="s">
        <v>2474</v>
      </c>
      <c r="B2411" t="s">
        <v>2193</v>
      </c>
      <c r="C2411" t="s">
        <v>75</v>
      </c>
      <c r="D2411" t="s">
        <v>63</v>
      </c>
      <c r="E2411">
        <v>12.5</v>
      </c>
      <c r="F2411">
        <v>14.0</v>
      </c>
      <c r="G2411" s="2" t="s">
        <v>67</v>
      </c>
      <c r="H2411" s="2">
        <v>73.0</v>
      </c>
      <c r="I2411" s="2">
        <v>208.0</v>
      </c>
      <c r="J2411" s="37">
        <v>1909.9800000000002</v>
      </c>
      <c r="K2411" s="2">
        <v>85.0</v>
      </c>
      <c r="L2411" s="2">
        <v>450.0</v>
      </c>
      <c r="M2411" s="37">
        <v>2494.1000000000004</v>
      </c>
    </row>
    <row r="2412" ht="14.25" customHeight="1">
      <c r="A2412" t="s">
        <v>2475</v>
      </c>
      <c r="B2412" t="s">
        <v>2193</v>
      </c>
      <c r="C2412" t="s">
        <v>75</v>
      </c>
      <c r="D2412" t="s">
        <v>63</v>
      </c>
      <c r="E2412">
        <v>12.5</v>
      </c>
      <c r="F2412">
        <v>14.0</v>
      </c>
      <c r="G2412" s="2" t="s">
        <v>67</v>
      </c>
      <c r="H2412" s="2">
        <v>73.0</v>
      </c>
      <c r="I2412" s="2">
        <v>208.0</v>
      </c>
      <c r="J2412" s="37">
        <v>1909.9800000000002</v>
      </c>
      <c r="K2412" s="2">
        <v>85.0</v>
      </c>
      <c r="L2412" s="2">
        <v>450.0</v>
      </c>
      <c r="M2412" s="37">
        <v>2494.1000000000004</v>
      </c>
    </row>
    <row r="2413" ht="14.25" customHeight="1">
      <c r="A2413" t="s">
        <v>2476</v>
      </c>
      <c r="B2413" t="s">
        <v>2193</v>
      </c>
      <c r="C2413" t="s">
        <v>75</v>
      </c>
      <c r="D2413" t="s">
        <v>63</v>
      </c>
      <c r="E2413">
        <v>14.0</v>
      </c>
      <c r="F2413">
        <v>16.0</v>
      </c>
      <c r="G2413" s="2" t="s">
        <v>64</v>
      </c>
      <c r="H2413" s="2">
        <v>0.0</v>
      </c>
      <c r="I2413" s="2">
        <v>0.0</v>
      </c>
      <c r="J2413" s="37">
        <v>0.0</v>
      </c>
      <c r="K2413" s="2">
        <v>0.0</v>
      </c>
      <c r="L2413" s="2">
        <v>0.0</v>
      </c>
      <c r="M2413" s="37">
        <v>0.0</v>
      </c>
    </row>
    <row r="2414" ht="14.25" customHeight="1">
      <c r="A2414" t="s">
        <v>2477</v>
      </c>
      <c r="B2414" t="s">
        <v>2193</v>
      </c>
      <c r="C2414" t="s">
        <v>75</v>
      </c>
      <c r="D2414" t="s">
        <v>63</v>
      </c>
      <c r="E2414">
        <v>14.0</v>
      </c>
      <c r="F2414">
        <v>16.0</v>
      </c>
      <c r="G2414" s="2" t="s">
        <v>64</v>
      </c>
      <c r="H2414" s="2">
        <v>0.0</v>
      </c>
      <c r="I2414" s="2">
        <v>0.0</v>
      </c>
      <c r="J2414" s="37">
        <v>0.0</v>
      </c>
      <c r="K2414" s="2">
        <v>0.0</v>
      </c>
      <c r="L2414" s="2">
        <v>0.0</v>
      </c>
      <c r="M2414" s="37">
        <v>0.0</v>
      </c>
    </row>
    <row r="2415" ht="14.25" customHeight="1">
      <c r="A2415" t="s">
        <v>2478</v>
      </c>
      <c r="B2415" t="s">
        <v>2193</v>
      </c>
      <c r="C2415" t="s">
        <v>75</v>
      </c>
      <c r="D2415" t="s">
        <v>63</v>
      </c>
      <c r="E2415">
        <v>14.0</v>
      </c>
      <c r="F2415">
        <v>16.0</v>
      </c>
      <c r="G2415" s="2" t="s">
        <v>64</v>
      </c>
      <c r="H2415" s="2">
        <v>0.0</v>
      </c>
      <c r="I2415" s="2">
        <v>0.0</v>
      </c>
      <c r="J2415" s="37">
        <v>0.0</v>
      </c>
      <c r="K2415" s="2">
        <v>0.0</v>
      </c>
      <c r="L2415" s="2">
        <v>0.0</v>
      </c>
      <c r="M2415" s="37">
        <v>0.0</v>
      </c>
    </row>
    <row r="2416" ht="14.25" customHeight="1">
      <c r="A2416" t="s">
        <v>2226</v>
      </c>
      <c r="B2416" t="s">
        <v>2193</v>
      </c>
      <c r="C2416" t="s">
        <v>75</v>
      </c>
      <c r="D2416" t="s">
        <v>63</v>
      </c>
      <c r="E2416">
        <v>14.0</v>
      </c>
      <c r="F2416">
        <v>16.0</v>
      </c>
      <c r="G2416" s="2" t="s">
        <v>64</v>
      </c>
      <c r="H2416" s="2">
        <v>0.0</v>
      </c>
      <c r="I2416" s="2">
        <v>0.0</v>
      </c>
      <c r="J2416" s="37">
        <v>0.0</v>
      </c>
      <c r="K2416" s="2">
        <v>0.0</v>
      </c>
      <c r="L2416" s="2">
        <v>0.0</v>
      </c>
      <c r="M2416" s="37">
        <v>0.0</v>
      </c>
    </row>
    <row r="2417" ht="14.25" customHeight="1">
      <c r="A2417" t="s">
        <v>2479</v>
      </c>
      <c r="B2417" t="s">
        <v>2193</v>
      </c>
      <c r="C2417" t="s">
        <v>75</v>
      </c>
      <c r="D2417" t="s">
        <v>63</v>
      </c>
      <c r="E2417">
        <v>14.0</v>
      </c>
      <c r="F2417">
        <v>16.0</v>
      </c>
      <c r="G2417" s="2" t="s">
        <v>64</v>
      </c>
      <c r="H2417" s="2">
        <v>0.0</v>
      </c>
      <c r="I2417" s="2">
        <v>0.0</v>
      </c>
      <c r="J2417" s="37">
        <v>0.0</v>
      </c>
      <c r="K2417" s="2">
        <v>0.0</v>
      </c>
      <c r="L2417" s="2">
        <v>0.0</v>
      </c>
      <c r="M2417" s="37">
        <v>0.0</v>
      </c>
    </row>
    <row r="2418" ht="14.25" customHeight="1">
      <c r="A2418" t="s">
        <v>2480</v>
      </c>
      <c r="B2418" t="s">
        <v>2193</v>
      </c>
      <c r="C2418" t="s">
        <v>75</v>
      </c>
      <c r="D2418" t="s">
        <v>63</v>
      </c>
      <c r="E2418">
        <v>10.0</v>
      </c>
      <c r="F2418">
        <v>11.2</v>
      </c>
      <c r="G2418" s="2" t="s">
        <v>64</v>
      </c>
      <c r="H2418" s="2">
        <v>0.0</v>
      </c>
      <c r="I2418" s="2">
        <v>0.0</v>
      </c>
      <c r="J2418" s="37">
        <v>0.0</v>
      </c>
      <c r="K2418" s="2">
        <v>0.0</v>
      </c>
      <c r="L2418" s="2">
        <v>0.0</v>
      </c>
      <c r="M2418" s="37">
        <v>0.0</v>
      </c>
    </row>
    <row r="2419" ht="14.25" customHeight="1">
      <c r="A2419" t="s">
        <v>2481</v>
      </c>
      <c r="B2419" t="s">
        <v>2193</v>
      </c>
      <c r="C2419" t="s">
        <v>75</v>
      </c>
      <c r="D2419" t="s">
        <v>63</v>
      </c>
      <c r="E2419">
        <v>10.0</v>
      </c>
      <c r="F2419">
        <v>11.2</v>
      </c>
      <c r="G2419" s="2" t="s">
        <v>64</v>
      </c>
      <c r="H2419" s="2">
        <v>0.0</v>
      </c>
      <c r="I2419" s="2">
        <v>0.0</v>
      </c>
      <c r="J2419" s="37">
        <v>0.0</v>
      </c>
      <c r="K2419" s="2">
        <v>0.0</v>
      </c>
      <c r="L2419" s="2">
        <v>0.0</v>
      </c>
      <c r="M2419" s="37">
        <v>0.0</v>
      </c>
    </row>
    <row r="2420" ht="14.25" customHeight="1">
      <c r="A2420" t="s">
        <v>2482</v>
      </c>
      <c r="B2420" t="s">
        <v>2193</v>
      </c>
      <c r="C2420" t="s">
        <v>75</v>
      </c>
      <c r="D2420" t="s">
        <v>63</v>
      </c>
      <c r="E2420">
        <v>10.0</v>
      </c>
      <c r="F2420">
        <v>11.2</v>
      </c>
      <c r="G2420" s="2" t="s">
        <v>64</v>
      </c>
      <c r="H2420" s="2">
        <v>0.0</v>
      </c>
      <c r="I2420" s="2">
        <v>0.0</v>
      </c>
      <c r="J2420" s="37">
        <v>0.0</v>
      </c>
      <c r="K2420" s="2">
        <v>0.0</v>
      </c>
      <c r="L2420" s="2">
        <v>0.0</v>
      </c>
      <c r="M2420" s="37">
        <v>0.0</v>
      </c>
    </row>
    <row r="2421" ht="14.25" customHeight="1">
      <c r="A2421" t="s">
        <v>2483</v>
      </c>
      <c r="B2421" t="s">
        <v>2193</v>
      </c>
      <c r="C2421" t="s">
        <v>75</v>
      </c>
      <c r="D2421" t="s">
        <v>63</v>
      </c>
      <c r="E2421">
        <v>10.0</v>
      </c>
      <c r="F2421">
        <v>11.2</v>
      </c>
      <c r="G2421" s="2" t="s">
        <v>64</v>
      </c>
      <c r="H2421" s="2">
        <v>0.0</v>
      </c>
      <c r="I2421" s="2">
        <v>0.0</v>
      </c>
      <c r="J2421" s="37">
        <v>0.0</v>
      </c>
      <c r="K2421" s="2">
        <v>0.0</v>
      </c>
      <c r="L2421" s="2">
        <v>0.0</v>
      </c>
      <c r="M2421" s="37">
        <v>0.0</v>
      </c>
    </row>
    <row r="2422" ht="14.25" customHeight="1">
      <c r="A2422" t="s">
        <v>2484</v>
      </c>
      <c r="B2422" t="s">
        <v>2193</v>
      </c>
      <c r="C2422" t="s">
        <v>75</v>
      </c>
      <c r="D2422" t="s">
        <v>63</v>
      </c>
      <c r="E2422">
        <v>10.0</v>
      </c>
      <c r="F2422">
        <v>11.2</v>
      </c>
      <c r="G2422" s="2" t="s">
        <v>64</v>
      </c>
      <c r="H2422" s="2">
        <v>0.0</v>
      </c>
      <c r="I2422" s="2">
        <v>0.0</v>
      </c>
      <c r="J2422" s="37">
        <v>0.0</v>
      </c>
      <c r="K2422" s="2">
        <v>0.0</v>
      </c>
      <c r="L2422" s="2">
        <v>0.0</v>
      </c>
      <c r="M2422" s="37">
        <v>0.0</v>
      </c>
    </row>
    <row r="2423" ht="14.25" customHeight="1">
      <c r="A2423" t="s">
        <v>2485</v>
      </c>
      <c r="B2423" t="s">
        <v>2193</v>
      </c>
      <c r="C2423" t="s">
        <v>75</v>
      </c>
      <c r="D2423" t="s">
        <v>63</v>
      </c>
      <c r="E2423">
        <v>7.1</v>
      </c>
      <c r="F2423">
        <v>8.0</v>
      </c>
      <c r="G2423" s="2" t="s">
        <v>67</v>
      </c>
      <c r="H2423" s="2">
        <v>42.0</v>
      </c>
      <c r="I2423" s="2">
        <v>173.0</v>
      </c>
      <c r="J2423" s="37">
        <v>1168.22</v>
      </c>
      <c r="K2423" s="2">
        <v>49.0</v>
      </c>
      <c r="L2423" s="2">
        <v>311.0</v>
      </c>
      <c r="M2423" s="37">
        <v>1504.84</v>
      </c>
    </row>
    <row r="2424" ht="14.25" customHeight="1">
      <c r="A2424" t="s">
        <v>2486</v>
      </c>
      <c r="B2424" t="s">
        <v>2193</v>
      </c>
      <c r="C2424" t="s">
        <v>75</v>
      </c>
      <c r="D2424" t="s">
        <v>63</v>
      </c>
      <c r="E2424">
        <v>7.1</v>
      </c>
      <c r="F2424">
        <v>8.0</v>
      </c>
      <c r="G2424" s="2" t="s">
        <v>67</v>
      </c>
      <c r="H2424" s="2">
        <v>42.0</v>
      </c>
      <c r="I2424" s="2">
        <v>173.0</v>
      </c>
      <c r="J2424" s="37">
        <v>1168.22</v>
      </c>
      <c r="K2424" s="2">
        <v>49.0</v>
      </c>
      <c r="L2424" s="2">
        <v>311.0</v>
      </c>
      <c r="M2424" s="37">
        <v>1504.84</v>
      </c>
    </row>
    <row r="2425" ht="14.25" customHeight="1">
      <c r="A2425" t="s">
        <v>2487</v>
      </c>
      <c r="B2425" t="s">
        <v>2193</v>
      </c>
      <c r="C2425" t="s">
        <v>75</v>
      </c>
      <c r="D2425" t="s">
        <v>63</v>
      </c>
      <c r="E2425">
        <v>7.1</v>
      </c>
      <c r="F2425">
        <v>8.0</v>
      </c>
      <c r="G2425" s="2" t="s">
        <v>67</v>
      </c>
      <c r="H2425" s="2">
        <v>42.0</v>
      </c>
      <c r="I2425" s="2">
        <v>173.0</v>
      </c>
      <c r="J2425" s="37">
        <v>1168.22</v>
      </c>
      <c r="K2425" s="2">
        <v>49.0</v>
      </c>
      <c r="L2425" s="2">
        <v>311.0</v>
      </c>
      <c r="M2425" s="37">
        <v>1504.84</v>
      </c>
    </row>
    <row r="2426" ht="14.25" customHeight="1">
      <c r="A2426" t="s">
        <v>2488</v>
      </c>
      <c r="B2426" t="s">
        <v>2193</v>
      </c>
      <c r="C2426" t="s">
        <v>62</v>
      </c>
      <c r="D2426" t="s">
        <v>63</v>
      </c>
      <c r="E2426">
        <v>2.5</v>
      </c>
      <c r="F2426">
        <v>3.4</v>
      </c>
      <c r="G2426" s="2" t="s">
        <v>64</v>
      </c>
      <c r="H2426" s="2">
        <v>0.0</v>
      </c>
      <c r="I2426" s="2">
        <v>0.0</v>
      </c>
      <c r="J2426" s="37">
        <v>0.0</v>
      </c>
      <c r="K2426" s="2">
        <v>0.0</v>
      </c>
      <c r="L2426" s="2">
        <v>0.0</v>
      </c>
      <c r="M2426" s="37">
        <v>0.0</v>
      </c>
    </row>
    <row r="2427" ht="14.25" customHeight="1">
      <c r="A2427" t="s">
        <v>2489</v>
      </c>
      <c r="B2427" t="s">
        <v>2193</v>
      </c>
      <c r="C2427" t="s">
        <v>62</v>
      </c>
      <c r="D2427" t="s">
        <v>63</v>
      </c>
      <c r="E2427">
        <v>3.5</v>
      </c>
      <c r="F2427">
        <v>4.3</v>
      </c>
      <c r="G2427" s="2" t="s">
        <v>64</v>
      </c>
      <c r="H2427" s="2">
        <v>0.0</v>
      </c>
      <c r="I2427" s="2">
        <v>0.0</v>
      </c>
      <c r="J2427" s="37">
        <v>0.0</v>
      </c>
      <c r="K2427" s="2">
        <v>0.0</v>
      </c>
      <c r="L2427" s="2">
        <v>0.0</v>
      </c>
      <c r="M2427" s="37">
        <v>0.0</v>
      </c>
    </row>
    <row r="2428" ht="14.25" customHeight="1">
      <c r="A2428" t="s">
        <v>2490</v>
      </c>
      <c r="B2428" t="s">
        <v>2193</v>
      </c>
      <c r="C2428" t="s">
        <v>62</v>
      </c>
      <c r="D2428" t="s">
        <v>63</v>
      </c>
      <c r="E2428">
        <v>4.2</v>
      </c>
      <c r="F2428">
        <v>5.4</v>
      </c>
      <c r="G2428" s="2" t="s">
        <v>64</v>
      </c>
      <c r="H2428" s="2">
        <v>0.0</v>
      </c>
      <c r="I2428" s="2">
        <v>0.0</v>
      </c>
      <c r="J2428" s="37">
        <v>0.0</v>
      </c>
      <c r="K2428" s="2">
        <v>0.0</v>
      </c>
      <c r="L2428" s="2">
        <v>0.0</v>
      </c>
      <c r="M2428" s="37">
        <v>0.0</v>
      </c>
    </row>
    <row r="2429" ht="14.25" customHeight="1">
      <c r="A2429" t="s">
        <v>2491</v>
      </c>
      <c r="B2429" t="s">
        <v>2193</v>
      </c>
      <c r="C2429" t="s">
        <v>62</v>
      </c>
      <c r="D2429" t="s">
        <v>63</v>
      </c>
      <c r="E2429">
        <v>5.0</v>
      </c>
      <c r="F2429">
        <v>5.8</v>
      </c>
      <c r="G2429" s="2" t="s">
        <v>64</v>
      </c>
      <c r="H2429" s="2">
        <v>0.0</v>
      </c>
      <c r="I2429" s="2">
        <v>0.0</v>
      </c>
      <c r="J2429" s="37">
        <v>0.0</v>
      </c>
      <c r="K2429" s="2">
        <v>0.0</v>
      </c>
      <c r="L2429" s="2">
        <v>0.0</v>
      </c>
      <c r="M2429" s="37">
        <v>0.0</v>
      </c>
    </row>
    <row r="2430" ht="14.25" customHeight="1">
      <c r="A2430" t="s">
        <v>2492</v>
      </c>
      <c r="B2430" t="s">
        <v>2193</v>
      </c>
      <c r="C2430" t="s">
        <v>62</v>
      </c>
      <c r="D2430" t="s">
        <v>63</v>
      </c>
      <c r="E2430">
        <v>5.0</v>
      </c>
      <c r="F2430">
        <v>5.8</v>
      </c>
      <c r="G2430" s="2" t="s">
        <v>64</v>
      </c>
      <c r="H2430" s="2">
        <v>0.0</v>
      </c>
      <c r="I2430" s="2">
        <v>0.0</v>
      </c>
      <c r="J2430" s="37">
        <v>0.0</v>
      </c>
      <c r="K2430" s="2">
        <v>0.0</v>
      </c>
      <c r="L2430" s="2">
        <v>0.0</v>
      </c>
      <c r="M2430" s="37">
        <v>0.0</v>
      </c>
    </row>
    <row r="2431" ht="14.25" customHeight="1">
      <c r="A2431" t="s">
        <v>2493</v>
      </c>
      <c r="B2431" t="s">
        <v>2193</v>
      </c>
      <c r="C2431" t="s">
        <v>62</v>
      </c>
      <c r="D2431" t="s">
        <v>63</v>
      </c>
      <c r="E2431">
        <v>5.0</v>
      </c>
      <c r="F2431">
        <v>5.8</v>
      </c>
      <c r="G2431" s="2" t="s">
        <v>64</v>
      </c>
      <c r="H2431" s="2">
        <v>0.0</v>
      </c>
      <c r="I2431" s="2">
        <v>0.0</v>
      </c>
      <c r="J2431" s="37">
        <v>0.0</v>
      </c>
      <c r="K2431" s="2">
        <v>0.0</v>
      </c>
      <c r="L2431" s="2">
        <v>0.0</v>
      </c>
      <c r="M2431" s="37">
        <v>0.0</v>
      </c>
    </row>
    <row r="2432" ht="14.25" customHeight="1">
      <c r="A2432" t="s">
        <v>2494</v>
      </c>
      <c r="B2432" t="s">
        <v>2193</v>
      </c>
      <c r="C2432" t="s">
        <v>62</v>
      </c>
      <c r="D2432" t="s">
        <v>63</v>
      </c>
      <c r="E2432">
        <v>6.1</v>
      </c>
      <c r="F2432">
        <v>6.5</v>
      </c>
      <c r="G2432" s="2" t="s">
        <v>64</v>
      </c>
      <c r="H2432" s="2">
        <v>0.0</v>
      </c>
      <c r="I2432" s="2">
        <v>0.0</v>
      </c>
      <c r="J2432" s="37">
        <v>0.0</v>
      </c>
      <c r="K2432" s="2">
        <v>0.0</v>
      </c>
      <c r="L2432" s="2">
        <v>0.0</v>
      </c>
      <c r="M2432" s="37">
        <v>0.0</v>
      </c>
    </row>
    <row r="2433" ht="14.25" customHeight="1">
      <c r="A2433" t="s">
        <v>2495</v>
      </c>
      <c r="B2433" t="s">
        <v>2193</v>
      </c>
      <c r="C2433" t="s">
        <v>62</v>
      </c>
      <c r="D2433" t="s">
        <v>63</v>
      </c>
      <c r="E2433">
        <v>6.1</v>
      </c>
      <c r="F2433">
        <v>6.5</v>
      </c>
      <c r="G2433" s="2" t="s">
        <v>64</v>
      </c>
      <c r="H2433" s="2">
        <v>0.0</v>
      </c>
      <c r="I2433" s="2">
        <v>0.0</v>
      </c>
      <c r="J2433" s="37">
        <v>0.0</v>
      </c>
      <c r="K2433" s="2">
        <v>0.0</v>
      </c>
      <c r="L2433" s="2">
        <v>0.0</v>
      </c>
      <c r="M2433" s="37">
        <v>0.0</v>
      </c>
    </row>
    <row r="2434" ht="14.25" customHeight="1">
      <c r="A2434" t="s">
        <v>2496</v>
      </c>
      <c r="B2434" t="s">
        <v>2193</v>
      </c>
      <c r="C2434" t="s">
        <v>62</v>
      </c>
      <c r="D2434" t="s">
        <v>63</v>
      </c>
      <c r="E2434">
        <v>6.1</v>
      </c>
      <c r="F2434">
        <v>6.5</v>
      </c>
      <c r="G2434" s="2" t="s">
        <v>64</v>
      </c>
      <c r="H2434" s="2">
        <v>0.0</v>
      </c>
      <c r="I2434" s="2">
        <v>0.0</v>
      </c>
      <c r="J2434" s="37">
        <v>0.0</v>
      </c>
      <c r="K2434" s="2">
        <v>0.0</v>
      </c>
      <c r="L2434" s="2">
        <v>0.0</v>
      </c>
      <c r="M2434" s="37">
        <v>0.0</v>
      </c>
    </row>
    <row r="2435" ht="14.25" customHeight="1">
      <c r="A2435" t="s">
        <v>2497</v>
      </c>
      <c r="B2435" t="s">
        <v>2193</v>
      </c>
      <c r="C2435" t="s">
        <v>75</v>
      </c>
      <c r="D2435" t="s">
        <v>63</v>
      </c>
      <c r="E2435">
        <v>6.0</v>
      </c>
      <c r="F2435">
        <v>7.0</v>
      </c>
      <c r="G2435" s="2" t="s">
        <v>67</v>
      </c>
      <c r="H2435" s="2">
        <v>38.0</v>
      </c>
      <c r="I2435" s="2">
        <v>120.0</v>
      </c>
      <c r="J2435" s="37">
        <v>1009.48</v>
      </c>
      <c r="K2435" s="2">
        <v>44.0</v>
      </c>
      <c r="L2435" s="2">
        <v>237.0</v>
      </c>
      <c r="M2435" s="37">
        <v>1296.3400000000001</v>
      </c>
    </row>
    <row r="2436" ht="14.25" customHeight="1">
      <c r="A2436" t="s">
        <v>2498</v>
      </c>
      <c r="B2436" t="s">
        <v>2193</v>
      </c>
      <c r="C2436" t="s">
        <v>75</v>
      </c>
      <c r="D2436" t="s">
        <v>63</v>
      </c>
      <c r="E2436">
        <v>6.0</v>
      </c>
      <c r="F2436">
        <v>7.0</v>
      </c>
      <c r="G2436" s="2" t="s">
        <v>67</v>
      </c>
      <c r="H2436" s="2">
        <v>38.0</v>
      </c>
      <c r="I2436" s="2">
        <v>120.0</v>
      </c>
      <c r="J2436" s="37">
        <v>1009.48</v>
      </c>
      <c r="K2436" s="2">
        <v>44.0</v>
      </c>
      <c r="L2436" s="2">
        <v>237.0</v>
      </c>
      <c r="M2436" s="37">
        <v>1296.3400000000001</v>
      </c>
    </row>
    <row r="2437" ht="14.25" customHeight="1">
      <c r="A2437" t="s">
        <v>2499</v>
      </c>
      <c r="B2437" t="s">
        <v>2193</v>
      </c>
      <c r="C2437" t="s">
        <v>75</v>
      </c>
      <c r="D2437" t="s">
        <v>63</v>
      </c>
      <c r="E2437">
        <v>6.0</v>
      </c>
      <c r="F2437">
        <v>7.0</v>
      </c>
      <c r="G2437" s="2" t="s">
        <v>67</v>
      </c>
      <c r="H2437" s="2">
        <v>38.0</v>
      </c>
      <c r="I2437" s="2">
        <v>120.0</v>
      </c>
      <c r="J2437" s="37">
        <v>1009.48</v>
      </c>
      <c r="K2437" s="2">
        <v>44.0</v>
      </c>
      <c r="L2437" s="2">
        <v>237.0</v>
      </c>
      <c r="M2437" s="37">
        <v>1296.3400000000001</v>
      </c>
    </row>
    <row r="2438" ht="14.25" customHeight="1">
      <c r="A2438" t="s">
        <v>2500</v>
      </c>
      <c r="B2438" t="s">
        <v>2193</v>
      </c>
      <c r="C2438" t="s">
        <v>75</v>
      </c>
      <c r="D2438" t="s">
        <v>63</v>
      </c>
      <c r="E2438">
        <v>7.1</v>
      </c>
      <c r="F2438">
        <v>8.0</v>
      </c>
      <c r="G2438" s="2" t="s">
        <v>67</v>
      </c>
      <c r="H2438" s="2">
        <v>42.0</v>
      </c>
      <c r="I2438" s="2">
        <v>84.0</v>
      </c>
      <c r="J2438" s="37">
        <v>1052.52</v>
      </c>
      <c r="K2438" s="2">
        <v>49.0</v>
      </c>
      <c r="L2438" s="2">
        <v>221.0</v>
      </c>
      <c r="M2438" s="37">
        <v>1387.84</v>
      </c>
    </row>
    <row r="2439" ht="14.25" customHeight="1">
      <c r="A2439" t="s">
        <v>2501</v>
      </c>
      <c r="B2439" t="s">
        <v>2193</v>
      </c>
      <c r="C2439" t="s">
        <v>62</v>
      </c>
      <c r="D2439" t="s">
        <v>63</v>
      </c>
      <c r="E2439">
        <v>2.5</v>
      </c>
      <c r="F2439">
        <v>3.2</v>
      </c>
      <c r="G2439" s="2" t="s">
        <v>67</v>
      </c>
      <c r="H2439" s="2">
        <v>17.0</v>
      </c>
      <c r="I2439" s="2">
        <v>108.0</v>
      </c>
      <c r="J2439" s="37">
        <v>522.22</v>
      </c>
      <c r="K2439" s="2">
        <v>19.0</v>
      </c>
      <c r="L2439" s="2">
        <v>146.0</v>
      </c>
      <c r="M2439" s="37">
        <v>616.54</v>
      </c>
    </row>
    <row r="2440" ht="14.25" customHeight="1">
      <c r="A2440" t="s">
        <v>2502</v>
      </c>
      <c r="B2440" t="s">
        <v>2193</v>
      </c>
      <c r="C2440" t="s">
        <v>62</v>
      </c>
      <c r="D2440" t="s">
        <v>63</v>
      </c>
      <c r="E2440">
        <v>2.5</v>
      </c>
      <c r="F2440">
        <v>3.2</v>
      </c>
      <c r="G2440" s="2" t="s">
        <v>67</v>
      </c>
      <c r="H2440" s="2">
        <v>17.0</v>
      </c>
      <c r="I2440" s="2">
        <v>108.0</v>
      </c>
      <c r="J2440" s="37">
        <v>522.22</v>
      </c>
      <c r="K2440" s="2">
        <v>19.0</v>
      </c>
      <c r="L2440" s="2">
        <v>146.0</v>
      </c>
      <c r="M2440" s="37">
        <v>616.54</v>
      </c>
    </row>
    <row r="2441" ht="14.25" customHeight="1">
      <c r="A2441" t="s">
        <v>2503</v>
      </c>
      <c r="B2441" t="s">
        <v>2193</v>
      </c>
      <c r="C2441" t="s">
        <v>62</v>
      </c>
      <c r="D2441" t="s">
        <v>63</v>
      </c>
      <c r="E2441">
        <v>2.5</v>
      </c>
      <c r="F2441">
        <v>3.2</v>
      </c>
      <c r="G2441" s="2" t="s">
        <v>67</v>
      </c>
      <c r="H2441" s="2">
        <v>17.0</v>
      </c>
      <c r="I2441" s="2">
        <v>108.0</v>
      </c>
      <c r="J2441" s="37">
        <v>522.22</v>
      </c>
      <c r="K2441" s="2">
        <v>19.0</v>
      </c>
      <c r="L2441" s="2">
        <v>146.0</v>
      </c>
      <c r="M2441" s="37">
        <v>616.54</v>
      </c>
    </row>
    <row r="2442" ht="14.25" customHeight="1">
      <c r="A2442" t="s">
        <v>2504</v>
      </c>
      <c r="B2442" t="s">
        <v>2193</v>
      </c>
      <c r="C2442" t="s">
        <v>62</v>
      </c>
      <c r="D2442" t="s">
        <v>63</v>
      </c>
      <c r="E2442">
        <v>2.5</v>
      </c>
      <c r="F2442">
        <v>3.2</v>
      </c>
      <c r="G2442" s="2" t="s">
        <v>67</v>
      </c>
      <c r="H2442" s="2">
        <v>17.0</v>
      </c>
      <c r="I2442" s="2">
        <v>108.0</v>
      </c>
      <c r="J2442" s="37">
        <v>522.22</v>
      </c>
      <c r="K2442" s="2">
        <v>19.0</v>
      </c>
      <c r="L2442" s="2">
        <v>146.0</v>
      </c>
      <c r="M2442" s="37">
        <v>616.54</v>
      </c>
    </row>
    <row r="2443" ht="14.25" customHeight="1">
      <c r="A2443" t="s">
        <v>2505</v>
      </c>
      <c r="B2443" t="s">
        <v>2193</v>
      </c>
      <c r="C2443" t="s">
        <v>62</v>
      </c>
      <c r="D2443" t="s">
        <v>63</v>
      </c>
      <c r="E2443">
        <v>3.5</v>
      </c>
      <c r="F2443">
        <v>4.0</v>
      </c>
      <c r="G2443" s="2" t="s">
        <v>67</v>
      </c>
      <c r="H2443" s="2">
        <v>21.0</v>
      </c>
      <c r="I2443" s="2">
        <v>76.0</v>
      </c>
      <c r="J2443" s="37">
        <v>570.46</v>
      </c>
      <c r="K2443" s="2">
        <v>24.0</v>
      </c>
      <c r="L2443" s="2">
        <v>129.0</v>
      </c>
      <c r="M2443" s="37">
        <v>706.74</v>
      </c>
    </row>
    <row r="2444" ht="14.25" customHeight="1">
      <c r="A2444" t="s">
        <v>2506</v>
      </c>
      <c r="B2444" t="s">
        <v>2193</v>
      </c>
      <c r="C2444" t="s">
        <v>62</v>
      </c>
      <c r="D2444" t="s">
        <v>63</v>
      </c>
      <c r="E2444">
        <v>3.5</v>
      </c>
      <c r="F2444">
        <v>4.0</v>
      </c>
      <c r="G2444" s="2" t="s">
        <v>67</v>
      </c>
      <c r="H2444" s="2">
        <v>21.0</v>
      </c>
      <c r="I2444" s="2">
        <v>76.0</v>
      </c>
      <c r="J2444" s="37">
        <v>570.46</v>
      </c>
      <c r="K2444" s="2">
        <v>24.0</v>
      </c>
      <c r="L2444" s="2">
        <v>129.0</v>
      </c>
      <c r="M2444" s="37">
        <v>706.74</v>
      </c>
    </row>
    <row r="2445" ht="14.25" customHeight="1">
      <c r="A2445" t="s">
        <v>2507</v>
      </c>
      <c r="B2445" t="s">
        <v>2193</v>
      </c>
      <c r="C2445" t="s">
        <v>62</v>
      </c>
      <c r="D2445" t="s">
        <v>63</v>
      </c>
      <c r="E2445">
        <v>3.5</v>
      </c>
      <c r="F2445">
        <v>4.0</v>
      </c>
      <c r="G2445" s="2" t="s">
        <v>67</v>
      </c>
      <c r="H2445" s="2">
        <v>21.0</v>
      </c>
      <c r="I2445" s="2">
        <v>76.0</v>
      </c>
      <c r="J2445" s="37">
        <v>570.46</v>
      </c>
      <c r="K2445" s="2">
        <v>24.0</v>
      </c>
      <c r="L2445" s="2">
        <v>129.0</v>
      </c>
      <c r="M2445" s="37">
        <v>706.74</v>
      </c>
    </row>
    <row r="2446" ht="14.25" customHeight="1">
      <c r="A2446" t="s">
        <v>2508</v>
      </c>
      <c r="B2446" t="s">
        <v>2193</v>
      </c>
      <c r="C2446" t="s">
        <v>62</v>
      </c>
      <c r="D2446" t="s">
        <v>63</v>
      </c>
      <c r="E2446">
        <v>3.5</v>
      </c>
      <c r="F2446">
        <v>4.0</v>
      </c>
      <c r="G2446" s="2" t="s">
        <v>67</v>
      </c>
      <c r="H2446" s="2">
        <v>21.0</v>
      </c>
      <c r="I2446" s="2">
        <v>76.0</v>
      </c>
      <c r="J2446" s="37">
        <v>570.46</v>
      </c>
      <c r="K2446" s="2">
        <v>24.0</v>
      </c>
      <c r="L2446" s="2">
        <v>129.0</v>
      </c>
      <c r="M2446" s="37">
        <v>706.74</v>
      </c>
    </row>
    <row r="2447" ht="14.25" customHeight="1">
      <c r="A2447" t="s">
        <v>2509</v>
      </c>
      <c r="B2447" t="s">
        <v>2193</v>
      </c>
      <c r="C2447" t="s">
        <v>62</v>
      </c>
      <c r="D2447" t="s">
        <v>63</v>
      </c>
      <c r="E2447">
        <v>2.0</v>
      </c>
      <c r="F2447">
        <v>2.5</v>
      </c>
      <c r="G2447" s="2" t="s">
        <v>64</v>
      </c>
      <c r="H2447" s="2">
        <v>0.0</v>
      </c>
      <c r="I2447" s="2">
        <v>0.0</v>
      </c>
      <c r="J2447" s="37">
        <v>0.0</v>
      </c>
      <c r="K2447" s="2">
        <v>0.0</v>
      </c>
      <c r="L2447" s="2">
        <v>0.0</v>
      </c>
      <c r="M2447" s="37">
        <v>0.0</v>
      </c>
    </row>
    <row r="2448" ht="14.25" customHeight="1">
      <c r="A2448" t="s">
        <v>2510</v>
      </c>
      <c r="B2448" t="s">
        <v>2193</v>
      </c>
      <c r="C2448" t="s">
        <v>62</v>
      </c>
      <c r="D2448" t="s">
        <v>63</v>
      </c>
      <c r="E2448">
        <v>2.0</v>
      </c>
      <c r="F2448">
        <v>2.5</v>
      </c>
      <c r="G2448" s="2" t="s">
        <v>64</v>
      </c>
      <c r="H2448" s="2">
        <v>0.0</v>
      </c>
      <c r="I2448" s="2">
        <v>0.0</v>
      </c>
      <c r="J2448" s="37">
        <v>0.0</v>
      </c>
      <c r="K2448" s="2">
        <v>0.0</v>
      </c>
      <c r="L2448" s="2">
        <v>0.0</v>
      </c>
      <c r="M2448" s="37">
        <v>0.0</v>
      </c>
    </row>
    <row r="2449" ht="14.25" customHeight="1">
      <c r="A2449" t="s">
        <v>2511</v>
      </c>
      <c r="B2449" t="s">
        <v>2193</v>
      </c>
      <c r="C2449" t="s">
        <v>62</v>
      </c>
      <c r="D2449" t="s">
        <v>63</v>
      </c>
      <c r="E2449">
        <v>2.0</v>
      </c>
      <c r="F2449">
        <v>2.5</v>
      </c>
      <c r="G2449" s="2" t="s">
        <v>64</v>
      </c>
      <c r="H2449" s="2">
        <v>0.0</v>
      </c>
      <c r="I2449" s="2">
        <v>0.0</v>
      </c>
      <c r="J2449" s="37">
        <v>0.0</v>
      </c>
      <c r="K2449" s="2">
        <v>0.0</v>
      </c>
      <c r="L2449" s="2">
        <v>0.0</v>
      </c>
      <c r="M2449" s="37">
        <v>0.0</v>
      </c>
    </row>
    <row r="2450" ht="14.25" customHeight="1">
      <c r="A2450" t="s">
        <v>2512</v>
      </c>
      <c r="B2450" t="s">
        <v>2193</v>
      </c>
      <c r="C2450" t="s">
        <v>62</v>
      </c>
      <c r="D2450" t="s">
        <v>63</v>
      </c>
      <c r="E2450">
        <v>12.0</v>
      </c>
      <c r="F2450">
        <v>14.0</v>
      </c>
      <c r="G2450" s="2" t="s">
        <v>64</v>
      </c>
      <c r="H2450" s="2">
        <v>0.0</v>
      </c>
      <c r="I2450" s="2">
        <v>0.0</v>
      </c>
      <c r="J2450" s="37">
        <v>0.0</v>
      </c>
      <c r="K2450" s="2">
        <v>0.0</v>
      </c>
      <c r="L2450" s="2">
        <v>0.0</v>
      </c>
      <c r="M2450" s="37">
        <v>0.0</v>
      </c>
    </row>
    <row r="2451" ht="14.25" customHeight="1">
      <c r="A2451" t="s">
        <v>2513</v>
      </c>
      <c r="B2451" t="s">
        <v>2193</v>
      </c>
      <c r="C2451" t="s">
        <v>62</v>
      </c>
      <c r="D2451" t="s">
        <v>63</v>
      </c>
      <c r="E2451">
        <v>12.0</v>
      </c>
      <c r="F2451">
        <v>14.0</v>
      </c>
      <c r="G2451" s="2" t="s">
        <v>64</v>
      </c>
      <c r="H2451" s="2">
        <v>0.0</v>
      </c>
      <c r="I2451" s="2">
        <v>0.0</v>
      </c>
      <c r="J2451" s="37">
        <v>0.0</v>
      </c>
      <c r="K2451" s="2">
        <v>0.0</v>
      </c>
      <c r="L2451" s="2">
        <v>0.0</v>
      </c>
      <c r="M2451" s="37">
        <v>0.0</v>
      </c>
    </row>
    <row r="2452" ht="14.25" customHeight="1">
      <c r="A2452" t="s">
        <v>2514</v>
      </c>
      <c r="B2452" t="s">
        <v>2193</v>
      </c>
      <c r="C2452" t="s">
        <v>62</v>
      </c>
      <c r="D2452" t="s">
        <v>63</v>
      </c>
      <c r="E2452">
        <v>12.0</v>
      </c>
      <c r="F2452">
        <v>14.0</v>
      </c>
      <c r="G2452" s="2" t="s">
        <v>64</v>
      </c>
      <c r="H2452" s="2">
        <v>0.0</v>
      </c>
      <c r="I2452" s="2">
        <v>0.0</v>
      </c>
      <c r="J2452" s="37">
        <v>0.0</v>
      </c>
      <c r="K2452" s="2">
        <v>0.0</v>
      </c>
      <c r="L2452" s="2">
        <v>0.0</v>
      </c>
      <c r="M2452" s="37">
        <v>0.0</v>
      </c>
    </row>
    <row r="2453" ht="14.25" customHeight="1">
      <c r="A2453" t="s">
        <v>2515</v>
      </c>
      <c r="B2453" t="s">
        <v>2193</v>
      </c>
      <c r="C2453" t="s">
        <v>62</v>
      </c>
      <c r="D2453" t="s">
        <v>63</v>
      </c>
      <c r="E2453">
        <v>10.0</v>
      </c>
      <c r="F2453">
        <v>11.2</v>
      </c>
      <c r="G2453" s="2" t="s">
        <v>67</v>
      </c>
      <c r="H2453" s="2">
        <v>58.0</v>
      </c>
      <c r="I2453" s="2">
        <v>193.0</v>
      </c>
      <c r="J2453" s="37">
        <v>1553.5800000000002</v>
      </c>
      <c r="K2453" s="2">
        <v>68.0</v>
      </c>
      <c r="L2453" s="2">
        <v>387.0</v>
      </c>
      <c r="M2453" s="37">
        <v>2030.38</v>
      </c>
    </row>
    <row r="2454" ht="14.25" customHeight="1">
      <c r="A2454" t="s">
        <v>2516</v>
      </c>
      <c r="B2454" t="s">
        <v>2193</v>
      </c>
      <c r="C2454" t="s">
        <v>62</v>
      </c>
      <c r="D2454" t="s">
        <v>63</v>
      </c>
      <c r="E2454">
        <v>10.0</v>
      </c>
      <c r="F2454">
        <v>11.2</v>
      </c>
      <c r="G2454" s="2" t="s">
        <v>67</v>
      </c>
      <c r="H2454" s="2">
        <v>58.0</v>
      </c>
      <c r="I2454" s="2">
        <v>193.0</v>
      </c>
      <c r="J2454" s="37">
        <v>1553.5800000000002</v>
      </c>
      <c r="K2454" s="2">
        <v>68.0</v>
      </c>
      <c r="L2454" s="2">
        <v>387.0</v>
      </c>
      <c r="M2454" s="37">
        <v>2030.38</v>
      </c>
    </row>
    <row r="2455" ht="14.25" customHeight="1">
      <c r="A2455" t="s">
        <v>2517</v>
      </c>
      <c r="B2455" t="s">
        <v>2193</v>
      </c>
      <c r="C2455" t="s">
        <v>62</v>
      </c>
      <c r="D2455" t="s">
        <v>63</v>
      </c>
      <c r="E2455">
        <v>10.0</v>
      </c>
      <c r="F2455">
        <v>11.2</v>
      </c>
      <c r="G2455" s="2" t="s">
        <v>67</v>
      </c>
      <c r="H2455" s="2">
        <v>58.0</v>
      </c>
      <c r="I2455" s="2">
        <v>193.0</v>
      </c>
      <c r="J2455" s="37">
        <v>1553.5800000000002</v>
      </c>
      <c r="K2455" s="2">
        <v>68.0</v>
      </c>
      <c r="L2455" s="2">
        <v>387.0</v>
      </c>
      <c r="M2455" s="37">
        <v>2030.38</v>
      </c>
    </row>
    <row r="2456" ht="14.25" customHeight="1">
      <c r="A2456" t="s">
        <v>2518</v>
      </c>
      <c r="B2456" t="s">
        <v>2193</v>
      </c>
      <c r="C2456" t="s">
        <v>62</v>
      </c>
      <c r="D2456" t="s">
        <v>63</v>
      </c>
      <c r="E2456">
        <v>11.5</v>
      </c>
      <c r="F2456">
        <v>14.0</v>
      </c>
      <c r="G2456" s="2" t="s">
        <v>64</v>
      </c>
      <c r="H2456" s="2">
        <v>0.0</v>
      </c>
      <c r="I2456" s="2">
        <v>0.0</v>
      </c>
      <c r="J2456" s="37">
        <v>0.0</v>
      </c>
      <c r="K2456" s="2">
        <v>0.0</v>
      </c>
      <c r="L2456" s="2">
        <v>0.0</v>
      </c>
      <c r="M2456" s="37">
        <v>0.0</v>
      </c>
    </row>
    <row r="2457" ht="14.25" customHeight="1">
      <c r="A2457" t="s">
        <v>2519</v>
      </c>
      <c r="B2457" t="s">
        <v>2193</v>
      </c>
      <c r="C2457" t="s">
        <v>62</v>
      </c>
      <c r="D2457" t="s">
        <v>63</v>
      </c>
      <c r="E2457">
        <v>11.5</v>
      </c>
      <c r="F2457">
        <v>14.0</v>
      </c>
      <c r="G2457" s="2" t="s">
        <v>64</v>
      </c>
      <c r="H2457" s="2">
        <v>0.0</v>
      </c>
      <c r="I2457" s="2">
        <v>0.0</v>
      </c>
      <c r="J2457" s="37">
        <v>0.0</v>
      </c>
      <c r="K2457" s="2">
        <v>0.0</v>
      </c>
      <c r="L2457" s="2">
        <v>0.0</v>
      </c>
      <c r="M2457" s="37">
        <v>0.0</v>
      </c>
    </row>
    <row r="2458" ht="14.25" customHeight="1">
      <c r="A2458" t="s">
        <v>2520</v>
      </c>
      <c r="B2458" t="s">
        <v>2193</v>
      </c>
      <c r="C2458" t="s">
        <v>62</v>
      </c>
      <c r="D2458" t="s">
        <v>63</v>
      </c>
      <c r="E2458">
        <v>11.5</v>
      </c>
      <c r="F2458">
        <v>14.0</v>
      </c>
      <c r="G2458" s="2" t="s">
        <v>64</v>
      </c>
      <c r="H2458" s="2">
        <v>0.0</v>
      </c>
      <c r="I2458" s="2">
        <v>0.0</v>
      </c>
      <c r="J2458" s="37">
        <v>0.0</v>
      </c>
      <c r="K2458" s="2">
        <v>0.0</v>
      </c>
      <c r="L2458" s="2">
        <v>0.0</v>
      </c>
      <c r="M2458" s="37">
        <v>0.0</v>
      </c>
    </row>
    <row r="2459" ht="14.25" customHeight="1">
      <c r="A2459" t="s">
        <v>2521</v>
      </c>
      <c r="B2459" t="s">
        <v>2193</v>
      </c>
      <c r="C2459" t="s">
        <v>62</v>
      </c>
      <c r="D2459" t="s">
        <v>63</v>
      </c>
      <c r="E2459">
        <v>10.0</v>
      </c>
      <c r="F2459">
        <v>11.2</v>
      </c>
      <c r="G2459" s="2" t="s">
        <v>64</v>
      </c>
      <c r="H2459" s="2">
        <v>0.0</v>
      </c>
      <c r="I2459" s="2">
        <v>0.0</v>
      </c>
      <c r="J2459" s="37">
        <v>0.0</v>
      </c>
      <c r="K2459" s="2">
        <v>0.0</v>
      </c>
      <c r="L2459" s="2">
        <v>0.0</v>
      </c>
      <c r="M2459" s="37">
        <v>0.0</v>
      </c>
    </row>
    <row r="2460" ht="14.25" customHeight="1">
      <c r="A2460" t="s">
        <v>2522</v>
      </c>
      <c r="B2460" t="s">
        <v>2193</v>
      </c>
      <c r="C2460" t="s">
        <v>62</v>
      </c>
      <c r="D2460" t="s">
        <v>63</v>
      </c>
      <c r="E2460">
        <v>10.0</v>
      </c>
      <c r="F2460">
        <v>11.2</v>
      </c>
      <c r="G2460" s="2" t="s">
        <v>64</v>
      </c>
      <c r="H2460" s="2">
        <v>0.0</v>
      </c>
      <c r="I2460" s="2">
        <v>0.0</v>
      </c>
      <c r="J2460" s="37">
        <v>0.0</v>
      </c>
      <c r="K2460" s="2">
        <v>0.0</v>
      </c>
      <c r="L2460" s="2">
        <v>0.0</v>
      </c>
      <c r="M2460" s="37">
        <v>0.0</v>
      </c>
    </row>
    <row r="2461" ht="14.25" customHeight="1">
      <c r="A2461" t="s">
        <v>2523</v>
      </c>
      <c r="B2461" t="s">
        <v>2193</v>
      </c>
      <c r="C2461" t="s">
        <v>62</v>
      </c>
      <c r="D2461" t="s">
        <v>63</v>
      </c>
      <c r="E2461">
        <v>10.0</v>
      </c>
      <c r="F2461">
        <v>11.2</v>
      </c>
      <c r="G2461" s="2" t="s">
        <v>64</v>
      </c>
      <c r="H2461" s="2">
        <v>0.0</v>
      </c>
      <c r="I2461" s="2">
        <v>0.0</v>
      </c>
      <c r="J2461" s="37">
        <v>0.0</v>
      </c>
      <c r="K2461" s="2">
        <v>0.0</v>
      </c>
      <c r="L2461" s="2">
        <v>0.0</v>
      </c>
      <c r="M2461" s="37">
        <v>0.0</v>
      </c>
    </row>
    <row r="2462" ht="14.25" customHeight="1">
      <c r="A2462" t="s">
        <v>2524</v>
      </c>
      <c r="B2462" t="s">
        <v>2193</v>
      </c>
      <c r="C2462" t="s">
        <v>75</v>
      </c>
      <c r="D2462" t="s">
        <v>63</v>
      </c>
      <c r="E2462">
        <v>14.0</v>
      </c>
      <c r="F2462">
        <v>16.0</v>
      </c>
      <c r="G2462" s="2" t="s">
        <v>64</v>
      </c>
      <c r="H2462" s="2">
        <v>0.0</v>
      </c>
      <c r="I2462" s="2">
        <v>0.0</v>
      </c>
      <c r="J2462" s="37">
        <v>0.0</v>
      </c>
      <c r="K2462" s="2">
        <v>0.0</v>
      </c>
      <c r="L2462" s="2">
        <v>0.0</v>
      </c>
      <c r="M2462" s="37">
        <v>0.0</v>
      </c>
    </row>
    <row r="2463" ht="14.25" customHeight="1">
      <c r="A2463" t="s">
        <v>2525</v>
      </c>
      <c r="B2463" t="s">
        <v>2193</v>
      </c>
      <c r="C2463" t="s">
        <v>75</v>
      </c>
      <c r="D2463" t="s">
        <v>63</v>
      </c>
      <c r="E2463">
        <v>12.0</v>
      </c>
      <c r="F2463">
        <v>14.0</v>
      </c>
      <c r="G2463" s="2" t="s">
        <v>64</v>
      </c>
      <c r="H2463" s="2">
        <v>0.0</v>
      </c>
      <c r="I2463" s="2">
        <v>0.0</v>
      </c>
      <c r="J2463" s="37">
        <v>0.0</v>
      </c>
      <c r="K2463" s="2">
        <v>0.0</v>
      </c>
      <c r="L2463" s="2">
        <v>0.0</v>
      </c>
      <c r="M2463" s="37">
        <v>0.0</v>
      </c>
    </row>
    <row r="2464" ht="14.25" customHeight="1">
      <c r="A2464" t="s">
        <v>2526</v>
      </c>
      <c r="B2464" t="s">
        <v>2193</v>
      </c>
      <c r="C2464" t="s">
        <v>75</v>
      </c>
      <c r="D2464" t="s">
        <v>63</v>
      </c>
      <c r="E2464">
        <v>10.0</v>
      </c>
      <c r="F2464">
        <v>12.5</v>
      </c>
      <c r="G2464" s="2" t="s">
        <v>64</v>
      </c>
      <c r="H2464" s="2">
        <v>0.0</v>
      </c>
      <c r="I2464" s="2">
        <v>0.0</v>
      </c>
      <c r="J2464" s="37">
        <v>0.0</v>
      </c>
      <c r="K2464" s="2">
        <v>0.0</v>
      </c>
      <c r="L2464" s="2">
        <v>0.0</v>
      </c>
      <c r="M2464" s="37">
        <v>0.0</v>
      </c>
    </row>
    <row r="2465" ht="14.25" customHeight="1">
      <c r="A2465" t="s">
        <v>2527</v>
      </c>
      <c r="B2465" t="s">
        <v>2193</v>
      </c>
      <c r="C2465" t="s">
        <v>75</v>
      </c>
      <c r="D2465" t="s">
        <v>63</v>
      </c>
      <c r="E2465">
        <v>10.0</v>
      </c>
      <c r="F2465">
        <v>11.2</v>
      </c>
      <c r="G2465" s="2" t="s">
        <v>67</v>
      </c>
      <c r="H2465" s="2">
        <v>63.0</v>
      </c>
      <c r="I2465" s="2">
        <v>468.0</v>
      </c>
      <c r="J2465" s="37">
        <v>2023.38</v>
      </c>
      <c r="K2465" s="2">
        <v>73.0</v>
      </c>
      <c r="L2465" s="2">
        <v>662.0</v>
      </c>
      <c r="M2465" s="37">
        <v>2500.1800000000003</v>
      </c>
    </row>
    <row r="2466" ht="14.25" customHeight="1">
      <c r="A2466" t="s">
        <v>2528</v>
      </c>
      <c r="B2466" t="s">
        <v>2193</v>
      </c>
      <c r="C2466" t="s">
        <v>75</v>
      </c>
      <c r="D2466" t="s">
        <v>63</v>
      </c>
      <c r="E2466">
        <v>10.0</v>
      </c>
      <c r="F2466">
        <v>11.2</v>
      </c>
      <c r="G2466" s="2" t="s">
        <v>67</v>
      </c>
      <c r="H2466" s="2">
        <v>63.0</v>
      </c>
      <c r="I2466" s="2">
        <v>468.0</v>
      </c>
      <c r="J2466" s="37">
        <v>2023.38</v>
      </c>
      <c r="K2466" s="2">
        <v>73.0</v>
      </c>
      <c r="L2466" s="2">
        <v>662.0</v>
      </c>
      <c r="M2466" s="37">
        <v>2500.1800000000003</v>
      </c>
    </row>
    <row r="2467" ht="14.25" customHeight="1">
      <c r="A2467" t="s">
        <v>2529</v>
      </c>
      <c r="B2467" t="s">
        <v>2193</v>
      </c>
      <c r="C2467" t="s">
        <v>75</v>
      </c>
      <c r="D2467" t="s">
        <v>63</v>
      </c>
      <c r="E2467">
        <v>10.0</v>
      </c>
      <c r="F2467">
        <v>11.2</v>
      </c>
      <c r="G2467" s="2" t="s">
        <v>67</v>
      </c>
      <c r="H2467" s="2">
        <v>63.0</v>
      </c>
      <c r="I2467" s="2">
        <v>468.0</v>
      </c>
      <c r="J2467" s="37">
        <v>2023.38</v>
      </c>
      <c r="K2467" s="2">
        <v>73.0</v>
      </c>
      <c r="L2467" s="2">
        <v>662.0</v>
      </c>
      <c r="M2467" s="37">
        <v>2500.1800000000003</v>
      </c>
    </row>
    <row r="2468" ht="14.25" customHeight="1">
      <c r="A2468" t="s">
        <v>2530</v>
      </c>
      <c r="B2468" t="s">
        <v>2193</v>
      </c>
      <c r="C2468" t="s">
        <v>75</v>
      </c>
      <c r="D2468" t="s">
        <v>63</v>
      </c>
      <c r="E2468">
        <v>12.5</v>
      </c>
      <c r="F2468">
        <v>14.0</v>
      </c>
      <c r="G2468" s="2" t="s">
        <v>67</v>
      </c>
      <c r="H2468" s="2">
        <v>75.0</v>
      </c>
      <c r="I2468" s="2">
        <v>287.0</v>
      </c>
      <c r="J2468" s="37">
        <v>2057.6</v>
      </c>
      <c r="K2468" s="2">
        <v>87.0</v>
      </c>
      <c r="L2468" s="2">
        <v>529.0</v>
      </c>
      <c r="M2468" s="37">
        <v>2641.7200000000003</v>
      </c>
    </row>
    <row r="2469" ht="14.25" customHeight="1">
      <c r="A2469" t="s">
        <v>2531</v>
      </c>
      <c r="B2469" t="s">
        <v>2193</v>
      </c>
      <c r="C2469" t="s">
        <v>75</v>
      </c>
      <c r="D2469" t="s">
        <v>63</v>
      </c>
      <c r="E2469">
        <v>12.5</v>
      </c>
      <c r="F2469">
        <v>14.0</v>
      </c>
      <c r="G2469" s="2" t="s">
        <v>67</v>
      </c>
      <c r="H2469" s="2">
        <v>75.0</v>
      </c>
      <c r="I2469" s="2">
        <v>287.0</v>
      </c>
      <c r="J2469" s="37">
        <v>2057.6</v>
      </c>
      <c r="K2469" s="2">
        <v>87.0</v>
      </c>
      <c r="L2469" s="2">
        <v>529.0</v>
      </c>
      <c r="M2469" s="37">
        <v>2641.7200000000003</v>
      </c>
    </row>
    <row r="2470" ht="14.25" customHeight="1">
      <c r="A2470" t="s">
        <v>2532</v>
      </c>
      <c r="B2470" t="s">
        <v>2193</v>
      </c>
      <c r="C2470" t="s">
        <v>75</v>
      </c>
      <c r="D2470" t="s">
        <v>63</v>
      </c>
      <c r="E2470">
        <v>12.5</v>
      </c>
      <c r="F2470">
        <v>14.0</v>
      </c>
      <c r="G2470" s="2" t="s">
        <v>67</v>
      </c>
      <c r="H2470" s="2">
        <v>75.0</v>
      </c>
      <c r="I2470" s="2">
        <v>287.0</v>
      </c>
      <c r="J2470" s="37">
        <v>2057.6</v>
      </c>
      <c r="K2470" s="2">
        <v>87.0</v>
      </c>
      <c r="L2470" s="2">
        <v>529.0</v>
      </c>
      <c r="M2470" s="37">
        <v>2641.7200000000003</v>
      </c>
    </row>
    <row r="2471" ht="14.25" customHeight="1">
      <c r="A2471" t="s">
        <v>2533</v>
      </c>
      <c r="B2471" t="s">
        <v>2193</v>
      </c>
      <c r="C2471" t="s">
        <v>75</v>
      </c>
      <c r="D2471" t="s">
        <v>63</v>
      </c>
      <c r="E2471">
        <v>14.0</v>
      </c>
      <c r="F2471">
        <v>16.0</v>
      </c>
      <c r="G2471" s="2" t="s">
        <v>67</v>
      </c>
      <c r="H2471" s="2">
        <v>86.0</v>
      </c>
      <c r="I2471" s="2">
        <v>233.0</v>
      </c>
      <c r="J2471" s="37">
        <v>2234.46</v>
      </c>
      <c r="K2471" s="2">
        <v>100.0</v>
      </c>
      <c r="L2471" s="2">
        <v>504.0</v>
      </c>
      <c r="M2471" s="37">
        <v>2901.2</v>
      </c>
    </row>
    <row r="2472" ht="14.25" customHeight="1">
      <c r="A2472" t="s">
        <v>2234</v>
      </c>
      <c r="B2472" t="s">
        <v>2193</v>
      </c>
      <c r="C2472" t="s">
        <v>75</v>
      </c>
      <c r="D2472" t="s">
        <v>63</v>
      </c>
      <c r="E2472">
        <v>14.0</v>
      </c>
      <c r="F2472">
        <v>16.0</v>
      </c>
      <c r="G2472" s="2" t="s">
        <v>67</v>
      </c>
      <c r="H2472" s="2">
        <v>0.0</v>
      </c>
      <c r="I2472" s="2">
        <v>0.0</v>
      </c>
      <c r="J2472" s="37">
        <v>0.0</v>
      </c>
      <c r="K2472" s="2">
        <v>0.0</v>
      </c>
      <c r="L2472" s="2">
        <v>0.0</v>
      </c>
      <c r="M2472" s="37">
        <v>0.0</v>
      </c>
    </row>
    <row r="2473" ht="14.25" customHeight="1">
      <c r="A2473" t="s">
        <v>2534</v>
      </c>
      <c r="B2473" t="s">
        <v>2193</v>
      </c>
      <c r="C2473" t="s">
        <v>75</v>
      </c>
      <c r="D2473" t="s">
        <v>63</v>
      </c>
      <c r="E2473">
        <v>10.0</v>
      </c>
      <c r="F2473">
        <v>11.2</v>
      </c>
      <c r="G2473" s="2" t="s">
        <v>67</v>
      </c>
      <c r="H2473" s="2">
        <v>63.0</v>
      </c>
      <c r="I2473" s="2">
        <v>468.0</v>
      </c>
      <c r="J2473" s="37">
        <v>2023.38</v>
      </c>
      <c r="K2473" s="2">
        <v>73.0</v>
      </c>
      <c r="L2473" s="2">
        <v>662.0</v>
      </c>
      <c r="M2473" s="37">
        <v>2500.1800000000003</v>
      </c>
    </row>
    <row r="2474" ht="14.25" customHeight="1">
      <c r="A2474" t="s">
        <v>2535</v>
      </c>
      <c r="B2474" t="s">
        <v>2193</v>
      </c>
      <c r="C2474" t="s">
        <v>75</v>
      </c>
      <c r="D2474" t="s">
        <v>63</v>
      </c>
      <c r="E2474">
        <v>10.0</v>
      </c>
      <c r="F2474">
        <v>11.2</v>
      </c>
      <c r="G2474" s="2" t="s">
        <v>67</v>
      </c>
      <c r="H2474" s="2">
        <v>63.0</v>
      </c>
      <c r="I2474" s="2">
        <v>468.0</v>
      </c>
      <c r="J2474" s="37">
        <v>2023.38</v>
      </c>
      <c r="K2474" s="2">
        <v>73.0</v>
      </c>
      <c r="L2474" s="2">
        <v>662.0</v>
      </c>
      <c r="M2474" s="37">
        <v>2500.1800000000003</v>
      </c>
    </row>
    <row r="2475" ht="14.25" customHeight="1">
      <c r="A2475" t="s">
        <v>2536</v>
      </c>
      <c r="B2475" t="s">
        <v>2193</v>
      </c>
      <c r="C2475" t="s">
        <v>75</v>
      </c>
      <c r="D2475" t="s">
        <v>63</v>
      </c>
      <c r="E2475">
        <v>10.0</v>
      </c>
      <c r="F2475">
        <v>11.2</v>
      </c>
      <c r="G2475" s="2" t="s">
        <v>67</v>
      </c>
      <c r="H2475" s="2">
        <v>63.0</v>
      </c>
      <c r="I2475" s="2">
        <v>468.0</v>
      </c>
      <c r="J2475" s="37">
        <v>2023.38</v>
      </c>
      <c r="K2475" s="2">
        <v>73.0</v>
      </c>
      <c r="L2475" s="2">
        <v>662.0</v>
      </c>
      <c r="M2475" s="37">
        <v>2500.1800000000003</v>
      </c>
    </row>
    <row r="2476" ht="14.25" customHeight="1">
      <c r="A2476" t="s">
        <v>2537</v>
      </c>
      <c r="B2476" t="s">
        <v>2193</v>
      </c>
      <c r="C2476" t="s">
        <v>75</v>
      </c>
      <c r="D2476" t="s">
        <v>63</v>
      </c>
      <c r="E2476">
        <v>12.5</v>
      </c>
      <c r="F2476">
        <v>14.0</v>
      </c>
      <c r="G2476" s="2" t="s">
        <v>64</v>
      </c>
      <c r="H2476" s="2">
        <v>0.0</v>
      </c>
      <c r="I2476" s="2">
        <v>0.0</v>
      </c>
      <c r="J2476" s="37">
        <v>0.0</v>
      </c>
      <c r="K2476" s="2">
        <v>0.0</v>
      </c>
      <c r="L2476" s="2">
        <v>0.0</v>
      </c>
      <c r="M2476" s="37">
        <v>0.0</v>
      </c>
    </row>
    <row r="2477" ht="14.25" customHeight="1">
      <c r="A2477" t="s">
        <v>2538</v>
      </c>
      <c r="B2477" t="s">
        <v>2193</v>
      </c>
      <c r="C2477" t="s">
        <v>75</v>
      </c>
      <c r="D2477" t="s">
        <v>63</v>
      </c>
      <c r="E2477">
        <v>12.5</v>
      </c>
      <c r="F2477">
        <v>14.0</v>
      </c>
      <c r="G2477" s="2" t="s">
        <v>64</v>
      </c>
      <c r="H2477" s="2">
        <v>0.0</v>
      </c>
      <c r="I2477" s="2">
        <v>0.0</v>
      </c>
      <c r="J2477" s="37">
        <v>0.0</v>
      </c>
      <c r="K2477" s="2">
        <v>0.0</v>
      </c>
      <c r="L2477" s="2">
        <v>0.0</v>
      </c>
      <c r="M2477" s="37">
        <v>0.0</v>
      </c>
    </row>
    <row r="2478" ht="14.25" customHeight="1">
      <c r="A2478" t="s">
        <v>2539</v>
      </c>
      <c r="B2478" t="s">
        <v>2193</v>
      </c>
      <c r="C2478" t="s">
        <v>75</v>
      </c>
      <c r="D2478" t="s">
        <v>63</v>
      </c>
      <c r="E2478">
        <v>12.5</v>
      </c>
      <c r="F2478">
        <v>14.0</v>
      </c>
      <c r="G2478" s="2" t="s">
        <v>64</v>
      </c>
      <c r="H2478" s="2">
        <v>0.0</v>
      </c>
      <c r="I2478" s="2">
        <v>0.0</v>
      </c>
      <c r="J2478" s="37">
        <v>0.0</v>
      </c>
      <c r="K2478" s="2">
        <v>0.0</v>
      </c>
      <c r="L2478" s="2">
        <v>0.0</v>
      </c>
      <c r="M2478" s="37">
        <v>0.0</v>
      </c>
    </row>
    <row r="2479" ht="14.25" customHeight="1">
      <c r="A2479" t="s">
        <v>2540</v>
      </c>
      <c r="B2479" t="s">
        <v>2193</v>
      </c>
      <c r="C2479" t="s">
        <v>75</v>
      </c>
      <c r="D2479" t="s">
        <v>63</v>
      </c>
      <c r="E2479">
        <v>14.0</v>
      </c>
      <c r="F2479">
        <v>16.0</v>
      </c>
      <c r="G2479" s="2" t="s">
        <v>67</v>
      </c>
      <c r="H2479" s="2">
        <v>86.0</v>
      </c>
      <c r="I2479" s="2">
        <v>233.0</v>
      </c>
      <c r="J2479" s="37">
        <v>2234.46</v>
      </c>
      <c r="K2479" s="2">
        <v>100.0</v>
      </c>
      <c r="L2479" s="2">
        <v>504.0</v>
      </c>
      <c r="M2479" s="37">
        <v>2901.2</v>
      </c>
    </row>
    <row r="2480" ht="14.25" customHeight="1">
      <c r="A2480" t="s">
        <v>2541</v>
      </c>
      <c r="B2480" t="s">
        <v>2193</v>
      </c>
      <c r="C2480" t="s">
        <v>75</v>
      </c>
      <c r="D2480" t="s">
        <v>63</v>
      </c>
      <c r="E2480">
        <v>14.0</v>
      </c>
      <c r="F2480">
        <v>16.0</v>
      </c>
      <c r="G2480" s="2" t="s">
        <v>67</v>
      </c>
      <c r="H2480" s="2">
        <v>86.0</v>
      </c>
      <c r="I2480" s="2">
        <v>233.0</v>
      </c>
      <c r="J2480" s="37">
        <v>2234.46</v>
      </c>
      <c r="K2480" s="2">
        <v>100.0</v>
      </c>
      <c r="L2480" s="2">
        <v>504.0</v>
      </c>
      <c r="M2480" s="37">
        <v>2901.2</v>
      </c>
    </row>
    <row r="2481" ht="14.25" customHeight="1">
      <c r="A2481" t="s">
        <v>2542</v>
      </c>
      <c r="B2481" t="s">
        <v>2193</v>
      </c>
      <c r="C2481" t="s">
        <v>75</v>
      </c>
      <c r="D2481" t="s">
        <v>63</v>
      </c>
      <c r="E2481">
        <v>14.0</v>
      </c>
      <c r="F2481">
        <v>16.0</v>
      </c>
      <c r="G2481" s="2" t="s">
        <v>67</v>
      </c>
      <c r="H2481" s="2">
        <v>86.0</v>
      </c>
      <c r="I2481" s="2">
        <v>233.0</v>
      </c>
      <c r="J2481" s="37">
        <v>2234.46</v>
      </c>
      <c r="K2481" s="2">
        <v>100.0</v>
      </c>
      <c r="L2481" s="2">
        <v>504.0</v>
      </c>
      <c r="M2481" s="37">
        <v>2901.2</v>
      </c>
    </row>
    <row r="2482" ht="14.25" customHeight="1">
      <c r="A2482" t="s">
        <v>2543</v>
      </c>
      <c r="B2482" t="s">
        <v>2193</v>
      </c>
      <c r="C2482" t="s">
        <v>75</v>
      </c>
      <c r="D2482" t="s">
        <v>63</v>
      </c>
      <c r="E2482">
        <v>10.0</v>
      </c>
      <c r="F2482">
        <v>11.2</v>
      </c>
      <c r="G2482" s="2" t="s">
        <v>67</v>
      </c>
      <c r="H2482" s="2">
        <v>64.0</v>
      </c>
      <c r="I2482" s="2">
        <v>322.0</v>
      </c>
      <c r="J2482" s="37">
        <v>1856.04</v>
      </c>
      <c r="K2482" s="2">
        <v>74.0</v>
      </c>
      <c r="L2482" s="2">
        <v>516.0</v>
      </c>
      <c r="M2482" s="37">
        <v>2332.84</v>
      </c>
    </row>
    <row r="2483" ht="14.25" customHeight="1">
      <c r="A2483" t="s">
        <v>2544</v>
      </c>
      <c r="B2483" t="s">
        <v>2193</v>
      </c>
      <c r="C2483" t="s">
        <v>75</v>
      </c>
      <c r="D2483" t="s">
        <v>63</v>
      </c>
      <c r="E2483">
        <v>10.0</v>
      </c>
      <c r="F2483">
        <v>11.2</v>
      </c>
      <c r="G2483" s="2" t="s">
        <v>67</v>
      </c>
      <c r="H2483" s="2">
        <v>64.0</v>
      </c>
      <c r="I2483" s="2">
        <v>322.0</v>
      </c>
      <c r="J2483" s="37">
        <v>1856.04</v>
      </c>
      <c r="K2483" s="2">
        <v>74.0</v>
      </c>
      <c r="L2483" s="2">
        <v>516.0</v>
      </c>
      <c r="M2483" s="37">
        <v>2332.84</v>
      </c>
    </row>
    <row r="2484" ht="14.25" customHeight="1">
      <c r="A2484" t="s">
        <v>2545</v>
      </c>
      <c r="B2484" t="s">
        <v>2193</v>
      </c>
      <c r="C2484" t="s">
        <v>75</v>
      </c>
      <c r="D2484" t="s">
        <v>63</v>
      </c>
      <c r="E2484">
        <v>10.0</v>
      </c>
      <c r="F2484">
        <v>11.2</v>
      </c>
      <c r="G2484" s="2" t="s">
        <v>67</v>
      </c>
      <c r="H2484" s="2">
        <v>64.0</v>
      </c>
      <c r="I2484" s="2">
        <v>322.0</v>
      </c>
      <c r="J2484" s="37">
        <v>1856.04</v>
      </c>
      <c r="K2484" s="2">
        <v>74.0</v>
      </c>
      <c r="L2484" s="2">
        <v>516.0</v>
      </c>
      <c r="M2484" s="37">
        <v>2332.84</v>
      </c>
    </row>
    <row r="2485" ht="14.25" customHeight="1">
      <c r="A2485" t="s">
        <v>2546</v>
      </c>
      <c r="B2485" t="s">
        <v>2193</v>
      </c>
      <c r="C2485" t="s">
        <v>75</v>
      </c>
      <c r="D2485" t="s">
        <v>63</v>
      </c>
      <c r="E2485">
        <v>12.5</v>
      </c>
      <c r="F2485">
        <v>14.0</v>
      </c>
      <c r="G2485" s="2" t="s">
        <v>67</v>
      </c>
      <c r="H2485" s="2">
        <v>77.0</v>
      </c>
      <c r="I2485" s="2">
        <v>298.0</v>
      </c>
      <c r="J2485" s="37">
        <v>2116.82</v>
      </c>
      <c r="K2485" s="2">
        <v>90.0</v>
      </c>
      <c r="L2485" s="2">
        <v>540.0</v>
      </c>
      <c r="M2485" s="37">
        <v>2723.4</v>
      </c>
    </row>
    <row r="2486" ht="14.25" customHeight="1">
      <c r="A2486" t="s">
        <v>2547</v>
      </c>
      <c r="B2486" t="s">
        <v>2193</v>
      </c>
      <c r="C2486" t="s">
        <v>75</v>
      </c>
      <c r="D2486" t="s">
        <v>63</v>
      </c>
      <c r="E2486">
        <v>12.5</v>
      </c>
      <c r="F2486">
        <v>14.0</v>
      </c>
      <c r="G2486" s="2" t="s">
        <v>67</v>
      </c>
      <c r="H2486" s="2">
        <v>77.0</v>
      </c>
      <c r="I2486" s="2">
        <v>298.0</v>
      </c>
      <c r="J2486" s="37">
        <v>2116.82</v>
      </c>
      <c r="K2486" s="2">
        <v>90.0</v>
      </c>
      <c r="L2486" s="2">
        <v>540.0</v>
      </c>
      <c r="M2486" s="37">
        <v>2723.4</v>
      </c>
    </row>
    <row r="2487" ht="14.25" customHeight="1">
      <c r="A2487" t="s">
        <v>2548</v>
      </c>
      <c r="B2487" t="s">
        <v>2193</v>
      </c>
      <c r="C2487" t="s">
        <v>75</v>
      </c>
      <c r="D2487" t="s">
        <v>63</v>
      </c>
      <c r="E2487">
        <v>12.5</v>
      </c>
      <c r="F2487">
        <v>14.0</v>
      </c>
      <c r="G2487" s="2" t="s">
        <v>67</v>
      </c>
      <c r="H2487" s="2">
        <v>77.0</v>
      </c>
      <c r="I2487" s="2">
        <v>298.0</v>
      </c>
      <c r="J2487" s="37">
        <v>2116.82</v>
      </c>
      <c r="K2487" s="2">
        <v>90.0</v>
      </c>
      <c r="L2487" s="2">
        <v>540.0</v>
      </c>
      <c r="M2487" s="37">
        <v>2723.4</v>
      </c>
    </row>
    <row r="2488" ht="14.25" customHeight="1">
      <c r="A2488" t="s">
        <v>2549</v>
      </c>
      <c r="B2488" t="s">
        <v>2193</v>
      </c>
      <c r="C2488" t="s">
        <v>75</v>
      </c>
      <c r="D2488" t="s">
        <v>63</v>
      </c>
      <c r="E2488">
        <v>14.0</v>
      </c>
      <c r="F2488">
        <v>16.0</v>
      </c>
      <c r="G2488" s="2" t="s">
        <v>67</v>
      </c>
      <c r="H2488" s="2">
        <v>87.0</v>
      </c>
      <c r="I2488" s="2">
        <v>182.0</v>
      </c>
      <c r="J2488" s="37">
        <v>2190.62</v>
      </c>
      <c r="K2488" s="2">
        <v>101.0</v>
      </c>
      <c r="L2488" s="2">
        <v>454.0</v>
      </c>
      <c r="M2488" s="37">
        <v>2858.66</v>
      </c>
    </row>
    <row r="2489" ht="14.25" customHeight="1">
      <c r="A2489" t="s">
        <v>2235</v>
      </c>
      <c r="B2489" t="s">
        <v>2193</v>
      </c>
      <c r="C2489" t="s">
        <v>75</v>
      </c>
      <c r="D2489" t="s">
        <v>63</v>
      </c>
      <c r="E2489">
        <v>14.0</v>
      </c>
      <c r="F2489">
        <v>16.0</v>
      </c>
      <c r="G2489" s="2" t="s">
        <v>67</v>
      </c>
      <c r="H2489" s="2">
        <v>0.0</v>
      </c>
      <c r="I2489" s="2">
        <v>0.0</v>
      </c>
      <c r="J2489" s="37">
        <v>0.0</v>
      </c>
      <c r="K2489" s="2">
        <v>0.0</v>
      </c>
      <c r="L2489" s="2">
        <v>0.0</v>
      </c>
      <c r="M2489" s="37">
        <v>0.0</v>
      </c>
    </row>
    <row r="2490" ht="14.25" customHeight="1">
      <c r="A2490" t="s">
        <v>2550</v>
      </c>
      <c r="B2490" t="s">
        <v>2193</v>
      </c>
      <c r="C2490" t="s">
        <v>75</v>
      </c>
      <c r="D2490" t="s">
        <v>63</v>
      </c>
      <c r="E2490">
        <v>14.0</v>
      </c>
      <c r="F2490">
        <v>16.0</v>
      </c>
      <c r="G2490" s="2" t="s">
        <v>67</v>
      </c>
      <c r="H2490" s="2">
        <v>87.0</v>
      </c>
      <c r="I2490" s="2">
        <v>182.0</v>
      </c>
      <c r="J2490" s="37">
        <v>2190.62</v>
      </c>
      <c r="K2490" s="2">
        <v>101.0</v>
      </c>
      <c r="L2490" s="2">
        <v>454.0</v>
      </c>
      <c r="M2490" s="37">
        <v>2858.66</v>
      </c>
    </row>
    <row r="2491" ht="14.25" customHeight="1">
      <c r="A2491" t="s">
        <v>2551</v>
      </c>
      <c r="B2491" t="s">
        <v>2193</v>
      </c>
      <c r="C2491" t="s">
        <v>75</v>
      </c>
      <c r="D2491" t="s">
        <v>63</v>
      </c>
      <c r="E2491">
        <v>10.0</v>
      </c>
      <c r="F2491">
        <v>11.2</v>
      </c>
      <c r="G2491" s="2" t="s">
        <v>67</v>
      </c>
      <c r="H2491" s="2">
        <v>64.0</v>
      </c>
      <c r="I2491" s="2">
        <v>322.0</v>
      </c>
      <c r="J2491" s="37">
        <v>1856.04</v>
      </c>
      <c r="K2491" s="2">
        <v>74.0</v>
      </c>
      <c r="L2491" s="2">
        <v>516.0</v>
      </c>
      <c r="M2491" s="37">
        <v>2332.84</v>
      </c>
    </row>
    <row r="2492" ht="14.25" customHeight="1">
      <c r="A2492" t="s">
        <v>2552</v>
      </c>
      <c r="B2492" t="s">
        <v>2193</v>
      </c>
      <c r="C2492" t="s">
        <v>75</v>
      </c>
      <c r="D2492" t="s">
        <v>63</v>
      </c>
      <c r="E2492">
        <v>10.0</v>
      </c>
      <c r="F2492">
        <v>11.2</v>
      </c>
      <c r="G2492" s="2" t="s">
        <v>67</v>
      </c>
      <c r="H2492" s="2">
        <v>64.0</v>
      </c>
      <c r="I2492" s="2">
        <v>322.0</v>
      </c>
      <c r="J2492" s="37">
        <v>1856.04</v>
      </c>
      <c r="K2492" s="2">
        <v>74.0</v>
      </c>
      <c r="L2492" s="2">
        <v>516.0</v>
      </c>
      <c r="M2492" s="37">
        <v>2332.84</v>
      </c>
    </row>
    <row r="2493" ht="14.25" customHeight="1">
      <c r="A2493" t="s">
        <v>2553</v>
      </c>
      <c r="B2493" t="s">
        <v>2193</v>
      </c>
      <c r="C2493" t="s">
        <v>75</v>
      </c>
      <c r="D2493" t="s">
        <v>63</v>
      </c>
      <c r="E2493">
        <v>10.0</v>
      </c>
      <c r="F2493">
        <v>11.2</v>
      </c>
      <c r="G2493" s="2" t="s">
        <v>67</v>
      </c>
      <c r="H2493" s="2">
        <v>64.0</v>
      </c>
      <c r="I2493" s="2">
        <v>322.0</v>
      </c>
      <c r="J2493" s="37">
        <v>1856.04</v>
      </c>
      <c r="K2493" s="2">
        <v>74.0</v>
      </c>
      <c r="L2493" s="2">
        <v>516.0</v>
      </c>
      <c r="M2493" s="37">
        <v>2332.84</v>
      </c>
    </row>
    <row r="2494" ht="14.25" customHeight="1">
      <c r="A2494" t="s">
        <v>2554</v>
      </c>
      <c r="B2494" t="s">
        <v>2193</v>
      </c>
      <c r="C2494" t="s">
        <v>75</v>
      </c>
      <c r="D2494" t="s">
        <v>63</v>
      </c>
      <c r="E2494">
        <v>12.5</v>
      </c>
      <c r="F2494">
        <v>14.0</v>
      </c>
      <c r="G2494" s="2" t="s">
        <v>67</v>
      </c>
      <c r="H2494" s="2">
        <v>77.0</v>
      </c>
      <c r="I2494" s="2">
        <v>298.0</v>
      </c>
      <c r="J2494" s="37">
        <v>2116.82</v>
      </c>
      <c r="K2494" s="2">
        <v>90.0</v>
      </c>
      <c r="L2494" s="2">
        <v>540.0</v>
      </c>
      <c r="M2494" s="37">
        <v>2723.4</v>
      </c>
    </row>
    <row r="2495" ht="14.25" customHeight="1">
      <c r="A2495" t="s">
        <v>2555</v>
      </c>
      <c r="B2495" t="s">
        <v>2193</v>
      </c>
      <c r="C2495" t="s">
        <v>75</v>
      </c>
      <c r="D2495" t="s">
        <v>63</v>
      </c>
      <c r="E2495">
        <v>12.5</v>
      </c>
      <c r="F2495">
        <v>14.0</v>
      </c>
      <c r="G2495" s="2" t="s">
        <v>67</v>
      </c>
      <c r="H2495" s="2">
        <v>77.0</v>
      </c>
      <c r="I2495" s="2">
        <v>298.0</v>
      </c>
      <c r="J2495" s="37">
        <v>2116.82</v>
      </c>
      <c r="K2495" s="2">
        <v>90.0</v>
      </c>
      <c r="L2495" s="2">
        <v>540.0</v>
      </c>
      <c r="M2495" s="37">
        <v>2723.4</v>
      </c>
    </row>
    <row r="2496" ht="14.25" customHeight="1">
      <c r="A2496" t="s">
        <v>2556</v>
      </c>
      <c r="B2496" t="s">
        <v>2193</v>
      </c>
      <c r="C2496" t="s">
        <v>75</v>
      </c>
      <c r="D2496" t="s">
        <v>63</v>
      </c>
      <c r="E2496">
        <v>12.5</v>
      </c>
      <c r="F2496">
        <v>14.0</v>
      </c>
      <c r="G2496" s="2" t="s">
        <v>67</v>
      </c>
      <c r="H2496" s="2">
        <v>77.0</v>
      </c>
      <c r="I2496" s="2">
        <v>298.0</v>
      </c>
      <c r="J2496" s="37">
        <v>2116.82</v>
      </c>
      <c r="K2496" s="2">
        <v>90.0</v>
      </c>
      <c r="L2496" s="2">
        <v>540.0</v>
      </c>
      <c r="M2496" s="37">
        <v>2723.4</v>
      </c>
    </row>
    <row r="2497" ht="14.25" customHeight="1">
      <c r="A2497" t="s">
        <v>2557</v>
      </c>
      <c r="B2497" t="s">
        <v>2193</v>
      </c>
      <c r="C2497" t="s">
        <v>75</v>
      </c>
      <c r="D2497" t="s">
        <v>63</v>
      </c>
      <c r="E2497">
        <v>14.0</v>
      </c>
      <c r="F2497">
        <v>16.0</v>
      </c>
      <c r="G2497" s="2" t="s">
        <v>67</v>
      </c>
      <c r="H2497" s="2">
        <v>87.0</v>
      </c>
      <c r="I2497" s="2">
        <v>182.0</v>
      </c>
      <c r="J2497" s="37">
        <v>2190.62</v>
      </c>
      <c r="K2497" s="2">
        <v>101.0</v>
      </c>
      <c r="L2497" s="2">
        <v>454.0</v>
      </c>
      <c r="M2497" s="37">
        <v>2858.66</v>
      </c>
    </row>
    <row r="2498" ht="14.25" customHeight="1">
      <c r="A2498" t="s">
        <v>2558</v>
      </c>
      <c r="B2498" t="s">
        <v>2193</v>
      </c>
      <c r="C2498" t="s">
        <v>75</v>
      </c>
      <c r="D2498" t="s">
        <v>63</v>
      </c>
      <c r="E2498">
        <v>14.0</v>
      </c>
      <c r="F2498">
        <v>16.0</v>
      </c>
      <c r="G2498" s="2" t="s">
        <v>67</v>
      </c>
      <c r="H2498" s="2">
        <v>87.0</v>
      </c>
      <c r="I2498" s="2">
        <v>182.0</v>
      </c>
      <c r="J2498" s="37">
        <v>2190.62</v>
      </c>
      <c r="K2498" s="2">
        <v>101.0</v>
      </c>
      <c r="L2498" s="2">
        <v>454.0</v>
      </c>
      <c r="M2498" s="37">
        <v>2858.66</v>
      </c>
    </row>
    <row r="2499" ht="14.25" customHeight="1">
      <c r="A2499" t="s">
        <v>2559</v>
      </c>
      <c r="B2499" t="s">
        <v>2193</v>
      </c>
      <c r="C2499" t="s">
        <v>75</v>
      </c>
      <c r="D2499" t="s">
        <v>63</v>
      </c>
      <c r="E2499">
        <v>14.0</v>
      </c>
      <c r="F2499">
        <v>16.0</v>
      </c>
      <c r="G2499" s="2" t="s">
        <v>67</v>
      </c>
      <c r="H2499" s="2">
        <v>87.0</v>
      </c>
      <c r="I2499" s="2">
        <v>182.0</v>
      </c>
      <c r="J2499" s="37">
        <v>2190.62</v>
      </c>
      <c r="K2499" s="2">
        <v>101.0</v>
      </c>
      <c r="L2499" s="2">
        <v>454.0</v>
      </c>
      <c r="M2499" s="37">
        <v>2858.66</v>
      </c>
    </row>
    <row r="2500" ht="14.25" customHeight="1">
      <c r="A2500" t="s">
        <v>2560</v>
      </c>
      <c r="B2500" t="s">
        <v>2193</v>
      </c>
      <c r="C2500" t="s">
        <v>62</v>
      </c>
      <c r="D2500" t="s">
        <v>63</v>
      </c>
      <c r="E2500">
        <v>2.5</v>
      </c>
      <c r="F2500">
        <v>3.1</v>
      </c>
      <c r="G2500" s="2" t="s">
        <v>64</v>
      </c>
      <c r="H2500" s="2">
        <v>0.0</v>
      </c>
      <c r="I2500" s="2">
        <v>0.0</v>
      </c>
      <c r="J2500" s="37">
        <v>0.0</v>
      </c>
      <c r="K2500" s="2">
        <v>0.0</v>
      </c>
      <c r="L2500" s="2">
        <v>0.0</v>
      </c>
      <c r="M2500" s="37">
        <v>0.0</v>
      </c>
    </row>
    <row r="2501" ht="14.25" customHeight="1">
      <c r="A2501" t="s">
        <v>2561</v>
      </c>
      <c r="B2501" t="s">
        <v>2193</v>
      </c>
      <c r="C2501" t="s">
        <v>62</v>
      </c>
      <c r="D2501" t="s">
        <v>63</v>
      </c>
      <c r="E2501">
        <v>2.5</v>
      </c>
      <c r="F2501">
        <v>3.1</v>
      </c>
      <c r="G2501" s="2" t="s">
        <v>64</v>
      </c>
      <c r="H2501" s="2">
        <v>0.0</v>
      </c>
      <c r="I2501" s="2">
        <v>0.0</v>
      </c>
      <c r="J2501" s="37">
        <v>0.0</v>
      </c>
      <c r="K2501" s="2">
        <v>0.0</v>
      </c>
      <c r="L2501" s="2">
        <v>0.0</v>
      </c>
      <c r="M2501" s="37">
        <v>0.0</v>
      </c>
    </row>
    <row r="2502" ht="14.25" customHeight="1">
      <c r="A2502" t="s">
        <v>2562</v>
      </c>
      <c r="B2502" t="s">
        <v>2193</v>
      </c>
      <c r="C2502" t="s">
        <v>62</v>
      </c>
      <c r="D2502" t="s">
        <v>63</v>
      </c>
      <c r="E2502">
        <v>2.5</v>
      </c>
      <c r="F2502">
        <v>3.1</v>
      </c>
      <c r="G2502" s="2" t="s">
        <v>64</v>
      </c>
      <c r="H2502" s="2">
        <v>0.0</v>
      </c>
      <c r="I2502" s="2">
        <v>0.0</v>
      </c>
      <c r="J2502" s="37">
        <v>0.0</v>
      </c>
      <c r="K2502" s="2">
        <v>0.0</v>
      </c>
      <c r="L2502" s="2">
        <v>0.0</v>
      </c>
      <c r="M2502" s="37">
        <v>0.0</v>
      </c>
    </row>
    <row r="2503" ht="14.25" customHeight="1">
      <c r="A2503" t="s">
        <v>2563</v>
      </c>
      <c r="B2503" t="s">
        <v>2193</v>
      </c>
      <c r="C2503" t="s">
        <v>62</v>
      </c>
      <c r="D2503" t="s">
        <v>63</v>
      </c>
      <c r="E2503">
        <v>5.0</v>
      </c>
      <c r="F2503">
        <v>5.5</v>
      </c>
      <c r="G2503" s="2" t="s">
        <v>67</v>
      </c>
      <c r="H2503" s="2">
        <v>31.0</v>
      </c>
      <c r="I2503" s="2">
        <v>197.0</v>
      </c>
      <c r="J2503" s="37">
        <v>952.36</v>
      </c>
      <c r="K2503" s="2">
        <v>35.0</v>
      </c>
      <c r="L2503" s="2">
        <v>283.0</v>
      </c>
      <c r="M2503" s="37">
        <v>1154.0</v>
      </c>
    </row>
    <row r="2504" ht="14.25" customHeight="1">
      <c r="A2504" t="s">
        <v>2564</v>
      </c>
      <c r="B2504" t="s">
        <v>2193</v>
      </c>
      <c r="C2504" t="s">
        <v>62</v>
      </c>
      <c r="D2504" t="s">
        <v>63</v>
      </c>
      <c r="E2504">
        <v>5.0</v>
      </c>
      <c r="F2504">
        <v>5.5</v>
      </c>
      <c r="G2504" s="2" t="s">
        <v>67</v>
      </c>
      <c r="H2504" s="2">
        <v>31.0</v>
      </c>
      <c r="I2504" s="2">
        <v>197.0</v>
      </c>
      <c r="J2504" s="37">
        <v>952.36</v>
      </c>
      <c r="K2504" s="2">
        <v>35.0</v>
      </c>
      <c r="L2504" s="2">
        <v>283.0</v>
      </c>
      <c r="M2504" s="37">
        <v>1154.0</v>
      </c>
    </row>
    <row r="2505" ht="14.25" customHeight="1">
      <c r="A2505" t="s">
        <v>2565</v>
      </c>
      <c r="B2505" t="s">
        <v>2193</v>
      </c>
      <c r="C2505" t="s">
        <v>62</v>
      </c>
      <c r="D2505" t="s">
        <v>63</v>
      </c>
      <c r="E2505">
        <v>5.0</v>
      </c>
      <c r="F2505">
        <v>5.5</v>
      </c>
      <c r="G2505" s="2" t="s">
        <v>67</v>
      </c>
      <c r="H2505" s="2">
        <v>31.0</v>
      </c>
      <c r="I2505" s="2">
        <v>197.0</v>
      </c>
      <c r="J2505" s="37">
        <v>952.36</v>
      </c>
      <c r="K2505" s="2">
        <v>35.0</v>
      </c>
      <c r="L2505" s="2">
        <v>283.0</v>
      </c>
      <c r="M2505" s="37">
        <v>1154.0</v>
      </c>
    </row>
    <row r="2506" ht="14.25" customHeight="1">
      <c r="A2506" t="s">
        <v>2566</v>
      </c>
      <c r="B2506" t="s">
        <v>2193</v>
      </c>
      <c r="C2506" t="s">
        <v>62</v>
      </c>
      <c r="D2506" t="s">
        <v>63</v>
      </c>
      <c r="E2506">
        <v>5.0</v>
      </c>
      <c r="F2506">
        <v>5.5</v>
      </c>
      <c r="G2506" s="2" t="s">
        <v>67</v>
      </c>
      <c r="H2506" s="2">
        <v>31.0</v>
      </c>
      <c r="I2506" s="2">
        <v>197.0</v>
      </c>
      <c r="J2506" s="37">
        <v>952.36</v>
      </c>
      <c r="K2506" s="2">
        <v>35.0</v>
      </c>
      <c r="L2506" s="2">
        <v>283.0</v>
      </c>
      <c r="M2506" s="37">
        <v>1154.0</v>
      </c>
    </row>
    <row r="2507" ht="14.25" customHeight="1">
      <c r="A2507" t="s">
        <v>2567</v>
      </c>
      <c r="B2507" t="s">
        <v>2193</v>
      </c>
      <c r="C2507" t="s">
        <v>62</v>
      </c>
      <c r="D2507" t="s">
        <v>63</v>
      </c>
      <c r="E2507">
        <v>6.0</v>
      </c>
      <c r="F2507">
        <v>6.6</v>
      </c>
      <c r="G2507" s="2" t="s">
        <v>67</v>
      </c>
      <c r="H2507" s="2">
        <v>36.0</v>
      </c>
      <c r="I2507" s="2">
        <v>147.0</v>
      </c>
      <c r="J2507" s="37">
        <v>999.6600000000001</v>
      </c>
      <c r="K2507" s="2">
        <v>41.0</v>
      </c>
      <c r="L2507" s="2">
        <v>251.0</v>
      </c>
      <c r="M2507" s="37">
        <v>1247.16</v>
      </c>
    </row>
    <row r="2508" ht="14.25" customHeight="1">
      <c r="A2508" t="s">
        <v>2568</v>
      </c>
      <c r="B2508" t="s">
        <v>2193</v>
      </c>
      <c r="C2508" t="s">
        <v>62</v>
      </c>
      <c r="D2508" t="s">
        <v>63</v>
      </c>
      <c r="E2508">
        <v>6.0</v>
      </c>
      <c r="F2508">
        <v>6.6</v>
      </c>
      <c r="G2508" s="2" t="s">
        <v>67</v>
      </c>
      <c r="H2508" s="2">
        <v>36.0</v>
      </c>
      <c r="I2508" s="2">
        <v>147.0</v>
      </c>
      <c r="J2508" s="37">
        <v>999.6600000000001</v>
      </c>
      <c r="K2508" s="2">
        <v>41.0</v>
      </c>
      <c r="L2508" s="2">
        <v>251.0</v>
      </c>
      <c r="M2508" s="37">
        <v>1247.16</v>
      </c>
    </row>
    <row r="2509" ht="14.25" customHeight="1">
      <c r="A2509" t="s">
        <v>2569</v>
      </c>
      <c r="B2509" t="s">
        <v>2193</v>
      </c>
      <c r="C2509" t="s">
        <v>62</v>
      </c>
      <c r="D2509" t="s">
        <v>63</v>
      </c>
      <c r="E2509">
        <v>6.0</v>
      </c>
      <c r="F2509">
        <v>6.6</v>
      </c>
      <c r="G2509" s="2" t="s">
        <v>67</v>
      </c>
      <c r="H2509" s="2">
        <v>36.0</v>
      </c>
      <c r="I2509" s="2">
        <v>147.0</v>
      </c>
      <c r="J2509" s="37">
        <v>999.6600000000001</v>
      </c>
      <c r="K2509" s="2">
        <v>41.0</v>
      </c>
      <c r="L2509" s="2">
        <v>251.0</v>
      </c>
      <c r="M2509" s="37">
        <v>1247.16</v>
      </c>
    </row>
    <row r="2510" ht="14.25" customHeight="1">
      <c r="A2510" t="s">
        <v>2570</v>
      </c>
      <c r="B2510" t="s">
        <v>2193</v>
      </c>
      <c r="C2510" t="s">
        <v>62</v>
      </c>
      <c r="D2510" t="s">
        <v>63</v>
      </c>
      <c r="E2510">
        <v>6.0</v>
      </c>
      <c r="F2510">
        <v>6.6</v>
      </c>
      <c r="G2510" s="2" t="s">
        <v>67</v>
      </c>
      <c r="H2510" s="2">
        <v>36.0</v>
      </c>
      <c r="I2510" s="2">
        <v>147.0</v>
      </c>
      <c r="J2510" s="37">
        <v>999.6600000000001</v>
      </c>
      <c r="K2510" s="2">
        <v>41.0</v>
      </c>
      <c r="L2510" s="2">
        <v>251.0</v>
      </c>
      <c r="M2510" s="37">
        <v>1247.16</v>
      </c>
    </row>
    <row r="2511" ht="14.25" customHeight="1">
      <c r="A2511" t="s">
        <v>2571</v>
      </c>
      <c r="B2511" t="s">
        <v>2193</v>
      </c>
      <c r="C2511" t="s">
        <v>62</v>
      </c>
      <c r="D2511" t="s">
        <v>63</v>
      </c>
      <c r="E2511">
        <v>7.9</v>
      </c>
      <c r="F2511">
        <v>9.1</v>
      </c>
      <c r="G2511" s="2" t="s">
        <v>67</v>
      </c>
      <c r="H2511" s="2">
        <v>47.0</v>
      </c>
      <c r="I2511" s="2">
        <v>52.0</v>
      </c>
      <c r="J2511" s="37">
        <v>1123.22</v>
      </c>
      <c r="K2511" s="2">
        <v>54.0</v>
      </c>
      <c r="L2511" s="2">
        <v>188.0</v>
      </c>
      <c r="M2511" s="37">
        <v>1457.2400000000002</v>
      </c>
    </row>
    <row r="2512" ht="14.25" customHeight="1">
      <c r="A2512" t="s">
        <v>2572</v>
      </c>
      <c r="B2512" t="s">
        <v>2193</v>
      </c>
      <c r="C2512" t="s">
        <v>62</v>
      </c>
      <c r="D2512" t="s">
        <v>63</v>
      </c>
      <c r="E2512">
        <v>7.9</v>
      </c>
      <c r="F2512">
        <v>9.1</v>
      </c>
      <c r="G2512" s="2" t="s">
        <v>67</v>
      </c>
      <c r="H2512" s="2">
        <v>47.0</v>
      </c>
      <c r="I2512" s="2">
        <v>52.0</v>
      </c>
      <c r="J2512" s="37">
        <v>1123.22</v>
      </c>
      <c r="K2512" s="2">
        <v>54.0</v>
      </c>
      <c r="L2512" s="2">
        <v>188.0</v>
      </c>
      <c r="M2512" s="37">
        <v>1457.2400000000002</v>
      </c>
    </row>
    <row r="2513" ht="14.25" customHeight="1">
      <c r="A2513" t="s">
        <v>2573</v>
      </c>
      <c r="B2513" t="s">
        <v>2193</v>
      </c>
      <c r="C2513" t="s">
        <v>62</v>
      </c>
      <c r="D2513" t="s">
        <v>63</v>
      </c>
      <c r="E2513">
        <v>7.9</v>
      </c>
      <c r="F2513">
        <v>9.1</v>
      </c>
      <c r="G2513" s="2" t="s">
        <v>67</v>
      </c>
      <c r="H2513" s="2">
        <v>47.0</v>
      </c>
      <c r="I2513" s="2">
        <v>52.0</v>
      </c>
      <c r="J2513" s="37">
        <v>1123.22</v>
      </c>
      <c r="K2513" s="2">
        <v>54.0</v>
      </c>
      <c r="L2513" s="2">
        <v>188.0</v>
      </c>
      <c r="M2513" s="37">
        <v>1457.2400000000002</v>
      </c>
    </row>
    <row r="2514" ht="14.25" customHeight="1">
      <c r="A2514" t="s">
        <v>2574</v>
      </c>
      <c r="B2514" t="s">
        <v>2193</v>
      </c>
      <c r="C2514" t="s">
        <v>62</v>
      </c>
      <c r="D2514" t="s">
        <v>63</v>
      </c>
      <c r="E2514">
        <v>7.9</v>
      </c>
      <c r="F2514">
        <v>9.1</v>
      </c>
      <c r="G2514" s="2" t="s">
        <v>67</v>
      </c>
      <c r="H2514" s="2">
        <v>47.0</v>
      </c>
      <c r="I2514" s="2">
        <v>52.0</v>
      </c>
      <c r="J2514" s="37">
        <v>1123.22</v>
      </c>
      <c r="K2514" s="2">
        <v>54.0</v>
      </c>
      <c r="L2514" s="2">
        <v>188.0</v>
      </c>
      <c r="M2514" s="37">
        <v>1457.2400000000002</v>
      </c>
    </row>
    <row r="2515" ht="14.25" customHeight="1">
      <c r="A2515" t="s">
        <v>2575</v>
      </c>
      <c r="B2515" t="s">
        <v>2193</v>
      </c>
      <c r="C2515" t="s">
        <v>62</v>
      </c>
      <c r="D2515" t="s">
        <v>63</v>
      </c>
      <c r="E2515">
        <v>7.1</v>
      </c>
      <c r="F2515">
        <v>8.0</v>
      </c>
      <c r="G2515" s="2" t="s">
        <v>64</v>
      </c>
      <c r="H2515" s="2">
        <v>0.0</v>
      </c>
      <c r="I2515" s="2">
        <v>0.0</v>
      </c>
      <c r="J2515" s="37">
        <v>0.0</v>
      </c>
      <c r="K2515" s="2">
        <v>0.0</v>
      </c>
      <c r="L2515" s="2">
        <v>0.0</v>
      </c>
      <c r="M2515" s="37">
        <v>0.0</v>
      </c>
    </row>
    <row r="2516" ht="14.25" customHeight="1">
      <c r="A2516" t="s">
        <v>2576</v>
      </c>
      <c r="B2516" t="s">
        <v>2193</v>
      </c>
      <c r="C2516" t="s">
        <v>62</v>
      </c>
      <c r="D2516" t="s">
        <v>63</v>
      </c>
      <c r="E2516">
        <v>7.1</v>
      </c>
      <c r="F2516">
        <v>8.0</v>
      </c>
      <c r="G2516" s="2" t="s">
        <v>64</v>
      </c>
      <c r="H2516" s="2">
        <v>0.0</v>
      </c>
      <c r="I2516" s="2">
        <v>0.0</v>
      </c>
      <c r="J2516" s="37">
        <v>0.0</v>
      </c>
      <c r="K2516" s="2">
        <v>0.0</v>
      </c>
      <c r="L2516" s="2">
        <v>0.0</v>
      </c>
      <c r="M2516" s="37">
        <v>0.0</v>
      </c>
    </row>
    <row r="2517" ht="14.25" customHeight="1">
      <c r="A2517" t="s">
        <v>2577</v>
      </c>
      <c r="B2517" t="s">
        <v>2193</v>
      </c>
      <c r="C2517" t="s">
        <v>62</v>
      </c>
      <c r="D2517" t="s">
        <v>63</v>
      </c>
      <c r="E2517">
        <v>7.1</v>
      </c>
      <c r="F2517">
        <v>8.0</v>
      </c>
      <c r="G2517" s="2" t="s">
        <v>64</v>
      </c>
      <c r="H2517" s="2">
        <v>0.0</v>
      </c>
      <c r="I2517" s="2">
        <v>0.0</v>
      </c>
      <c r="J2517" s="37">
        <v>0.0</v>
      </c>
      <c r="K2517" s="2">
        <v>0.0</v>
      </c>
      <c r="L2517" s="2">
        <v>0.0</v>
      </c>
      <c r="M2517" s="37">
        <v>0.0</v>
      </c>
    </row>
    <row r="2518" ht="14.25" customHeight="1">
      <c r="A2518" t="s">
        <v>2578</v>
      </c>
      <c r="B2518" t="s">
        <v>2193</v>
      </c>
      <c r="C2518" t="s">
        <v>62</v>
      </c>
      <c r="D2518" t="s">
        <v>63</v>
      </c>
      <c r="E2518">
        <v>7.1</v>
      </c>
      <c r="F2518">
        <v>8.0</v>
      </c>
      <c r="G2518" s="2" t="s">
        <v>64</v>
      </c>
      <c r="H2518" s="2">
        <v>0.0</v>
      </c>
      <c r="I2518" s="2">
        <v>0.0</v>
      </c>
      <c r="J2518" s="37">
        <v>0.0</v>
      </c>
      <c r="K2518" s="2">
        <v>0.0</v>
      </c>
      <c r="L2518" s="2">
        <v>0.0</v>
      </c>
      <c r="M2518" s="37">
        <v>0.0</v>
      </c>
    </row>
    <row r="2519" ht="14.25" customHeight="1">
      <c r="A2519" t="s">
        <v>2579</v>
      </c>
      <c r="B2519" t="s">
        <v>2193</v>
      </c>
      <c r="C2519" t="s">
        <v>62</v>
      </c>
      <c r="D2519" t="s">
        <v>63</v>
      </c>
      <c r="E2519">
        <v>7.1</v>
      </c>
      <c r="F2519">
        <v>8.0</v>
      </c>
      <c r="G2519" s="2" t="s">
        <v>64</v>
      </c>
      <c r="H2519" s="2">
        <v>0.0</v>
      </c>
      <c r="I2519" s="2">
        <v>0.0</v>
      </c>
      <c r="J2519" s="37">
        <v>0.0</v>
      </c>
      <c r="K2519" s="2">
        <v>0.0</v>
      </c>
      <c r="L2519" s="2">
        <v>0.0</v>
      </c>
      <c r="M2519" s="37">
        <v>0.0</v>
      </c>
    </row>
    <row r="2520" ht="14.25" customHeight="1">
      <c r="A2520" t="s">
        <v>2580</v>
      </c>
      <c r="B2520" t="s">
        <v>2193</v>
      </c>
      <c r="C2520" t="s">
        <v>62</v>
      </c>
      <c r="D2520" t="s">
        <v>63</v>
      </c>
      <c r="E2520">
        <v>7.1</v>
      </c>
      <c r="F2520">
        <v>8.0</v>
      </c>
      <c r="G2520" s="2" t="s">
        <v>64</v>
      </c>
      <c r="H2520" s="2">
        <v>0.0</v>
      </c>
      <c r="I2520" s="2">
        <v>0.0</v>
      </c>
      <c r="J2520" s="37">
        <v>0.0</v>
      </c>
      <c r="K2520" s="2">
        <v>0.0</v>
      </c>
      <c r="L2520" s="2">
        <v>0.0</v>
      </c>
      <c r="M2520" s="37">
        <v>0.0</v>
      </c>
    </row>
    <row r="2521" ht="14.25" customHeight="1">
      <c r="A2521" t="s">
        <v>2581</v>
      </c>
      <c r="B2521" t="s">
        <v>2193</v>
      </c>
      <c r="C2521" t="s">
        <v>62</v>
      </c>
      <c r="D2521" t="s">
        <v>63</v>
      </c>
      <c r="E2521">
        <v>7.1</v>
      </c>
      <c r="F2521">
        <v>8.0</v>
      </c>
      <c r="G2521" s="2" t="s">
        <v>64</v>
      </c>
      <c r="H2521" s="2">
        <v>0.0</v>
      </c>
      <c r="I2521" s="2">
        <v>0.0</v>
      </c>
      <c r="J2521" s="37">
        <v>0.0</v>
      </c>
      <c r="K2521" s="2">
        <v>0.0</v>
      </c>
      <c r="L2521" s="2">
        <v>0.0</v>
      </c>
      <c r="M2521" s="37">
        <v>0.0</v>
      </c>
    </row>
    <row r="2522" ht="14.25" customHeight="1">
      <c r="A2522" t="s">
        <v>2582</v>
      </c>
      <c r="B2522" t="s">
        <v>2193</v>
      </c>
      <c r="C2522" t="s">
        <v>62</v>
      </c>
      <c r="D2522" t="s">
        <v>63</v>
      </c>
      <c r="E2522">
        <v>7.1</v>
      </c>
      <c r="F2522">
        <v>7.6</v>
      </c>
      <c r="G2522" s="2" t="s">
        <v>64</v>
      </c>
      <c r="H2522" s="2">
        <v>0.0</v>
      </c>
      <c r="I2522" s="2">
        <v>0.0</v>
      </c>
      <c r="J2522" s="37">
        <v>0.0</v>
      </c>
      <c r="K2522" s="2">
        <v>0.0</v>
      </c>
      <c r="L2522" s="2">
        <v>0.0</v>
      </c>
      <c r="M2522" s="37">
        <v>0.0</v>
      </c>
    </row>
    <row r="2523" ht="14.25" customHeight="1">
      <c r="A2523" t="s">
        <v>2583</v>
      </c>
      <c r="B2523" t="s">
        <v>2193</v>
      </c>
      <c r="C2523" t="s">
        <v>62</v>
      </c>
      <c r="D2523" t="s">
        <v>63</v>
      </c>
      <c r="E2523">
        <v>7.1</v>
      </c>
      <c r="F2523">
        <v>7.6</v>
      </c>
      <c r="G2523" s="2" t="s">
        <v>64</v>
      </c>
      <c r="H2523" s="2">
        <v>0.0</v>
      </c>
      <c r="I2523" s="2">
        <v>0.0</v>
      </c>
      <c r="J2523" s="37">
        <v>0.0</v>
      </c>
      <c r="K2523" s="2">
        <v>0.0</v>
      </c>
      <c r="L2523" s="2">
        <v>0.0</v>
      </c>
      <c r="M2523" s="37">
        <v>0.0</v>
      </c>
    </row>
    <row r="2524" ht="14.25" customHeight="1">
      <c r="A2524" t="s">
        <v>2584</v>
      </c>
      <c r="B2524" t="s">
        <v>2193</v>
      </c>
      <c r="C2524" t="s">
        <v>62</v>
      </c>
      <c r="D2524" t="s">
        <v>63</v>
      </c>
      <c r="E2524">
        <v>7.1</v>
      </c>
      <c r="F2524">
        <v>7.6</v>
      </c>
      <c r="G2524" s="2" t="s">
        <v>64</v>
      </c>
      <c r="H2524" s="2">
        <v>0.0</v>
      </c>
      <c r="I2524" s="2">
        <v>0.0</v>
      </c>
      <c r="J2524" s="37">
        <v>0.0</v>
      </c>
      <c r="K2524" s="2">
        <v>0.0</v>
      </c>
      <c r="L2524" s="2">
        <v>0.0</v>
      </c>
      <c r="M2524" s="37">
        <v>0.0</v>
      </c>
    </row>
    <row r="2525" ht="14.25" customHeight="1">
      <c r="A2525" t="s">
        <v>2585</v>
      </c>
      <c r="B2525" t="s">
        <v>2193</v>
      </c>
      <c r="C2525" t="s">
        <v>62</v>
      </c>
      <c r="D2525" t="s">
        <v>63</v>
      </c>
      <c r="E2525">
        <v>7.1</v>
      </c>
      <c r="F2525">
        <v>7.6</v>
      </c>
      <c r="G2525" s="2" t="s">
        <v>64</v>
      </c>
      <c r="H2525" s="2">
        <v>0.0</v>
      </c>
      <c r="I2525" s="2">
        <v>0.0</v>
      </c>
      <c r="J2525" s="37">
        <v>0.0</v>
      </c>
      <c r="K2525" s="2">
        <v>0.0</v>
      </c>
      <c r="L2525" s="2">
        <v>0.0</v>
      </c>
      <c r="M2525" s="37">
        <v>0.0</v>
      </c>
    </row>
    <row r="2526" ht="14.25" customHeight="1">
      <c r="A2526" t="s">
        <v>2586</v>
      </c>
      <c r="B2526" t="s">
        <v>2193</v>
      </c>
      <c r="C2526" t="s">
        <v>62</v>
      </c>
      <c r="D2526" t="s">
        <v>63</v>
      </c>
      <c r="E2526">
        <v>7.1</v>
      </c>
      <c r="F2526">
        <v>7.6</v>
      </c>
      <c r="G2526" s="2" t="s">
        <v>64</v>
      </c>
      <c r="H2526" s="2">
        <v>0.0</v>
      </c>
      <c r="I2526" s="2">
        <v>0.0</v>
      </c>
      <c r="J2526" s="37">
        <v>0.0</v>
      </c>
      <c r="K2526" s="2">
        <v>0.0</v>
      </c>
      <c r="L2526" s="2">
        <v>0.0</v>
      </c>
      <c r="M2526" s="37">
        <v>0.0</v>
      </c>
    </row>
    <row r="2527" ht="14.25" customHeight="1">
      <c r="A2527" t="s">
        <v>2587</v>
      </c>
      <c r="B2527" t="s">
        <v>2193</v>
      </c>
      <c r="C2527" t="s">
        <v>62</v>
      </c>
      <c r="D2527" t="s">
        <v>63</v>
      </c>
      <c r="E2527">
        <v>7.1</v>
      </c>
      <c r="F2527">
        <v>7.6</v>
      </c>
      <c r="G2527" s="2" t="s">
        <v>64</v>
      </c>
      <c r="H2527" s="2">
        <v>0.0</v>
      </c>
      <c r="I2527" s="2">
        <v>0.0</v>
      </c>
      <c r="J2527" s="37">
        <v>0.0</v>
      </c>
      <c r="K2527" s="2">
        <v>0.0</v>
      </c>
      <c r="L2527" s="2">
        <v>0.0</v>
      </c>
      <c r="M2527" s="37">
        <v>0.0</v>
      </c>
    </row>
    <row r="2528" ht="14.25" customHeight="1">
      <c r="A2528" t="s">
        <v>2588</v>
      </c>
      <c r="B2528" t="s">
        <v>2193</v>
      </c>
      <c r="C2528" t="s">
        <v>62</v>
      </c>
      <c r="D2528" t="s">
        <v>63</v>
      </c>
      <c r="E2528">
        <v>7.1</v>
      </c>
      <c r="F2528">
        <v>7.6</v>
      </c>
      <c r="G2528" s="2" t="s">
        <v>64</v>
      </c>
      <c r="H2528" s="2">
        <v>0.0</v>
      </c>
      <c r="I2528" s="2">
        <v>0.0</v>
      </c>
      <c r="J2528" s="37">
        <v>0.0</v>
      </c>
      <c r="K2528" s="2">
        <v>0.0</v>
      </c>
      <c r="L2528" s="2">
        <v>0.0</v>
      </c>
      <c r="M2528" s="37">
        <v>0.0</v>
      </c>
    </row>
    <row r="2529" ht="14.25" customHeight="1">
      <c r="A2529" t="s">
        <v>2589</v>
      </c>
      <c r="B2529" t="s">
        <v>2193</v>
      </c>
      <c r="C2529" t="s">
        <v>62</v>
      </c>
      <c r="D2529" t="s">
        <v>63</v>
      </c>
      <c r="E2529">
        <v>10.0</v>
      </c>
      <c r="F2529">
        <v>11.2</v>
      </c>
      <c r="G2529" s="2" t="s">
        <v>64</v>
      </c>
      <c r="H2529" s="2">
        <v>0.0</v>
      </c>
      <c r="I2529" s="2">
        <v>0.0</v>
      </c>
      <c r="J2529" s="37">
        <v>0.0</v>
      </c>
      <c r="K2529" s="2">
        <v>0.0</v>
      </c>
      <c r="L2529" s="2">
        <v>0.0</v>
      </c>
      <c r="M2529" s="37">
        <v>0.0</v>
      </c>
    </row>
    <row r="2530" ht="14.25" customHeight="1">
      <c r="A2530" t="s">
        <v>2590</v>
      </c>
      <c r="B2530" t="s">
        <v>2193</v>
      </c>
      <c r="C2530" t="s">
        <v>62</v>
      </c>
      <c r="D2530" t="s">
        <v>63</v>
      </c>
      <c r="E2530">
        <v>10.0</v>
      </c>
      <c r="F2530">
        <v>11.2</v>
      </c>
      <c r="G2530" s="2" t="s">
        <v>64</v>
      </c>
      <c r="H2530" s="2">
        <v>0.0</v>
      </c>
      <c r="I2530" s="2">
        <v>0.0</v>
      </c>
      <c r="J2530" s="37">
        <v>0.0</v>
      </c>
      <c r="K2530" s="2">
        <v>0.0</v>
      </c>
      <c r="L2530" s="2">
        <v>0.0</v>
      </c>
      <c r="M2530" s="37">
        <v>0.0</v>
      </c>
    </row>
    <row r="2531" ht="14.25" customHeight="1">
      <c r="A2531" t="s">
        <v>2591</v>
      </c>
      <c r="B2531" t="s">
        <v>2193</v>
      </c>
      <c r="C2531" t="s">
        <v>62</v>
      </c>
      <c r="D2531" t="s">
        <v>63</v>
      </c>
      <c r="E2531">
        <v>10.0</v>
      </c>
      <c r="F2531">
        <v>11.2</v>
      </c>
      <c r="G2531" s="2" t="s">
        <v>64</v>
      </c>
      <c r="H2531" s="2">
        <v>0.0</v>
      </c>
      <c r="I2531" s="2">
        <v>0.0</v>
      </c>
      <c r="J2531" s="37">
        <v>0.0</v>
      </c>
      <c r="K2531" s="2">
        <v>0.0</v>
      </c>
      <c r="L2531" s="2">
        <v>0.0</v>
      </c>
      <c r="M2531" s="37">
        <v>0.0</v>
      </c>
    </row>
    <row r="2532" ht="14.25" customHeight="1">
      <c r="A2532" t="s">
        <v>2592</v>
      </c>
      <c r="B2532" t="s">
        <v>2193</v>
      </c>
      <c r="C2532" t="s">
        <v>62</v>
      </c>
      <c r="D2532" t="s">
        <v>63</v>
      </c>
      <c r="E2532">
        <v>10.0</v>
      </c>
      <c r="F2532">
        <v>11.2</v>
      </c>
      <c r="G2532" s="2" t="s">
        <v>64</v>
      </c>
      <c r="H2532" s="2">
        <v>0.0</v>
      </c>
      <c r="I2532" s="2">
        <v>0.0</v>
      </c>
      <c r="J2532" s="37">
        <v>0.0</v>
      </c>
      <c r="K2532" s="2">
        <v>0.0</v>
      </c>
      <c r="L2532" s="2">
        <v>0.0</v>
      </c>
      <c r="M2532" s="37">
        <v>0.0</v>
      </c>
    </row>
    <row r="2533" ht="14.25" customHeight="1">
      <c r="A2533" t="s">
        <v>2593</v>
      </c>
      <c r="B2533" t="s">
        <v>2193</v>
      </c>
      <c r="C2533" t="s">
        <v>62</v>
      </c>
      <c r="D2533" t="s">
        <v>63</v>
      </c>
      <c r="E2533">
        <v>10.0</v>
      </c>
      <c r="F2533">
        <v>11.2</v>
      </c>
      <c r="G2533" s="2" t="s">
        <v>64</v>
      </c>
      <c r="H2533" s="2">
        <v>0.0</v>
      </c>
      <c r="I2533" s="2">
        <v>0.0</v>
      </c>
      <c r="J2533" s="37">
        <v>0.0</v>
      </c>
      <c r="K2533" s="2">
        <v>0.0</v>
      </c>
      <c r="L2533" s="2">
        <v>0.0</v>
      </c>
      <c r="M2533" s="37">
        <v>0.0</v>
      </c>
    </row>
    <row r="2534" ht="14.25" customHeight="1">
      <c r="A2534" t="s">
        <v>2594</v>
      </c>
      <c r="B2534" t="s">
        <v>2193</v>
      </c>
      <c r="C2534" t="s">
        <v>62</v>
      </c>
      <c r="D2534" t="s">
        <v>63</v>
      </c>
      <c r="E2534">
        <v>10.0</v>
      </c>
      <c r="F2534">
        <v>11.2</v>
      </c>
      <c r="G2534" s="2" t="s">
        <v>64</v>
      </c>
      <c r="H2534" s="2">
        <v>0.0</v>
      </c>
      <c r="I2534" s="2">
        <v>0.0</v>
      </c>
      <c r="J2534" s="37">
        <v>0.0</v>
      </c>
      <c r="K2534" s="2">
        <v>0.0</v>
      </c>
      <c r="L2534" s="2">
        <v>0.0</v>
      </c>
      <c r="M2534" s="37">
        <v>0.0</v>
      </c>
    </row>
    <row r="2535" ht="14.25" customHeight="1">
      <c r="A2535" t="s">
        <v>2595</v>
      </c>
      <c r="B2535" t="s">
        <v>2193</v>
      </c>
      <c r="C2535" t="s">
        <v>62</v>
      </c>
      <c r="D2535" t="s">
        <v>63</v>
      </c>
      <c r="E2535">
        <v>10.0</v>
      </c>
      <c r="F2535">
        <v>11.2</v>
      </c>
      <c r="G2535" s="2" t="s">
        <v>64</v>
      </c>
      <c r="H2535" s="2">
        <v>0.0</v>
      </c>
      <c r="I2535" s="2">
        <v>0.0</v>
      </c>
      <c r="J2535" s="37">
        <v>0.0</v>
      </c>
      <c r="K2535" s="2">
        <v>0.0</v>
      </c>
      <c r="L2535" s="2">
        <v>0.0</v>
      </c>
      <c r="M2535" s="37">
        <v>0.0</v>
      </c>
    </row>
    <row r="2536" ht="14.25" customHeight="1">
      <c r="A2536" t="s">
        <v>2596</v>
      </c>
      <c r="B2536" t="s">
        <v>2193</v>
      </c>
      <c r="C2536" t="s">
        <v>62</v>
      </c>
      <c r="D2536" t="s">
        <v>63</v>
      </c>
      <c r="E2536">
        <v>10.0</v>
      </c>
      <c r="F2536">
        <v>11.2</v>
      </c>
      <c r="G2536" s="2" t="s">
        <v>64</v>
      </c>
      <c r="H2536" s="2">
        <v>0.0</v>
      </c>
      <c r="I2536" s="2">
        <v>0.0</v>
      </c>
      <c r="J2536" s="37">
        <v>0.0</v>
      </c>
      <c r="K2536" s="2">
        <v>0.0</v>
      </c>
      <c r="L2536" s="2">
        <v>0.0</v>
      </c>
      <c r="M2536" s="37">
        <v>0.0</v>
      </c>
    </row>
    <row r="2537" ht="14.25" customHeight="1">
      <c r="A2537" t="s">
        <v>2597</v>
      </c>
      <c r="B2537" t="s">
        <v>2193</v>
      </c>
      <c r="C2537" t="s">
        <v>62</v>
      </c>
      <c r="D2537" t="s">
        <v>63</v>
      </c>
      <c r="E2537">
        <v>10.0</v>
      </c>
      <c r="F2537">
        <v>11.2</v>
      </c>
      <c r="G2537" s="2" t="s">
        <v>64</v>
      </c>
      <c r="H2537" s="2">
        <v>0.0</v>
      </c>
      <c r="I2537" s="2">
        <v>0.0</v>
      </c>
      <c r="J2537" s="37">
        <v>0.0</v>
      </c>
      <c r="K2537" s="2">
        <v>0.0</v>
      </c>
      <c r="L2537" s="2">
        <v>0.0</v>
      </c>
      <c r="M2537" s="37">
        <v>0.0</v>
      </c>
    </row>
    <row r="2538" ht="14.25" customHeight="1">
      <c r="A2538" t="s">
        <v>2598</v>
      </c>
      <c r="B2538" t="s">
        <v>2193</v>
      </c>
      <c r="C2538" t="s">
        <v>62</v>
      </c>
      <c r="D2538" t="s">
        <v>63</v>
      </c>
      <c r="E2538">
        <v>10.0</v>
      </c>
      <c r="F2538">
        <v>11.2</v>
      </c>
      <c r="G2538" s="2" t="s">
        <v>64</v>
      </c>
      <c r="H2538" s="2">
        <v>0.0</v>
      </c>
      <c r="I2538" s="2">
        <v>0.0</v>
      </c>
      <c r="J2538" s="37">
        <v>0.0</v>
      </c>
      <c r="K2538" s="2">
        <v>0.0</v>
      </c>
      <c r="L2538" s="2">
        <v>0.0</v>
      </c>
      <c r="M2538" s="37">
        <v>0.0</v>
      </c>
    </row>
    <row r="2539" ht="14.25" customHeight="1">
      <c r="A2539" t="s">
        <v>2599</v>
      </c>
      <c r="B2539" t="s">
        <v>2193</v>
      </c>
      <c r="C2539" t="s">
        <v>62</v>
      </c>
      <c r="D2539" t="s">
        <v>63</v>
      </c>
      <c r="E2539">
        <v>10.0</v>
      </c>
      <c r="F2539">
        <v>11.2</v>
      </c>
      <c r="G2539" s="2" t="s">
        <v>64</v>
      </c>
      <c r="H2539" s="2">
        <v>0.0</v>
      </c>
      <c r="I2539" s="2">
        <v>0.0</v>
      </c>
      <c r="J2539" s="37">
        <v>0.0</v>
      </c>
      <c r="K2539" s="2">
        <v>0.0</v>
      </c>
      <c r="L2539" s="2">
        <v>0.0</v>
      </c>
      <c r="M2539" s="37">
        <v>0.0</v>
      </c>
    </row>
    <row r="2540" ht="14.25" customHeight="1">
      <c r="A2540" t="s">
        <v>2600</v>
      </c>
      <c r="B2540" t="s">
        <v>2193</v>
      </c>
      <c r="C2540" t="s">
        <v>62</v>
      </c>
      <c r="D2540" t="s">
        <v>63</v>
      </c>
      <c r="E2540">
        <v>12.5</v>
      </c>
      <c r="F2540">
        <v>14.0</v>
      </c>
      <c r="G2540" s="2" t="s">
        <v>64</v>
      </c>
      <c r="H2540" s="2">
        <v>0.0</v>
      </c>
      <c r="I2540" s="2">
        <v>0.0</v>
      </c>
      <c r="J2540" s="37">
        <v>0.0</v>
      </c>
      <c r="K2540" s="2">
        <v>0.0</v>
      </c>
      <c r="L2540" s="2">
        <v>0.0</v>
      </c>
      <c r="M2540" s="37">
        <v>0.0</v>
      </c>
    </row>
    <row r="2541" ht="14.25" customHeight="1">
      <c r="A2541" t="s">
        <v>2601</v>
      </c>
      <c r="B2541" t="s">
        <v>2193</v>
      </c>
      <c r="C2541" t="s">
        <v>62</v>
      </c>
      <c r="D2541" t="s">
        <v>63</v>
      </c>
      <c r="E2541">
        <v>12.5</v>
      </c>
      <c r="F2541">
        <v>14.0</v>
      </c>
      <c r="G2541" s="2" t="s">
        <v>64</v>
      </c>
      <c r="H2541" s="2">
        <v>0.0</v>
      </c>
      <c r="I2541" s="2">
        <v>0.0</v>
      </c>
      <c r="J2541" s="37">
        <v>0.0</v>
      </c>
      <c r="K2541" s="2">
        <v>0.0</v>
      </c>
      <c r="L2541" s="2">
        <v>0.0</v>
      </c>
      <c r="M2541" s="37">
        <v>0.0</v>
      </c>
    </row>
    <row r="2542" ht="14.25" customHeight="1">
      <c r="A2542" t="s">
        <v>2602</v>
      </c>
      <c r="B2542" t="s">
        <v>2193</v>
      </c>
      <c r="C2542" t="s">
        <v>62</v>
      </c>
      <c r="D2542" t="s">
        <v>63</v>
      </c>
      <c r="E2542">
        <v>12.5</v>
      </c>
      <c r="F2542">
        <v>14.0</v>
      </c>
      <c r="G2542" s="2" t="s">
        <v>64</v>
      </c>
      <c r="H2542" s="2">
        <v>0.0</v>
      </c>
      <c r="I2542" s="2">
        <v>0.0</v>
      </c>
      <c r="J2542" s="37">
        <v>0.0</v>
      </c>
      <c r="K2542" s="2">
        <v>0.0</v>
      </c>
      <c r="L2542" s="2">
        <v>0.0</v>
      </c>
      <c r="M2542" s="37">
        <v>0.0</v>
      </c>
    </row>
    <row r="2543" ht="14.25" customHeight="1">
      <c r="A2543" t="s">
        <v>2603</v>
      </c>
      <c r="B2543" t="s">
        <v>2193</v>
      </c>
      <c r="C2543" t="s">
        <v>62</v>
      </c>
      <c r="D2543" t="s">
        <v>63</v>
      </c>
      <c r="E2543">
        <v>12.5</v>
      </c>
      <c r="F2543">
        <v>14.0</v>
      </c>
      <c r="G2543" s="2" t="s">
        <v>64</v>
      </c>
      <c r="H2543" s="2">
        <v>0.0</v>
      </c>
      <c r="I2543" s="2">
        <v>0.0</v>
      </c>
      <c r="J2543" s="37">
        <v>0.0</v>
      </c>
      <c r="K2543" s="2">
        <v>0.0</v>
      </c>
      <c r="L2543" s="2">
        <v>0.0</v>
      </c>
      <c r="M2543" s="37">
        <v>0.0</v>
      </c>
    </row>
    <row r="2544" ht="14.25" customHeight="1">
      <c r="A2544" t="s">
        <v>2604</v>
      </c>
      <c r="B2544" t="s">
        <v>2193</v>
      </c>
      <c r="C2544" t="s">
        <v>62</v>
      </c>
      <c r="D2544" t="s">
        <v>63</v>
      </c>
      <c r="E2544">
        <v>12.5</v>
      </c>
      <c r="F2544">
        <v>14.0</v>
      </c>
      <c r="G2544" s="2" t="s">
        <v>64</v>
      </c>
      <c r="H2544" s="2">
        <v>0.0</v>
      </c>
      <c r="I2544" s="2">
        <v>0.0</v>
      </c>
      <c r="J2544" s="37">
        <v>0.0</v>
      </c>
      <c r="K2544" s="2">
        <v>0.0</v>
      </c>
      <c r="L2544" s="2">
        <v>0.0</v>
      </c>
      <c r="M2544" s="37">
        <v>0.0</v>
      </c>
    </row>
    <row r="2545" ht="14.25" customHeight="1">
      <c r="A2545" t="s">
        <v>2605</v>
      </c>
      <c r="B2545" t="s">
        <v>2193</v>
      </c>
      <c r="C2545" t="s">
        <v>62</v>
      </c>
      <c r="D2545" t="s">
        <v>63</v>
      </c>
      <c r="E2545">
        <v>12.5</v>
      </c>
      <c r="F2545">
        <v>14.0</v>
      </c>
      <c r="G2545" s="2" t="s">
        <v>64</v>
      </c>
      <c r="H2545" s="2">
        <v>0.0</v>
      </c>
      <c r="I2545" s="2">
        <v>0.0</v>
      </c>
      <c r="J2545" s="37">
        <v>0.0</v>
      </c>
      <c r="K2545" s="2">
        <v>0.0</v>
      </c>
      <c r="L2545" s="2">
        <v>0.0</v>
      </c>
      <c r="M2545" s="37">
        <v>0.0</v>
      </c>
    </row>
    <row r="2546" ht="14.25" customHeight="1">
      <c r="A2546" t="s">
        <v>2606</v>
      </c>
      <c r="B2546" t="s">
        <v>2193</v>
      </c>
      <c r="C2546" t="s">
        <v>62</v>
      </c>
      <c r="D2546" t="s">
        <v>63</v>
      </c>
      <c r="E2546">
        <v>12.5</v>
      </c>
      <c r="F2546">
        <v>14.0</v>
      </c>
      <c r="G2546" s="2" t="s">
        <v>64</v>
      </c>
      <c r="H2546" s="2">
        <v>0.0</v>
      </c>
      <c r="I2546" s="2">
        <v>0.0</v>
      </c>
      <c r="J2546" s="37">
        <v>0.0</v>
      </c>
      <c r="K2546" s="2">
        <v>0.0</v>
      </c>
      <c r="L2546" s="2">
        <v>0.0</v>
      </c>
      <c r="M2546" s="37">
        <v>0.0</v>
      </c>
    </row>
    <row r="2547" ht="14.25" customHeight="1">
      <c r="A2547" t="s">
        <v>2607</v>
      </c>
      <c r="B2547" t="s">
        <v>2193</v>
      </c>
      <c r="C2547" t="s">
        <v>62</v>
      </c>
      <c r="D2547" t="s">
        <v>63</v>
      </c>
      <c r="E2547">
        <v>13.5</v>
      </c>
      <c r="F2547">
        <v>16.0</v>
      </c>
      <c r="G2547" s="2" t="s">
        <v>64</v>
      </c>
      <c r="H2547" s="2">
        <v>0.0</v>
      </c>
      <c r="I2547" s="2">
        <v>0.0</v>
      </c>
      <c r="J2547" s="37">
        <v>0.0</v>
      </c>
      <c r="K2547" s="2">
        <v>0.0</v>
      </c>
      <c r="L2547" s="2">
        <v>0.0</v>
      </c>
      <c r="M2547" s="37">
        <v>0.0</v>
      </c>
    </row>
    <row r="2548" ht="14.25" customHeight="1">
      <c r="A2548" t="s">
        <v>2608</v>
      </c>
      <c r="B2548" t="s">
        <v>2193</v>
      </c>
      <c r="C2548" t="s">
        <v>62</v>
      </c>
      <c r="D2548" t="s">
        <v>63</v>
      </c>
      <c r="E2548">
        <v>13.5</v>
      </c>
      <c r="F2548">
        <v>16.0</v>
      </c>
      <c r="G2548" s="2" t="s">
        <v>64</v>
      </c>
      <c r="H2548" s="2">
        <v>0.0</v>
      </c>
      <c r="I2548" s="2">
        <v>0.0</v>
      </c>
      <c r="J2548" s="37">
        <v>0.0</v>
      </c>
      <c r="K2548" s="2">
        <v>0.0</v>
      </c>
      <c r="L2548" s="2">
        <v>0.0</v>
      </c>
      <c r="M2548" s="37">
        <v>0.0</v>
      </c>
    </row>
    <row r="2549" ht="14.25" customHeight="1">
      <c r="A2549" t="s">
        <v>2609</v>
      </c>
      <c r="B2549" t="s">
        <v>2193</v>
      </c>
      <c r="C2549" t="s">
        <v>62</v>
      </c>
      <c r="D2549" t="s">
        <v>63</v>
      </c>
      <c r="E2549">
        <v>13.5</v>
      </c>
      <c r="F2549">
        <v>16.0</v>
      </c>
      <c r="G2549" s="2" t="s">
        <v>64</v>
      </c>
      <c r="H2549" s="2">
        <v>0.0</v>
      </c>
      <c r="I2549" s="2">
        <v>0.0</v>
      </c>
      <c r="J2549" s="37">
        <v>0.0</v>
      </c>
      <c r="K2549" s="2">
        <v>0.0</v>
      </c>
      <c r="L2549" s="2">
        <v>0.0</v>
      </c>
      <c r="M2549" s="37">
        <v>0.0</v>
      </c>
    </row>
    <row r="2550" ht="14.25" customHeight="1">
      <c r="A2550" t="s">
        <v>2610</v>
      </c>
      <c r="B2550" t="s">
        <v>2193</v>
      </c>
      <c r="C2550" t="s">
        <v>62</v>
      </c>
      <c r="D2550" t="s">
        <v>63</v>
      </c>
      <c r="E2550">
        <v>13.5</v>
      </c>
      <c r="F2550">
        <v>16.0</v>
      </c>
      <c r="G2550" s="2" t="s">
        <v>64</v>
      </c>
      <c r="H2550" s="2">
        <v>0.0</v>
      </c>
      <c r="I2550" s="2">
        <v>0.0</v>
      </c>
      <c r="J2550" s="37">
        <v>0.0</v>
      </c>
      <c r="K2550" s="2">
        <v>0.0</v>
      </c>
      <c r="L2550" s="2">
        <v>0.0</v>
      </c>
      <c r="M2550" s="37">
        <v>0.0</v>
      </c>
    </row>
    <row r="2551" ht="14.25" customHeight="1">
      <c r="A2551" t="s">
        <v>2611</v>
      </c>
      <c r="B2551" t="s">
        <v>2193</v>
      </c>
      <c r="C2551" t="s">
        <v>62</v>
      </c>
      <c r="D2551" t="s">
        <v>63</v>
      </c>
      <c r="E2551">
        <v>13.5</v>
      </c>
      <c r="F2551">
        <v>16.0</v>
      </c>
      <c r="G2551" s="2" t="s">
        <v>64</v>
      </c>
      <c r="H2551" s="2">
        <v>0.0</v>
      </c>
      <c r="I2551" s="2">
        <v>0.0</v>
      </c>
      <c r="J2551" s="37">
        <v>0.0</v>
      </c>
      <c r="K2551" s="2">
        <v>0.0</v>
      </c>
      <c r="L2551" s="2">
        <v>0.0</v>
      </c>
      <c r="M2551" s="37">
        <v>0.0</v>
      </c>
    </row>
    <row r="2552" ht="14.25" customHeight="1">
      <c r="A2552" t="s">
        <v>2612</v>
      </c>
      <c r="B2552" t="s">
        <v>2193</v>
      </c>
      <c r="C2552" t="s">
        <v>62</v>
      </c>
      <c r="D2552" t="s">
        <v>63</v>
      </c>
      <c r="E2552">
        <v>13.5</v>
      </c>
      <c r="F2552">
        <v>16.0</v>
      </c>
      <c r="G2552" s="2" t="s">
        <v>64</v>
      </c>
      <c r="H2552" s="2">
        <v>0.0</v>
      </c>
      <c r="I2552" s="2">
        <v>0.0</v>
      </c>
      <c r="J2552" s="37">
        <v>0.0</v>
      </c>
      <c r="K2552" s="2">
        <v>0.0</v>
      </c>
      <c r="L2552" s="2">
        <v>0.0</v>
      </c>
      <c r="M2552" s="37">
        <v>0.0</v>
      </c>
    </row>
    <row r="2553" ht="14.25" customHeight="1">
      <c r="A2553" t="s">
        <v>2613</v>
      </c>
      <c r="B2553" t="s">
        <v>2193</v>
      </c>
      <c r="C2553" t="s">
        <v>62</v>
      </c>
      <c r="D2553" t="s">
        <v>63</v>
      </c>
      <c r="E2553">
        <v>13.5</v>
      </c>
      <c r="F2553">
        <v>16.0</v>
      </c>
      <c r="G2553" s="2" t="s">
        <v>64</v>
      </c>
      <c r="H2553" s="2">
        <v>0.0</v>
      </c>
      <c r="I2553" s="2">
        <v>0.0</v>
      </c>
      <c r="J2553" s="37">
        <v>0.0</v>
      </c>
      <c r="K2553" s="2">
        <v>0.0</v>
      </c>
      <c r="L2553" s="2">
        <v>0.0</v>
      </c>
      <c r="M2553" s="37">
        <v>0.0</v>
      </c>
    </row>
    <row r="2554" ht="14.25" customHeight="1">
      <c r="A2554" t="s">
        <v>2614</v>
      </c>
      <c r="B2554" t="s">
        <v>2193</v>
      </c>
      <c r="C2554" t="s">
        <v>62</v>
      </c>
      <c r="D2554" t="s">
        <v>63</v>
      </c>
      <c r="E2554">
        <v>7.1</v>
      </c>
      <c r="F2554">
        <v>8.0</v>
      </c>
      <c r="G2554" s="2" t="s">
        <v>64</v>
      </c>
      <c r="H2554" s="2">
        <v>0.0</v>
      </c>
      <c r="I2554" s="2">
        <v>0.0</v>
      </c>
      <c r="J2554" s="37">
        <v>0.0</v>
      </c>
      <c r="K2554" s="2">
        <v>0.0</v>
      </c>
      <c r="L2554" s="2">
        <v>0.0</v>
      </c>
      <c r="M2554" s="37">
        <v>0.0</v>
      </c>
    </row>
    <row r="2555" ht="14.25" customHeight="1">
      <c r="A2555" t="s">
        <v>2615</v>
      </c>
      <c r="B2555" t="s">
        <v>2193</v>
      </c>
      <c r="C2555" t="s">
        <v>62</v>
      </c>
      <c r="D2555" t="s">
        <v>63</v>
      </c>
      <c r="E2555">
        <v>7.1</v>
      </c>
      <c r="F2555">
        <v>8.0</v>
      </c>
      <c r="G2555" s="2" t="s">
        <v>64</v>
      </c>
      <c r="H2555" s="2">
        <v>0.0</v>
      </c>
      <c r="I2555" s="2">
        <v>0.0</v>
      </c>
      <c r="J2555" s="37">
        <v>0.0</v>
      </c>
      <c r="K2555" s="2">
        <v>0.0</v>
      </c>
      <c r="L2555" s="2">
        <v>0.0</v>
      </c>
      <c r="M2555" s="37">
        <v>0.0</v>
      </c>
    </row>
    <row r="2556" ht="14.25" customHeight="1">
      <c r="A2556" t="s">
        <v>2616</v>
      </c>
      <c r="B2556" t="s">
        <v>2193</v>
      </c>
      <c r="C2556" t="s">
        <v>62</v>
      </c>
      <c r="D2556" t="s">
        <v>63</v>
      </c>
      <c r="E2556">
        <v>7.1</v>
      </c>
      <c r="F2556">
        <v>8.0</v>
      </c>
      <c r="G2556" s="2" t="s">
        <v>64</v>
      </c>
      <c r="H2556" s="2">
        <v>0.0</v>
      </c>
      <c r="I2556" s="2">
        <v>0.0</v>
      </c>
      <c r="J2556" s="37">
        <v>0.0</v>
      </c>
      <c r="K2556" s="2">
        <v>0.0</v>
      </c>
      <c r="L2556" s="2">
        <v>0.0</v>
      </c>
      <c r="M2556" s="37">
        <v>0.0</v>
      </c>
    </row>
    <row r="2557" ht="14.25" customHeight="1">
      <c r="A2557" t="s">
        <v>2617</v>
      </c>
      <c r="B2557" t="s">
        <v>2193</v>
      </c>
      <c r="C2557" t="s">
        <v>62</v>
      </c>
      <c r="D2557" t="s">
        <v>63</v>
      </c>
      <c r="E2557">
        <v>7.1</v>
      </c>
      <c r="F2557">
        <v>8.0</v>
      </c>
      <c r="G2557" s="2" t="s">
        <v>64</v>
      </c>
      <c r="H2557" s="2">
        <v>0.0</v>
      </c>
      <c r="I2557" s="2">
        <v>0.0</v>
      </c>
      <c r="J2557" s="37">
        <v>0.0</v>
      </c>
      <c r="K2557" s="2">
        <v>0.0</v>
      </c>
      <c r="L2557" s="2">
        <v>0.0</v>
      </c>
      <c r="M2557" s="37">
        <v>0.0</v>
      </c>
    </row>
    <row r="2558" ht="14.25" customHeight="1">
      <c r="A2558" t="s">
        <v>2618</v>
      </c>
      <c r="B2558" t="s">
        <v>2193</v>
      </c>
      <c r="C2558" t="s">
        <v>62</v>
      </c>
      <c r="D2558" t="s">
        <v>63</v>
      </c>
      <c r="E2558">
        <v>7.1</v>
      </c>
      <c r="F2558">
        <v>8.0</v>
      </c>
      <c r="G2558" s="2" t="s">
        <v>64</v>
      </c>
      <c r="H2558" s="2">
        <v>0.0</v>
      </c>
      <c r="I2558" s="2">
        <v>0.0</v>
      </c>
      <c r="J2558" s="37">
        <v>0.0</v>
      </c>
      <c r="K2558" s="2">
        <v>0.0</v>
      </c>
      <c r="L2558" s="2">
        <v>0.0</v>
      </c>
      <c r="M2558" s="37">
        <v>0.0</v>
      </c>
    </row>
    <row r="2559" ht="14.25" customHeight="1">
      <c r="A2559" t="s">
        <v>2619</v>
      </c>
      <c r="B2559" t="s">
        <v>2193</v>
      </c>
      <c r="C2559" t="s">
        <v>62</v>
      </c>
      <c r="D2559" t="s">
        <v>63</v>
      </c>
      <c r="E2559">
        <v>7.1</v>
      </c>
      <c r="F2559">
        <v>8.0</v>
      </c>
      <c r="G2559" s="2" t="s">
        <v>64</v>
      </c>
      <c r="H2559" s="2">
        <v>0.0</v>
      </c>
      <c r="I2559" s="2">
        <v>0.0</v>
      </c>
      <c r="J2559" s="37">
        <v>0.0</v>
      </c>
      <c r="K2559" s="2">
        <v>0.0</v>
      </c>
      <c r="L2559" s="2">
        <v>0.0</v>
      </c>
      <c r="M2559" s="37">
        <v>0.0</v>
      </c>
    </row>
    <row r="2560" ht="14.25" customHeight="1">
      <c r="A2560" t="s">
        <v>2620</v>
      </c>
      <c r="B2560" t="s">
        <v>2193</v>
      </c>
      <c r="C2560" t="s">
        <v>62</v>
      </c>
      <c r="D2560" t="s">
        <v>63</v>
      </c>
      <c r="E2560">
        <v>7.1</v>
      </c>
      <c r="F2560">
        <v>8.0</v>
      </c>
      <c r="G2560" s="2" t="s">
        <v>64</v>
      </c>
      <c r="H2560" s="2">
        <v>0.0</v>
      </c>
      <c r="I2560" s="2">
        <v>0.0</v>
      </c>
      <c r="J2560" s="37">
        <v>0.0</v>
      </c>
      <c r="K2560" s="2">
        <v>0.0</v>
      </c>
      <c r="L2560" s="2">
        <v>0.0</v>
      </c>
      <c r="M2560" s="37">
        <v>0.0</v>
      </c>
    </row>
    <row r="2561" ht="14.25" customHeight="1">
      <c r="A2561" t="s">
        <v>2621</v>
      </c>
      <c r="B2561" t="s">
        <v>2193</v>
      </c>
      <c r="C2561" t="s">
        <v>62</v>
      </c>
      <c r="D2561" t="s">
        <v>63</v>
      </c>
      <c r="E2561">
        <v>7.1</v>
      </c>
      <c r="F2561">
        <v>8.0</v>
      </c>
      <c r="G2561" s="2" t="s">
        <v>64</v>
      </c>
      <c r="H2561" s="2">
        <v>0.0</v>
      </c>
      <c r="I2561" s="2">
        <v>0.0</v>
      </c>
      <c r="J2561" s="37">
        <v>0.0</v>
      </c>
      <c r="K2561" s="2">
        <v>0.0</v>
      </c>
      <c r="L2561" s="2">
        <v>0.0</v>
      </c>
      <c r="M2561" s="37">
        <v>0.0</v>
      </c>
    </row>
    <row r="2562" ht="14.25" customHeight="1">
      <c r="A2562" t="s">
        <v>2622</v>
      </c>
      <c r="B2562" t="s">
        <v>2193</v>
      </c>
      <c r="C2562" t="s">
        <v>62</v>
      </c>
      <c r="D2562" t="s">
        <v>63</v>
      </c>
      <c r="E2562">
        <v>7.1</v>
      </c>
      <c r="F2562">
        <v>8.0</v>
      </c>
      <c r="G2562" s="2" t="s">
        <v>64</v>
      </c>
      <c r="H2562" s="2">
        <v>0.0</v>
      </c>
      <c r="I2562" s="2">
        <v>0.0</v>
      </c>
      <c r="J2562" s="37">
        <v>0.0</v>
      </c>
      <c r="K2562" s="2">
        <v>0.0</v>
      </c>
      <c r="L2562" s="2">
        <v>0.0</v>
      </c>
      <c r="M2562" s="37">
        <v>0.0</v>
      </c>
    </row>
    <row r="2563" ht="14.25" customHeight="1">
      <c r="A2563" t="s">
        <v>2623</v>
      </c>
      <c r="B2563" t="s">
        <v>2193</v>
      </c>
      <c r="C2563" t="s">
        <v>62</v>
      </c>
      <c r="D2563" t="s">
        <v>63</v>
      </c>
      <c r="E2563">
        <v>7.1</v>
      </c>
      <c r="F2563">
        <v>8.0</v>
      </c>
      <c r="G2563" s="2" t="s">
        <v>64</v>
      </c>
      <c r="H2563" s="2">
        <v>0.0</v>
      </c>
      <c r="I2563" s="2">
        <v>0.0</v>
      </c>
      <c r="J2563" s="37">
        <v>0.0</v>
      </c>
      <c r="K2563" s="2">
        <v>0.0</v>
      </c>
      <c r="L2563" s="2">
        <v>0.0</v>
      </c>
      <c r="M2563" s="37">
        <v>0.0</v>
      </c>
    </row>
    <row r="2564" ht="14.25" customHeight="1">
      <c r="A2564" t="s">
        <v>2624</v>
      </c>
      <c r="B2564" t="s">
        <v>2193</v>
      </c>
      <c r="C2564" t="s">
        <v>62</v>
      </c>
      <c r="D2564" t="s">
        <v>63</v>
      </c>
      <c r="E2564">
        <v>7.1</v>
      </c>
      <c r="F2564">
        <v>8.0</v>
      </c>
      <c r="G2564" s="2" t="s">
        <v>64</v>
      </c>
      <c r="H2564" s="2">
        <v>0.0</v>
      </c>
      <c r="I2564" s="2">
        <v>0.0</v>
      </c>
      <c r="J2564" s="37">
        <v>0.0</v>
      </c>
      <c r="K2564" s="2">
        <v>0.0</v>
      </c>
      <c r="L2564" s="2">
        <v>0.0</v>
      </c>
      <c r="M2564" s="37">
        <v>0.0</v>
      </c>
    </row>
    <row r="2565" ht="14.25" customHeight="1">
      <c r="A2565" t="s">
        <v>2625</v>
      </c>
      <c r="B2565" t="s">
        <v>2193</v>
      </c>
      <c r="C2565" t="s">
        <v>62</v>
      </c>
      <c r="D2565" t="s">
        <v>63</v>
      </c>
      <c r="E2565">
        <v>10.0</v>
      </c>
      <c r="F2565">
        <v>11.2</v>
      </c>
      <c r="G2565" s="2" t="s">
        <v>67</v>
      </c>
      <c r="H2565" s="2">
        <v>63.0</v>
      </c>
      <c r="I2565" s="2">
        <v>378.0</v>
      </c>
      <c r="J2565" s="37">
        <v>1906.38</v>
      </c>
      <c r="K2565" s="2">
        <v>73.0</v>
      </c>
      <c r="L2565" s="2">
        <v>572.0</v>
      </c>
      <c r="M2565" s="37">
        <v>2383.1800000000003</v>
      </c>
    </row>
    <row r="2566" ht="14.25" customHeight="1">
      <c r="A2566" t="s">
        <v>2626</v>
      </c>
      <c r="B2566" t="s">
        <v>2193</v>
      </c>
      <c r="C2566" t="s">
        <v>62</v>
      </c>
      <c r="D2566" t="s">
        <v>63</v>
      </c>
      <c r="E2566">
        <v>10.0</v>
      </c>
      <c r="F2566">
        <v>11.2</v>
      </c>
      <c r="G2566" s="2" t="s">
        <v>67</v>
      </c>
      <c r="H2566" s="2">
        <v>63.0</v>
      </c>
      <c r="I2566" s="2">
        <v>378.0</v>
      </c>
      <c r="J2566" s="37">
        <v>1906.38</v>
      </c>
      <c r="K2566" s="2">
        <v>73.0</v>
      </c>
      <c r="L2566" s="2">
        <v>572.0</v>
      </c>
      <c r="M2566" s="37">
        <v>2383.1800000000003</v>
      </c>
    </row>
    <row r="2567" ht="14.25" customHeight="1">
      <c r="A2567" t="s">
        <v>2627</v>
      </c>
      <c r="B2567" t="s">
        <v>2193</v>
      </c>
      <c r="C2567" t="s">
        <v>62</v>
      </c>
      <c r="D2567" t="s">
        <v>63</v>
      </c>
      <c r="E2567">
        <v>10.0</v>
      </c>
      <c r="F2567">
        <v>11.2</v>
      </c>
      <c r="G2567" s="2" t="s">
        <v>67</v>
      </c>
      <c r="H2567" s="2">
        <v>63.0</v>
      </c>
      <c r="I2567" s="2">
        <v>378.0</v>
      </c>
      <c r="J2567" s="37">
        <v>1906.38</v>
      </c>
      <c r="K2567" s="2">
        <v>73.0</v>
      </c>
      <c r="L2567" s="2">
        <v>572.0</v>
      </c>
      <c r="M2567" s="37">
        <v>2383.1800000000003</v>
      </c>
    </row>
    <row r="2568" ht="14.25" customHeight="1">
      <c r="A2568" t="s">
        <v>2628</v>
      </c>
      <c r="B2568" t="s">
        <v>2193</v>
      </c>
      <c r="C2568" t="s">
        <v>62</v>
      </c>
      <c r="D2568" t="s">
        <v>63</v>
      </c>
      <c r="E2568">
        <v>10.0</v>
      </c>
      <c r="F2568">
        <v>11.2</v>
      </c>
      <c r="G2568" s="2" t="s">
        <v>67</v>
      </c>
      <c r="H2568" s="2">
        <v>63.0</v>
      </c>
      <c r="I2568" s="2">
        <v>378.0</v>
      </c>
      <c r="J2568" s="37">
        <v>1906.38</v>
      </c>
      <c r="K2568" s="2">
        <v>73.0</v>
      </c>
      <c r="L2568" s="2">
        <v>572.0</v>
      </c>
      <c r="M2568" s="37">
        <v>2383.1800000000003</v>
      </c>
    </row>
    <row r="2569" ht="14.25" customHeight="1">
      <c r="A2569" t="s">
        <v>2629</v>
      </c>
      <c r="B2569" t="s">
        <v>2193</v>
      </c>
      <c r="C2569" t="s">
        <v>62</v>
      </c>
      <c r="D2569" t="s">
        <v>63</v>
      </c>
      <c r="E2569">
        <v>10.0</v>
      </c>
      <c r="F2569">
        <v>11.2</v>
      </c>
      <c r="G2569" s="2" t="s">
        <v>67</v>
      </c>
      <c r="H2569" s="2">
        <v>63.0</v>
      </c>
      <c r="I2569" s="2">
        <v>378.0</v>
      </c>
      <c r="J2569" s="37">
        <v>1906.38</v>
      </c>
      <c r="K2569" s="2">
        <v>73.0</v>
      </c>
      <c r="L2569" s="2">
        <v>572.0</v>
      </c>
      <c r="M2569" s="37">
        <v>2383.1800000000003</v>
      </c>
    </row>
    <row r="2570" ht="14.25" customHeight="1">
      <c r="A2570" t="s">
        <v>2630</v>
      </c>
      <c r="B2570" t="s">
        <v>2193</v>
      </c>
      <c r="C2570" t="s">
        <v>62</v>
      </c>
      <c r="D2570" t="s">
        <v>63</v>
      </c>
      <c r="E2570">
        <v>10.0</v>
      </c>
      <c r="F2570">
        <v>11.2</v>
      </c>
      <c r="G2570" s="2" t="s">
        <v>67</v>
      </c>
      <c r="H2570" s="2">
        <v>63.0</v>
      </c>
      <c r="I2570" s="2">
        <v>378.0</v>
      </c>
      <c r="J2570" s="37">
        <v>1906.38</v>
      </c>
      <c r="K2570" s="2">
        <v>73.0</v>
      </c>
      <c r="L2570" s="2">
        <v>572.0</v>
      </c>
      <c r="M2570" s="37">
        <v>2383.1800000000003</v>
      </c>
    </row>
    <row r="2571" ht="14.25" customHeight="1">
      <c r="A2571" t="s">
        <v>2631</v>
      </c>
      <c r="B2571" t="s">
        <v>2193</v>
      </c>
      <c r="C2571" t="s">
        <v>62</v>
      </c>
      <c r="D2571" t="s">
        <v>63</v>
      </c>
      <c r="E2571">
        <v>10.0</v>
      </c>
      <c r="F2571">
        <v>11.2</v>
      </c>
      <c r="G2571" s="2" t="s">
        <v>64</v>
      </c>
      <c r="H2571" s="2">
        <v>0.0</v>
      </c>
      <c r="I2571" s="2">
        <v>0.0</v>
      </c>
      <c r="J2571" s="37">
        <v>0.0</v>
      </c>
      <c r="K2571" s="2">
        <v>0.0</v>
      </c>
      <c r="L2571" s="2">
        <v>0.0</v>
      </c>
      <c r="M2571" s="37">
        <v>0.0</v>
      </c>
    </row>
    <row r="2572" ht="14.25" customHeight="1">
      <c r="A2572" t="s">
        <v>2632</v>
      </c>
      <c r="B2572" t="s">
        <v>2193</v>
      </c>
      <c r="C2572" t="s">
        <v>62</v>
      </c>
      <c r="D2572" t="s">
        <v>63</v>
      </c>
      <c r="E2572">
        <v>10.0</v>
      </c>
      <c r="F2572">
        <v>11.2</v>
      </c>
      <c r="G2572" s="2" t="s">
        <v>64</v>
      </c>
      <c r="H2572" s="2">
        <v>0.0</v>
      </c>
      <c r="I2572" s="2">
        <v>0.0</v>
      </c>
      <c r="J2572" s="37">
        <v>0.0</v>
      </c>
      <c r="K2572" s="2">
        <v>0.0</v>
      </c>
      <c r="L2572" s="2">
        <v>0.0</v>
      </c>
      <c r="M2572" s="37">
        <v>0.0</v>
      </c>
    </row>
    <row r="2573" ht="14.25" customHeight="1">
      <c r="A2573" t="s">
        <v>2633</v>
      </c>
      <c r="B2573" t="s">
        <v>2193</v>
      </c>
      <c r="C2573" t="s">
        <v>62</v>
      </c>
      <c r="D2573" t="s">
        <v>63</v>
      </c>
      <c r="E2573">
        <v>10.0</v>
      </c>
      <c r="F2573">
        <v>11.2</v>
      </c>
      <c r="G2573" s="2" t="s">
        <v>64</v>
      </c>
      <c r="H2573" s="2">
        <v>0.0</v>
      </c>
      <c r="I2573" s="2">
        <v>0.0</v>
      </c>
      <c r="J2573" s="37">
        <v>0.0</v>
      </c>
      <c r="K2573" s="2">
        <v>0.0</v>
      </c>
      <c r="L2573" s="2">
        <v>0.0</v>
      </c>
      <c r="M2573" s="37">
        <v>0.0</v>
      </c>
    </row>
    <row r="2574" ht="14.25" customHeight="1">
      <c r="A2574" t="s">
        <v>2634</v>
      </c>
      <c r="B2574" t="s">
        <v>2193</v>
      </c>
      <c r="C2574" t="s">
        <v>62</v>
      </c>
      <c r="D2574" t="s">
        <v>63</v>
      </c>
      <c r="E2574">
        <v>10.0</v>
      </c>
      <c r="F2574">
        <v>11.2</v>
      </c>
      <c r="G2574" s="2" t="s">
        <v>64</v>
      </c>
      <c r="H2574" s="2">
        <v>0.0</v>
      </c>
      <c r="I2574" s="2">
        <v>0.0</v>
      </c>
      <c r="J2574" s="37">
        <v>0.0</v>
      </c>
      <c r="K2574" s="2">
        <v>0.0</v>
      </c>
      <c r="L2574" s="2">
        <v>0.0</v>
      </c>
      <c r="M2574" s="37">
        <v>0.0</v>
      </c>
    </row>
    <row r="2575" ht="14.25" customHeight="1">
      <c r="A2575" t="s">
        <v>2635</v>
      </c>
      <c r="B2575" t="s">
        <v>2193</v>
      </c>
      <c r="C2575" t="s">
        <v>62</v>
      </c>
      <c r="D2575" t="s">
        <v>63</v>
      </c>
      <c r="E2575">
        <v>10.0</v>
      </c>
      <c r="F2575">
        <v>11.2</v>
      </c>
      <c r="G2575" s="2" t="s">
        <v>64</v>
      </c>
      <c r="H2575" s="2">
        <v>0.0</v>
      </c>
      <c r="I2575" s="2">
        <v>0.0</v>
      </c>
      <c r="J2575" s="37">
        <v>0.0</v>
      </c>
      <c r="K2575" s="2">
        <v>0.0</v>
      </c>
      <c r="L2575" s="2">
        <v>0.0</v>
      </c>
      <c r="M2575" s="37">
        <v>0.0</v>
      </c>
    </row>
    <row r="2576" ht="14.25" customHeight="1">
      <c r="A2576" t="s">
        <v>2636</v>
      </c>
      <c r="B2576" t="s">
        <v>2193</v>
      </c>
      <c r="C2576" t="s">
        <v>62</v>
      </c>
      <c r="D2576" t="s">
        <v>63</v>
      </c>
      <c r="E2576">
        <v>10.0</v>
      </c>
      <c r="F2576">
        <v>11.2</v>
      </c>
      <c r="G2576" s="2" t="s">
        <v>64</v>
      </c>
      <c r="H2576" s="2">
        <v>0.0</v>
      </c>
      <c r="I2576" s="2">
        <v>0.0</v>
      </c>
      <c r="J2576" s="37">
        <v>0.0</v>
      </c>
      <c r="K2576" s="2">
        <v>0.0</v>
      </c>
      <c r="L2576" s="2">
        <v>0.0</v>
      </c>
      <c r="M2576" s="37">
        <v>0.0</v>
      </c>
    </row>
    <row r="2577" ht="14.25" customHeight="1">
      <c r="A2577" t="s">
        <v>2637</v>
      </c>
      <c r="B2577" t="s">
        <v>2193</v>
      </c>
      <c r="C2577" t="s">
        <v>62</v>
      </c>
      <c r="D2577" t="s">
        <v>63</v>
      </c>
      <c r="E2577">
        <v>10.0</v>
      </c>
      <c r="F2577">
        <v>11.2</v>
      </c>
      <c r="G2577" s="2" t="s">
        <v>64</v>
      </c>
      <c r="H2577" s="2">
        <v>0.0</v>
      </c>
      <c r="I2577" s="2">
        <v>0.0</v>
      </c>
      <c r="J2577" s="37">
        <v>0.0</v>
      </c>
      <c r="K2577" s="2">
        <v>0.0</v>
      </c>
      <c r="L2577" s="2">
        <v>0.0</v>
      </c>
      <c r="M2577" s="37">
        <v>0.0</v>
      </c>
    </row>
    <row r="2578" ht="14.25" customHeight="1">
      <c r="A2578" t="s">
        <v>2638</v>
      </c>
      <c r="B2578" t="s">
        <v>2193</v>
      </c>
      <c r="C2578" t="s">
        <v>62</v>
      </c>
      <c r="D2578" t="s">
        <v>63</v>
      </c>
      <c r="E2578">
        <v>12.5</v>
      </c>
      <c r="F2578">
        <v>14.0</v>
      </c>
      <c r="G2578" s="2" t="s">
        <v>64</v>
      </c>
      <c r="H2578" s="2">
        <v>0.0</v>
      </c>
      <c r="I2578" s="2">
        <v>0.0</v>
      </c>
      <c r="J2578" s="37">
        <v>0.0</v>
      </c>
      <c r="K2578" s="2">
        <v>0.0</v>
      </c>
      <c r="L2578" s="2">
        <v>0.0</v>
      </c>
      <c r="M2578" s="37">
        <v>0.0</v>
      </c>
    </row>
    <row r="2579" ht="14.25" customHeight="1">
      <c r="A2579" t="s">
        <v>2639</v>
      </c>
      <c r="B2579" t="s">
        <v>2193</v>
      </c>
      <c r="C2579" t="s">
        <v>62</v>
      </c>
      <c r="D2579" t="s">
        <v>63</v>
      </c>
      <c r="E2579">
        <v>12.5</v>
      </c>
      <c r="F2579">
        <v>14.0</v>
      </c>
      <c r="G2579" s="2" t="s">
        <v>64</v>
      </c>
      <c r="H2579" s="2">
        <v>0.0</v>
      </c>
      <c r="I2579" s="2">
        <v>0.0</v>
      </c>
      <c r="J2579" s="37">
        <v>0.0</v>
      </c>
      <c r="K2579" s="2">
        <v>0.0</v>
      </c>
      <c r="L2579" s="2">
        <v>0.0</v>
      </c>
      <c r="M2579" s="37">
        <v>0.0</v>
      </c>
    </row>
    <row r="2580" ht="14.25" customHeight="1">
      <c r="A2580" t="s">
        <v>2640</v>
      </c>
      <c r="B2580" t="s">
        <v>2193</v>
      </c>
      <c r="C2580" t="s">
        <v>62</v>
      </c>
      <c r="D2580" t="s">
        <v>63</v>
      </c>
      <c r="E2580">
        <v>12.5</v>
      </c>
      <c r="F2580">
        <v>14.0</v>
      </c>
      <c r="G2580" s="2" t="s">
        <v>64</v>
      </c>
      <c r="H2580" s="2">
        <v>0.0</v>
      </c>
      <c r="I2580" s="2">
        <v>0.0</v>
      </c>
      <c r="J2580" s="37">
        <v>0.0</v>
      </c>
      <c r="K2580" s="2">
        <v>0.0</v>
      </c>
      <c r="L2580" s="2">
        <v>0.0</v>
      </c>
      <c r="M2580" s="37">
        <v>0.0</v>
      </c>
    </row>
    <row r="2581" ht="14.25" customHeight="1">
      <c r="A2581" t="s">
        <v>2641</v>
      </c>
      <c r="B2581" t="s">
        <v>2193</v>
      </c>
      <c r="C2581" t="s">
        <v>62</v>
      </c>
      <c r="D2581" t="s">
        <v>63</v>
      </c>
      <c r="E2581">
        <v>12.5</v>
      </c>
      <c r="F2581">
        <v>14.0</v>
      </c>
      <c r="G2581" s="2" t="s">
        <v>64</v>
      </c>
      <c r="H2581" s="2">
        <v>0.0</v>
      </c>
      <c r="I2581" s="2">
        <v>0.0</v>
      </c>
      <c r="J2581" s="37">
        <v>0.0</v>
      </c>
      <c r="K2581" s="2">
        <v>0.0</v>
      </c>
      <c r="L2581" s="2">
        <v>0.0</v>
      </c>
      <c r="M2581" s="37">
        <v>0.0</v>
      </c>
    </row>
    <row r="2582" ht="14.25" customHeight="1">
      <c r="A2582" t="s">
        <v>2642</v>
      </c>
      <c r="B2582" t="s">
        <v>2193</v>
      </c>
      <c r="C2582" t="s">
        <v>62</v>
      </c>
      <c r="D2582" t="s">
        <v>63</v>
      </c>
      <c r="E2582">
        <v>12.5</v>
      </c>
      <c r="F2582">
        <v>14.0</v>
      </c>
      <c r="G2582" s="2" t="s">
        <v>64</v>
      </c>
      <c r="H2582" s="2">
        <v>0.0</v>
      </c>
      <c r="I2582" s="2">
        <v>0.0</v>
      </c>
      <c r="J2582" s="37">
        <v>0.0</v>
      </c>
      <c r="K2582" s="2">
        <v>0.0</v>
      </c>
      <c r="L2582" s="2">
        <v>0.0</v>
      </c>
      <c r="M2582" s="37">
        <v>0.0</v>
      </c>
    </row>
    <row r="2583" ht="14.25" customHeight="1">
      <c r="A2583" t="s">
        <v>2643</v>
      </c>
      <c r="B2583" t="s">
        <v>2193</v>
      </c>
      <c r="C2583" t="s">
        <v>62</v>
      </c>
      <c r="D2583" t="s">
        <v>63</v>
      </c>
      <c r="E2583">
        <v>12.5</v>
      </c>
      <c r="F2583">
        <v>14.0</v>
      </c>
      <c r="G2583" s="2" t="s">
        <v>64</v>
      </c>
      <c r="H2583" s="2">
        <v>0.0</v>
      </c>
      <c r="I2583" s="2">
        <v>0.0</v>
      </c>
      <c r="J2583" s="37">
        <v>0.0</v>
      </c>
      <c r="K2583" s="2">
        <v>0.0</v>
      </c>
      <c r="L2583" s="2">
        <v>0.0</v>
      </c>
      <c r="M2583" s="37">
        <v>0.0</v>
      </c>
    </row>
    <row r="2584" ht="14.25" customHeight="1">
      <c r="A2584" t="s">
        <v>2644</v>
      </c>
      <c r="B2584" t="s">
        <v>2193</v>
      </c>
      <c r="C2584" t="s">
        <v>62</v>
      </c>
      <c r="D2584" t="s">
        <v>63</v>
      </c>
      <c r="E2584">
        <v>12.5</v>
      </c>
      <c r="F2584">
        <v>14.0</v>
      </c>
      <c r="G2584" s="2" t="s">
        <v>64</v>
      </c>
      <c r="H2584" s="2">
        <v>0.0</v>
      </c>
      <c r="I2584" s="2">
        <v>0.0</v>
      </c>
      <c r="J2584" s="37">
        <v>0.0</v>
      </c>
      <c r="K2584" s="2">
        <v>0.0</v>
      </c>
      <c r="L2584" s="2">
        <v>0.0</v>
      </c>
      <c r="M2584" s="37">
        <v>0.0</v>
      </c>
    </row>
    <row r="2585" ht="14.25" customHeight="1">
      <c r="A2585" t="s">
        <v>2645</v>
      </c>
      <c r="B2585" t="s">
        <v>2193</v>
      </c>
      <c r="C2585" t="s">
        <v>62</v>
      </c>
      <c r="D2585" t="s">
        <v>63</v>
      </c>
      <c r="E2585">
        <v>13.5</v>
      </c>
      <c r="F2585">
        <v>16.0</v>
      </c>
      <c r="G2585" s="2" t="s">
        <v>64</v>
      </c>
      <c r="H2585" s="2">
        <v>0.0</v>
      </c>
      <c r="I2585" s="2">
        <v>0.0</v>
      </c>
      <c r="J2585" s="37">
        <v>0.0</v>
      </c>
      <c r="K2585" s="2">
        <v>0.0</v>
      </c>
      <c r="L2585" s="2">
        <v>0.0</v>
      </c>
      <c r="M2585" s="37">
        <v>0.0</v>
      </c>
    </row>
    <row r="2586" ht="14.25" customHeight="1">
      <c r="A2586" t="s">
        <v>2646</v>
      </c>
      <c r="B2586" t="s">
        <v>2193</v>
      </c>
      <c r="C2586" t="s">
        <v>62</v>
      </c>
      <c r="D2586" t="s">
        <v>63</v>
      </c>
      <c r="E2586">
        <v>13.5</v>
      </c>
      <c r="F2586">
        <v>16.0</v>
      </c>
      <c r="G2586" s="2" t="s">
        <v>64</v>
      </c>
      <c r="H2586" s="2">
        <v>0.0</v>
      </c>
      <c r="I2586" s="2">
        <v>0.0</v>
      </c>
      <c r="J2586" s="37">
        <v>0.0</v>
      </c>
      <c r="K2586" s="2">
        <v>0.0</v>
      </c>
      <c r="L2586" s="2">
        <v>0.0</v>
      </c>
      <c r="M2586" s="37">
        <v>0.0</v>
      </c>
    </row>
    <row r="2587" ht="14.25" customHeight="1">
      <c r="A2587" t="s">
        <v>2647</v>
      </c>
      <c r="B2587" t="s">
        <v>2193</v>
      </c>
      <c r="C2587" t="s">
        <v>62</v>
      </c>
      <c r="D2587" t="s">
        <v>63</v>
      </c>
      <c r="E2587">
        <v>13.5</v>
      </c>
      <c r="F2587">
        <v>16.0</v>
      </c>
      <c r="G2587" s="2" t="s">
        <v>64</v>
      </c>
      <c r="H2587" s="2">
        <v>0.0</v>
      </c>
      <c r="I2587" s="2">
        <v>0.0</v>
      </c>
      <c r="J2587" s="37">
        <v>0.0</v>
      </c>
      <c r="K2587" s="2">
        <v>0.0</v>
      </c>
      <c r="L2587" s="2">
        <v>0.0</v>
      </c>
      <c r="M2587" s="37">
        <v>0.0</v>
      </c>
    </row>
    <row r="2588" ht="14.25" customHeight="1">
      <c r="A2588" t="s">
        <v>2648</v>
      </c>
      <c r="B2588" t="s">
        <v>2193</v>
      </c>
      <c r="C2588" t="s">
        <v>62</v>
      </c>
      <c r="D2588" t="s">
        <v>63</v>
      </c>
      <c r="E2588">
        <v>13.5</v>
      </c>
      <c r="F2588">
        <v>16.0</v>
      </c>
      <c r="G2588" s="2" t="s">
        <v>64</v>
      </c>
      <c r="H2588" s="2">
        <v>0.0</v>
      </c>
      <c r="I2588" s="2">
        <v>0.0</v>
      </c>
      <c r="J2588" s="37">
        <v>0.0</v>
      </c>
      <c r="K2588" s="2">
        <v>0.0</v>
      </c>
      <c r="L2588" s="2">
        <v>0.0</v>
      </c>
      <c r="M2588" s="37">
        <v>0.0</v>
      </c>
    </row>
    <row r="2589" ht="14.25" customHeight="1">
      <c r="A2589" t="s">
        <v>2649</v>
      </c>
      <c r="B2589" t="s">
        <v>2193</v>
      </c>
      <c r="C2589" t="s">
        <v>62</v>
      </c>
      <c r="D2589" t="s">
        <v>63</v>
      </c>
      <c r="E2589">
        <v>13.5</v>
      </c>
      <c r="F2589">
        <v>16.0</v>
      </c>
      <c r="G2589" s="2" t="s">
        <v>64</v>
      </c>
      <c r="H2589" s="2">
        <v>0.0</v>
      </c>
      <c r="I2589" s="2">
        <v>0.0</v>
      </c>
      <c r="J2589" s="37">
        <v>0.0</v>
      </c>
      <c r="K2589" s="2">
        <v>0.0</v>
      </c>
      <c r="L2589" s="2">
        <v>0.0</v>
      </c>
      <c r="M2589" s="37">
        <v>0.0</v>
      </c>
    </row>
    <row r="2590" ht="14.25" customHeight="1">
      <c r="A2590" t="s">
        <v>2650</v>
      </c>
      <c r="B2590" t="s">
        <v>2193</v>
      </c>
      <c r="C2590" t="s">
        <v>62</v>
      </c>
      <c r="D2590" t="s">
        <v>63</v>
      </c>
      <c r="E2590">
        <v>13.5</v>
      </c>
      <c r="F2590">
        <v>16.0</v>
      </c>
      <c r="G2590" s="2" t="s">
        <v>64</v>
      </c>
      <c r="H2590" s="2">
        <v>0.0</v>
      </c>
      <c r="I2590" s="2">
        <v>0.0</v>
      </c>
      <c r="J2590" s="37">
        <v>0.0</v>
      </c>
      <c r="K2590" s="2">
        <v>0.0</v>
      </c>
      <c r="L2590" s="2">
        <v>0.0</v>
      </c>
      <c r="M2590" s="37">
        <v>0.0</v>
      </c>
    </row>
    <row r="2591" ht="14.25" customHeight="1">
      <c r="A2591" t="s">
        <v>2651</v>
      </c>
      <c r="B2591" t="s">
        <v>2193</v>
      </c>
      <c r="C2591" t="s">
        <v>62</v>
      </c>
      <c r="D2591" t="s">
        <v>63</v>
      </c>
      <c r="E2591">
        <v>13.5</v>
      </c>
      <c r="F2591">
        <v>16.0</v>
      </c>
      <c r="G2591" s="2" t="s">
        <v>64</v>
      </c>
      <c r="H2591" s="2">
        <v>0.0</v>
      </c>
      <c r="I2591" s="2">
        <v>0.0</v>
      </c>
      <c r="J2591" s="37">
        <v>0.0</v>
      </c>
      <c r="K2591" s="2">
        <v>0.0</v>
      </c>
      <c r="L2591" s="2">
        <v>0.0</v>
      </c>
      <c r="M2591" s="37">
        <v>0.0</v>
      </c>
    </row>
    <row r="2592" ht="14.25" customHeight="1">
      <c r="A2592" t="s">
        <v>2652</v>
      </c>
      <c r="B2592" t="s">
        <v>2193</v>
      </c>
      <c r="C2592" t="s">
        <v>62</v>
      </c>
      <c r="D2592" t="s">
        <v>63</v>
      </c>
      <c r="E2592">
        <v>10.0</v>
      </c>
      <c r="F2592">
        <v>11.2</v>
      </c>
      <c r="G2592" s="2" t="s">
        <v>64</v>
      </c>
      <c r="H2592" s="2">
        <v>0.0</v>
      </c>
      <c r="I2592" s="2">
        <v>0.0</v>
      </c>
      <c r="J2592" s="37">
        <v>0.0</v>
      </c>
      <c r="K2592" s="2">
        <v>0.0</v>
      </c>
      <c r="L2592" s="2">
        <v>0.0</v>
      </c>
      <c r="M2592" s="37">
        <v>0.0</v>
      </c>
    </row>
    <row r="2593" ht="14.25" customHeight="1">
      <c r="A2593" t="s">
        <v>2653</v>
      </c>
      <c r="B2593" t="s">
        <v>2193</v>
      </c>
      <c r="C2593" t="s">
        <v>62</v>
      </c>
      <c r="D2593" t="s">
        <v>63</v>
      </c>
      <c r="E2593">
        <v>10.0</v>
      </c>
      <c r="F2593">
        <v>11.2</v>
      </c>
      <c r="G2593" s="2" t="s">
        <v>64</v>
      </c>
      <c r="H2593" s="2">
        <v>0.0</v>
      </c>
      <c r="I2593" s="2">
        <v>0.0</v>
      </c>
      <c r="J2593" s="37">
        <v>0.0</v>
      </c>
      <c r="K2593" s="2">
        <v>0.0</v>
      </c>
      <c r="L2593" s="2">
        <v>0.0</v>
      </c>
      <c r="M2593" s="37">
        <v>0.0</v>
      </c>
    </row>
    <row r="2594" ht="14.25" customHeight="1">
      <c r="A2594" t="s">
        <v>2654</v>
      </c>
      <c r="B2594" t="s">
        <v>2193</v>
      </c>
      <c r="C2594" t="s">
        <v>62</v>
      </c>
      <c r="D2594" t="s">
        <v>63</v>
      </c>
      <c r="E2594">
        <v>10.0</v>
      </c>
      <c r="F2594">
        <v>11.2</v>
      </c>
      <c r="G2594" s="2" t="s">
        <v>64</v>
      </c>
      <c r="H2594" s="2">
        <v>0.0</v>
      </c>
      <c r="I2594" s="2">
        <v>0.0</v>
      </c>
      <c r="J2594" s="37">
        <v>0.0</v>
      </c>
      <c r="K2594" s="2">
        <v>0.0</v>
      </c>
      <c r="L2594" s="2">
        <v>0.0</v>
      </c>
      <c r="M2594" s="37">
        <v>0.0</v>
      </c>
    </row>
    <row r="2595" ht="14.25" customHeight="1">
      <c r="A2595" t="s">
        <v>2655</v>
      </c>
      <c r="B2595" t="s">
        <v>2193</v>
      </c>
      <c r="C2595" t="s">
        <v>62</v>
      </c>
      <c r="D2595" t="s">
        <v>63</v>
      </c>
      <c r="E2595">
        <v>10.0</v>
      </c>
      <c r="F2595">
        <v>11.2</v>
      </c>
      <c r="G2595" s="2" t="s">
        <v>64</v>
      </c>
      <c r="H2595" s="2">
        <v>0.0</v>
      </c>
      <c r="I2595" s="2">
        <v>0.0</v>
      </c>
      <c r="J2595" s="37">
        <v>0.0</v>
      </c>
      <c r="K2595" s="2">
        <v>0.0</v>
      </c>
      <c r="L2595" s="2">
        <v>0.0</v>
      </c>
      <c r="M2595" s="37">
        <v>0.0</v>
      </c>
    </row>
    <row r="2596" ht="14.25" customHeight="1">
      <c r="A2596" t="s">
        <v>2656</v>
      </c>
      <c r="B2596" t="s">
        <v>2193</v>
      </c>
      <c r="C2596" t="s">
        <v>62</v>
      </c>
      <c r="D2596" t="s">
        <v>63</v>
      </c>
      <c r="E2596">
        <v>10.0</v>
      </c>
      <c r="F2596">
        <v>11.2</v>
      </c>
      <c r="G2596" s="2" t="s">
        <v>64</v>
      </c>
      <c r="H2596" s="2">
        <v>0.0</v>
      </c>
      <c r="I2596" s="2">
        <v>0.0</v>
      </c>
      <c r="J2596" s="37">
        <v>0.0</v>
      </c>
      <c r="K2596" s="2">
        <v>0.0</v>
      </c>
      <c r="L2596" s="2">
        <v>0.0</v>
      </c>
      <c r="M2596" s="37">
        <v>0.0</v>
      </c>
    </row>
    <row r="2597" ht="14.25" customHeight="1">
      <c r="A2597" t="s">
        <v>2657</v>
      </c>
      <c r="B2597" t="s">
        <v>2193</v>
      </c>
      <c r="C2597" t="s">
        <v>62</v>
      </c>
      <c r="D2597" t="s">
        <v>63</v>
      </c>
      <c r="E2597">
        <v>10.0</v>
      </c>
      <c r="F2597">
        <v>11.2</v>
      </c>
      <c r="G2597" s="2" t="s">
        <v>64</v>
      </c>
      <c r="H2597" s="2">
        <v>0.0</v>
      </c>
      <c r="I2597" s="2">
        <v>0.0</v>
      </c>
      <c r="J2597" s="37">
        <v>0.0</v>
      </c>
      <c r="K2597" s="2">
        <v>0.0</v>
      </c>
      <c r="L2597" s="2">
        <v>0.0</v>
      </c>
      <c r="M2597" s="37">
        <v>0.0</v>
      </c>
    </row>
    <row r="2598" ht="14.25" customHeight="1">
      <c r="A2598" t="s">
        <v>2658</v>
      </c>
      <c r="B2598" t="s">
        <v>2193</v>
      </c>
      <c r="C2598" t="s">
        <v>62</v>
      </c>
      <c r="D2598" t="s">
        <v>63</v>
      </c>
      <c r="E2598">
        <v>10.0</v>
      </c>
      <c r="F2598">
        <v>11.2</v>
      </c>
      <c r="G2598" s="2" t="s">
        <v>64</v>
      </c>
      <c r="H2598" s="2">
        <v>0.0</v>
      </c>
      <c r="I2598" s="2">
        <v>0.0</v>
      </c>
      <c r="J2598" s="37">
        <v>0.0</v>
      </c>
      <c r="K2598" s="2">
        <v>0.0</v>
      </c>
      <c r="L2598" s="2">
        <v>0.0</v>
      </c>
      <c r="M2598" s="37">
        <v>0.0</v>
      </c>
    </row>
    <row r="2599" ht="14.25" customHeight="1">
      <c r="A2599" t="s">
        <v>2659</v>
      </c>
      <c r="B2599" t="s">
        <v>2193</v>
      </c>
      <c r="C2599" t="s">
        <v>62</v>
      </c>
      <c r="D2599" t="s">
        <v>63</v>
      </c>
      <c r="E2599">
        <v>10.0</v>
      </c>
      <c r="F2599">
        <v>11.2</v>
      </c>
      <c r="G2599" s="2" t="s">
        <v>64</v>
      </c>
      <c r="H2599" s="2">
        <v>0.0</v>
      </c>
      <c r="I2599" s="2">
        <v>0.0</v>
      </c>
      <c r="J2599" s="37">
        <v>0.0</v>
      </c>
      <c r="K2599" s="2">
        <v>0.0</v>
      </c>
      <c r="L2599" s="2">
        <v>0.0</v>
      </c>
      <c r="M2599" s="37">
        <v>0.0</v>
      </c>
    </row>
    <row r="2600" ht="14.25" customHeight="1">
      <c r="A2600" t="s">
        <v>2660</v>
      </c>
      <c r="B2600" t="s">
        <v>2193</v>
      </c>
      <c r="C2600" t="s">
        <v>62</v>
      </c>
      <c r="D2600" t="s">
        <v>63</v>
      </c>
      <c r="E2600">
        <v>10.0</v>
      </c>
      <c r="F2600">
        <v>11.2</v>
      </c>
      <c r="G2600" s="2" t="s">
        <v>64</v>
      </c>
      <c r="H2600" s="2">
        <v>0.0</v>
      </c>
      <c r="I2600" s="2">
        <v>0.0</v>
      </c>
      <c r="J2600" s="37">
        <v>0.0</v>
      </c>
      <c r="K2600" s="2">
        <v>0.0</v>
      </c>
      <c r="L2600" s="2">
        <v>0.0</v>
      </c>
      <c r="M2600" s="37">
        <v>0.0</v>
      </c>
    </row>
    <row r="2601" ht="14.25" customHeight="1">
      <c r="A2601" t="s">
        <v>2661</v>
      </c>
      <c r="B2601" t="s">
        <v>2193</v>
      </c>
      <c r="C2601" t="s">
        <v>62</v>
      </c>
      <c r="D2601" t="s">
        <v>63</v>
      </c>
      <c r="E2601">
        <v>10.0</v>
      </c>
      <c r="F2601">
        <v>11.2</v>
      </c>
      <c r="G2601" s="2" t="s">
        <v>64</v>
      </c>
      <c r="H2601" s="2">
        <v>0.0</v>
      </c>
      <c r="I2601" s="2">
        <v>0.0</v>
      </c>
      <c r="J2601" s="37">
        <v>0.0</v>
      </c>
      <c r="K2601" s="2">
        <v>0.0</v>
      </c>
      <c r="L2601" s="2">
        <v>0.0</v>
      </c>
      <c r="M2601" s="37">
        <v>0.0</v>
      </c>
    </row>
    <row r="2602" ht="14.25" customHeight="1">
      <c r="A2602" t="s">
        <v>2662</v>
      </c>
      <c r="B2602" t="s">
        <v>2193</v>
      </c>
      <c r="C2602" t="s">
        <v>62</v>
      </c>
      <c r="D2602" t="s">
        <v>63</v>
      </c>
      <c r="E2602">
        <v>10.0</v>
      </c>
      <c r="F2602">
        <v>11.2</v>
      </c>
      <c r="G2602" s="2" t="s">
        <v>64</v>
      </c>
      <c r="H2602" s="2">
        <v>0.0</v>
      </c>
      <c r="I2602" s="2">
        <v>0.0</v>
      </c>
      <c r="J2602" s="37">
        <v>0.0</v>
      </c>
      <c r="K2602" s="2">
        <v>0.0</v>
      </c>
      <c r="L2602" s="2">
        <v>0.0</v>
      </c>
      <c r="M2602" s="37">
        <v>0.0</v>
      </c>
    </row>
    <row r="2603" ht="14.25" customHeight="1">
      <c r="A2603" t="s">
        <v>2663</v>
      </c>
      <c r="B2603" t="s">
        <v>2193</v>
      </c>
      <c r="C2603" t="s">
        <v>62</v>
      </c>
      <c r="D2603" t="s">
        <v>63</v>
      </c>
      <c r="E2603">
        <v>3.4</v>
      </c>
      <c r="F2603">
        <v>3.7</v>
      </c>
      <c r="G2603" s="2" t="s">
        <v>64</v>
      </c>
      <c r="H2603" s="2">
        <v>0.0</v>
      </c>
      <c r="I2603" s="2">
        <v>0.0</v>
      </c>
      <c r="J2603" s="37">
        <v>0.0</v>
      </c>
      <c r="K2603" s="2">
        <v>0.0</v>
      </c>
      <c r="L2603" s="2">
        <v>0.0</v>
      </c>
      <c r="M2603" s="37">
        <v>0.0</v>
      </c>
    </row>
    <row r="2604" ht="14.25" customHeight="1">
      <c r="A2604" t="s">
        <v>2664</v>
      </c>
      <c r="B2604" t="s">
        <v>2193</v>
      </c>
      <c r="C2604" t="s">
        <v>62</v>
      </c>
      <c r="D2604" t="s">
        <v>63</v>
      </c>
      <c r="E2604">
        <v>3.4</v>
      </c>
      <c r="F2604">
        <v>3.7</v>
      </c>
      <c r="G2604" s="2" t="s">
        <v>64</v>
      </c>
      <c r="H2604" s="2">
        <v>0.0</v>
      </c>
      <c r="I2604" s="2">
        <v>0.0</v>
      </c>
      <c r="J2604" s="37">
        <v>0.0</v>
      </c>
      <c r="K2604" s="2">
        <v>0.0</v>
      </c>
      <c r="L2604" s="2">
        <v>0.0</v>
      </c>
      <c r="M2604" s="37">
        <v>0.0</v>
      </c>
    </row>
    <row r="2605" ht="14.25" customHeight="1">
      <c r="A2605" t="s">
        <v>2665</v>
      </c>
      <c r="B2605" t="s">
        <v>2193</v>
      </c>
      <c r="C2605" t="s">
        <v>62</v>
      </c>
      <c r="D2605" t="s">
        <v>63</v>
      </c>
      <c r="E2605">
        <v>3.4</v>
      </c>
      <c r="F2605">
        <v>3.7</v>
      </c>
      <c r="G2605" s="2" t="s">
        <v>64</v>
      </c>
      <c r="H2605" s="2">
        <v>0.0</v>
      </c>
      <c r="I2605" s="2">
        <v>0.0</v>
      </c>
      <c r="J2605" s="37">
        <v>0.0</v>
      </c>
      <c r="K2605" s="2">
        <v>0.0</v>
      </c>
      <c r="L2605" s="2">
        <v>0.0</v>
      </c>
      <c r="M2605" s="37">
        <v>0.0</v>
      </c>
    </row>
    <row r="2606" ht="14.25" customHeight="1">
      <c r="A2606" t="s">
        <v>2666</v>
      </c>
      <c r="B2606" t="s">
        <v>2193</v>
      </c>
      <c r="C2606" t="s">
        <v>62</v>
      </c>
      <c r="D2606" t="s">
        <v>63</v>
      </c>
      <c r="E2606">
        <v>3.4</v>
      </c>
      <c r="F2606">
        <v>3.7</v>
      </c>
      <c r="G2606" s="2" t="s">
        <v>64</v>
      </c>
      <c r="H2606" s="2">
        <v>0.0</v>
      </c>
      <c r="I2606" s="2">
        <v>0.0</v>
      </c>
      <c r="J2606" s="37">
        <v>0.0</v>
      </c>
      <c r="K2606" s="2">
        <v>0.0</v>
      </c>
      <c r="L2606" s="2">
        <v>0.0</v>
      </c>
      <c r="M2606" s="37">
        <v>0.0</v>
      </c>
    </row>
    <row r="2607" ht="14.25" customHeight="1">
      <c r="A2607" t="s">
        <v>2667</v>
      </c>
      <c r="B2607" t="s">
        <v>2193</v>
      </c>
      <c r="C2607" t="s">
        <v>62</v>
      </c>
      <c r="D2607" t="s">
        <v>63</v>
      </c>
      <c r="E2607">
        <v>7.1</v>
      </c>
      <c r="F2607">
        <v>8.0</v>
      </c>
      <c r="G2607" s="2" t="s">
        <v>67</v>
      </c>
      <c r="H2607" s="2">
        <v>42.0</v>
      </c>
      <c r="I2607" s="2">
        <v>-14.0</v>
      </c>
      <c r="J2607" s="37">
        <v>943.32</v>
      </c>
      <c r="K2607" s="2">
        <v>48.0</v>
      </c>
      <c r="L2607" s="2">
        <v>108.0</v>
      </c>
      <c r="M2607" s="37">
        <v>1218.48</v>
      </c>
    </row>
    <row r="2608" ht="14.25" customHeight="1">
      <c r="A2608" t="s">
        <v>2668</v>
      </c>
      <c r="B2608" t="s">
        <v>2193</v>
      </c>
      <c r="C2608" t="s">
        <v>62</v>
      </c>
      <c r="D2608" t="s">
        <v>63</v>
      </c>
      <c r="E2608">
        <v>7.1</v>
      </c>
      <c r="F2608">
        <v>8.0</v>
      </c>
      <c r="G2608" s="2" t="s">
        <v>67</v>
      </c>
      <c r="H2608" s="2">
        <v>42.0</v>
      </c>
      <c r="I2608" s="2">
        <v>-14.0</v>
      </c>
      <c r="J2608" s="37">
        <v>943.32</v>
      </c>
      <c r="K2608" s="2">
        <v>48.0</v>
      </c>
      <c r="L2608" s="2">
        <v>108.0</v>
      </c>
      <c r="M2608" s="37">
        <v>1218.48</v>
      </c>
    </row>
    <row r="2609" ht="14.25" customHeight="1">
      <c r="A2609" t="s">
        <v>2669</v>
      </c>
      <c r="B2609" t="s">
        <v>2193</v>
      </c>
      <c r="C2609" t="s">
        <v>62</v>
      </c>
      <c r="D2609" t="s">
        <v>63</v>
      </c>
      <c r="E2609">
        <v>7.1</v>
      </c>
      <c r="F2609">
        <v>8.0</v>
      </c>
      <c r="G2609" s="2" t="s">
        <v>67</v>
      </c>
      <c r="H2609" s="2">
        <v>42.0</v>
      </c>
      <c r="I2609" s="2">
        <v>-14.0</v>
      </c>
      <c r="J2609" s="37">
        <v>943.32</v>
      </c>
      <c r="K2609" s="2">
        <v>48.0</v>
      </c>
      <c r="L2609" s="2">
        <v>108.0</v>
      </c>
      <c r="M2609" s="37">
        <v>1218.48</v>
      </c>
    </row>
    <row r="2610" ht="14.25" customHeight="1">
      <c r="A2610" t="s">
        <v>2670</v>
      </c>
      <c r="B2610" t="s">
        <v>2193</v>
      </c>
      <c r="C2610" t="s">
        <v>62</v>
      </c>
      <c r="D2610" t="s">
        <v>63</v>
      </c>
      <c r="E2610">
        <v>3.5</v>
      </c>
      <c r="F2610">
        <v>4.1</v>
      </c>
      <c r="G2610" s="2" t="s">
        <v>64</v>
      </c>
      <c r="H2610" s="2">
        <v>0.0</v>
      </c>
      <c r="I2610" s="2">
        <v>0.0</v>
      </c>
      <c r="J2610" s="37">
        <v>0.0</v>
      </c>
      <c r="K2610" s="2">
        <v>0.0</v>
      </c>
      <c r="L2610" s="2">
        <v>0.0</v>
      </c>
      <c r="M2610" s="37">
        <v>0.0</v>
      </c>
    </row>
    <row r="2611" ht="14.25" customHeight="1">
      <c r="A2611" t="s">
        <v>2671</v>
      </c>
      <c r="B2611" t="s">
        <v>2193</v>
      </c>
      <c r="C2611" t="s">
        <v>62</v>
      </c>
      <c r="D2611" t="s">
        <v>63</v>
      </c>
      <c r="E2611">
        <v>3.5</v>
      </c>
      <c r="F2611">
        <v>4.1</v>
      </c>
      <c r="G2611" s="2" t="s">
        <v>64</v>
      </c>
      <c r="H2611" s="2">
        <v>0.0</v>
      </c>
      <c r="I2611" s="2">
        <v>0.0</v>
      </c>
      <c r="J2611" s="37">
        <v>0.0</v>
      </c>
      <c r="K2611" s="2">
        <v>0.0</v>
      </c>
      <c r="L2611" s="2">
        <v>0.0</v>
      </c>
      <c r="M2611" s="37">
        <v>0.0</v>
      </c>
    </row>
    <row r="2612" ht="14.25" customHeight="1">
      <c r="A2612" t="s">
        <v>2672</v>
      </c>
      <c r="B2612" t="s">
        <v>2193</v>
      </c>
      <c r="C2612" t="s">
        <v>62</v>
      </c>
      <c r="D2612" t="s">
        <v>63</v>
      </c>
      <c r="E2612">
        <v>3.5</v>
      </c>
      <c r="F2612">
        <v>4.1</v>
      </c>
      <c r="G2612" s="2" t="s">
        <v>64</v>
      </c>
      <c r="H2612" s="2">
        <v>0.0</v>
      </c>
      <c r="I2612" s="2">
        <v>0.0</v>
      </c>
      <c r="J2612" s="37">
        <v>0.0</v>
      </c>
      <c r="K2612" s="2">
        <v>0.0</v>
      </c>
      <c r="L2612" s="2">
        <v>0.0</v>
      </c>
      <c r="M2612" s="37">
        <v>0.0</v>
      </c>
    </row>
    <row r="2613" ht="14.25" customHeight="1">
      <c r="A2613" t="s">
        <v>2673</v>
      </c>
      <c r="B2613" t="s">
        <v>2193</v>
      </c>
      <c r="C2613" t="s">
        <v>62</v>
      </c>
      <c r="D2613" t="s">
        <v>63</v>
      </c>
      <c r="E2613">
        <v>3.5</v>
      </c>
      <c r="F2613">
        <v>4.1</v>
      </c>
      <c r="G2613" s="2" t="s">
        <v>64</v>
      </c>
      <c r="H2613" s="2">
        <v>0.0</v>
      </c>
      <c r="I2613" s="2">
        <v>0.0</v>
      </c>
      <c r="J2613" s="37">
        <v>0.0</v>
      </c>
      <c r="K2613" s="2">
        <v>0.0</v>
      </c>
      <c r="L2613" s="2">
        <v>0.0</v>
      </c>
      <c r="M2613" s="37">
        <v>0.0</v>
      </c>
    </row>
    <row r="2614" ht="14.25" customHeight="1">
      <c r="A2614" t="s">
        <v>2674</v>
      </c>
      <c r="B2614" t="s">
        <v>2193</v>
      </c>
      <c r="C2614" t="s">
        <v>62</v>
      </c>
      <c r="D2614" t="s">
        <v>63</v>
      </c>
      <c r="E2614">
        <v>5.0</v>
      </c>
      <c r="F2614">
        <v>6.0</v>
      </c>
      <c r="G2614" s="2" t="s">
        <v>64</v>
      </c>
      <c r="H2614" s="2">
        <v>0.0</v>
      </c>
      <c r="I2614" s="2">
        <v>0.0</v>
      </c>
      <c r="J2614" s="37">
        <v>0.0</v>
      </c>
      <c r="K2614" s="2">
        <v>0.0</v>
      </c>
      <c r="L2614" s="2">
        <v>0.0</v>
      </c>
      <c r="M2614" s="37">
        <v>0.0</v>
      </c>
    </row>
    <row r="2615" ht="14.25" customHeight="1">
      <c r="A2615" t="s">
        <v>2675</v>
      </c>
      <c r="B2615" t="s">
        <v>2193</v>
      </c>
      <c r="C2615" t="s">
        <v>62</v>
      </c>
      <c r="D2615" t="s">
        <v>63</v>
      </c>
      <c r="E2615">
        <v>5.0</v>
      </c>
      <c r="F2615">
        <v>6.0</v>
      </c>
      <c r="G2615" s="2" t="s">
        <v>64</v>
      </c>
      <c r="H2615" s="2">
        <v>0.0</v>
      </c>
      <c r="I2615" s="2">
        <v>0.0</v>
      </c>
      <c r="J2615" s="37">
        <v>0.0</v>
      </c>
      <c r="K2615" s="2">
        <v>0.0</v>
      </c>
      <c r="L2615" s="2">
        <v>0.0</v>
      </c>
      <c r="M2615" s="37">
        <v>0.0</v>
      </c>
    </row>
    <row r="2616" ht="14.25" customHeight="1">
      <c r="A2616" t="s">
        <v>2676</v>
      </c>
      <c r="B2616" t="s">
        <v>2193</v>
      </c>
      <c r="C2616" t="s">
        <v>62</v>
      </c>
      <c r="D2616" t="s">
        <v>63</v>
      </c>
      <c r="E2616">
        <v>5.0</v>
      </c>
      <c r="F2616">
        <v>6.0</v>
      </c>
      <c r="G2616" s="2" t="s">
        <v>64</v>
      </c>
      <c r="H2616" s="2">
        <v>0.0</v>
      </c>
      <c r="I2616" s="2">
        <v>0.0</v>
      </c>
      <c r="J2616" s="37">
        <v>0.0</v>
      </c>
      <c r="K2616" s="2">
        <v>0.0</v>
      </c>
      <c r="L2616" s="2">
        <v>0.0</v>
      </c>
      <c r="M2616" s="37">
        <v>0.0</v>
      </c>
    </row>
    <row r="2617" ht="14.25" customHeight="1">
      <c r="A2617" t="s">
        <v>2677</v>
      </c>
      <c r="B2617" t="s">
        <v>2193</v>
      </c>
      <c r="C2617" t="s">
        <v>62</v>
      </c>
      <c r="D2617" t="s">
        <v>63</v>
      </c>
      <c r="E2617">
        <v>5.0</v>
      </c>
      <c r="F2617">
        <v>6.0</v>
      </c>
      <c r="G2617" s="2" t="s">
        <v>64</v>
      </c>
      <c r="H2617" s="2">
        <v>0.0</v>
      </c>
      <c r="I2617" s="2">
        <v>0.0</v>
      </c>
      <c r="J2617" s="37">
        <v>0.0</v>
      </c>
      <c r="K2617" s="2">
        <v>0.0</v>
      </c>
      <c r="L2617" s="2">
        <v>0.0</v>
      </c>
      <c r="M2617" s="37">
        <v>0.0</v>
      </c>
    </row>
    <row r="2618" ht="14.25" customHeight="1">
      <c r="A2618" t="s">
        <v>2678</v>
      </c>
      <c r="B2618" t="s">
        <v>2193</v>
      </c>
      <c r="C2618" t="s">
        <v>62</v>
      </c>
      <c r="D2618" t="s">
        <v>63</v>
      </c>
      <c r="E2618">
        <v>5.0</v>
      </c>
      <c r="F2618">
        <v>6.0</v>
      </c>
      <c r="G2618" s="2" t="s">
        <v>64</v>
      </c>
      <c r="H2618" s="2">
        <v>0.0</v>
      </c>
      <c r="I2618" s="2">
        <v>0.0</v>
      </c>
      <c r="J2618" s="37">
        <v>0.0</v>
      </c>
      <c r="K2618" s="2">
        <v>0.0</v>
      </c>
      <c r="L2618" s="2">
        <v>0.0</v>
      </c>
      <c r="M2618" s="37">
        <v>0.0</v>
      </c>
    </row>
    <row r="2619" ht="14.25" customHeight="1">
      <c r="A2619" t="s">
        <v>2679</v>
      </c>
      <c r="B2619" t="s">
        <v>2193</v>
      </c>
      <c r="C2619" t="s">
        <v>75</v>
      </c>
      <c r="D2619" t="s">
        <v>63</v>
      </c>
      <c r="E2619">
        <v>5.0</v>
      </c>
      <c r="F2619">
        <v>6.0</v>
      </c>
      <c r="G2619" s="2" t="s">
        <v>67</v>
      </c>
      <c r="H2619" s="2">
        <v>33.0</v>
      </c>
      <c r="I2619" s="2">
        <v>158.0</v>
      </c>
      <c r="J2619" s="37">
        <v>946.58</v>
      </c>
      <c r="K2619" s="2">
        <v>39.0</v>
      </c>
      <c r="L2619" s="2">
        <v>255.0</v>
      </c>
      <c r="M2619" s="37">
        <v>1207.44</v>
      </c>
    </row>
    <row r="2620" ht="14.25" customHeight="1">
      <c r="A2620" t="s">
        <v>2680</v>
      </c>
      <c r="B2620" t="s">
        <v>2193</v>
      </c>
      <c r="C2620" t="s">
        <v>75</v>
      </c>
      <c r="D2620" t="s">
        <v>63</v>
      </c>
      <c r="E2620">
        <v>5.0</v>
      </c>
      <c r="F2620">
        <v>6.0</v>
      </c>
      <c r="G2620" s="2" t="s">
        <v>67</v>
      </c>
      <c r="H2620" s="2">
        <v>33.0</v>
      </c>
      <c r="I2620" s="2">
        <v>158.0</v>
      </c>
      <c r="J2620" s="37">
        <v>946.58</v>
      </c>
      <c r="K2620" s="2">
        <v>39.0</v>
      </c>
      <c r="L2620" s="2">
        <v>255.0</v>
      </c>
      <c r="M2620" s="37">
        <v>1207.44</v>
      </c>
    </row>
    <row r="2621" ht="14.25" customHeight="1">
      <c r="A2621" t="s">
        <v>2681</v>
      </c>
      <c r="B2621" t="s">
        <v>2193</v>
      </c>
      <c r="C2621" t="s">
        <v>75</v>
      </c>
      <c r="D2621" t="s">
        <v>63</v>
      </c>
      <c r="E2621">
        <v>5.0</v>
      </c>
      <c r="F2621">
        <v>6.0</v>
      </c>
      <c r="G2621" s="2" t="s">
        <v>67</v>
      </c>
      <c r="H2621" s="2">
        <v>33.0</v>
      </c>
      <c r="I2621" s="2">
        <v>158.0</v>
      </c>
      <c r="J2621" s="37">
        <v>946.58</v>
      </c>
      <c r="K2621" s="2">
        <v>39.0</v>
      </c>
      <c r="L2621" s="2">
        <v>255.0</v>
      </c>
      <c r="M2621" s="37">
        <v>1207.44</v>
      </c>
    </row>
    <row r="2622" ht="14.25" customHeight="1">
      <c r="A2622" t="s">
        <v>2682</v>
      </c>
      <c r="B2622" t="s">
        <v>2193</v>
      </c>
      <c r="C2622" t="s">
        <v>75</v>
      </c>
      <c r="D2622" t="s">
        <v>63</v>
      </c>
      <c r="E2622">
        <v>5.0</v>
      </c>
      <c r="F2622">
        <v>6.0</v>
      </c>
      <c r="G2622" s="2" t="s">
        <v>67</v>
      </c>
      <c r="H2622" s="2">
        <v>33.0</v>
      </c>
      <c r="I2622" s="2">
        <v>158.0</v>
      </c>
      <c r="J2622" s="37">
        <v>946.58</v>
      </c>
      <c r="K2622" s="2">
        <v>39.0</v>
      </c>
      <c r="L2622" s="2">
        <v>255.0</v>
      </c>
      <c r="M2622" s="37">
        <v>1207.44</v>
      </c>
    </row>
    <row r="2623" ht="14.25" customHeight="1">
      <c r="A2623" t="s">
        <v>2683</v>
      </c>
      <c r="B2623" t="s">
        <v>2193</v>
      </c>
      <c r="C2623" t="s">
        <v>75</v>
      </c>
      <c r="D2623" t="s">
        <v>63</v>
      </c>
      <c r="E2623">
        <v>5.0</v>
      </c>
      <c r="F2623">
        <v>6.0</v>
      </c>
      <c r="G2623" s="2" t="s">
        <v>67</v>
      </c>
      <c r="H2623" s="2">
        <v>33.0</v>
      </c>
      <c r="I2623" s="2">
        <v>158.0</v>
      </c>
      <c r="J2623" s="37">
        <v>946.58</v>
      </c>
      <c r="K2623" s="2">
        <v>39.0</v>
      </c>
      <c r="L2623" s="2">
        <v>255.0</v>
      </c>
      <c r="M2623" s="37">
        <v>1207.44</v>
      </c>
    </row>
    <row r="2624" ht="14.25" customHeight="1">
      <c r="A2624" t="s">
        <v>2684</v>
      </c>
      <c r="B2624" t="s">
        <v>2193</v>
      </c>
      <c r="C2624" t="s">
        <v>75</v>
      </c>
      <c r="D2624" t="s">
        <v>63</v>
      </c>
      <c r="E2624">
        <v>6.0</v>
      </c>
      <c r="F2624">
        <v>7.0</v>
      </c>
      <c r="G2624" s="2" t="s">
        <v>64</v>
      </c>
      <c r="H2624" s="2">
        <v>0.0</v>
      </c>
      <c r="I2624" s="2">
        <v>0.0</v>
      </c>
      <c r="J2624" s="37">
        <v>0.0</v>
      </c>
      <c r="K2624" s="2">
        <v>0.0</v>
      </c>
      <c r="L2624" s="2">
        <v>0.0</v>
      </c>
      <c r="M2624" s="37">
        <v>0.0</v>
      </c>
    </row>
    <row r="2625" ht="14.25" customHeight="1">
      <c r="A2625" t="s">
        <v>2685</v>
      </c>
      <c r="B2625" t="s">
        <v>2193</v>
      </c>
      <c r="C2625" t="s">
        <v>75</v>
      </c>
      <c r="D2625" t="s">
        <v>63</v>
      </c>
      <c r="E2625">
        <v>6.0</v>
      </c>
      <c r="F2625">
        <v>7.0</v>
      </c>
      <c r="G2625" s="2" t="s">
        <v>64</v>
      </c>
      <c r="H2625" s="2">
        <v>0.0</v>
      </c>
      <c r="I2625" s="2">
        <v>0.0</v>
      </c>
      <c r="J2625" s="37">
        <v>0.0</v>
      </c>
      <c r="K2625" s="2">
        <v>0.0</v>
      </c>
      <c r="L2625" s="2">
        <v>0.0</v>
      </c>
      <c r="M2625" s="37">
        <v>0.0</v>
      </c>
    </row>
    <row r="2626" ht="14.25" customHeight="1">
      <c r="A2626" t="s">
        <v>2686</v>
      </c>
      <c r="B2626" t="s">
        <v>2193</v>
      </c>
      <c r="C2626" t="s">
        <v>75</v>
      </c>
      <c r="D2626" t="s">
        <v>63</v>
      </c>
      <c r="E2626">
        <v>6.0</v>
      </c>
      <c r="F2626">
        <v>7.0</v>
      </c>
      <c r="G2626" s="2" t="s">
        <v>64</v>
      </c>
      <c r="H2626" s="2">
        <v>0.0</v>
      </c>
      <c r="I2626" s="2">
        <v>0.0</v>
      </c>
      <c r="J2626" s="37">
        <v>0.0</v>
      </c>
      <c r="K2626" s="2">
        <v>0.0</v>
      </c>
      <c r="L2626" s="2">
        <v>0.0</v>
      </c>
      <c r="M2626" s="37">
        <v>0.0</v>
      </c>
    </row>
    <row r="2627" ht="14.25" customHeight="1">
      <c r="A2627" t="s">
        <v>2687</v>
      </c>
      <c r="B2627" t="s">
        <v>2193</v>
      </c>
      <c r="C2627" t="s">
        <v>75</v>
      </c>
      <c r="D2627" t="s">
        <v>63</v>
      </c>
      <c r="E2627">
        <v>6.0</v>
      </c>
      <c r="F2627">
        <v>7.0</v>
      </c>
      <c r="G2627" s="2" t="s">
        <v>64</v>
      </c>
      <c r="H2627" s="2">
        <v>0.0</v>
      </c>
      <c r="I2627" s="2">
        <v>0.0</v>
      </c>
      <c r="J2627" s="37">
        <v>0.0</v>
      </c>
      <c r="K2627" s="2">
        <v>0.0</v>
      </c>
      <c r="L2627" s="2">
        <v>0.0</v>
      </c>
      <c r="M2627" s="37">
        <v>0.0</v>
      </c>
    </row>
    <row r="2628" ht="14.25" customHeight="1">
      <c r="A2628" t="s">
        <v>2688</v>
      </c>
      <c r="B2628" t="s">
        <v>2193</v>
      </c>
      <c r="C2628" t="s">
        <v>75</v>
      </c>
      <c r="D2628" t="s">
        <v>63</v>
      </c>
      <c r="E2628">
        <v>6.0</v>
      </c>
      <c r="F2628">
        <v>7.0</v>
      </c>
      <c r="G2628" s="2" t="s">
        <v>64</v>
      </c>
      <c r="H2628" s="2">
        <v>0.0</v>
      </c>
      <c r="I2628" s="2">
        <v>0.0</v>
      </c>
      <c r="J2628" s="37">
        <v>0.0</v>
      </c>
      <c r="K2628" s="2">
        <v>0.0</v>
      </c>
      <c r="L2628" s="2">
        <v>0.0</v>
      </c>
      <c r="M2628" s="37">
        <v>0.0</v>
      </c>
    </row>
    <row r="2629" ht="14.25" customHeight="1">
      <c r="A2629" t="s">
        <v>2689</v>
      </c>
      <c r="B2629" t="s">
        <v>2193</v>
      </c>
      <c r="C2629" t="s">
        <v>75</v>
      </c>
      <c r="D2629" t="s">
        <v>63</v>
      </c>
      <c r="E2629">
        <v>6.0</v>
      </c>
      <c r="F2629">
        <v>7.0</v>
      </c>
      <c r="G2629" s="2" t="s">
        <v>64</v>
      </c>
      <c r="H2629" s="2">
        <v>0.0</v>
      </c>
      <c r="I2629" s="2">
        <v>0.0</v>
      </c>
      <c r="J2629" s="37">
        <v>0.0</v>
      </c>
      <c r="K2629" s="2">
        <v>0.0</v>
      </c>
      <c r="L2629" s="2">
        <v>0.0</v>
      </c>
      <c r="M2629" s="37">
        <v>0.0</v>
      </c>
    </row>
    <row r="2630" ht="14.25" customHeight="1">
      <c r="A2630" t="s">
        <v>2690</v>
      </c>
      <c r="B2630" t="s">
        <v>2193</v>
      </c>
      <c r="C2630" t="s">
        <v>75</v>
      </c>
      <c r="D2630" t="s">
        <v>63</v>
      </c>
      <c r="E2630">
        <v>6.0</v>
      </c>
      <c r="F2630">
        <v>7.0</v>
      </c>
      <c r="G2630" s="2" t="s">
        <v>64</v>
      </c>
      <c r="H2630" s="2">
        <v>0.0</v>
      </c>
      <c r="I2630" s="2">
        <v>0.0</v>
      </c>
      <c r="J2630" s="37">
        <v>0.0</v>
      </c>
      <c r="K2630" s="2">
        <v>0.0</v>
      </c>
      <c r="L2630" s="2">
        <v>0.0</v>
      </c>
      <c r="M2630" s="37">
        <v>0.0</v>
      </c>
    </row>
    <row r="2631" ht="14.25" customHeight="1">
      <c r="A2631" t="s">
        <v>2691</v>
      </c>
      <c r="B2631" t="s">
        <v>2193</v>
      </c>
      <c r="C2631" t="s">
        <v>62</v>
      </c>
      <c r="D2631" t="s">
        <v>63</v>
      </c>
      <c r="E2631">
        <v>6.1</v>
      </c>
      <c r="F2631">
        <v>6.8</v>
      </c>
      <c r="G2631" s="2" t="s">
        <v>67</v>
      </c>
      <c r="H2631" s="2">
        <v>37.0</v>
      </c>
      <c r="I2631" s="2">
        <v>108.0</v>
      </c>
      <c r="J2631" s="37">
        <v>971.42</v>
      </c>
      <c r="K2631" s="2">
        <v>42.0</v>
      </c>
      <c r="L2631" s="2">
        <v>214.0</v>
      </c>
      <c r="M2631" s="37">
        <v>1221.52</v>
      </c>
    </row>
    <row r="2632" ht="14.25" customHeight="1">
      <c r="A2632" t="s">
        <v>2692</v>
      </c>
      <c r="B2632" t="s">
        <v>2193</v>
      </c>
      <c r="C2632" t="s">
        <v>62</v>
      </c>
      <c r="D2632" t="s">
        <v>63</v>
      </c>
      <c r="E2632">
        <v>6.1</v>
      </c>
      <c r="F2632">
        <v>6.8</v>
      </c>
      <c r="G2632" s="2" t="s">
        <v>67</v>
      </c>
      <c r="H2632" s="2">
        <v>37.0</v>
      </c>
      <c r="I2632" s="2">
        <v>108.0</v>
      </c>
      <c r="J2632" s="37">
        <v>971.42</v>
      </c>
      <c r="K2632" s="2">
        <v>42.0</v>
      </c>
      <c r="L2632" s="2">
        <v>214.0</v>
      </c>
      <c r="M2632" s="37">
        <v>1221.52</v>
      </c>
    </row>
    <row r="2633" ht="14.25" customHeight="1">
      <c r="A2633" t="s">
        <v>2693</v>
      </c>
      <c r="B2633" t="s">
        <v>2193</v>
      </c>
      <c r="C2633" t="s">
        <v>62</v>
      </c>
      <c r="D2633" t="s">
        <v>63</v>
      </c>
      <c r="E2633">
        <v>6.1</v>
      </c>
      <c r="F2633">
        <v>6.8</v>
      </c>
      <c r="G2633" s="2" t="s">
        <v>67</v>
      </c>
      <c r="H2633" s="2">
        <v>37.0</v>
      </c>
      <c r="I2633" s="2">
        <v>108.0</v>
      </c>
      <c r="J2633" s="37">
        <v>971.42</v>
      </c>
      <c r="K2633" s="2">
        <v>42.0</v>
      </c>
      <c r="L2633" s="2">
        <v>214.0</v>
      </c>
      <c r="M2633" s="37">
        <v>1221.52</v>
      </c>
    </row>
    <row r="2634" ht="14.25" customHeight="1">
      <c r="A2634" t="s">
        <v>2694</v>
      </c>
      <c r="B2634" t="s">
        <v>2193</v>
      </c>
      <c r="C2634" t="s">
        <v>62</v>
      </c>
      <c r="D2634" t="s">
        <v>63</v>
      </c>
      <c r="E2634">
        <v>6.1</v>
      </c>
      <c r="F2634">
        <v>6.8</v>
      </c>
      <c r="G2634" s="2" t="s">
        <v>67</v>
      </c>
      <c r="H2634" s="2">
        <v>37.0</v>
      </c>
      <c r="I2634" s="2">
        <v>108.0</v>
      </c>
      <c r="J2634" s="37">
        <v>971.42</v>
      </c>
      <c r="K2634" s="2">
        <v>42.0</v>
      </c>
      <c r="L2634" s="2">
        <v>214.0</v>
      </c>
      <c r="M2634" s="37">
        <v>1221.52</v>
      </c>
    </row>
    <row r="2635" ht="14.25" customHeight="1">
      <c r="A2635" t="s">
        <v>2695</v>
      </c>
      <c r="B2635" t="s">
        <v>2193</v>
      </c>
      <c r="C2635" t="s">
        <v>62</v>
      </c>
      <c r="D2635" t="s">
        <v>63</v>
      </c>
      <c r="E2635">
        <v>5.0</v>
      </c>
      <c r="F2635">
        <v>5.0</v>
      </c>
      <c r="G2635" s="2" t="s">
        <v>64</v>
      </c>
      <c r="H2635" s="2">
        <v>0.0</v>
      </c>
      <c r="I2635" s="2">
        <v>0.0</v>
      </c>
      <c r="J2635" s="37">
        <v>0.0</v>
      </c>
      <c r="K2635" s="2">
        <v>0.0</v>
      </c>
      <c r="L2635" s="2">
        <v>0.0</v>
      </c>
      <c r="M2635" s="37">
        <v>0.0</v>
      </c>
    </row>
    <row r="2636" ht="14.25" customHeight="1">
      <c r="A2636" t="s">
        <v>2696</v>
      </c>
      <c r="B2636" t="s">
        <v>2193</v>
      </c>
      <c r="C2636" t="s">
        <v>62</v>
      </c>
      <c r="D2636" t="s">
        <v>63</v>
      </c>
      <c r="E2636">
        <v>5.0</v>
      </c>
      <c r="F2636">
        <v>5.0</v>
      </c>
      <c r="G2636" s="2" t="s">
        <v>64</v>
      </c>
      <c r="H2636" s="2">
        <v>0.0</v>
      </c>
      <c r="I2636" s="2">
        <v>0.0</v>
      </c>
      <c r="J2636" s="37">
        <v>0.0</v>
      </c>
      <c r="K2636" s="2">
        <v>0.0</v>
      </c>
      <c r="L2636" s="2">
        <v>0.0</v>
      </c>
      <c r="M2636" s="37">
        <v>0.0</v>
      </c>
    </row>
    <row r="2637" ht="14.25" customHeight="1">
      <c r="A2637" t="s">
        <v>2697</v>
      </c>
      <c r="B2637" t="s">
        <v>2193</v>
      </c>
      <c r="C2637" t="s">
        <v>62</v>
      </c>
      <c r="D2637" t="s">
        <v>63</v>
      </c>
      <c r="E2637">
        <v>5.0</v>
      </c>
      <c r="F2637">
        <v>5.0</v>
      </c>
      <c r="G2637" s="2" t="s">
        <v>64</v>
      </c>
      <c r="H2637" s="2">
        <v>0.0</v>
      </c>
      <c r="I2637" s="2">
        <v>0.0</v>
      </c>
      <c r="J2637" s="37">
        <v>0.0</v>
      </c>
      <c r="K2637" s="2">
        <v>0.0</v>
      </c>
      <c r="L2637" s="2">
        <v>0.0</v>
      </c>
      <c r="M2637" s="37">
        <v>0.0</v>
      </c>
    </row>
    <row r="2638" ht="14.25" customHeight="1">
      <c r="A2638" t="s">
        <v>2698</v>
      </c>
      <c r="B2638" t="s">
        <v>2193</v>
      </c>
      <c r="C2638" t="s">
        <v>62</v>
      </c>
      <c r="D2638" t="s">
        <v>63</v>
      </c>
      <c r="E2638">
        <v>5.0</v>
      </c>
      <c r="F2638">
        <v>5.0</v>
      </c>
      <c r="G2638" s="2" t="s">
        <v>64</v>
      </c>
      <c r="H2638" s="2">
        <v>0.0</v>
      </c>
      <c r="I2638" s="2">
        <v>0.0</v>
      </c>
      <c r="J2638" s="37">
        <v>0.0</v>
      </c>
      <c r="K2638" s="2">
        <v>0.0</v>
      </c>
      <c r="L2638" s="2">
        <v>0.0</v>
      </c>
      <c r="M2638" s="37">
        <v>0.0</v>
      </c>
    </row>
    <row r="2639" ht="14.25" customHeight="1">
      <c r="A2639" t="s">
        <v>2699</v>
      </c>
      <c r="B2639" t="s">
        <v>2193</v>
      </c>
      <c r="C2639" t="s">
        <v>62</v>
      </c>
      <c r="D2639" t="s">
        <v>63</v>
      </c>
      <c r="E2639">
        <v>5.0</v>
      </c>
      <c r="F2639">
        <v>5.0</v>
      </c>
      <c r="G2639" s="2" t="s">
        <v>64</v>
      </c>
      <c r="H2639" s="2">
        <v>0.0</v>
      </c>
      <c r="I2639" s="2">
        <v>0.0</v>
      </c>
      <c r="J2639" s="37">
        <v>0.0</v>
      </c>
      <c r="K2639" s="2">
        <v>0.0</v>
      </c>
      <c r="L2639" s="2">
        <v>0.0</v>
      </c>
      <c r="M2639" s="37">
        <v>0.0</v>
      </c>
    </row>
    <row r="2640" ht="14.25" customHeight="1">
      <c r="A2640" t="s">
        <v>2700</v>
      </c>
      <c r="B2640" t="s">
        <v>2193</v>
      </c>
      <c r="C2640" t="s">
        <v>62</v>
      </c>
      <c r="D2640" t="s">
        <v>63</v>
      </c>
      <c r="E2640">
        <v>3.5</v>
      </c>
      <c r="F2640">
        <v>4.0</v>
      </c>
      <c r="G2640" s="2" t="s">
        <v>64</v>
      </c>
      <c r="H2640" s="2">
        <v>0.0</v>
      </c>
      <c r="I2640" s="2">
        <v>0.0</v>
      </c>
      <c r="J2640" s="37">
        <v>0.0</v>
      </c>
      <c r="K2640" s="2">
        <v>0.0</v>
      </c>
      <c r="L2640" s="2">
        <v>0.0</v>
      </c>
      <c r="M2640" s="37">
        <v>0.0</v>
      </c>
    </row>
    <row r="2641" ht="14.25" customHeight="1">
      <c r="A2641" t="s">
        <v>2701</v>
      </c>
      <c r="B2641" t="s">
        <v>2193</v>
      </c>
      <c r="C2641" t="s">
        <v>62</v>
      </c>
      <c r="D2641" t="s">
        <v>63</v>
      </c>
      <c r="E2641">
        <v>3.5</v>
      </c>
      <c r="F2641">
        <v>4.0</v>
      </c>
      <c r="G2641" s="2" t="s">
        <v>64</v>
      </c>
      <c r="H2641" s="2">
        <v>0.0</v>
      </c>
      <c r="I2641" s="2">
        <v>0.0</v>
      </c>
      <c r="J2641" s="37">
        <v>0.0</v>
      </c>
      <c r="K2641" s="2">
        <v>0.0</v>
      </c>
      <c r="L2641" s="2">
        <v>0.0</v>
      </c>
      <c r="M2641" s="37">
        <v>0.0</v>
      </c>
    </row>
    <row r="2642" ht="14.25" customHeight="1">
      <c r="A2642" t="s">
        <v>2702</v>
      </c>
      <c r="B2642" t="s">
        <v>2193</v>
      </c>
      <c r="C2642" t="s">
        <v>62</v>
      </c>
      <c r="D2642" t="s">
        <v>63</v>
      </c>
      <c r="E2642">
        <v>3.5</v>
      </c>
      <c r="F2642">
        <v>4.0</v>
      </c>
      <c r="G2642" s="2" t="s">
        <v>64</v>
      </c>
      <c r="H2642" s="2">
        <v>0.0</v>
      </c>
      <c r="I2642" s="2">
        <v>0.0</v>
      </c>
      <c r="J2642" s="37">
        <v>0.0</v>
      </c>
      <c r="K2642" s="2">
        <v>0.0</v>
      </c>
      <c r="L2642" s="2">
        <v>0.0</v>
      </c>
      <c r="M2642" s="37">
        <v>0.0</v>
      </c>
    </row>
    <row r="2643" ht="14.25" customHeight="1">
      <c r="A2643" t="s">
        <v>2703</v>
      </c>
      <c r="B2643" t="s">
        <v>2193</v>
      </c>
      <c r="C2643" t="s">
        <v>62</v>
      </c>
      <c r="D2643" t="s">
        <v>63</v>
      </c>
      <c r="E2643">
        <v>3.5</v>
      </c>
      <c r="F2643">
        <v>4.0</v>
      </c>
      <c r="G2643" s="2" t="s">
        <v>64</v>
      </c>
      <c r="H2643" s="2">
        <v>0.0</v>
      </c>
      <c r="I2643" s="2">
        <v>0.0</v>
      </c>
      <c r="J2643" s="37">
        <v>0.0</v>
      </c>
      <c r="K2643" s="2">
        <v>0.0</v>
      </c>
      <c r="L2643" s="2">
        <v>0.0</v>
      </c>
      <c r="M2643" s="37">
        <v>0.0</v>
      </c>
    </row>
    <row r="2644" ht="14.25" customHeight="1">
      <c r="A2644" t="s">
        <v>2704</v>
      </c>
      <c r="B2644" t="s">
        <v>2193</v>
      </c>
      <c r="C2644" t="s">
        <v>62</v>
      </c>
      <c r="D2644" t="s">
        <v>63</v>
      </c>
      <c r="E2644">
        <v>3.5</v>
      </c>
      <c r="F2644">
        <v>4.0</v>
      </c>
      <c r="G2644" s="2" t="s">
        <v>64</v>
      </c>
      <c r="H2644" s="2">
        <v>0.0</v>
      </c>
      <c r="I2644" s="2">
        <v>0.0</v>
      </c>
      <c r="J2644" s="37">
        <v>0.0</v>
      </c>
      <c r="K2644" s="2">
        <v>0.0</v>
      </c>
      <c r="L2644" s="2">
        <v>0.0</v>
      </c>
      <c r="M2644" s="37">
        <v>0.0</v>
      </c>
    </row>
    <row r="2645" ht="14.25" customHeight="1">
      <c r="A2645" t="s">
        <v>2705</v>
      </c>
      <c r="B2645" t="s">
        <v>2193</v>
      </c>
      <c r="C2645" t="s">
        <v>62</v>
      </c>
      <c r="D2645" t="s">
        <v>63</v>
      </c>
      <c r="E2645">
        <v>3.5</v>
      </c>
      <c r="F2645">
        <v>4.0</v>
      </c>
      <c r="G2645" s="2" t="s">
        <v>67</v>
      </c>
      <c r="H2645" s="2">
        <v>21.0</v>
      </c>
      <c r="I2645" s="2">
        <v>76.0</v>
      </c>
      <c r="J2645" s="37">
        <v>570.46</v>
      </c>
      <c r="K2645" s="2">
        <v>24.0</v>
      </c>
      <c r="L2645" s="2">
        <v>129.0</v>
      </c>
      <c r="M2645" s="37">
        <v>706.74</v>
      </c>
    </row>
    <row r="2646" ht="14.25" customHeight="1">
      <c r="A2646" t="s">
        <v>2706</v>
      </c>
      <c r="B2646" t="s">
        <v>2193</v>
      </c>
      <c r="C2646" t="s">
        <v>62</v>
      </c>
      <c r="D2646" t="s">
        <v>63</v>
      </c>
      <c r="E2646">
        <v>3.5</v>
      </c>
      <c r="F2646">
        <v>4.0</v>
      </c>
      <c r="G2646" s="2" t="s">
        <v>67</v>
      </c>
      <c r="H2646" s="2">
        <v>21.0</v>
      </c>
      <c r="I2646" s="2">
        <v>76.0</v>
      </c>
      <c r="J2646" s="37">
        <v>570.46</v>
      </c>
      <c r="K2646" s="2">
        <v>24.0</v>
      </c>
      <c r="L2646" s="2">
        <v>129.0</v>
      </c>
      <c r="M2646" s="37">
        <v>706.74</v>
      </c>
    </row>
    <row r="2647" ht="14.25" customHeight="1">
      <c r="A2647" t="s">
        <v>2707</v>
      </c>
      <c r="B2647" t="s">
        <v>2193</v>
      </c>
      <c r="C2647" t="s">
        <v>62</v>
      </c>
      <c r="D2647" t="s">
        <v>63</v>
      </c>
      <c r="E2647">
        <v>3.5</v>
      </c>
      <c r="F2647">
        <v>4.0</v>
      </c>
      <c r="G2647" s="2" t="s">
        <v>67</v>
      </c>
      <c r="H2647" s="2">
        <v>21.0</v>
      </c>
      <c r="I2647" s="2">
        <v>76.0</v>
      </c>
      <c r="J2647" s="37">
        <v>570.46</v>
      </c>
      <c r="K2647" s="2">
        <v>24.0</v>
      </c>
      <c r="L2647" s="2">
        <v>129.0</v>
      </c>
      <c r="M2647" s="37">
        <v>706.74</v>
      </c>
    </row>
    <row r="2648" ht="14.25" customHeight="1">
      <c r="A2648" t="s">
        <v>2708</v>
      </c>
      <c r="B2648" t="s">
        <v>2193</v>
      </c>
      <c r="C2648" t="s">
        <v>62</v>
      </c>
      <c r="D2648" t="s">
        <v>63</v>
      </c>
      <c r="E2648">
        <v>3.5</v>
      </c>
      <c r="F2648">
        <v>4.0</v>
      </c>
      <c r="G2648" s="2" t="s">
        <v>67</v>
      </c>
      <c r="H2648" s="2">
        <v>21.0</v>
      </c>
      <c r="I2648" s="2">
        <v>76.0</v>
      </c>
      <c r="J2648" s="37">
        <v>570.46</v>
      </c>
      <c r="K2648" s="2">
        <v>24.0</v>
      </c>
      <c r="L2648" s="2">
        <v>129.0</v>
      </c>
      <c r="M2648" s="37">
        <v>706.74</v>
      </c>
    </row>
    <row r="2649" ht="14.25" customHeight="1">
      <c r="A2649" t="s">
        <v>2709</v>
      </c>
      <c r="B2649" t="s">
        <v>2193</v>
      </c>
      <c r="C2649" t="s">
        <v>62</v>
      </c>
      <c r="D2649" t="s">
        <v>63</v>
      </c>
      <c r="E2649">
        <v>3.5</v>
      </c>
      <c r="F2649">
        <v>4.0</v>
      </c>
      <c r="G2649" s="2" t="s">
        <v>67</v>
      </c>
      <c r="H2649" s="2">
        <v>21.0</v>
      </c>
      <c r="I2649" s="2">
        <v>76.0</v>
      </c>
      <c r="J2649" s="37">
        <v>570.46</v>
      </c>
      <c r="K2649" s="2">
        <v>24.0</v>
      </c>
      <c r="L2649" s="2">
        <v>129.0</v>
      </c>
      <c r="M2649" s="37">
        <v>706.74</v>
      </c>
    </row>
    <row r="2650" ht="14.25" customHeight="1">
      <c r="A2650" t="s">
        <v>2710</v>
      </c>
      <c r="B2650" t="s">
        <v>2193</v>
      </c>
      <c r="C2650" t="s">
        <v>62</v>
      </c>
      <c r="D2650" t="s">
        <v>63</v>
      </c>
      <c r="E2650">
        <v>3.5</v>
      </c>
      <c r="F2650">
        <v>4.0</v>
      </c>
      <c r="G2650" s="2" t="s">
        <v>67</v>
      </c>
      <c r="H2650" s="2">
        <v>21.0</v>
      </c>
      <c r="I2650" s="2">
        <v>76.0</v>
      </c>
      <c r="J2650" s="37">
        <v>570.46</v>
      </c>
      <c r="K2650" s="2">
        <v>24.0</v>
      </c>
      <c r="L2650" s="2">
        <v>129.0</v>
      </c>
      <c r="M2650" s="37">
        <v>706.74</v>
      </c>
    </row>
    <row r="2651" ht="14.25" customHeight="1">
      <c r="A2651" t="s">
        <v>2711</v>
      </c>
      <c r="B2651" t="s">
        <v>2193</v>
      </c>
      <c r="C2651" t="s">
        <v>62</v>
      </c>
      <c r="D2651" t="s">
        <v>63</v>
      </c>
      <c r="E2651">
        <v>3.5</v>
      </c>
      <c r="F2651">
        <v>4.0</v>
      </c>
      <c r="G2651" s="2" t="s">
        <v>67</v>
      </c>
      <c r="H2651" s="2">
        <v>21.0</v>
      </c>
      <c r="I2651" s="2">
        <v>76.0</v>
      </c>
      <c r="J2651" s="37">
        <v>570.46</v>
      </c>
      <c r="K2651" s="2">
        <v>24.0</v>
      </c>
      <c r="L2651" s="2">
        <v>129.0</v>
      </c>
      <c r="M2651" s="37">
        <v>706.74</v>
      </c>
    </row>
    <row r="2652" ht="14.25" customHeight="1">
      <c r="A2652" t="s">
        <v>2712</v>
      </c>
      <c r="B2652" t="s">
        <v>2193</v>
      </c>
      <c r="C2652" t="s">
        <v>62</v>
      </c>
      <c r="D2652" t="s">
        <v>63</v>
      </c>
      <c r="E2652">
        <v>2.5</v>
      </c>
      <c r="F2652">
        <v>3.2</v>
      </c>
      <c r="G2652" s="2" t="s">
        <v>67</v>
      </c>
      <c r="H2652" s="2">
        <v>17.0</v>
      </c>
      <c r="I2652" s="2">
        <v>108.0</v>
      </c>
      <c r="J2652" s="37">
        <v>522.22</v>
      </c>
      <c r="K2652" s="2">
        <v>20.0</v>
      </c>
      <c r="L2652" s="2">
        <v>146.0</v>
      </c>
      <c r="M2652" s="37">
        <v>639.0</v>
      </c>
    </row>
    <row r="2653" ht="14.25" customHeight="1">
      <c r="A2653" t="s">
        <v>2713</v>
      </c>
      <c r="B2653" t="s">
        <v>2193</v>
      </c>
      <c r="C2653" t="s">
        <v>62</v>
      </c>
      <c r="D2653" t="s">
        <v>63</v>
      </c>
      <c r="E2653">
        <v>2.5</v>
      </c>
      <c r="F2653">
        <v>3.2</v>
      </c>
      <c r="G2653" s="2" t="s">
        <v>67</v>
      </c>
      <c r="H2653" s="2">
        <v>17.0</v>
      </c>
      <c r="I2653" s="2">
        <v>108.0</v>
      </c>
      <c r="J2653" s="37">
        <v>522.22</v>
      </c>
      <c r="K2653" s="2">
        <v>20.0</v>
      </c>
      <c r="L2653" s="2">
        <v>146.0</v>
      </c>
      <c r="M2653" s="37">
        <v>639.0</v>
      </c>
    </row>
    <row r="2654" ht="14.25" customHeight="1">
      <c r="A2654" t="s">
        <v>2714</v>
      </c>
      <c r="B2654" t="s">
        <v>2193</v>
      </c>
      <c r="C2654" t="s">
        <v>62</v>
      </c>
      <c r="D2654" t="s">
        <v>63</v>
      </c>
      <c r="E2654">
        <v>2.5</v>
      </c>
      <c r="F2654">
        <v>3.2</v>
      </c>
      <c r="G2654" s="2" t="s">
        <v>67</v>
      </c>
      <c r="H2654" s="2">
        <v>17.0</v>
      </c>
      <c r="I2654" s="2">
        <v>108.0</v>
      </c>
      <c r="J2654" s="37">
        <v>522.22</v>
      </c>
      <c r="K2654" s="2">
        <v>20.0</v>
      </c>
      <c r="L2654" s="2">
        <v>146.0</v>
      </c>
      <c r="M2654" s="37">
        <v>639.0</v>
      </c>
    </row>
    <row r="2655" ht="14.25" customHeight="1">
      <c r="A2655" t="s">
        <v>2715</v>
      </c>
      <c r="B2655" t="s">
        <v>2193</v>
      </c>
      <c r="C2655" t="s">
        <v>62</v>
      </c>
      <c r="D2655" t="s">
        <v>63</v>
      </c>
      <c r="E2655">
        <v>2.5</v>
      </c>
      <c r="F2655">
        <v>3.2</v>
      </c>
      <c r="G2655" s="2" t="s">
        <v>67</v>
      </c>
      <c r="H2655" s="2">
        <v>17.0</v>
      </c>
      <c r="I2655" s="2">
        <v>108.0</v>
      </c>
      <c r="J2655" s="37">
        <v>522.22</v>
      </c>
      <c r="K2655" s="2">
        <v>20.0</v>
      </c>
      <c r="L2655" s="2">
        <v>146.0</v>
      </c>
      <c r="M2655" s="37">
        <v>639.0</v>
      </c>
    </row>
    <row r="2656" ht="14.25" customHeight="1">
      <c r="A2656" t="s">
        <v>2716</v>
      </c>
      <c r="B2656" t="s">
        <v>2193</v>
      </c>
      <c r="C2656" t="s">
        <v>62</v>
      </c>
      <c r="D2656" t="s">
        <v>63</v>
      </c>
      <c r="E2656">
        <v>2.5</v>
      </c>
      <c r="F2656">
        <v>3.2</v>
      </c>
      <c r="G2656" s="2" t="s">
        <v>67</v>
      </c>
      <c r="H2656" s="2">
        <v>17.0</v>
      </c>
      <c r="I2656" s="2">
        <v>108.0</v>
      </c>
      <c r="J2656" s="37">
        <v>522.22</v>
      </c>
      <c r="K2656" s="2">
        <v>20.0</v>
      </c>
      <c r="L2656" s="2">
        <v>146.0</v>
      </c>
      <c r="M2656" s="37">
        <v>639.0</v>
      </c>
    </row>
    <row r="2657" ht="14.25" customHeight="1">
      <c r="A2657" t="s">
        <v>2717</v>
      </c>
      <c r="B2657" t="s">
        <v>2193</v>
      </c>
      <c r="C2657" t="s">
        <v>62</v>
      </c>
      <c r="D2657" t="s">
        <v>63</v>
      </c>
      <c r="E2657">
        <v>2.5</v>
      </c>
      <c r="F2657">
        <v>3.2</v>
      </c>
      <c r="G2657" s="2" t="s">
        <v>67</v>
      </c>
      <c r="H2657" s="2">
        <v>17.0</v>
      </c>
      <c r="I2657" s="2">
        <v>108.0</v>
      </c>
      <c r="J2657" s="37">
        <v>522.22</v>
      </c>
      <c r="K2657" s="2">
        <v>20.0</v>
      </c>
      <c r="L2657" s="2">
        <v>146.0</v>
      </c>
      <c r="M2657" s="37">
        <v>639.0</v>
      </c>
    </row>
    <row r="2658" ht="14.25" customHeight="1">
      <c r="A2658" t="s">
        <v>2718</v>
      </c>
      <c r="B2658" t="s">
        <v>2193</v>
      </c>
      <c r="C2658" t="s">
        <v>62</v>
      </c>
      <c r="D2658" t="s">
        <v>63</v>
      </c>
      <c r="E2658">
        <v>2.5</v>
      </c>
      <c r="F2658">
        <v>3.2</v>
      </c>
      <c r="G2658" s="2" t="s">
        <v>67</v>
      </c>
      <c r="H2658" s="2">
        <v>17.0</v>
      </c>
      <c r="I2658" s="2">
        <v>108.0</v>
      </c>
      <c r="J2658" s="37">
        <v>522.22</v>
      </c>
      <c r="K2658" s="2">
        <v>20.0</v>
      </c>
      <c r="L2658" s="2">
        <v>146.0</v>
      </c>
      <c r="M2658" s="37">
        <v>639.0</v>
      </c>
    </row>
    <row r="2659" ht="14.25" customHeight="1">
      <c r="A2659" t="s">
        <v>2719</v>
      </c>
      <c r="B2659" t="s">
        <v>2193</v>
      </c>
      <c r="C2659" t="s">
        <v>62</v>
      </c>
      <c r="D2659" t="s">
        <v>63</v>
      </c>
      <c r="E2659">
        <v>5.0</v>
      </c>
      <c r="F2659">
        <v>6.0</v>
      </c>
      <c r="G2659" s="2" t="s">
        <v>64</v>
      </c>
      <c r="H2659" s="2">
        <v>0.0</v>
      </c>
      <c r="I2659" s="2">
        <v>0.0</v>
      </c>
      <c r="J2659" s="37">
        <v>0.0</v>
      </c>
      <c r="K2659" s="2">
        <v>0.0</v>
      </c>
      <c r="L2659" s="2">
        <v>0.0</v>
      </c>
      <c r="M2659" s="37">
        <v>0.0</v>
      </c>
    </row>
    <row r="2660" ht="14.25" customHeight="1">
      <c r="A2660" t="s">
        <v>2720</v>
      </c>
      <c r="B2660" t="s">
        <v>2193</v>
      </c>
      <c r="C2660" t="s">
        <v>62</v>
      </c>
      <c r="D2660" t="s">
        <v>63</v>
      </c>
      <c r="E2660">
        <v>5.0</v>
      </c>
      <c r="F2660">
        <v>6.0</v>
      </c>
      <c r="G2660" s="2" t="s">
        <v>64</v>
      </c>
      <c r="H2660" s="2">
        <v>0.0</v>
      </c>
      <c r="I2660" s="2">
        <v>0.0</v>
      </c>
      <c r="J2660" s="37">
        <v>0.0</v>
      </c>
      <c r="K2660" s="2">
        <v>0.0</v>
      </c>
      <c r="L2660" s="2">
        <v>0.0</v>
      </c>
      <c r="M2660" s="37">
        <v>0.0</v>
      </c>
    </row>
    <row r="2661" ht="14.25" customHeight="1">
      <c r="A2661" t="s">
        <v>2721</v>
      </c>
      <c r="B2661" t="s">
        <v>2193</v>
      </c>
      <c r="C2661" t="s">
        <v>62</v>
      </c>
      <c r="D2661" t="s">
        <v>63</v>
      </c>
      <c r="E2661">
        <v>5.0</v>
      </c>
      <c r="F2661">
        <v>6.0</v>
      </c>
      <c r="G2661" s="2" t="s">
        <v>64</v>
      </c>
      <c r="H2661" s="2">
        <v>0.0</v>
      </c>
      <c r="I2661" s="2">
        <v>0.0</v>
      </c>
      <c r="J2661" s="37">
        <v>0.0</v>
      </c>
      <c r="K2661" s="2">
        <v>0.0</v>
      </c>
      <c r="L2661" s="2">
        <v>0.0</v>
      </c>
      <c r="M2661" s="37">
        <v>0.0</v>
      </c>
    </row>
    <row r="2662" ht="14.25" customHeight="1">
      <c r="A2662" t="s">
        <v>2722</v>
      </c>
      <c r="B2662" t="s">
        <v>2193</v>
      </c>
      <c r="C2662" t="s">
        <v>62</v>
      </c>
      <c r="D2662" t="s">
        <v>63</v>
      </c>
      <c r="E2662">
        <v>5.0</v>
      </c>
      <c r="F2662">
        <v>6.0</v>
      </c>
      <c r="G2662" s="2" t="s">
        <v>64</v>
      </c>
      <c r="H2662" s="2">
        <v>0.0</v>
      </c>
      <c r="I2662" s="2">
        <v>0.0</v>
      </c>
      <c r="J2662" s="37">
        <v>0.0</v>
      </c>
      <c r="K2662" s="2">
        <v>0.0</v>
      </c>
      <c r="L2662" s="2">
        <v>0.0</v>
      </c>
      <c r="M2662" s="37">
        <v>0.0</v>
      </c>
    </row>
    <row r="2663" ht="14.25" customHeight="1">
      <c r="A2663" t="s">
        <v>2723</v>
      </c>
      <c r="B2663" t="s">
        <v>2193</v>
      </c>
      <c r="C2663" t="s">
        <v>62</v>
      </c>
      <c r="D2663" t="s">
        <v>63</v>
      </c>
      <c r="E2663">
        <v>5.0</v>
      </c>
      <c r="F2663">
        <v>6.0</v>
      </c>
      <c r="G2663" s="2" t="s">
        <v>64</v>
      </c>
      <c r="H2663" s="2">
        <v>0.0</v>
      </c>
      <c r="I2663" s="2">
        <v>0.0</v>
      </c>
      <c r="J2663" s="37">
        <v>0.0</v>
      </c>
      <c r="K2663" s="2">
        <v>0.0</v>
      </c>
      <c r="L2663" s="2">
        <v>0.0</v>
      </c>
      <c r="M2663" s="37">
        <v>0.0</v>
      </c>
    </row>
    <row r="2664" ht="14.25" customHeight="1">
      <c r="A2664" t="s">
        <v>2724</v>
      </c>
      <c r="B2664" t="s">
        <v>2193</v>
      </c>
      <c r="C2664" t="s">
        <v>62</v>
      </c>
      <c r="D2664" t="s">
        <v>63</v>
      </c>
      <c r="E2664">
        <v>5.0</v>
      </c>
      <c r="F2664">
        <v>6.0</v>
      </c>
      <c r="G2664" s="2" t="s">
        <v>64</v>
      </c>
      <c r="H2664" s="2">
        <v>0.0</v>
      </c>
      <c r="I2664" s="2">
        <v>0.0</v>
      </c>
      <c r="J2664" s="37">
        <v>0.0</v>
      </c>
      <c r="K2664" s="2">
        <v>0.0</v>
      </c>
      <c r="L2664" s="2">
        <v>0.0</v>
      </c>
      <c r="M2664" s="37">
        <v>0.0</v>
      </c>
    </row>
    <row r="2665" ht="14.25" customHeight="1">
      <c r="A2665" t="s">
        <v>2725</v>
      </c>
      <c r="B2665" t="s">
        <v>2193</v>
      </c>
      <c r="C2665" t="s">
        <v>62</v>
      </c>
      <c r="D2665" t="s">
        <v>63</v>
      </c>
      <c r="E2665">
        <v>5.0</v>
      </c>
      <c r="F2665">
        <v>6.0</v>
      </c>
      <c r="G2665" s="2" t="s">
        <v>64</v>
      </c>
      <c r="H2665" s="2">
        <v>0.0</v>
      </c>
      <c r="I2665" s="2">
        <v>0.0</v>
      </c>
      <c r="J2665" s="37">
        <v>0.0</v>
      </c>
      <c r="K2665" s="2">
        <v>0.0</v>
      </c>
      <c r="L2665" s="2">
        <v>0.0</v>
      </c>
      <c r="M2665" s="37">
        <v>0.0</v>
      </c>
    </row>
    <row r="2666" ht="14.25" customHeight="1">
      <c r="A2666" t="s">
        <v>2726</v>
      </c>
      <c r="B2666" t="s">
        <v>2727</v>
      </c>
      <c r="C2666" t="s">
        <v>75</v>
      </c>
      <c r="D2666" t="s">
        <v>63</v>
      </c>
      <c r="E2666">
        <v>14.0</v>
      </c>
      <c r="F2666">
        <v>16.0</v>
      </c>
      <c r="G2666" s="2" t="s">
        <v>64</v>
      </c>
      <c r="H2666" s="2">
        <v>0.0</v>
      </c>
      <c r="I2666" s="2">
        <v>0.0</v>
      </c>
      <c r="J2666" s="37">
        <v>0.0</v>
      </c>
      <c r="K2666" s="2">
        <v>0.0</v>
      </c>
      <c r="L2666" s="2">
        <v>0.0</v>
      </c>
      <c r="M2666" s="37">
        <v>0.0</v>
      </c>
    </row>
    <row r="2667" ht="14.25" customHeight="1">
      <c r="A2667" t="s">
        <v>2728</v>
      </c>
      <c r="B2667" t="s">
        <v>2727</v>
      </c>
      <c r="C2667" t="s">
        <v>75</v>
      </c>
      <c r="D2667" t="s">
        <v>63</v>
      </c>
      <c r="E2667">
        <v>14.0</v>
      </c>
      <c r="F2667">
        <v>16.0</v>
      </c>
      <c r="G2667" s="2" t="s">
        <v>64</v>
      </c>
      <c r="H2667" s="2">
        <v>0.0</v>
      </c>
      <c r="I2667" s="2">
        <v>0.0</v>
      </c>
      <c r="J2667" s="37">
        <v>0.0</v>
      </c>
      <c r="K2667" s="2">
        <v>0.0</v>
      </c>
      <c r="L2667" s="2">
        <v>0.0</v>
      </c>
      <c r="M2667" s="37">
        <v>0.0</v>
      </c>
    </row>
    <row r="2668" ht="14.25" customHeight="1">
      <c r="A2668" t="s">
        <v>2729</v>
      </c>
      <c r="B2668" t="s">
        <v>2727</v>
      </c>
      <c r="C2668" t="s">
        <v>75</v>
      </c>
      <c r="D2668" t="s">
        <v>63</v>
      </c>
      <c r="E2668">
        <v>14.0</v>
      </c>
      <c r="F2668">
        <v>16.0</v>
      </c>
      <c r="G2668" s="2" t="s">
        <v>64</v>
      </c>
      <c r="H2668" s="2">
        <v>0.0</v>
      </c>
      <c r="I2668" s="2">
        <v>0.0</v>
      </c>
      <c r="J2668" s="37">
        <v>0.0</v>
      </c>
      <c r="K2668" s="2">
        <v>0.0</v>
      </c>
      <c r="L2668" s="2">
        <v>0.0</v>
      </c>
      <c r="M2668" s="37">
        <v>0.0</v>
      </c>
    </row>
    <row r="2669" ht="14.25" customHeight="1">
      <c r="A2669" t="s">
        <v>2730</v>
      </c>
      <c r="B2669" t="s">
        <v>2727</v>
      </c>
      <c r="C2669" t="s">
        <v>75</v>
      </c>
      <c r="D2669" t="s">
        <v>63</v>
      </c>
      <c r="E2669">
        <v>14.0</v>
      </c>
      <c r="F2669">
        <v>16.0</v>
      </c>
      <c r="G2669" s="2" t="s">
        <v>64</v>
      </c>
      <c r="H2669" s="2">
        <v>0.0</v>
      </c>
      <c r="I2669" s="2">
        <v>0.0</v>
      </c>
      <c r="J2669" s="37">
        <v>0.0</v>
      </c>
      <c r="K2669" s="2">
        <v>0.0</v>
      </c>
      <c r="L2669" s="2">
        <v>0.0</v>
      </c>
      <c r="M2669" s="37">
        <v>0.0</v>
      </c>
    </row>
    <row r="2670" ht="14.25" customHeight="1">
      <c r="A2670" t="s">
        <v>2731</v>
      </c>
      <c r="B2670" t="s">
        <v>2727</v>
      </c>
      <c r="C2670" t="s">
        <v>75</v>
      </c>
      <c r="D2670" t="s">
        <v>63</v>
      </c>
      <c r="E2670">
        <v>14.0</v>
      </c>
      <c r="F2670">
        <v>16.0</v>
      </c>
      <c r="G2670" s="2" t="s">
        <v>64</v>
      </c>
      <c r="H2670" s="2">
        <v>0.0</v>
      </c>
      <c r="I2670" s="2">
        <v>0.0</v>
      </c>
      <c r="J2670" s="37">
        <v>0.0</v>
      </c>
      <c r="K2670" s="2">
        <v>0.0</v>
      </c>
      <c r="L2670" s="2">
        <v>0.0</v>
      </c>
      <c r="M2670" s="37">
        <v>0.0</v>
      </c>
    </row>
    <row r="2671" ht="14.25" customHeight="1">
      <c r="A2671" t="s">
        <v>2732</v>
      </c>
      <c r="B2671" t="s">
        <v>2727</v>
      </c>
      <c r="C2671" t="s">
        <v>75</v>
      </c>
      <c r="D2671" t="s">
        <v>63</v>
      </c>
      <c r="E2671">
        <v>14.0</v>
      </c>
      <c r="F2671">
        <v>16.0</v>
      </c>
      <c r="G2671" s="2" t="s">
        <v>64</v>
      </c>
      <c r="H2671" s="2">
        <v>0.0</v>
      </c>
      <c r="I2671" s="2">
        <v>0.0</v>
      </c>
      <c r="J2671" s="37">
        <v>0.0</v>
      </c>
      <c r="K2671" s="2">
        <v>0.0</v>
      </c>
      <c r="L2671" s="2">
        <v>0.0</v>
      </c>
      <c r="M2671" s="37">
        <v>0.0</v>
      </c>
    </row>
    <row r="2672" ht="14.25" customHeight="1">
      <c r="A2672" t="s">
        <v>2733</v>
      </c>
      <c r="B2672" t="s">
        <v>2727</v>
      </c>
      <c r="C2672" t="s">
        <v>62</v>
      </c>
      <c r="D2672" t="s">
        <v>63</v>
      </c>
      <c r="E2672">
        <v>14.0</v>
      </c>
      <c r="F2672">
        <v>16.0</v>
      </c>
      <c r="G2672" s="2" t="s">
        <v>67</v>
      </c>
      <c r="H2672" s="2">
        <v>87.0</v>
      </c>
      <c r="I2672" s="2">
        <v>244.0</v>
      </c>
      <c r="J2672" s="37">
        <v>2271.22</v>
      </c>
      <c r="K2672" s="2">
        <v>101.0</v>
      </c>
      <c r="L2672" s="2">
        <v>515.0</v>
      </c>
      <c r="M2672" s="37">
        <v>2937.96</v>
      </c>
    </row>
    <row r="2673" ht="14.25" customHeight="1">
      <c r="A2673" t="s">
        <v>2734</v>
      </c>
      <c r="B2673" t="s">
        <v>2727</v>
      </c>
      <c r="C2673" t="s">
        <v>62</v>
      </c>
      <c r="D2673" t="s">
        <v>63</v>
      </c>
      <c r="E2673">
        <v>14.0</v>
      </c>
      <c r="F2673">
        <v>16.0</v>
      </c>
      <c r="G2673" s="2" t="s">
        <v>67</v>
      </c>
      <c r="H2673" s="2">
        <v>87.0</v>
      </c>
      <c r="I2673" s="2">
        <v>244.0</v>
      </c>
      <c r="J2673" s="37">
        <v>2271.22</v>
      </c>
      <c r="K2673" s="2">
        <v>101.0</v>
      </c>
      <c r="L2673" s="2">
        <v>515.0</v>
      </c>
      <c r="M2673" s="37">
        <v>2937.96</v>
      </c>
    </row>
    <row r="2674" ht="14.25" customHeight="1">
      <c r="A2674" t="s">
        <v>2735</v>
      </c>
      <c r="B2674" t="s">
        <v>2727</v>
      </c>
      <c r="C2674" t="s">
        <v>62</v>
      </c>
      <c r="D2674" t="s">
        <v>63</v>
      </c>
      <c r="E2674">
        <v>14.0</v>
      </c>
      <c r="F2674">
        <v>16.0</v>
      </c>
      <c r="G2674" s="2" t="s">
        <v>67</v>
      </c>
      <c r="H2674" s="2">
        <v>87.0</v>
      </c>
      <c r="I2674" s="2">
        <v>244.0</v>
      </c>
      <c r="J2674" s="37">
        <v>2271.22</v>
      </c>
      <c r="K2674" s="2">
        <v>101.0</v>
      </c>
      <c r="L2674" s="2">
        <v>515.0</v>
      </c>
      <c r="M2674" s="37">
        <v>2937.96</v>
      </c>
    </row>
    <row r="2675" ht="14.25" customHeight="1">
      <c r="A2675" t="s">
        <v>2736</v>
      </c>
      <c r="B2675" t="s">
        <v>2727</v>
      </c>
      <c r="C2675" t="s">
        <v>62</v>
      </c>
      <c r="D2675" t="s">
        <v>63</v>
      </c>
      <c r="E2675">
        <v>14.0</v>
      </c>
      <c r="F2675">
        <v>16.0</v>
      </c>
      <c r="G2675" s="2" t="s">
        <v>67</v>
      </c>
      <c r="H2675" s="2">
        <v>87.0</v>
      </c>
      <c r="I2675" s="2">
        <v>244.0</v>
      </c>
      <c r="J2675" s="37">
        <v>2271.22</v>
      </c>
      <c r="K2675" s="2">
        <v>102.0</v>
      </c>
      <c r="L2675" s="2">
        <v>515.0</v>
      </c>
      <c r="M2675" s="37">
        <v>2960.42</v>
      </c>
    </row>
    <row r="2676" ht="14.25" customHeight="1">
      <c r="A2676" t="s">
        <v>2737</v>
      </c>
      <c r="B2676" t="s">
        <v>2727</v>
      </c>
      <c r="C2676" t="s">
        <v>62</v>
      </c>
      <c r="D2676" t="s">
        <v>63</v>
      </c>
      <c r="E2676">
        <v>14.0</v>
      </c>
      <c r="F2676">
        <v>16.0</v>
      </c>
      <c r="G2676" s="2" t="s">
        <v>67</v>
      </c>
      <c r="H2676" s="2">
        <v>87.0</v>
      </c>
      <c r="I2676" s="2">
        <v>244.0</v>
      </c>
      <c r="J2676" s="37">
        <v>2271.22</v>
      </c>
      <c r="K2676" s="2">
        <v>102.0</v>
      </c>
      <c r="L2676" s="2">
        <v>515.0</v>
      </c>
      <c r="M2676" s="37">
        <v>2960.42</v>
      </c>
    </row>
    <row r="2677" ht="14.25" customHeight="1">
      <c r="A2677" t="s">
        <v>2738</v>
      </c>
      <c r="B2677" t="s">
        <v>2727</v>
      </c>
      <c r="C2677" t="s">
        <v>62</v>
      </c>
      <c r="D2677" t="s">
        <v>63</v>
      </c>
      <c r="E2677">
        <v>14.0</v>
      </c>
      <c r="F2677">
        <v>16.0</v>
      </c>
      <c r="G2677" s="2" t="s">
        <v>67</v>
      </c>
      <c r="H2677" s="2">
        <v>87.0</v>
      </c>
      <c r="I2677" s="2">
        <v>244.0</v>
      </c>
      <c r="J2677" s="37">
        <v>2271.22</v>
      </c>
      <c r="K2677" s="2">
        <v>102.0</v>
      </c>
      <c r="L2677" s="2">
        <v>515.0</v>
      </c>
      <c r="M2677" s="37">
        <v>2960.42</v>
      </c>
    </row>
    <row r="2678" ht="14.25" customHeight="1">
      <c r="A2678" t="s">
        <v>2739</v>
      </c>
      <c r="B2678" t="s">
        <v>2727</v>
      </c>
      <c r="C2678" t="s">
        <v>62</v>
      </c>
      <c r="D2678" t="s">
        <v>63</v>
      </c>
      <c r="E2678">
        <v>14.0</v>
      </c>
      <c r="F2678">
        <v>16.0</v>
      </c>
      <c r="G2678" s="2" t="s">
        <v>67</v>
      </c>
      <c r="H2678" s="2">
        <v>89.0</v>
      </c>
      <c r="I2678" s="2">
        <v>362.0</v>
      </c>
      <c r="J2678" s="37">
        <v>2469.54</v>
      </c>
      <c r="K2678" s="2">
        <v>103.0</v>
      </c>
      <c r="L2678" s="2">
        <v>633.0</v>
      </c>
      <c r="M2678" s="37">
        <v>3136.28</v>
      </c>
    </row>
    <row r="2679" ht="14.25" customHeight="1">
      <c r="A2679" t="s">
        <v>2740</v>
      </c>
      <c r="B2679" t="s">
        <v>2727</v>
      </c>
      <c r="C2679" t="s">
        <v>62</v>
      </c>
      <c r="D2679" t="s">
        <v>63</v>
      </c>
      <c r="E2679">
        <v>14.0</v>
      </c>
      <c r="F2679">
        <v>16.0</v>
      </c>
      <c r="G2679" s="2" t="s">
        <v>67</v>
      </c>
      <c r="H2679" s="2">
        <v>89.0</v>
      </c>
      <c r="I2679" s="2">
        <v>362.0</v>
      </c>
      <c r="J2679" s="37">
        <v>2469.54</v>
      </c>
      <c r="K2679" s="2">
        <v>103.0</v>
      </c>
      <c r="L2679" s="2">
        <v>633.0</v>
      </c>
      <c r="M2679" s="37">
        <v>3136.28</v>
      </c>
    </row>
    <row r="2680" ht="14.25" customHeight="1">
      <c r="A2680" t="s">
        <v>2741</v>
      </c>
      <c r="B2680" t="s">
        <v>2727</v>
      </c>
      <c r="C2680" t="s">
        <v>62</v>
      </c>
      <c r="D2680" t="s">
        <v>63</v>
      </c>
      <c r="E2680">
        <v>14.0</v>
      </c>
      <c r="F2680">
        <v>16.0</v>
      </c>
      <c r="G2680" s="2" t="s">
        <v>67</v>
      </c>
      <c r="H2680" s="2">
        <v>89.0</v>
      </c>
      <c r="I2680" s="2">
        <v>362.0</v>
      </c>
      <c r="J2680" s="37">
        <v>2469.54</v>
      </c>
      <c r="K2680" s="2">
        <v>103.0</v>
      </c>
      <c r="L2680" s="2">
        <v>633.0</v>
      </c>
      <c r="M2680" s="37">
        <v>3136.28</v>
      </c>
    </row>
    <row r="2681" ht="14.25" customHeight="1">
      <c r="A2681" t="s">
        <v>2742</v>
      </c>
      <c r="B2681" t="s">
        <v>2727</v>
      </c>
      <c r="C2681" t="s">
        <v>62</v>
      </c>
      <c r="D2681" t="s">
        <v>63</v>
      </c>
      <c r="E2681">
        <v>14.0</v>
      </c>
      <c r="F2681">
        <v>16.0</v>
      </c>
      <c r="G2681" s="2" t="s">
        <v>67</v>
      </c>
      <c r="H2681" s="2">
        <v>89.0</v>
      </c>
      <c r="I2681" s="2">
        <v>362.0</v>
      </c>
      <c r="J2681" s="37">
        <v>2469.54</v>
      </c>
      <c r="K2681" s="2">
        <v>103.0</v>
      </c>
      <c r="L2681" s="2">
        <v>633.0</v>
      </c>
      <c r="M2681" s="37">
        <v>3136.28</v>
      </c>
    </row>
    <row r="2682" ht="14.25" customHeight="1">
      <c r="A2682" t="s">
        <v>2743</v>
      </c>
      <c r="B2682" t="s">
        <v>2727</v>
      </c>
      <c r="C2682" t="s">
        <v>62</v>
      </c>
      <c r="D2682" t="s">
        <v>63</v>
      </c>
      <c r="E2682">
        <v>14.0</v>
      </c>
      <c r="F2682">
        <v>16.0</v>
      </c>
      <c r="G2682" s="2" t="s">
        <v>67</v>
      </c>
      <c r="H2682" s="2">
        <v>89.0</v>
      </c>
      <c r="I2682" s="2">
        <v>362.0</v>
      </c>
      <c r="J2682" s="37">
        <v>2469.54</v>
      </c>
      <c r="K2682" s="2">
        <v>103.0</v>
      </c>
      <c r="L2682" s="2">
        <v>633.0</v>
      </c>
      <c r="M2682" s="37">
        <v>3136.28</v>
      </c>
    </row>
    <row r="2683" ht="14.25" customHeight="1">
      <c r="A2683" t="s">
        <v>2744</v>
      </c>
      <c r="B2683" t="s">
        <v>2727</v>
      </c>
      <c r="C2683" t="s">
        <v>62</v>
      </c>
      <c r="D2683" t="s">
        <v>63</v>
      </c>
      <c r="E2683">
        <v>14.0</v>
      </c>
      <c r="F2683">
        <v>16.0</v>
      </c>
      <c r="G2683" s="2" t="s">
        <v>67</v>
      </c>
      <c r="H2683" s="2">
        <v>89.0</v>
      </c>
      <c r="I2683" s="2">
        <v>362.0</v>
      </c>
      <c r="J2683" s="37">
        <v>2469.54</v>
      </c>
      <c r="K2683" s="2">
        <v>103.0</v>
      </c>
      <c r="L2683" s="2">
        <v>633.0</v>
      </c>
      <c r="M2683" s="37">
        <v>3136.28</v>
      </c>
    </row>
    <row r="2684" ht="14.25" customHeight="1">
      <c r="A2684" t="s">
        <v>2745</v>
      </c>
      <c r="B2684" t="s">
        <v>2727</v>
      </c>
      <c r="C2684" t="s">
        <v>75</v>
      </c>
      <c r="D2684" t="s">
        <v>63</v>
      </c>
      <c r="E2684">
        <v>12.5</v>
      </c>
      <c r="F2684">
        <v>14.0</v>
      </c>
      <c r="G2684" s="2" t="s">
        <v>64</v>
      </c>
      <c r="H2684" s="2">
        <v>0.0</v>
      </c>
      <c r="I2684" s="2">
        <v>0.0</v>
      </c>
      <c r="J2684" s="37">
        <v>0.0</v>
      </c>
      <c r="K2684" s="2">
        <v>0.0</v>
      </c>
      <c r="L2684" s="2">
        <v>0.0</v>
      </c>
      <c r="M2684" s="37">
        <v>0.0</v>
      </c>
    </row>
    <row r="2685" ht="14.25" customHeight="1">
      <c r="A2685" t="s">
        <v>2746</v>
      </c>
      <c r="B2685" t="s">
        <v>2727</v>
      </c>
      <c r="C2685" t="s">
        <v>75</v>
      </c>
      <c r="D2685" t="s">
        <v>63</v>
      </c>
      <c r="E2685">
        <v>12.5</v>
      </c>
      <c r="F2685">
        <v>14.0</v>
      </c>
      <c r="G2685" s="2" t="s">
        <v>64</v>
      </c>
      <c r="H2685" s="2">
        <v>0.0</v>
      </c>
      <c r="I2685" s="2">
        <v>0.0</v>
      </c>
      <c r="J2685" s="37">
        <v>0.0</v>
      </c>
      <c r="K2685" s="2">
        <v>0.0</v>
      </c>
      <c r="L2685" s="2">
        <v>0.0</v>
      </c>
      <c r="M2685" s="37">
        <v>0.0</v>
      </c>
    </row>
    <row r="2686" ht="14.25" customHeight="1">
      <c r="A2686" t="s">
        <v>2747</v>
      </c>
      <c r="B2686" t="s">
        <v>2727</v>
      </c>
      <c r="C2686" t="s">
        <v>75</v>
      </c>
      <c r="D2686" t="s">
        <v>63</v>
      </c>
      <c r="E2686">
        <v>12.5</v>
      </c>
      <c r="F2686">
        <v>14.0</v>
      </c>
      <c r="G2686" s="2" t="s">
        <v>64</v>
      </c>
      <c r="H2686" s="2">
        <v>0.0</v>
      </c>
      <c r="I2686" s="2">
        <v>0.0</v>
      </c>
      <c r="J2686" s="37">
        <v>0.0</v>
      </c>
      <c r="K2686" s="2">
        <v>0.0</v>
      </c>
      <c r="L2686" s="2">
        <v>0.0</v>
      </c>
      <c r="M2686" s="37">
        <v>0.0</v>
      </c>
    </row>
    <row r="2687" ht="14.25" customHeight="1">
      <c r="A2687" t="s">
        <v>2748</v>
      </c>
      <c r="B2687" t="s">
        <v>2727</v>
      </c>
      <c r="C2687" t="s">
        <v>75</v>
      </c>
      <c r="D2687" t="s">
        <v>63</v>
      </c>
      <c r="E2687">
        <v>12.5</v>
      </c>
      <c r="F2687">
        <v>14.0</v>
      </c>
      <c r="G2687" s="2" t="s">
        <v>67</v>
      </c>
      <c r="H2687" s="2">
        <v>76.0</v>
      </c>
      <c r="I2687" s="2">
        <v>304.0</v>
      </c>
      <c r="J2687" s="37">
        <v>2102.16</v>
      </c>
      <c r="K2687" s="2">
        <v>88.0</v>
      </c>
      <c r="L2687" s="2">
        <v>546.0</v>
      </c>
      <c r="M2687" s="37">
        <v>2686.28</v>
      </c>
    </row>
    <row r="2688" ht="14.25" customHeight="1">
      <c r="A2688" t="s">
        <v>2749</v>
      </c>
      <c r="B2688" t="s">
        <v>2727</v>
      </c>
      <c r="C2688" t="s">
        <v>75</v>
      </c>
      <c r="D2688" t="s">
        <v>63</v>
      </c>
      <c r="E2688">
        <v>12.5</v>
      </c>
      <c r="F2688">
        <v>14.0</v>
      </c>
      <c r="G2688" s="2" t="s">
        <v>67</v>
      </c>
      <c r="H2688" s="2">
        <v>76.0</v>
      </c>
      <c r="I2688" s="2">
        <v>304.0</v>
      </c>
      <c r="J2688" s="37">
        <v>2102.16</v>
      </c>
      <c r="K2688" s="2">
        <v>88.0</v>
      </c>
      <c r="L2688" s="2">
        <v>546.0</v>
      </c>
      <c r="M2688" s="37">
        <v>2686.28</v>
      </c>
    </row>
    <row r="2689" ht="14.25" customHeight="1">
      <c r="A2689" t="s">
        <v>2750</v>
      </c>
      <c r="B2689" t="s">
        <v>2727</v>
      </c>
      <c r="C2689" t="s">
        <v>75</v>
      </c>
      <c r="D2689" t="s">
        <v>63</v>
      </c>
      <c r="E2689">
        <v>12.5</v>
      </c>
      <c r="F2689">
        <v>14.0</v>
      </c>
      <c r="G2689" s="2" t="s">
        <v>67</v>
      </c>
      <c r="H2689" s="2">
        <v>76.0</v>
      </c>
      <c r="I2689" s="2">
        <v>304.0</v>
      </c>
      <c r="J2689" s="37">
        <v>2102.16</v>
      </c>
      <c r="K2689" s="2">
        <v>88.0</v>
      </c>
      <c r="L2689" s="2">
        <v>546.0</v>
      </c>
      <c r="M2689" s="37">
        <v>2686.28</v>
      </c>
    </row>
    <row r="2690" ht="14.25" customHeight="1">
      <c r="A2690" t="s">
        <v>2751</v>
      </c>
      <c r="B2690" t="s">
        <v>2727</v>
      </c>
      <c r="C2690" t="s">
        <v>62</v>
      </c>
      <c r="D2690" t="s">
        <v>63</v>
      </c>
      <c r="E2690">
        <v>12.5</v>
      </c>
      <c r="F2690">
        <v>14.0</v>
      </c>
      <c r="G2690" s="2" t="s">
        <v>67</v>
      </c>
      <c r="H2690" s="2">
        <v>80.0</v>
      </c>
      <c r="I2690" s="2">
        <v>388.0</v>
      </c>
      <c r="J2690" s="37">
        <v>2301.2000000000003</v>
      </c>
      <c r="K2690" s="2">
        <v>93.0</v>
      </c>
      <c r="L2690" s="2">
        <v>630.0</v>
      </c>
      <c r="M2690" s="37">
        <v>2907.78</v>
      </c>
    </row>
    <row r="2691" ht="14.25" customHeight="1">
      <c r="A2691" t="s">
        <v>2752</v>
      </c>
      <c r="B2691" t="s">
        <v>2727</v>
      </c>
      <c r="C2691" t="s">
        <v>62</v>
      </c>
      <c r="D2691" t="s">
        <v>63</v>
      </c>
      <c r="E2691">
        <v>12.5</v>
      </c>
      <c r="F2691">
        <v>14.0</v>
      </c>
      <c r="G2691" s="2" t="s">
        <v>67</v>
      </c>
      <c r="H2691" s="2">
        <v>80.0</v>
      </c>
      <c r="I2691" s="2">
        <v>388.0</v>
      </c>
      <c r="J2691" s="37">
        <v>2301.2000000000003</v>
      </c>
      <c r="K2691" s="2">
        <v>93.0</v>
      </c>
      <c r="L2691" s="2">
        <v>630.0</v>
      </c>
      <c r="M2691" s="37">
        <v>2907.78</v>
      </c>
    </row>
    <row r="2692" ht="14.25" customHeight="1">
      <c r="A2692" t="s">
        <v>2753</v>
      </c>
      <c r="B2692" t="s">
        <v>2727</v>
      </c>
      <c r="C2692" t="s">
        <v>62</v>
      </c>
      <c r="D2692" t="s">
        <v>63</v>
      </c>
      <c r="E2692">
        <v>12.5</v>
      </c>
      <c r="F2692">
        <v>14.0</v>
      </c>
      <c r="G2692" s="2" t="s">
        <v>67</v>
      </c>
      <c r="H2692" s="2">
        <v>80.0</v>
      </c>
      <c r="I2692" s="2">
        <v>388.0</v>
      </c>
      <c r="J2692" s="37">
        <v>2301.2000000000003</v>
      </c>
      <c r="K2692" s="2">
        <v>93.0</v>
      </c>
      <c r="L2692" s="2">
        <v>630.0</v>
      </c>
      <c r="M2692" s="37">
        <v>2907.78</v>
      </c>
    </row>
    <row r="2693" ht="14.25" customHeight="1">
      <c r="A2693" t="s">
        <v>2754</v>
      </c>
      <c r="B2693" t="s">
        <v>2727</v>
      </c>
      <c r="C2693" t="s">
        <v>62</v>
      </c>
      <c r="D2693" t="s">
        <v>63</v>
      </c>
      <c r="E2693">
        <v>12.5</v>
      </c>
      <c r="F2693">
        <v>14.0</v>
      </c>
      <c r="G2693" s="2" t="s">
        <v>67</v>
      </c>
      <c r="H2693" s="2">
        <v>80.0</v>
      </c>
      <c r="I2693" s="2">
        <v>147.0</v>
      </c>
      <c r="J2693" s="37">
        <v>1987.9</v>
      </c>
      <c r="K2693" s="2">
        <v>93.0</v>
      </c>
      <c r="L2693" s="2">
        <v>389.0</v>
      </c>
      <c r="M2693" s="37">
        <v>2594.4800000000005</v>
      </c>
    </row>
    <row r="2694" ht="14.25" customHeight="1">
      <c r="A2694" t="s">
        <v>2755</v>
      </c>
      <c r="B2694" t="s">
        <v>2727</v>
      </c>
      <c r="C2694" t="s">
        <v>62</v>
      </c>
      <c r="D2694" t="s">
        <v>63</v>
      </c>
      <c r="E2694">
        <v>12.5</v>
      </c>
      <c r="F2694">
        <v>14.0</v>
      </c>
      <c r="G2694" s="2" t="s">
        <v>67</v>
      </c>
      <c r="H2694" s="2">
        <v>80.0</v>
      </c>
      <c r="I2694" s="2">
        <v>147.0</v>
      </c>
      <c r="J2694" s="37">
        <v>1987.9</v>
      </c>
      <c r="K2694" s="2">
        <v>93.0</v>
      </c>
      <c r="L2694" s="2">
        <v>389.0</v>
      </c>
      <c r="M2694" s="37">
        <v>2594.4800000000005</v>
      </c>
    </row>
    <row r="2695" ht="14.25" customHeight="1">
      <c r="A2695" t="s">
        <v>2756</v>
      </c>
      <c r="B2695" t="s">
        <v>2727</v>
      </c>
      <c r="C2695" t="s">
        <v>62</v>
      </c>
      <c r="D2695" t="s">
        <v>63</v>
      </c>
      <c r="E2695">
        <v>12.5</v>
      </c>
      <c r="F2695">
        <v>14.0</v>
      </c>
      <c r="G2695" s="2" t="s">
        <v>67</v>
      </c>
      <c r="H2695" s="2">
        <v>80.0</v>
      </c>
      <c r="I2695" s="2">
        <v>147.0</v>
      </c>
      <c r="J2695" s="37">
        <v>1987.9</v>
      </c>
      <c r="K2695" s="2">
        <v>93.0</v>
      </c>
      <c r="L2695" s="2">
        <v>389.0</v>
      </c>
      <c r="M2695" s="37">
        <v>2594.4800000000005</v>
      </c>
    </row>
    <row r="2696" ht="14.25" customHeight="1">
      <c r="A2696" t="s">
        <v>2757</v>
      </c>
      <c r="B2696" t="s">
        <v>2727</v>
      </c>
      <c r="C2696" t="s">
        <v>62</v>
      </c>
      <c r="D2696" t="s">
        <v>63</v>
      </c>
      <c r="E2696">
        <v>12.5</v>
      </c>
      <c r="F2696">
        <v>14.0</v>
      </c>
      <c r="G2696" s="2" t="s">
        <v>67</v>
      </c>
      <c r="H2696" s="2">
        <v>83.0</v>
      </c>
      <c r="I2696" s="2">
        <v>460.0</v>
      </c>
      <c r="J2696" s="37">
        <v>2462.1800000000003</v>
      </c>
      <c r="K2696" s="2">
        <v>96.0</v>
      </c>
      <c r="L2696" s="2">
        <v>703.0</v>
      </c>
      <c r="M2696" s="37">
        <v>3070.06</v>
      </c>
    </row>
    <row r="2697" ht="14.25" customHeight="1">
      <c r="A2697" t="s">
        <v>2758</v>
      </c>
      <c r="B2697" t="s">
        <v>2727</v>
      </c>
      <c r="C2697" t="s">
        <v>62</v>
      </c>
      <c r="D2697" t="s">
        <v>63</v>
      </c>
      <c r="E2697">
        <v>12.5</v>
      </c>
      <c r="F2697">
        <v>14.0</v>
      </c>
      <c r="G2697" s="2" t="s">
        <v>67</v>
      </c>
      <c r="H2697" s="2">
        <v>83.0</v>
      </c>
      <c r="I2697" s="2">
        <v>460.0</v>
      </c>
      <c r="J2697" s="37">
        <v>2462.1800000000003</v>
      </c>
      <c r="K2697" s="2">
        <v>96.0</v>
      </c>
      <c r="L2697" s="2">
        <v>703.0</v>
      </c>
      <c r="M2697" s="37">
        <v>3070.06</v>
      </c>
    </row>
    <row r="2698" ht="14.25" customHeight="1">
      <c r="A2698" t="s">
        <v>2759</v>
      </c>
      <c r="B2698" t="s">
        <v>2727</v>
      </c>
      <c r="C2698" t="s">
        <v>62</v>
      </c>
      <c r="D2698" t="s">
        <v>63</v>
      </c>
      <c r="E2698">
        <v>12.5</v>
      </c>
      <c r="F2698">
        <v>14.0</v>
      </c>
      <c r="G2698" s="2" t="s">
        <v>67</v>
      </c>
      <c r="H2698" s="2">
        <v>83.0</v>
      </c>
      <c r="I2698" s="2">
        <v>460.0</v>
      </c>
      <c r="J2698" s="37">
        <v>2462.1800000000003</v>
      </c>
      <c r="K2698" s="2">
        <v>96.0</v>
      </c>
      <c r="L2698" s="2">
        <v>703.0</v>
      </c>
      <c r="M2698" s="37">
        <v>3070.06</v>
      </c>
    </row>
    <row r="2699" ht="14.25" customHeight="1">
      <c r="A2699" t="s">
        <v>2760</v>
      </c>
      <c r="B2699" t="s">
        <v>2727</v>
      </c>
      <c r="C2699" t="s">
        <v>62</v>
      </c>
      <c r="D2699" t="s">
        <v>63</v>
      </c>
      <c r="E2699">
        <v>12.5</v>
      </c>
      <c r="F2699">
        <v>14.0</v>
      </c>
      <c r="G2699" s="2" t="s">
        <v>67</v>
      </c>
      <c r="H2699" s="2">
        <v>76.0</v>
      </c>
      <c r="I2699" s="2">
        <v>124.0</v>
      </c>
      <c r="J2699" s="37">
        <v>1868.16</v>
      </c>
      <c r="K2699" s="2">
        <v>88.0</v>
      </c>
      <c r="L2699" s="2">
        <v>366.0</v>
      </c>
      <c r="M2699" s="37">
        <v>2452.28</v>
      </c>
    </row>
    <row r="2700" ht="14.25" customHeight="1">
      <c r="A2700" t="s">
        <v>2761</v>
      </c>
      <c r="B2700" t="s">
        <v>2727</v>
      </c>
      <c r="C2700" t="s">
        <v>62</v>
      </c>
      <c r="D2700" t="s">
        <v>63</v>
      </c>
      <c r="E2700">
        <v>12.5</v>
      </c>
      <c r="F2700">
        <v>14.0</v>
      </c>
      <c r="G2700" s="2" t="s">
        <v>67</v>
      </c>
      <c r="H2700" s="2">
        <v>76.0</v>
      </c>
      <c r="I2700" s="2">
        <v>124.0</v>
      </c>
      <c r="J2700" s="37">
        <v>1868.16</v>
      </c>
      <c r="K2700" s="2">
        <v>88.0</v>
      </c>
      <c r="L2700" s="2">
        <v>366.0</v>
      </c>
      <c r="M2700" s="37">
        <v>2452.28</v>
      </c>
    </row>
    <row r="2701" ht="14.25" customHeight="1">
      <c r="A2701" t="s">
        <v>2762</v>
      </c>
      <c r="B2701" t="s">
        <v>2727</v>
      </c>
      <c r="C2701" t="s">
        <v>62</v>
      </c>
      <c r="D2701" t="s">
        <v>63</v>
      </c>
      <c r="E2701">
        <v>12.5</v>
      </c>
      <c r="F2701">
        <v>14.0</v>
      </c>
      <c r="G2701" s="2" t="s">
        <v>67</v>
      </c>
      <c r="H2701" s="2">
        <v>76.0</v>
      </c>
      <c r="I2701" s="2">
        <v>124.0</v>
      </c>
      <c r="J2701" s="37">
        <v>1868.16</v>
      </c>
      <c r="K2701" s="2">
        <v>88.0</v>
      </c>
      <c r="L2701" s="2">
        <v>366.0</v>
      </c>
      <c r="M2701" s="37">
        <v>2452.28</v>
      </c>
    </row>
    <row r="2702" ht="14.25" customHeight="1">
      <c r="A2702" t="s">
        <v>2763</v>
      </c>
      <c r="B2702" t="s">
        <v>2727</v>
      </c>
      <c r="C2702" t="s">
        <v>75</v>
      </c>
      <c r="D2702" t="s">
        <v>63</v>
      </c>
      <c r="E2702">
        <v>12.5</v>
      </c>
      <c r="F2702">
        <v>14.0</v>
      </c>
      <c r="G2702" s="2" t="s">
        <v>64</v>
      </c>
      <c r="H2702" s="2">
        <v>0.0</v>
      </c>
      <c r="I2702" s="2">
        <v>0.0</v>
      </c>
      <c r="J2702" s="37">
        <v>0.0</v>
      </c>
      <c r="K2702" s="2">
        <v>0.0</v>
      </c>
      <c r="L2702" s="2">
        <v>0.0</v>
      </c>
      <c r="M2702" s="37">
        <v>0.0</v>
      </c>
    </row>
    <row r="2703" ht="14.25" customHeight="1">
      <c r="A2703" t="s">
        <v>2764</v>
      </c>
      <c r="B2703" t="s">
        <v>2727</v>
      </c>
      <c r="C2703" t="s">
        <v>75</v>
      </c>
      <c r="D2703" t="s">
        <v>63</v>
      </c>
      <c r="E2703">
        <v>12.5</v>
      </c>
      <c r="F2703">
        <v>14.0</v>
      </c>
      <c r="G2703" s="2" t="s">
        <v>64</v>
      </c>
      <c r="H2703" s="2">
        <v>0.0</v>
      </c>
      <c r="I2703" s="2">
        <v>0.0</v>
      </c>
      <c r="J2703" s="37">
        <v>0.0</v>
      </c>
      <c r="K2703" s="2">
        <v>0.0</v>
      </c>
      <c r="L2703" s="2">
        <v>0.0</v>
      </c>
      <c r="M2703" s="37">
        <v>0.0</v>
      </c>
    </row>
    <row r="2704" ht="14.25" customHeight="1">
      <c r="A2704" t="s">
        <v>2765</v>
      </c>
      <c r="B2704" t="s">
        <v>2727</v>
      </c>
      <c r="C2704" t="s">
        <v>75</v>
      </c>
      <c r="D2704" t="s">
        <v>63</v>
      </c>
      <c r="E2704">
        <v>12.5</v>
      </c>
      <c r="F2704">
        <v>14.0</v>
      </c>
      <c r="G2704" s="2" t="s">
        <v>64</v>
      </c>
      <c r="H2704" s="2">
        <v>0.0</v>
      </c>
      <c r="I2704" s="2">
        <v>0.0</v>
      </c>
      <c r="J2704" s="37">
        <v>0.0</v>
      </c>
      <c r="K2704" s="2">
        <v>0.0</v>
      </c>
      <c r="L2704" s="2">
        <v>0.0</v>
      </c>
      <c r="M2704" s="37">
        <v>0.0</v>
      </c>
    </row>
    <row r="2705" ht="14.25" customHeight="1">
      <c r="A2705" t="s">
        <v>2766</v>
      </c>
      <c r="B2705" t="s">
        <v>2727</v>
      </c>
      <c r="C2705" t="s">
        <v>75</v>
      </c>
      <c r="D2705" t="s">
        <v>63</v>
      </c>
      <c r="E2705">
        <v>12.5</v>
      </c>
      <c r="F2705">
        <v>14.0</v>
      </c>
      <c r="G2705" s="2" t="s">
        <v>67</v>
      </c>
      <c r="H2705" s="2">
        <v>77.0</v>
      </c>
      <c r="I2705" s="2">
        <v>113.0</v>
      </c>
      <c r="J2705" s="37">
        <v>1876.3200000000002</v>
      </c>
      <c r="K2705" s="2">
        <v>89.0</v>
      </c>
      <c r="L2705" s="2">
        <v>355.0</v>
      </c>
      <c r="M2705" s="37">
        <v>2460.44</v>
      </c>
    </row>
    <row r="2706" ht="14.25" customHeight="1">
      <c r="A2706" t="s">
        <v>2767</v>
      </c>
      <c r="B2706" t="s">
        <v>2727</v>
      </c>
      <c r="C2706" t="s">
        <v>75</v>
      </c>
      <c r="D2706" t="s">
        <v>63</v>
      </c>
      <c r="E2706">
        <v>12.5</v>
      </c>
      <c r="F2706">
        <v>14.0</v>
      </c>
      <c r="G2706" s="2" t="s">
        <v>67</v>
      </c>
      <c r="H2706" s="2">
        <v>77.0</v>
      </c>
      <c r="I2706" s="2">
        <v>113.0</v>
      </c>
      <c r="J2706" s="37">
        <v>1876.3200000000002</v>
      </c>
      <c r="K2706" s="2">
        <v>89.0</v>
      </c>
      <c r="L2706" s="2">
        <v>355.0</v>
      </c>
      <c r="M2706" s="37">
        <v>2460.44</v>
      </c>
    </row>
    <row r="2707" ht="14.25" customHeight="1">
      <c r="A2707" t="s">
        <v>2768</v>
      </c>
      <c r="B2707" t="s">
        <v>2727</v>
      </c>
      <c r="C2707" t="s">
        <v>75</v>
      </c>
      <c r="D2707" t="s">
        <v>63</v>
      </c>
      <c r="E2707">
        <v>12.5</v>
      </c>
      <c r="F2707">
        <v>14.0</v>
      </c>
      <c r="G2707" s="2" t="s">
        <v>67</v>
      </c>
      <c r="H2707" s="2">
        <v>77.0</v>
      </c>
      <c r="I2707" s="2">
        <v>113.0</v>
      </c>
      <c r="J2707" s="37">
        <v>1876.3200000000002</v>
      </c>
      <c r="K2707" s="2">
        <v>89.0</v>
      </c>
      <c r="L2707" s="2">
        <v>355.0</v>
      </c>
      <c r="M2707" s="37">
        <v>2460.44</v>
      </c>
    </row>
    <row r="2708" ht="14.25" customHeight="1">
      <c r="A2708" t="s">
        <v>2769</v>
      </c>
      <c r="B2708" t="s">
        <v>2727</v>
      </c>
      <c r="C2708" t="s">
        <v>75</v>
      </c>
      <c r="D2708" t="s">
        <v>63</v>
      </c>
      <c r="E2708">
        <v>14.0</v>
      </c>
      <c r="F2708">
        <v>16.0</v>
      </c>
      <c r="G2708" s="2" t="s">
        <v>64</v>
      </c>
      <c r="H2708" s="2">
        <v>0.0</v>
      </c>
      <c r="I2708" s="2">
        <v>0.0</v>
      </c>
      <c r="J2708" s="37">
        <v>0.0</v>
      </c>
      <c r="K2708" s="2">
        <v>0.0</v>
      </c>
      <c r="L2708" s="2">
        <v>0.0</v>
      </c>
      <c r="M2708" s="37">
        <v>0.0</v>
      </c>
    </row>
    <row r="2709" ht="14.25" customHeight="1">
      <c r="A2709" t="s">
        <v>2770</v>
      </c>
      <c r="B2709" t="s">
        <v>2727</v>
      </c>
      <c r="C2709" t="s">
        <v>75</v>
      </c>
      <c r="D2709" t="s">
        <v>63</v>
      </c>
      <c r="E2709">
        <v>14.0</v>
      </c>
      <c r="F2709">
        <v>16.0</v>
      </c>
      <c r="G2709" s="2" t="s">
        <v>64</v>
      </c>
      <c r="H2709" s="2">
        <v>0.0</v>
      </c>
      <c r="I2709" s="2">
        <v>0.0</v>
      </c>
      <c r="J2709" s="37">
        <v>0.0</v>
      </c>
      <c r="K2709" s="2">
        <v>0.0</v>
      </c>
      <c r="L2709" s="2">
        <v>0.0</v>
      </c>
      <c r="M2709" s="37">
        <v>0.0</v>
      </c>
    </row>
    <row r="2710" ht="14.25" customHeight="1">
      <c r="A2710" t="s">
        <v>2771</v>
      </c>
      <c r="B2710" t="s">
        <v>2727</v>
      </c>
      <c r="C2710" t="s">
        <v>75</v>
      </c>
      <c r="D2710" t="s">
        <v>63</v>
      </c>
      <c r="E2710">
        <v>14.0</v>
      </c>
      <c r="F2710">
        <v>16.0</v>
      </c>
      <c r="G2710" s="2" t="s">
        <v>64</v>
      </c>
      <c r="H2710" s="2">
        <v>0.0</v>
      </c>
      <c r="I2710" s="2">
        <v>0.0</v>
      </c>
      <c r="J2710" s="37">
        <v>0.0</v>
      </c>
      <c r="K2710" s="2">
        <v>0.0</v>
      </c>
      <c r="L2710" s="2">
        <v>0.0</v>
      </c>
      <c r="M2710" s="37">
        <v>0.0</v>
      </c>
    </row>
    <row r="2711" ht="14.25" customHeight="1">
      <c r="A2711" t="s">
        <v>2772</v>
      </c>
      <c r="B2711" t="s">
        <v>2727</v>
      </c>
      <c r="C2711" t="s">
        <v>75</v>
      </c>
      <c r="D2711" t="s">
        <v>63</v>
      </c>
      <c r="E2711">
        <v>14.0</v>
      </c>
      <c r="F2711">
        <v>16.0</v>
      </c>
      <c r="G2711" s="2" t="s">
        <v>64</v>
      </c>
      <c r="H2711" s="2">
        <v>0.0</v>
      </c>
      <c r="I2711" s="2">
        <v>0.0</v>
      </c>
      <c r="J2711" s="37">
        <v>0.0</v>
      </c>
      <c r="K2711" s="2">
        <v>0.0</v>
      </c>
      <c r="L2711" s="2">
        <v>0.0</v>
      </c>
      <c r="M2711" s="37">
        <v>0.0</v>
      </c>
    </row>
    <row r="2712" ht="14.25" customHeight="1">
      <c r="A2712" t="s">
        <v>2773</v>
      </c>
      <c r="B2712" t="s">
        <v>2727</v>
      </c>
      <c r="C2712" t="s">
        <v>75</v>
      </c>
      <c r="D2712" t="s">
        <v>63</v>
      </c>
      <c r="E2712">
        <v>14.0</v>
      </c>
      <c r="F2712">
        <v>16.0</v>
      </c>
      <c r="G2712" s="2" t="s">
        <v>64</v>
      </c>
      <c r="H2712" s="2">
        <v>0.0</v>
      </c>
      <c r="I2712" s="2">
        <v>0.0</v>
      </c>
      <c r="J2712" s="37">
        <v>0.0</v>
      </c>
      <c r="K2712" s="2">
        <v>0.0</v>
      </c>
      <c r="L2712" s="2">
        <v>0.0</v>
      </c>
      <c r="M2712" s="37">
        <v>0.0</v>
      </c>
    </row>
    <row r="2713" ht="14.25" customHeight="1">
      <c r="A2713" t="s">
        <v>2774</v>
      </c>
      <c r="B2713" t="s">
        <v>2727</v>
      </c>
      <c r="C2713" t="s">
        <v>75</v>
      </c>
      <c r="D2713" t="s">
        <v>63</v>
      </c>
      <c r="E2713">
        <v>14.0</v>
      </c>
      <c r="F2713">
        <v>16.0</v>
      </c>
      <c r="G2713" s="2" t="s">
        <v>64</v>
      </c>
      <c r="H2713" s="2">
        <v>0.0</v>
      </c>
      <c r="I2713" s="2">
        <v>0.0</v>
      </c>
      <c r="J2713" s="37">
        <v>0.0</v>
      </c>
      <c r="K2713" s="2">
        <v>0.0</v>
      </c>
      <c r="L2713" s="2">
        <v>0.0</v>
      </c>
      <c r="M2713" s="37">
        <v>0.0</v>
      </c>
    </row>
    <row r="2714" ht="14.25" customHeight="1">
      <c r="A2714" t="s">
        <v>2775</v>
      </c>
      <c r="B2714" t="s">
        <v>2727</v>
      </c>
      <c r="C2714" t="s">
        <v>75</v>
      </c>
      <c r="D2714" t="s">
        <v>63</v>
      </c>
      <c r="E2714">
        <v>12.5</v>
      </c>
      <c r="F2714">
        <v>14.0</v>
      </c>
      <c r="G2714" s="2" t="s">
        <v>64</v>
      </c>
      <c r="H2714" s="2">
        <v>0.0</v>
      </c>
      <c r="I2714" s="2">
        <v>0.0</v>
      </c>
      <c r="J2714" s="37">
        <v>0.0</v>
      </c>
      <c r="K2714" s="2">
        <v>0.0</v>
      </c>
      <c r="L2714" s="2">
        <v>0.0</v>
      </c>
      <c r="M2714" s="37">
        <v>0.0</v>
      </c>
    </row>
    <row r="2715" ht="14.25" customHeight="1">
      <c r="A2715" t="s">
        <v>2776</v>
      </c>
      <c r="B2715" t="s">
        <v>2727</v>
      </c>
      <c r="C2715" t="s">
        <v>75</v>
      </c>
      <c r="D2715" t="s">
        <v>63</v>
      </c>
      <c r="E2715">
        <v>12.5</v>
      </c>
      <c r="F2715">
        <v>14.0</v>
      </c>
      <c r="G2715" s="2" t="s">
        <v>64</v>
      </c>
      <c r="H2715" s="2">
        <v>0.0</v>
      </c>
      <c r="I2715" s="2">
        <v>0.0</v>
      </c>
      <c r="J2715" s="37">
        <v>0.0</v>
      </c>
      <c r="K2715" s="2">
        <v>0.0</v>
      </c>
      <c r="L2715" s="2">
        <v>0.0</v>
      </c>
      <c r="M2715" s="37">
        <v>0.0</v>
      </c>
    </row>
    <row r="2716" ht="14.25" customHeight="1">
      <c r="A2716" t="s">
        <v>2777</v>
      </c>
      <c r="B2716" t="s">
        <v>2727</v>
      </c>
      <c r="C2716" t="s">
        <v>75</v>
      </c>
      <c r="D2716" t="s">
        <v>63</v>
      </c>
      <c r="E2716">
        <v>12.5</v>
      </c>
      <c r="F2716">
        <v>14.0</v>
      </c>
      <c r="G2716" s="2" t="s">
        <v>64</v>
      </c>
      <c r="H2716" s="2">
        <v>0.0</v>
      </c>
      <c r="I2716" s="2">
        <v>0.0</v>
      </c>
      <c r="J2716" s="37">
        <v>0.0</v>
      </c>
      <c r="K2716" s="2">
        <v>0.0</v>
      </c>
      <c r="L2716" s="2">
        <v>0.0</v>
      </c>
      <c r="M2716" s="37">
        <v>0.0</v>
      </c>
    </row>
    <row r="2717" ht="14.25" customHeight="1">
      <c r="A2717" t="s">
        <v>2778</v>
      </c>
      <c r="B2717" t="s">
        <v>2727</v>
      </c>
      <c r="C2717" t="s">
        <v>75</v>
      </c>
      <c r="D2717" t="s">
        <v>63</v>
      </c>
      <c r="E2717">
        <v>12.5</v>
      </c>
      <c r="F2717">
        <v>14.0</v>
      </c>
      <c r="G2717" s="2" t="s">
        <v>64</v>
      </c>
      <c r="H2717" s="2">
        <v>0.0</v>
      </c>
      <c r="I2717" s="2">
        <v>0.0</v>
      </c>
      <c r="J2717" s="37">
        <v>0.0</v>
      </c>
      <c r="K2717" s="2">
        <v>0.0</v>
      </c>
      <c r="L2717" s="2">
        <v>0.0</v>
      </c>
      <c r="M2717" s="37">
        <v>0.0</v>
      </c>
    </row>
    <row r="2718" ht="14.25" customHeight="1">
      <c r="A2718" t="s">
        <v>2779</v>
      </c>
      <c r="B2718" t="s">
        <v>2727</v>
      </c>
      <c r="C2718" t="s">
        <v>75</v>
      </c>
      <c r="D2718" t="s">
        <v>63</v>
      </c>
      <c r="E2718">
        <v>12.5</v>
      </c>
      <c r="F2718">
        <v>14.0</v>
      </c>
      <c r="G2718" s="2" t="s">
        <v>64</v>
      </c>
      <c r="H2718" s="2">
        <v>0.0</v>
      </c>
      <c r="I2718" s="2">
        <v>0.0</v>
      </c>
      <c r="J2718" s="37">
        <v>0.0</v>
      </c>
      <c r="K2718" s="2">
        <v>0.0</v>
      </c>
      <c r="L2718" s="2">
        <v>0.0</v>
      </c>
      <c r="M2718" s="37">
        <v>0.0</v>
      </c>
    </row>
    <row r="2719" ht="14.25" customHeight="1">
      <c r="A2719" t="s">
        <v>2780</v>
      </c>
      <c r="B2719" t="s">
        <v>2727</v>
      </c>
      <c r="C2719" t="s">
        <v>75</v>
      </c>
      <c r="D2719" t="s">
        <v>63</v>
      </c>
      <c r="E2719">
        <v>12.5</v>
      </c>
      <c r="F2719">
        <v>14.0</v>
      </c>
      <c r="G2719" s="2" t="s">
        <v>64</v>
      </c>
      <c r="H2719" s="2">
        <v>0.0</v>
      </c>
      <c r="I2719" s="2">
        <v>0.0</v>
      </c>
      <c r="J2719" s="37">
        <v>0.0</v>
      </c>
      <c r="K2719" s="2">
        <v>0.0</v>
      </c>
      <c r="L2719" s="2">
        <v>0.0</v>
      </c>
      <c r="M2719" s="37">
        <v>0.0</v>
      </c>
    </row>
    <row r="2720" ht="14.25" customHeight="1">
      <c r="A2720" t="s">
        <v>2781</v>
      </c>
      <c r="B2720" t="s">
        <v>2727</v>
      </c>
      <c r="C2720" t="s">
        <v>75</v>
      </c>
      <c r="D2720" t="s">
        <v>63</v>
      </c>
      <c r="E2720">
        <v>16.0</v>
      </c>
      <c r="F2720">
        <v>18.0</v>
      </c>
      <c r="G2720" s="2" t="s">
        <v>64</v>
      </c>
      <c r="H2720" s="2">
        <v>0.0</v>
      </c>
      <c r="I2720" s="2">
        <v>0.0</v>
      </c>
      <c r="J2720" s="37">
        <v>0.0</v>
      </c>
      <c r="K2720" s="2">
        <v>0.0</v>
      </c>
      <c r="L2720" s="2">
        <v>0.0</v>
      </c>
      <c r="M2720" s="37">
        <v>0.0</v>
      </c>
    </row>
    <row r="2721" ht="14.25" customHeight="1">
      <c r="A2721" t="s">
        <v>2782</v>
      </c>
      <c r="B2721" t="s">
        <v>2727</v>
      </c>
      <c r="C2721" t="s">
        <v>75</v>
      </c>
      <c r="D2721" t="s">
        <v>63</v>
      </c>
      <c r="E2721">
        <v>20.0</v>
      </c>
      <c r="F2721">
        <v>22.4</v>
      </c>
      <c r="G2721" s="2" t="s">
        <v>64</v>
      </c>
      <c r="H2721" s="2">
        <v>0.0</v>
      </c>
      <c r="I2721" s="2">
        <v>0.0</v>
      </c>
      <c r="J2721" s="37">
        <v>0.0</v>
      </c>
      <c r="K2721" s="2">
        <v>0.0</v>
      </c>
      <c r="L2721" s="2">
        <v>0.0</v>
      </c>
      <c r="M2721" s="37">
        <v>0.0</v>
      </c>
    </row>
    <row r="2722" ht="14.25" customHeight="1">
      <c r="A2722" t="s">
        <v>2783</v>
      </c>
      <c r="B2722" t="s">
        <v>2727</v>
      </c>
      <c r="C2722" t="s">
        <v>62</v>
      </c>
      <c r="D2722" t="s">
        <v>63</v>
      </c>
      <c r="E2722">
        <v>10.0</v>
      </c>
      <c r="F2722">
        <v>11.2</v>
      </c>
      <c r="G2722" s="2" t="s">
        <v>64</v>
      </c>
      <c r="H2722" s="2">
        <v>0.0</v>
      </c>
      <c r="I2722" s="2">
        <v>0.0</v>
      </c>
      <c r="J2722" s="37">
        <v>0.0</v>
      </c>
      <c r="K2722" s="2">
        <v>0.0</v>
      </c>
      <c r="L2722" s="2">
        <v>0.0</v>
      </c>
      <c r="M2722" s="37">
        <v>0.0</v>
      </c>
    </row>
    <row r="2723" ht="14.25" customHeight="1">
      <c r="A2723" t="s">
        <v>2784</v>
      </c>
      <c r="B2723" t="s">
        <v>2727</v>
      </c>
      <c r="C2723" t="s">
        <v>62</v>
      </c>
      <c r="D2723" t="s">
        <v>63</v>
      </c>
      <c r="E2723">
        <v>10.0</v>
      </c>
      <c r="F2723">
        <v>11.2</v>
      </c>
      <c r="G2723" s="2" t="s">
        <v>64</v>
      </c>
      <c r="H2723" s="2">
        <v>0.0</v>
      </c>
      <c r="I2723" s="2">
        <v>0.0</v>
      </c>
      <c r="J2723" s="37">
        <v>0.0</v>
      </c>
      <c r="K2723" s="2">
        <v>0.0</v>
      </c>
      <c r="L2723" s="2">
        <v>0.0</v>
      </c>
      <c r="M2723" s="37">
        <v>0.0</v>
      </c>
    </row>
    <row r="2724" ht="14.25" customHeight="1">
      <c r="A2724" t="s">
        <v>2785</v>
      </c>
      <c r="B2724" t="s">
        <v>2727</v>
      </c>
      <c r="C2724" t="s">
        <v>62</v>
      </c>
      <c r="D2724" t="s">
        <v>63</v>
      </c>
      <c r="E2724">
        <v>10.0</v>
      </c>
      <c r="F2724">
        <v>11.2</v>
      </c>
      <c r="G2724" s="2" t="s">
        <v>64</v>
      </c>
      <c r="H2724" s="2">
        <v>0.0</v>
      </c>
      <c r="I2724" s="2">
        <v>0.0</v>
      </c>
      <c r="J2724" s="37">
        <v>0.0</v>
      </c>
      <c r="K2724" s="2">
        <v>0.0</v>
      </c>
      <c r="L2724" s="2">
        <v>0.0</v>
      </c>
      <c r="M2724" s="37">
        <v>0.0</v>
      </c>
    </row>
    <row r="2725" ht="14.25" customHeight="1">
      <c r="A2725" t="s">
        <v>2786</v>
      </c>
      <c r="B2725" t="s">
        <v>2727</v>
      </c>
      <c r="C2725" t="s">
        <v>62</v>
      </c>
      <c r="D2725" t="s">
        <v>63</v>
      </c>
      <c r="E2725">
        <v>10.0</v>
      </c>
      <c r="F2725">
        <v>11.2</v>
      </c>
      <c r="G2725" s="2" t="s">
        <v>64</v>
      </c>
      <c r="H2725" s="2">
        <v>0.0</v>
      </c>
      <c r="I2725" s="2">
        <v>0.0</v>
      </c>
      <c r="J2725" s="37">
        <v>0.0</v>
      </c>
      <c r="K2725" s="2">
        <v>0.0</v>
      </c>
      <c r="L2725" s="2">
        <v>0.0</v>
      </c>
      <c r="M2725" s="37">
        <v>0.0</v>
      </c>
    </row>
    <row r="2726" ht="14.25" customHeight="1">
      <c r="A2726" t="s">
        <v>2787</v>
      </c>
      <c r="B2726" t="s">
        <v>2727</v>
      </c>
      <c r="C2726" t="s">
        <v>62</v>
      </c>
      <c r="D2726" t="s">
        <v>63</v>
      </c>
      <c r="E2726">
        <v>10.0</v>
      </c>
      <c r="F2726">
        <v>11.2</v>
      </c>
      <c r="G2726" s="2" t="s">
        <v>64</v>
      </c>
      <c r="H2726" s="2">
        <v>0.0</v>
      </c>
      <c r="I2726" s="2">
        <v>0.0</v>
      </c>
      <c r="J2726" s="37">
        <v>0.0</v>
      </c>
      <c r="K2726" s="2">
        <v>0.0</v>
      </c>
      <c r="L2726" s="2">
        <v>0.0</v>
      </c>
      <c r="M2726" s="37">
        <v>0.0</v>
      </c>
    </row>
    <row r="2727" ht="14.25" customHeight="1">
      <c r="A2727" t="s">
        <v>2788</v>
      </c>
      <c r="B2727" t="s">
        <v>2727</v>
      </c>
      <c r="C2727" t="s">
        <v>62</v>
      </c>
      <c r="D2727" t="s">
        <v>63</v>
      </c>
      <c r="E2727">
        <v>10.0</v>
      </c>
      <c r="F2727">
        <v>11.2</v>
      </c>
      <c r="G2727" s="2" t="s">
        <v>64</v>
      </c>
      <c r="H2727" s="2">
        <v>0.0</v>
      </c>
      <c r="I2727" s="2">
        <v>0.0</v>
      </c>
      <c r="J2727" s="37">
        <v>0.0</v>
      </c>
      <c r="K2727" s="2">
        <v>0.0</v>
      </c>
      <c r="L2727" s="2">
        <v>0.0</v>
      </c>
      <c r="M2727" s="37">
        <v>0.0</v>
      </c>
    </row>
    <row r="2728" ht="14.25" customHeight="1">
      <c r="A2728" t="s">
        <v>2789</v>
      </c>
      <c r="B2728" t="s">
        <v>2727</v>
      </c>
      <c r="C2728" t="s">
        <v>75</v>
      </c>
      <c r="D2728" t="s">
        <v>63</v>
      </c>
      <c r="E2728">
        <v>20.0</v>
      </c>
      <c r="F2728">
        <v>22.4</v>
      </c>
      <c r="G2728" s="2" t="s">
        <v>64</v>
      </c>
      <c r="H2728" s="2">
        <v>0.0</v>
      </c>
      <c r="I2728" s="2">
        <v>0.0</v>
      </c>
      <c r="J2728" s="37">
        <v>0.0</v>
      </c>
      <c r="K2728" s="2">
        <v>0.0</v>
      </c>
      <c r="L2728" s="2">
        <v>0.0</v>
      </c>
      <c r="M2728" s="37">
        <v>0.0</v>
      </c>
    </row>
    <row r="2729" ht="14.25" customHeight="1">
      <c r="A2729" t="s">
        <v>2790</v>
      </c>
      <c r="B2729" t="s">
        <v>2727</v>
      </c>
      <c r="C2729" t="s">
        <v>75</v>
      </c>
      <c r="D2729" t="s">
        <v>63</v>
      </c>
      <c r="E2729">
        <v>16.0</v>
      </c>
      <c r="F2729">
        <v>18.0</v>
      </c>
      <c r="G2729" s="2" t="s">
        <v>64</v>
      </c>
      <c r="H2729" s="2">
        <v>0.0</v>
      </c>
      <c r="I2729" s="2">
        <v>0.0</v>
      </c>
      <c r="J2729" s="37">
        <v>0.0</v>
      </c>
      <c r="K2729" s="2">
        <v>0.0</v>
      </c>
      <c r="L2729" s="2">
        <v>0.0</v>
      </c>
      <c r="M2729" s="37">
        <v>0.0</v>
      </c>
    </row>
    <row r="2730" ht="14.25" customHeight="1">
      <c r="A2730" t="s">
        <v>2791</v>
      </c>
      <c r="B2730" t="s">
        <v>2727</v>
      </c>
      <c r="C2730" t="s">
        <v>62</v>
      </c>
      <c r="D2730" t="s">
        <v>63</v>
      </c>
      <c r="E2730">
        <v>12.1</v>
      </c>
      <c r="F2730">
        <v>12.1</v>
      </c>
      <c r="G2730" s="2" t="s">
        <v>64</v>
      </c>
      <c r="H2730" s="2">
        <v>0.0</v>
      </c>
      <c r="I2730" s="2">
        <v>0.0</v>
      </c>
      <c r="J2730" s="37">
        <v>0.0</v>
      </c>
      <c r="K2730" s="2">
        <v>0.0</v>
      </c>
      <c r="L2730" s="2">
        <v>0.0</v>
      </c>
      <c r="M2730" s="37">
        <v>0.0</v>
      </c>
    </row>
    <row r="2731" ht="14.25" customHeight="1">
      <c r="A2731" t="s">
        <v>2792</v>
      </c>
      <c r="B2731" t="s">
        <v>2727</v>
      </c>
      <c r="C2731" t="s">
        <v>62</v>
      </c>
      <c r="D2731" t="s">
        <v>63</v>
      </c>
      <c r="E2731">
        <v>12.1</v>
      </c>
      <c r="F2731">
        <v>12.1</v>
      </c>
      <c r="G2731" s="2" t="s">
        <v>64</v>
      </c>
      <c r="H2731" s="2">
        <v>0.0</v>
      </c>
      <c r="I2731" s="2">
        <v>0.0</v>
      </c>
      <c r="J2731" s="37">
        <v>0.0</v>
      </c>
      <c r="K2731" s="2">
        <v>0.0</v>
      </c>
      <c r="L2731" s="2">
        <v>0.0</v>
      </c>
      <c r="M2731" s="37">
        <v>0.0</v>
      </c>
    </row>
    <row r="2732" ht="14.25" customHeight="1">
      <c r="A2732" t="s">
        <v>2793</v>
      </c>
      <c r="B2732" t="s">
        <v>2727</v>
      </c>
      <c r="C2732" t="s">
        <v>62</v>
      </c>
      <c r="D2732" t="s">
        <v>63</v>
      </c>
      <c r="E2732">
        <v>12.1</v>
      </c>
      <c r="F2732">
        <v>12.1</v>
      </c>
      <c r="G2732" s="2" t="s">
        <v>64</v>
      </c>
      <c r="H2732" s="2">
        <v>0.0</v>
      </c>
      <c r="I2732" s="2">
        <v>0.0</v>
      </c>
      <c r="J2732" s="37">
        <v>0.0</v>
      </c>
      <c r="K2732" s="2">
        <v>0.0</v>
      </c>
      <c r="L2732" s="2">
        <v>0.0</v>
      </c>
      <c r="M2732" s="37">
        <v>0.0</v>
      </c>
    </row>
    <row r="2733" ht="14.25" customHeight="1">
      <c r="A2733" t="s">
        <v>2794</v>
      </c>
      <c r="B2733" t="s">
        <v>2727</v>
      </c>
      <c r="C2733" t="s">
        <v>62</v>
      </c>
      <c r="D2733" t="s">
        <v>63</v>
      </c>
      <c r="E2733">
        <v>12.1</v>
      </c>
      <c r="F2733">
        <v>12.1</v>
      </c>
      <c r="G2733" s="2" t="s">
        <v>64</v>
      </c>
      <c r="H2733" s="2">
        <v>0.0</v>
      </c>
      <c r="I2733" s="2">
        <v>0.0</v>
      </c>
      <c r="J2733" s="37">
        <v>0.0</v>
      </c>
      <c r="K2733" s="2">
        <v>0.0</v>
      </c>
      <c r="L2733" s="2">
        <v>0.0</v>
      </c>
      <c r="M2733" s="37">
        <v>0.0</v>
      </c>
    </row>
    <row r="2734" ht="14.25" customHeight="1">
      <c r="A2734" t="s">
        <v>2795</v>
      </c>
      <c r="B2734" t="s">
        <v>2727</v>
      </c>
      <c r="C2734" t="s">
        <v>62</v>
      </c>
      <c r="D2734" t="s">
        <v>63</v>
      </c>
      <c r="E2734">
        <v>12.1</v>
      </c>
      <c r="F2734">
        <v>12.1</v>
      </c>
      <c r="G2734" s="2" t="s">
        <v>64</v>
      </c>
      <c r="H2734" s="2">
        <v>0.0</v>
      </c>
      <c r="I2734" s="2">
        <v>0.0</v>
      </c>
      <c r="J2734" s="37">
        <v>0.0</v>
      </c>
      <c r="K2734" s="2">
        <v>0.0</v>
      </c>
      <c r="L2734" s="2">
        <v>0.0</v>
      </c>
      <c r="M2734" s="37">
        <v>0.0</v>
      </c>
    </row>
    <row r="2735" ht="14.25" customHeight="1">
      <c r="A2735" t="s">
        <v>2796</v>
      </c>
      <c r="B2735" t="s">
        <v>2727</v>
      </c>
      <c r="C2735" t="s">
        <v>62</v>
      </c>
      <c r="D2735" t="s">
        <v>63</v>
      </c>
      <c r="E2735">
        <v>12.1</v>
      </c>
      <c r="F2735">
        <v>12.1</v>
      </c>
      <c r="G2735" s="2" t="s">
        <v>64</v>
      </c>
      <c r="H2735" s="2">
        <v>0.0</v>
      </c>
      <c r="I2735" s="2">
        <v>0.0</v>
      </c>
      <c r="J2735" s="37">
        <v>0.0</v>
      </c>
      <c r="K2735" s="2">
        <v>0.0</v>
      </c>
      <c r="L2735" s="2">
        <v>0.0</v>
      </c>
      <c r="M2735" s="37">
        <v>0.0</v>
      </c>
    </row>
    <row r="2736" ht="14.25" customHeight="1">
      <c r="A2736" t="s">
        <v>2797</v>
      </c>
      <c r="B2736" t="s">
        <v>2727</v>
      </c>
      <c r="C2736" t="s">
        <v>75</v>
      </c>
      <c r="D2736" t="s">
        <v>63</v>
      </c>
      <c r="E2736">
        <v>12.1</v>
      </c>
      <c r="F2736">
        <v>12.1</v>
      </c>
      <c r="G2736" s="2" t="s">
        <v>64</v>
      </c>
      <c r="H2736" s="2">
        <v>0.0</v>
      </c>
      <c r="I2736" s="2">
        <v>0.0</v>
      </c>
      <c r="J2736" s="37">
        <v>0.0</v>
      </c>
      <c r="K2736" s="2">
        <v>0.0</v>
      </c>
      <c r="L2736" s="2">
        <v>0.0</v>
      </c>
      <c r="M2736" s="37">
        <v>0.0</v>
      </c>
    </row>
    <row r="2737" ht="14.25" customHeight="1">
      <c r="A2737" t="s">
        <v>2798</v>
      </c>
      <c r="B2737" t="s">
        <v>2727</v>
      </c>
      <c r="C2737" t="s">
        <v>75</v>
      </c>
      <c r="D2737" t="s">
        <v>63</v>
      </c>
      <c r="E2737">
        <v>12.1</v>
      </c>
      <c r="F2737">
        <v>12.1</v>
      </c>
      <c r="G2737" s="2" t="s">
        <v>64</v>
      </c>
      <c r="H2737" s="2">
        <v>0.0</v>
      </c>
      <c r="I2737" s="2">
        <v>0.0</v>
      </c>
      <c r="J2737" s="37">
        <v>0.0</v>
      </c>
      <c r="K2737" s="2">
        <v>0.0</v>
      </c>
      <c r="L2737" s="2">
        <v>0.0</v>
      </c>
      <c r="M2737" s="37">
        <v>0.0</v>
      </c>
    </row>
    <row r="2738" ht="14.25" customHeight="1">
      <c r="A2738" t="s">
        <v>2799</v>
      </c>
      <c r="B2738" t="s">
        <v>2727</v>
      </c>
      <c r="C2738" t="s">
        <v>75</v>
      </c>
      <c r="D2738" t="s">
        <v>63</v>
      </c>
      <c r="E2738">
        <v>12.1</v>
      </c>
      <c r="F2738">
        <v>12.1</v>
      </c>
      <c r="G2738" s="2" t="s">
        <v>64</v>
      </c>
      <c r="H2738" s="2">
        <v>0.0</v>
      </c>
      <c r="I2738" s="2">
        <v>0.0</v>
      </c>
      <c r="J2738" s="37">
        <v>0.0</v>
      </c>
      <c r="K2738" s="2">
        <v>0.0</v>
      </c>
      <c r="L2738" s="2">
        <v>0.0</v>
      </c>
      <c r="M2738" s="37">
        <v>0.0</v>
      </c>
    </row>
    <row r="2739" ht="14.25" customHeight="1">
      <c r="A2739" t="s">
        <v>2800</v>
      </c>
      <c r="B2739" t="s">
        <v>2727</v>
      </c>
      <c r="C2739" t="s">
        <v>75</v>
      </c>
      <c r="D2739" t="s">
        <v>63</v>
      </c>
      <c r="E2739">
        <v>12.1</v>
      </c>
      <c r="F2739">
        <v>12.1</v>
      </c>
      <c r="G2739" s="2" t="s">
        <v>64</v>
      </c>
      <c r="H2739" s="2">
        <v>0.0</v>
      </c>
      <c r="I2739" s="2">
        <v>0.0</v>
      </c>
      <c r="J2739" s="37">
        <v>0.0</v>
      </c>
      <c r="K2739" s="2">
        <v>0.0</v>
      </c>
      <c r="L2739" s="2">
        <v>0.0</v>
      </c>
      <c r="M2739" s="37">
        <v>0.0</v>
      </c>
    </row>
    <row r="2740" ht="14.25" customHeight="1">
      <c r="A2740" t="s">
        <v>2801</v>
      </c>
      <c r="B2740" t="s">
        <v>2727</v>
      </c>
      <c r="C2740" t="s">
        <v>75</v>
      </c>
      <c r="D2740" t="s">
        <v>63</v>
      </c>
      <c r="E2740">
        <v>12.1</v>
      </c>
      <c r="F2740">
        <v>12.1</v>
      </c>
      <c r="G2740" s="2" t="s">
        <v>64</v>
      </c>
      <c r="H2740" s="2">
        <v>0.0</v>
      </c>
      <c r="I2740" s="2">
        <v>0.0</v>
      </c>
      <c r="J2740" s="37">
        <v>0.0</v>
      </c>
      <c r="K2740" s="2">
        <v>0.0</v>
      </c>
      <c r="L2740" s="2">
        <v>0.0</v>
      </c>
      <c r="M2740" s="37">
        <v>0.0</v>
      </c>
    </row>
    <row r="2741" ht="14.25" customHeight="1">
      <c r="A2741" t="s">
        <v>2802</v>
      </c>
      <c r="B2741" t="s">
        <v>2727</v>
      </c>
      <c r="C2741" t="s">
        <v>75</v>
      </c>
      <c r="D2741" t="s">
        <v>63</v>
      </c>
      <c r="E2741">
        <v>12.1</v>
      </c>
      <c r="F2741">
        <v>12.1</v>
      </c>
      <c r="G2741" s="2" t="s">
        <v>64</v>
      </c>
      <c r="H2741" s="2">
        <v>0.0</v>
      </c>
      <c r="I2741" s="2">
        <v>0.0</v>
      </c>
      <c r="J2741" s="37">
        <v>0.0</v>
      </c>
      <c r="K2741" s="2">
        <v>0.0</v>
      </c>
      <c r="L2741" s="2">
        <v>0.0</v>
      </c>
      <c r="M2741" s="37">
        <v>0.0</v>
      </c>
    </row>
    <row r="2742" ht="14.25" customHeight="1">
      <c r="A2742" t="s">
        <v>2803</v>
      </c>
      <c r="B2742" t="s">
        <v>2727</v>
      </c>
      <c r="C2742" t="s">
        <v>62</v>
      </c>
      <c r="D2742" t="s">
        <v>63</v>
      </c>
      <c r="E2742">
        <v>5.0</v>
      </c>
      <c r="F2742">
        <v>5.4</v>
      </c>
      <c r="G2742" s="2" t="s">
        <v>64</v>
      </c>
      <c r="H2742" s="2">
        <v>0.0</v>
      </c>
      <c r="I2742" s="2">
        <v>0.0</v>
      </c>
      <c r="J2742" s="37">
        <v>0.0</v>
      </c>
      <c r="K2742" s="2">
        <v>0.0</v>
      </c>
      <c r="L2742" s="2">
        <v>0.0</v>
      </c>
      <c r="M2742" s="37">
        <v>0.0</v>
      </c>
    </row>
    <row r="2743" ht="14.25" customHeight="1">
      <c r="A2743" t="s">
        <v>2804</v>
      </c>
      <c r="B2743" t="s">
        <v>2727</v>
      </c>
      <c r="C2743" t="s">
        <v>62</v>
      </c>
      <c r="D2743" t="s">
        <v>63</v>
      </c>
      <c r="E2743">
        <v>5.6</v>
      </c>
      <c r="F2743">
        <v>6.7</v>
      </c>
      <c r="G2743" s="2" t="s">
        <v>64</v>
      </c>
      <c r="H2743" s="2">
        <v>0.0</v>
      </c>
      <c r="I2743" s="2">
        <v>0.0</v>
      </c>
      <c r="J2743" s="37">
        <v>0.0</v>
      </c>
      <c r="K2743" s="2">
        <v>0.0</v>
      </c>
      <c r="L2743" s="2">
        <v>0.0</v>
      </c>
      <c r="M2743" s="37">
        <v>0.0</v>
      </c>
    </row>
    <row r="2744" ht="14.25" customHeight="1">
      <c r="A2744" t="s">
        <v>2805</v>
      </c>
      <c r="B2744" t="s">
        <v>2727</v>
      </c>
      <c r="C2744" t="s">
        <v>62</v>
      </c>
      <c r="D2744" t="s">
        <v>63</v>
      </c>
      <c r="E2744">
        <v>1.5</v>
      </c>
      <c r="F2744">
        <v>2.0</v>
      </c>
      <c r="G2744" s="2" t="s">
        <v>64</v>
      </c>
      <c r="H2744" s="2">
        <v>0.0</v>
      </c>
      <c r="I2744" s="2">
        <v>0.0</v>
      </c>
      <c r="J2744" s="37">
        <v>0.0</v>
      </c>
      <c r="K2744" s="2">
        <v>0.0</v>
      </c>
      <c r="L2744" s="2">
        <v>0.0</v>
      </c>
      <c r="M2744" s="37">
        <v>0.0</v>
      </c>
    </row>
    <row r="2745" ht="14.25" customHeight="1">
      <c r="A2745" t="s">
        <v>2806</v>
      </c>
      <c r="B2745" t="s">
        <v>2727</v>
      </c>
      <c r="C2745" t="s">
        <v>62</v>
      </c>
      <c r="D2745" t="s">
        <v>63</v>
      </c>
      <c r="E2745">
        <v>1.5</v>
      </c>
      <c r="F2745">
        <v>2.0</v>
      </c>
      <c r="G2745" s="2" t="s">
        <v>64</v>
      </c>
      <c r="H2745" s="2">
        <v>0.0</v>
      </c>
      <c r="I2745" s="2">
        <v>0.0</v>
      </c>
      <c r="J2745" s="37">
        <v>0.0</v>
      </c>
      <c r="K2745" s="2">
        <v>0.0</v>
      </c>
      <c r="L2745" s="2">
        <v>0.0</v>
      </c>
      <c r="M2745" s="37">
        <v>0.0</v>
      </c>
    </row>
    <row r="2746" ht="14.25" customHeight="1">
      <c r="A2746" t="s">
        <v>2807</v>
      </c>
      <c r="B2746" t="s">
        <v>2727</v>
      </c>
      <c r="C2746" t="s">
        <v>62</v>
      </c>
      <c r="D2746" t="s">
        <v>63</v>
      </c>
      <c r="E2746">
        <v>1.5</v>
      </c>
      <c r="F2746">
        <v>2.0</v>
      </c>
      <c r="G2746" s="2" t="s">
        <v>64</v>
      </c>
      <c r="H2746" s="2">
        <v>0.0</v>
      </c>
      <c r="I2746" s="2">
        <v>0.0</v>
      </c>
      <c r="J2746" s="37">
        <v>0.0</v>
      </c>
      <c r="K2746" s="2">
        <v>0.0</v>
      </c>
      <c r="L2746" s="2">
        <v>0.0</v>
      </c>
      <c r="M2746" s="37">
        <v>0.0</v>
      </c>
    </row>
    <row r="2747" ht="14.25" customHeight="1">
      <c r="A2747" t="s">
        <v>2808</v>
      </c>
      <c r="B2747" t="s">
        <v>2727</v>
      </c>
      <c r="C2747" t="s">
        <v>62</v>
      </c>
      <c r="D2747" t="s">
        <v>63</v>
      </c>
      <c r="E2747">
        <v>1.5</v>
      </c>
      <c r="F2747">
        <v>2.0</v>
      </c>
      <c r="G2747" s="2" t="s">
        <v>64</v>
      </c>
      <c r="H2747" s="2">
        <v>0.0</v>
      </c>
      <c r="I2747" s="2">
        <v>0.0</v>
      </c>
      <c r="J2747" s="37">
        <v>0.0</v>
      </c>
      <c r="K2747" s="2">
        <v>0.0</v>
      </c>
      <c r="L2747" s="2">
        <v>0.0</v>
      </c>
      <c r="M2747" s="37">
        <v>0.0</v>
      </c>
    </row>
    <row r="2748" ht="14.25" customHeight="1">
      <c r="A2748" t="s">
        <v>2809</v>
      </c>
      <c r="B2748" t="s">
        <v>2727</v>
      </c>
      <c r="C2748" t="s">
        <v>62</v>
      </c>
      <c r="D2748" t="s">
        <v>63</v>
      </c>
      <c r="E2748">
        <v>1.5</v>
      </c>
      <c r="F2748">
        <v>2.0</v>
      </c>
      <c r="G2748" s="2" t="s">
        <v>64</v>
      </c>
      <c r="H2748" s="2">
        <v>0.0</v>
      </c>
      <c r="I2748" s="2">
        <v>0.0</v>
      </c>
      <c r="J2748" s="37">
        <v>0.0</v>
      </c>
      <c r="K2748" s="2">
        <v>0.0</v>
      </c>
      <c r="L2748" s="2">
        <v>0.0</v>
      </c>
      <c r="M2748" s="37">
        <v>0.0</v>
      </c>
    </row>
    <row r="2749" ht="14.25" customHeight="1">
      <c r="A2749" t="s">
        <v>2810</v>
      </c>
      <c r="B2749" t="s">
        <v>2727</v>
      </c>
      <c r="C2749" t="s">
        <v>62</v>
      </c>
      <c r="D2749" t="s">
        <v>63</v>
      </c>
      <c r="E2749">
        <v>2.0</v>
      </c>
      <c r="F2749">
        <v>2.7</v>
      </c>
      <c r="G2749" s="2" t="s">
        <v>64</v>
      </c>
      <c r="H2749" s="2">
        <v>0.0</v>
      </c>
      <c r="I2749" s="2">
        <v>0.0</v>
      </c>
      <c r="J2749" s="37">
        <v>0.0</v>
      </c>
      <c r="K2749" s="2">
        <v>0.0</v>
      </c>
      <c r="L2749" s="2">
        <v>0.0</v>
      </c>
      <c r="M2749" s="37">
        <v>0.0</v>
      </c>
    </row>
    <row r="2750" ht="14.25" customHeight="1">
      <c r="A2750" t="s">
        <v>2811</v>
      </c>
      <c r="B2750" t="s">
        <v>2727</v>
      </c>
      <c r="C2750" t="s">
        <v>62</v>
      </c>
      <c r="D2750" t="s">
        <v>63</v>
      </c>
      <c r="E2750">
        <v>2.0</v>
      </c>
      <c r="F2750">
        <v>2.7</v>
      </c>
      <c r="G2750" s="2" t="s">
        <v>64</v>
      </c>
      <c r="H2750" s="2">
        <v>0.0</v>
      </c>
      <c r="I2750" s="2">
        <v>0.0</v>
      </c>
      <c r="J2750" s="37">
        <v>0.0</v>
      </c>
      <c r="K2750" s="2">
        <v>0.0</v>
      </c>
      <c r="L2750" s="2">
        <v>0.0</v>
      </c>
      <c r="M2750" s="37">
        <v>0.0</v>
      </c>
    </row>
    <row r="2751" ht="14.25" customHeight="1">
      <c r="A2751" t="s">
        <v>2812</v>
      </c>
      <c r="B2751" t="s">
        <v>2727</v>
      </c>
      <c r="C2751" t="s">
        <v>62</v>
      </c>
      <c r="D2751" t="s">
        <v>63</v>
      </c>
      <c r="E2751">
        <v>2.0</v>
      </c>
      <c r="F2751">
        <v>2.7</v>
      </c>
      <c r="G2751" s="2" t="s">
        <v>64</v>
      </c>
      <c r="H2751" s="2">
        <v>0.0</v>
      </c>
      <c r="I2751" s="2">
        <v>0.0</v>
      </c>
      <c r="J2751" s="37">
        <v>0.0</v>
      </c>
      <c r="K2751" s="2">
        <v>0.0</v>
      </c>
      <c r="L2751" s="2">
        <v>0.0</v>
      </c>
      <c r="M2751" s="37">
        <v>0.0</v>
      </c>
    </row>
    <row r="2752" ht="14.25" customHeight="1">
      <c r="A2752" t="s">
        <v>2813</v>
      </c>
      <c r="B2752" t="s">
        <v>2727</v>
      </c>
      <c r="C2752" t="s">
        <v>62</v>
      </c>
      <c r="D2752" t="s">
        <v>63</v>
      </c>
      <c r="E2752">
        <v>2.0</v>
      </c>
      <c r="F2752">
        <v>2.7</v>
      </c>
      <c r="G2752" s="2" t="s">
        <v>64</v>
      </c>
      <c r="H2752" s="2">
        <v>0.0</v>
      </c>
      <c r="I2752" s="2">
        <v>0.0</v>
      </c>
      <c r="J2752" s="37">
        <v>0.0</v>
      </c>
      <c r="K2752" s="2">
        <v>0.0</v>
      </c>
      <c r="L2752" s="2">
        <v>0.0</v>
      </c>
      <c r="M2752" s="37">
        <v>0.0</v>
      </c>
    </row>
    <row r="2753" ht="14.25" customHeight="1">
      <c r="A2753" t="s">
        <v>2814</v>
      </c>
      <c r="B2753" t="s">
        <v>2727</v>
      </c>
      <c r="C2753" t="s">
        <v>62</v>
      </c>
      <c r="D2753" t="s">
        <v>63</v>
      </c>
      <c r="E2753">
        <v>2.0</v>
      </c>
      <c r="F2753">
        <v>2.7</v>
      </c>
      <c r="G2753" s="2" t="s">
        <v>64</v>
      </c>
      <c r="H2753" s="2">
        <v>0.0</v>
      </c>
      <c r="I2753" s="2">
        <v>0.0</v>
      </c>
      <c r="J2753" s="37">
        <v>0.0</v>
      </c>
      <c r="K2753" s="2">
        <v>0.0</v>
      </c>
      <c r="L2753" s="2">
        <v>0.0</v>
      </c>
      <c r="M2753" s="37">
        <v>0.0</v>
      </c>
    </row>
    <row r="2754" ht="14.25" customHeight="1">
      <c r="A2754" t="s">
        <v>2815</v>
      </c>
      <c r="B2754" t="s">
        <v>2727</v>
      </c>
      <c r="C2754" t="s">
        <v>62</v>
      </c>
      <c r="D2754" t="s">
        <v>63</v>
      </c>
      <c r="E2754">
        <v>2.5</v>
      </c>
      <c r="F2754">
        <v>3.0</v>
      </c>
      <c r="G2754" s="2" t="s">
        <v>64</v>
      </c>
      <c r="H2754" s="2">
        <v>0.0</v>
      </c>
      <c r="I2754" s="2">
        <v>0.0</v>
      </c>
      <c r="J2754" s="37">
        <v>0.0</v>
      </c>
      <c r="K2754" s="2">
        <v>0.0</v>
      </c>
      <c r="L2754" s="2">
        <v>0.0</v>
      </c>
      <c r="M2754" s="37">
        <v>0.0</v>
      </c>
    </row>
    <row r="2755" ht="14.25" customHeight="1">
      <c r="A2755" t="s">
        <v>2816</v>
      </c>
      <c r="B2755" t="s">
        <v>2727</v>
      </c>
      <c r="C2755" t="s">
        <v>62</v>
      </c>
      <c r="D2755" t="s">
        <v>63</v>
      </c>
      <c r="E2755">
        <v>2.5</v>
      </c>
      <c r="F2755">
        <v>3.0</v>
      </c>
      <c r="G2755" s="2" t="s">
        <v>64</v>
      </c>
      <c r="H2755" s="2">
        <v>0.0</v>
      </c>
      <c r="I2755" s="2">
        <v>0.0</v>
      </c>
      <c r="J2755" s="37">
        <v>0.0</v>
      </c>
      <c r="K2755" s="2">
        <v>0.0</v>
      </c>
      <c r="L2755" s="2">
        <v>0.0</v>
      </c>
      <c r="M2755" s="37">
        <v>0.0</v>
      </c>
    </row>
    <row r="2756" ht="14.25" customHeight="1">
      <c r="A2756" t="s">
        <v>2817</v>
      </c>
      <c r="B2756" t="s">
        <v>2727</v>
      </c>
      <c r="C2756" t="s">
        <v>62</v>
      </c>
      <c r="D2756" t="s">
        <v>63</v>
      </c>
      <c r="E2756">
        <v>2.5</v>
      </c>
      <c r="F2756">
        <v>3.0</v>
      </c>
      <c r="G2756" s="2" t="s">
        <v>64</v>
      </c>
      <c r="H2756" s="2">
        <v>0.0</v>
      </c>
      <c r="I2756" s="2">
        <v>0.0</v>
      </c>
      <c r="J2756" s="37">
        <v>0.0</v>
      </c>
      <c r="K2756" s="2">
        <v>0.0</v>
      </c>
      <c r="L2756" s="2">
        <v>0.0</v>
      </c>
      <c r="M2756" s="37">
        <v>0.0</v>
      </c>
    </row>
    <row r="2757" ht="14.25" customHeight="1">
      <c r="A2757" t="s">
        <v>2818</v>
      </c>
      <c r="B2757" t="s">
        <v>2727</v>
      </c>
      <c r="C2757" t="s">
        <v>62</v>
      </c>
      <c r="D2757" t="s">
        <v>63</v>
      </c>
      <c r="E2757">
        <v>2.5</v>
      </c>
      <c r="F2757">
        <v>3.0</v>
      </c>
      <c r="G2757" s="2" t="s">
        <v>64</v>
      </c>
      <c r="H2757" s="2">
        <v>0.0</v>
      </c>
      <c r="I2757" s="2">
        <v>0.0</v>
      </c>
      <c r="J2757" s="37">
        <v>0.0</v>
      </c>
      <c r="K2757" s="2">
        <v>0.0</v>
      </c>
      <c r="L2757" s="2">
        <v>0.0</v>
      </c>
      <c r="M2757" s="37">
        <v>0.0</v>
      </c>
    </row>
    <row r="2758" ht="14.25" customHeight="1">
      <c r="A2758" t="s">
        <v>2819</v>
      </c>
      <c r="B2758" t="s">
        <v>2727</v>
      </c>
      <c r="C2758" t="s">
        <v>62</v>
      </c>
      <c r="D2758" t="s">
        <v>63</v>
      </c>
      <c r="E2758">
        <v>2.5</v>
      </c>
      <c r="F2758">
        <v>3.0</v>
      </c>
      <c r="G2758" s="2" t="s">
        <v>64</v>
      </c>
      <c r="H2758" s="2">
        <v>0.0</v>
      </c>
      <c r="I2758" s="2">
        <v>0.0</v>
      </c>
      <c r="J2758" s="37">
        <v>0.0</v>
      </c>
      <c r="K2758" s="2">
        <v>0.0</v>
      </c>
      <c r="L2758" s="2">
        <v>0.0</v>
      </c>
      <c r="M2758" s="37">
        <v>0.0</v>
      </c>
    </row>
    <row r="2759" ht="14.25" customHeight="1">
      <c r="A2759" t="s">
        <v>2820</v>
      </c>
      <c r="B2759" t="s">
        <v>2727</v>
      </c>
      <c r="C2759" t="s">
        <v>62</v>
      </c>
      <c r="D2759" t="s">
        <v>63</v>
      </c>
      <c r="E2759">
        <v>5.0</v>
      </c>
      <c r="F2759">
        <v>5.8</v>
      </c>
      <c r="G2759" s="2" t="s">
        <v>64</v>
      </c>
      <c r="H2759" s="2">
        <v>0.0</v>
      </c>
      <c r="I2759" s="2">
        <v>0.0</v>
      </c>
      <c r="J2759" s="37">
        <v>0.0</v>
      </c>
      <c r="K2759" s="2">
        <v>0.0</v>
      </c>
      <c r="L2759" s="2">
        <v>0.0</v>
      </c>
      <c r="M2759" s="37">
        <v>0.0</v>
      </c>
    </row>
    <row r="2760" ht="14.25" customHeight="1">
      <c r="A2760" t="s">
        <v>2821</v>
      </c>
      <c r="B2760" t="s">
        <v>2727</v>
      </c>
      <c r="C2760" t="s">
        <v>62</v>
      </c>
      <c r="D2760" t="s">
        <v>63</v>
      </c>
      <c r="E2760">
        <v>5.0</v>
      </c>
      <c r="F2760">
        <v>5.8</v>
      </c>
      <c r="G2760" s="2" t="s">
        <v>64</v>
      </c>
      <c r="H2760" s="2">
        <v>0.0</v>
      </c>
      <c r="I2760" s="2">
        <v>0.0</v>
      </c>
      <c r="J2760" s="37">
        <v>0.0</v>
      </c>
      <c r="K2760" s="2">
        <v>0.0</v>
      </c>
      <c r="L2760" s="2">
        <v>0.0</v>
      </c>
      <c r="M2760" s="37">
        <v>0.0</v>
      </c>
    </row>
    <row r="2761" ht="14.25" customHeight="1">
      <c r="A2761" t="s">
        <v>2822</v>
      </c>
      <c r="B2761" t="s">
        <v>2727</v>
      </c>
      <c r="C2761" t="s">
        <v>62</v>
      </c>
      <c r="D2761" t="s">
        <v>63</v>
      </c>
      <c r="E2761">
        <v>5.0</v>
      </c>
      <c r="F2761">
        <v>5.8</v>
      </c>
      <c r="G2761" s="2" t="s">
        <v>64</v>
      </c>
      <c r="H2761" s="2">
        <v>0.0</v>
      </c>
      <c r="I2761" s="2">
        <v>0.0</v>
      </c>
      <c r="J2761" s="37">
        <v>0.0</v>
      </c>
      <c r="K2761" s="2">
        <v>0.0</v>
      </c>
      <c r="L2761" s="2">
        <v>0.0</v>
      </c>
      <c r="M2761" s="37">
        <v>0.0</v>
      </c>
    </row>
    <row r="2762" ht="14.25" customHeight="1">
      <c r="A2762" t="s">
        <v>2823</v>
      </c>
      <c r="B2762" t="s">
        <v>2727</v>
      </c>
      <c r="C2762" t="s">
        <v>62</v>
      </c>
      <c r="D2762" t="s">
        <v>63</v>
      </c>
      <c r="E2762">
        <v>5.0</v>
      </c>
      <c r="F2762">
        <v>5.8</v>
      </c>
      <c r="G2762" s="2" t="s">
        <v>64</v>
      </c>
      <c r="H2762" s="2">
        <v>0.0</v>
      </c>
      <c r="I2762" s="2">
        <v>0.0</v>
      </c>
      <c r="J2762" s="37">
        <v>0.0</v>
      </c>
      <c r="K2762" s="2">
        <v>0.0</v>
      </c>
      <c r="L2762" s="2">
        <v>0.0</v>
      </c>
      <c r="M2762" s="37">
        <v>0.0</v>
      </c>
    </row>
    <row r="2763" ht="14.25" customHeight="1">
      <c r="A2763" t="s">
        <v>2824</v>
      </c>
      <c r="B2763" t="s">
        <v>2727</v>
      </c>
      <c r="C2763" t="s">
        <v>62</v>
      </c>
      <c r="D2763" t="s">
        <v>63</v>
      </c>
      <c r="E2763">
        <v>5.0</v>
      </c>
      <c r="F2763">
        <v>5.8</v>
      </c>
      <c r="G2763" s="2" t="s">
        <v>64</v>
      </c>
      <c r="H2763" s="2">
        <v>0.0</v>
      </c>
      <c r="I2763" s="2">
        <v>0.0</v>
      </c>
      <c r="J2763" s="37">
        <v>0.0</v>
      </c>
      <c r="K2763" s="2">
        <v>0.0</v>
      </c>
      <c r="L2763" s="2">
        <v>0.0</v>
      </c>
      <c r="M2763" s="37">
        <v>0.0</v>
      </c>
    </row>
    <row r="2764" ht="14.25" customHeight="1">
      <c r="A2764" t="s">
        <v>2825</v>
      </c>
      <c r="B2764" t="s">
        <v>2727</v>
      </c>
      <c r="C2764" t="s">
        <v>62</v>
      </c>
      <c r="D2764" t="s">
        <v>63</v>
      </c>
      <c r="E2764">
        <v>7.1</v>
      </c>
      <c r="F2764">
        <v>8.0</v>
      </c>
      <c r="G2764" s="2" t="s">
        <v>67</v>
      </c>
      <c r="H2764" s="2">
        <v>40.0</v>
      </c>
      <c r="I2764" s="2">
        <v>-36.0</v>
      </c>
      <c r="J2764" s="37">
        <v>898.4000000000001</v>
      </c>
      <c r="K2764" s="2">
        <v>46.0</v>
      </c>
      <c r="L2764" s="2">
        <v>85.0</v>
      </c>
      <c r="M2764" s="37">
        <v>1143.66</v>
      </c>
    </row>
    <row r="2765" ht="14.25" customHeight="1">
      <c r="A2765" t="s">
        <v>2826</v>
      </c>
      <c r="B2765" t="s">
        <v>2727</v>
      </c>
      <c r="C2765" t="s">
        <v>62</v>
      </c>
      <c r="D2765" t="s">
        <v>63</v>
      </c>
      <c r="E2765">
        <v>7.1</v>
      </c>
      <c r="F2765">
        <v>8.0</v>
      </c>
      <c r="G2765" s="2" t="s">
        <v>67</v>
      </c>
      <c r="H2765" s="2">
        <v>40.0</v>
      </c>
      <c r="I2765" s="2">
        <v>-36.0</v>
      </c>
      <c r="J2765" s="37">
        <v>898.4000000000001</v>
      </c>
      <c r="K2765" s="2">
        <v>46.0</v>
      </c>
      <c r="L2765" s="2">
        <v>85.0</v>
      </c>
      <c r="M2765" s="37">
        <v>1143.66</v>
      </c>
    </row>
    <row r="2766" ht="14.25" customHeight="1">
      <c r="A2766" t="s">
        <v>2827</v>
      </c>
      <c r="B2766" t="s">
        <v>2727</v>
      </c>
      <c r="C2766" t="s">
        <v>62</v>
      </c>
      <c r="D2766" t="s">
        <v>63</v>
      </c>
      <c r="E2766">
        <v>7.1</v>
      </c>
      <c r="F2766">
        <v>8.0</v>
      </c>
      <c r="G2766" s="2" t="s">
        <v>67</v>
      </c>
      <c r="H2766" s="2">
        <v>40.0</v>
      </c>
      <c r="I2766" s="2">
        <v>-36.0</v>
      </c>
      <c r="J2766" s="37">
        <v>898.4000000000001</v>
      </c>
      <c r="K2766" s="2">
        <v>46.0</v>
      </c>
      <c r="L2766" s="2">
        <v>85.0</v>
      </c>
      <c r="M2766" s="37">
        <v>1143.66</v>
      </c>
    </row>
    <row r="2767" ht="14.25" customHeight="1">
      <c r="A2767" t="s">
        <v>2828</v>
      </c>
      <c r="B2767" t="s">
        <v>2727</v>
      </c>
      <c r="C2767" t="s">
        <v>62</v>
      </c>
      <c r="D2767" t="s">
        <v>63</v>
      </c>
      <c r="E2767">
        <v>7.1</v>
      </c>
      <c r="F2767">
        <v>8.0</v>
      </c>
      <c r="G2767" s="2" t="s">
        <v>67</v>
      </c>
      <c r="H2767" s="2">
        <v>40.0</v>
      </c>
      <c r="I2767" s="2">
        <v>-36.0</v>
      </c>
      <c r="J2767" s="37">
        <v>898.4000000000001</v>
      </c>
      <c r="K2767" s="2">
        <v>46.0</v>
      </c>
      <c r="L2767" s="2">
        <v>85.0</v>
      </c>
      <c r="M2767" s="37">
        <v>1143.66</v>
      </c>
    </row>
    <row r="2768" ht="14.25" customHeight="1">
      <c r="A2768" t="s">
        <v>2829</v>
      </c>
      <c r="B2768" t="s">
        <v>2727</v>
      </c>
      <c r="C2768" t="s">
        <v>62</v>
      </c>
      <c r="D2768" t="s">
        <v>63</v>
      </c>
      <c r="E2768">
        <v>7.1</v>
      </c>
      <c r="F2768">
        <v>8.0</v>
      </c>
      <c r="G2768" s="2" t="s">
        <v>67</v>
      </c>
      <c r="H2768" s="2">
        <v>40.0</v>
      </c>
      <c r="I2768" s="2">
        <v>-36.0</v>
      </c>
      <c r="J2768" s="37">
        <v>898.4000000000001</v>
      </c>
      <c r="K2768" s="2">
        <v>46.0</v>
      </c>
      <c r="L2768" s="2">
        <v>85.0</v>
      </c>
      <c r="M2768" s="37">
        <v>1143.66</v>
      </c>
    </row>
    <row r="2769" ht="14.25" customHeight="1">
      <c r="A2769" t="s">
        <v>2830</v>
      </c>
      <c r="B2769" t="s">
        <v>2727</v>
      </c>
      <c r="C2769" t="s">
        <v>62</v>
      </c>
      <c r="D2769" t="s">
        <v>63</v>
      </c>
      <c r="E2769">
        <v>3.3</v>
      </c>
      <c r="F2769">
        <v>3.8</v>
      </c>
      <c r="G2769" s="2" t="s">
        <v>64</v>
      </c>
      <c r="H2769" s="2">
        <v>0.0</v>
      </c>
      <c r="I2769" s="2">
        <v>0.0</v>
      </c>
      <c r="J2769" s="37">
        <v>0.0</v>
      </c>
      <c r="K2769" s="2">
        <v>0.0</v>
      </c>
      <c r="L2769" s="2">
        <v>0.0</v>
      </c>
      <c r="M2769" s="37">
        <v>0.0</v>
      </c>
    </row>
    <row r="2770" ht="14.25" customHeight="1">
      <c r="A2770" t="s">
        <v>2831</v>
      </c>
      <c r="B2770" t="s">
        <v>2727</v>
      </c>
      <c r="C2770" t="s">
        <v>62</v>
      </c>
      <c r="D2770" t="s">
        <v>63</v>
      </c>
      <c r="E2770">
        <v>3.3</v>
      </c>
      <c r="F2770">
        <v>3.8</v>
      </c>
      <c r="G2770" s="2" t="s">
        <v>64</v>
      </c>
      <c r="H2770" s="2">
        <v>0.0</v>
      </c>
      <c r="I2770" s="2">
        <v>0.0</v>
      </c>
      <c r="J2770" s="37">
        <v>0.0</v>
      </c>
      <c r="K2770" s="2">
        <v>0.0</v>
      </c>
      <c r="L2770" s="2">
        <v>0.0</v>
      </c>
      <c r="M2770" s="37">
        <v>0.0</v>
      </c>
    </row>
    <row r="2771" ht="14.25" customHeight="1">
      <c r="A2771" t="s">
        <v>2832</v>
      </c>
      <c r="B2771" t="s">
        <v>2727</v>
      </c>
      <c r="C2771" t="s">
        <v>62</v>
      </c>
      <c r="D2771" t="s">
        <v>63</v>
      </c>
      <c r="E2771">
        <v>3.3</v>
      </c>
      <c r="F2771">
        <v>3.8</v>
      </c>
      <c r="G2771" s="2" t="s">
        <v>64</v>
      </c>
      <c r="H2771" s="2">
        <v>0.0</v>
      </c>
      <c r="I2771" s="2">
        <v>0.0</v>
      </c>
      <c r="J2771" s="37">
        <v>0.0</v>
      </c>
      <c r="K2771" s="2">
        <v>0.0</v>
      </c>
      <c r="L2771" s="2">
        <v>0.0</v>
      </c>
      <c r="M2771" s="37">
        <v>0.0</v>
      </c>
    </row>
    <row r="2772" ht="14.25" customHeight="1">
      <c r="A2772" t="s">
        <v>2833</v>
      </c>
      <c r="B2772" t="s">
        <v>2727</v>
      </c>
      <c r="C2772" t="s">
        <v>62</v>
      </c>
      <c r="D2772" t="s">
        <v>63</v>
      </c>
      <c r="E2772">
        <v>3.3</v>
      </c>
      <c r="F2772">
        <v>3.8</v>
      </c>
      <c r="G2772" s="2" t="s">
        <v>64</v>
      </c>
      <c r="H2772" s="2">
        <v>0.0</v>
      </c>
      <c r="I2772" s="2">
        <v>0.0</v>
      </c>
      <c r="J2772" s="37">
        <v>0.0</v>
      </c>
      <c r="K2772" s="2">
        <v>0.0</v>
      </c>
      <c r="L2772" s="2">
        <v>0.0</v>
      </c>
      <c r="M2772" s="37">
        <v>0.0</v>
      </c>
    </row>
    <row r="2773" ht="14.25" customHeight="1">
      <c r="A2773" t="s">
        <v>2834</v>
      </c>
      <c r="B2773" t="s">
        <v>2727</v>
      </c>
      <c r="C2773" t="s">
        <v>62</v>
      </c>
      <c r="D2773" t="s">
        <v>63</v>
      </c>
      <c r="E2773">
        <v>3.3</v>
      </c>
      <c r="F2773">
        <v>3.8</v>
      </c>
      <c r="G2773" s="2" t="s">
        <v>64</v>
      </c>
      <c r="H2773" s="2">
        <v>0.0</v>
      </c>
      <c r="I2773" s="2">
        <v>0.0</v>
      </c>
      <c r="J2773" s="37">
        <v>0.0</v>
      </c>
      <c r="K2773" s="2">
        <v>0.0</v>
      </c>
      <c r="L2773" s="2">
        <v>0.0</v>
      </c>
      <c r="M2773" s="37">
        <v>0.0</v>
      </c>
    </row>
    <row r="2774" ht="14.25" customHeight="1">
      <c r="A2774" t="s">
        <v>2835</v>
      </c>
      <c r="B2774" t="s">
        <v>2727</v>
      </c>
      <c r="C2774" t="s">
        <v>62</v>
      </c>
      <c r="D2774" t="s">
        <v>63</v>
      </c>
      <c r="E2774">
        <v>6.3</v>
      </c>
      <c r="F2774">
        <v>7.1</v>
      </c>
      <c r="G2774" s="2" t="s">
        <v>67</v>
      </c>
      <c r="H2774" s="2">
        <v>37.0</v>
      </c>
      <c r="I2774" s="2">
        <v>65.0</v>
      </c>
      <c r="J2774" s="37">
        <v>915.52</v>
      </c>
      <c r="K2774" s="2">
        <v>42.0</v>
      </c>
      <c r="L2774" s="2">
        <v>173.0</v>
      </c>
      <c r="M2774" s="37">
        <v>1168.22</v>
      </c>
    </row>
    <row r="2775" ht="14.25" customHeight="1">
      <c r="A2775" t="s">
        <v>2836</v>
      </c>
      <c r="B2775" t="s">
        <v>2727</v>
      </c>
      <c r="C2775" t="s">
        <v>62</v>
      </c>
      <c r="D2775" t="s">
        <v>63</v>
      </c>
      <c r="E2775">
        <v>6.3</v>
      </c>
      <c r="F2775">
        <v>7.1</v>
      </c>
      <c r="G2775" s="2" t="s">
        <v>67</v>
      </c>
      <c r="H2775" s="2">
        <v>37.0</v>
      </c>
      <c r="I2775" s="2">
        <v>65.0</v>
      </c>
      <c r="J2775" s="37">
        <v>915.52</v>
      </c>
      <c r="K2775" s="2">
        <v>42.0</v>
      </c>
      <c r="L2775" s="2">
        <v>173.0</v>
      </c>
      <c r="M2775" s="37">
        <v>1168.22</v>
      </c>
    </row>
    <row r="2776" ht="14.25" customHeight="1">
      <c r="A2776" t="s">
        <v>2837</v>
      </c>
      <c r="B2776" t="s">
        <v>2727</v>
      </c>
      <c r="C2776" t="s">
        <v>62</v>
      </c>
      <c r="D2776" t="s">
        <v>63</v>
      </c>
      <c r="E2776">
        <v>6.3</v>
      </c>
      <c r="F2776">
        <v>7.1</v>
      </c>
      <c r="G2776" s="2" t="s">
        <v>67</v>
      </c>
      <c r="H2776" s="2">
        <v>37.0</v>
      </c>
      <c r="I2776" s="2">
        <v>65.0</v>
      </c>
      <c r="J2776" s="37">
        <v>915.52</v>
      </c>
      <c r="K2776" s="2">
        <v>42.0</v>
      </c>
      <c r="L2776" s="2">
        <v>173.0</v>
      </c>
      <c r="M2776" s="37">
        <v>1168.22</v>
      </c>
    </row>
    <row r="2777" ht="14.25" customHeight="1">
      <c r="A2777" t="s">
        <v>2838</v>
      </c>
      <c r="B2777" t="s">
        <v>2727</v>
      </c>
      <c r="C2777" t="s">
        <v>62</v>
      </c>
      <c r="D2777" t="s">
        <v>63</v>
      </c>
      <c r="E2777">
        <v>6.3</v>
      </c>
      <c r="F2777">
        <v>7.1</v>
      </c>
      <c r="G2777" s="2" t="s">
        <v>67</v>
      </c>
      <c r="H2777" s="2">
        <v>37.0</v>
      </c>
      <c r="I2777" s="2">
        <v>65.0</v>
      </c>
      <c r="J2777" s="37">
        <v>915.52</v>
      </c>
      <c r="K2777" s="2">
        <v>42.0</v>
      </c>
      <c r="L2777" s="2">
        <v>173.0</v>
      </c>
      <c r="M2777" s="37">
        <v>1168.22</v>
      </c>
    </row>
    <row r="2778" ht="14.25" customHeight="1">
      <c r="A2778" t="s">
        <v>2839</v>
      </c>
      <c r="B2778" t="s">
        <v>2727</v>
      </c>
      <c r="C2778" t="s">
        <v>62</v>
      </c>
      <c r="D2778" t="s">
        <v>63</v>
      </c>
      <c r="E2778">
        <v>6.3</v>
      </c>
      <c r="F2778">
        <v>7.1</v>
      </c>
      <c r="G2778" s="2" t="s">
        <v>67</v>
      </c>
      <c r="H2778" s="2">
        <v>37.0</v>
      </c>
      <c r="I2778" s="2">
        <v>65.0</v>
      </c>
      <c r="J2778" s="37">
        <v>915.52</v>
      </c>
      <c r="K2778" s="2">
        <v>42.0</v>
      </c>
      <c r="L2778" s="2">
        <v>173.0</v>
      </c>
      <c r="M2778" s="37">
        <v>1168.22</v>
      </c>
    </row>
    <row r="2779" ht="14.25" customHeight="1">
      <c r="A2779" t="s">
        <v>2840</v>
      </c>
      <c r="B2779" t="s">
        <v>2727</v>
      </c>
      <c r="C2779" t="s">
        <v>62</v>
      </c>
      <c r="D2779" t="s">
        <v>63</v>
      </c>
      <c r="E2779">
        <v>2.0</v>
      </c>
      <c r="F2779">
        <v>2.7</v>
      </c>
      <c r="G2779" s="2" t="s">
        <v>67</v>
      </c>
      <c r="H2779" s="2">
        <v>15.0</v>
      </c>
      <c r="I2779" s="2">
        <v>132.0</v>
      </c>
      <c r="J2779" s="37">
        <v>508.5</v>
      </c>
      <c r="K2779" s="2">
        <v>17.0</v>
      </c>
      <c r="L2779" s="2">
        <v>162.0</v>
      </c>
      <c r="M2779" s="37">
        <v>592.42</v>
      </c>
    </row>
    <row r="2780" ht="14.25" customHeight="1">
      <c r="A2780" t="s">
        <v>2841</v>
      </c>
      <c r="B2780" t="s">
        <v>2727</v>
      </c>
      <c r="C2780" t="s">
        <v>62</v>
      </c>
      <c r="D2780" t="s">
        <v>63</v>
      </c>
      <c r="E2780">
        <v>2.5</v>
      </c>
      <c r="F2780">
        <v>3.2</v>
      </c>
      <c r="G2780" s="2" t="s">
        <v>67</v>
      </c>
      <c r="H2780" s="2">
        <v>18.0</v>
      </c>
      <c r="I2780" s="2">
        <v>136.0</v>
      </c>
      <c r="J2780" s="37">
        <v>581.08</v>
      </c>
      <c r="K2780" s="2">
        <v>20.0</v>
      </c>
      <c r="L2780" s="2">
        <v>174.0</v>
      </c>
      <c r="M2780" s="37">
        <v>675.4000000000001</v>
      </c>
    </row>
    <row r="2781" ht="14.25" customHeight="1">
      <c r="A2781" t="s">
        <v>2842</v>
      </c>
      <c r="B2781" t="s">
        <v>2727</v>
      </c>
      <c r="C2781" t="s">
        <v>62</v>
      </c>
      <c r="D2781" t="s">
        <v>63</v>
      </c>
      <c r="E2781">
        <v>3.5</v>
      </c>
      <c r="F2781">
        <v>4.3</v>
      </c>
      <c r="G2781" s="2" t="s">
        <v>67</v>
      </c>
      <c r="H2781" s="2">
        <v>22.0</v>
      </c>
      <c r="I2781" s="2">
        <v>121.0</v>
      </c>
      <c r="J2781" s="37">
        <v>651.4200000000001</v>
      </c>
      <c r="K2781" s="2">
        <v>25.0</v>
      </c>
      <c r="L2781" s="2">
        <v>174.0</v>
      </c>
      <c r="M2781" s="37">
        <v>787.7</v>
      </c>
    </row>
    <row r="2782" ht="14.25" customHeight="1">
      <c r="A2782" t="s">
        <v>2843</v>
      </c>
      <c r="B2782" t="s">
        <v>2727</v>
      </c>
      <c r="C2782" t="s">
        <v>62</v>
      </c>
      <c r="D2782" t="s">
        <v>63</v>
      </c>
      <c r="E2782">
        <v>5.0</v>
      </c>
      <c r="F2782">
        <v>6.0</v>
      </c>
      <c r="G2782" s="2" t="s">
        <v>67</v>
      </c>
      <c r="H2782" s="2">
        <v>35.0</v>
      </c>
      <c r="I2782" s="2">
        <v>175.0</v>
      </c>
      <c r="J2782" s="37">
        <v>1013.6</v>
      </c>
      <c r="K2782" s="2">
        <v>39.0</v>
      </c>
      <c r="L2782" s="2">
        <v>261.0</v>
      </c>
      <c r="M2782" s="37">
        <v>1215.24</v>
      </c>
    </row>
    <row r="2783" ht="14.25" customHeight="1">
      <c r="A2783" t="s">
        <v>2844</v>
      </c>
      <c r="B2783" t="s">
        <v>2727</v>
      </c>
      <c r="C2783" t="s">
        <v>62</v>
      </c>
      <c r="D2783" t="s">
        <v>63</v>
      </c>
      <c r="E2783">
        <v>6.1</v>
      </c>
      <c r="F2783">
        <v>6.8</v>
      </c>
      <c r="G2783" s="2" t="s">
        <v>67</v>
      </c>
      <c r="H2783" s="2">
        <v>38.0</v>
      </c>
      <c r="I2783" s="2">
        <v>103.0</v>
      </c>
      <c r="J2783" s="37">
        <v>987.38</v>
      </c>
      <c r="K2783" s="2">
        <v>43.0</v>
      </c>
      <c r="L2783" s="2">
        <v>208.0</v>
      </c>
      <c r="M2783" s="37">
        <v>1236.18</v>
      </c>
    </row>
    <row r="2784" ht="14.25" customHeight="1">
      <c r="A2784" t="s">
        <v>2845</v>
      </c>
      <c r="B2784" t="s">
        <v>2727</v>
      </c>
      <c r="C2784" t="s">
        <v>62</v>
      </c>
      <c r="D2784" t="s">
        <v>63</v>
      </c>
      <c r="E2784">
        <v>2.0</v>
      </c>
      <c r="F2784">
        <v>2.7</v>
      </c>
      <c r="G2784" s="2" t="s">
        <v>67</v>
      </c>
      <c r="H2784" s="2">
        <v>14.0</v>
      </c>
      <c r="I2784" s="2">
        <v>76.0</v>
      </c>
      <c r="J2784" s="37">
        <v>413.24</v>
      </c>
      <c r="K2784" s="2">
        <v>15.0</v>
      </c>
      <c r="L2784" s="2">
        <v>106.0</v>
      </c>
      <c r="M2784" s="37">
        <v>474.70000000000005</v>
      </c>
    </row>
    <row r="2785" ht="14.25" customHeight="1">
      <c r="A2785" t="s">
        <v>2846</v>
      </c>
      <c r="B2785" t="s">
        <v>2727</v>
      </c>
      <c r="C2785" t="s">
        <v>62</v>
      </c>
      <c r="D2785" t="s">
        <v>63</v>
      </c>
      <c r="E2785">
        <v>2.0</v>
      </c>
      <c r="F2785">
        <v>2.7</v>
      </c>
      <c r="G2785" s="2" t="s">
        <v>67</v>
      </c>
      <c r="H2785" s="2">
        <v>14.0</v>
      </c>
      <c r="I2785" s="2">
        <v>76.0</v>
      </c>
      <c r="J2785" s="37">
        <v>413.24</v>
      </c>
      <c r="K2785" s="2">
        <v>15.0</v>
      </c>
      <c r="L2785" s="2">
        <v>106.0</v>
      </c>
      <c r="M2785" s="37">
        <v>474.70000000000005</v>
      </c>
    </row>
    <row r="2786" ht="14.25" customHeight="1">
      <c r="A2786" t="s">
        <v>2847</v>
      </c>
      <c r="B2786" t="s">
        <v>2727</v>
      </c>
      <c r="C2786" t="s">
        <v>62</v>
      </c>
      <c r="D2786" t="s">
        <v>63</v>
      </c>
      <c r="E2786">
        <v>2.0</v>
      </c>
      <c r="F2786">
        <v>2.7</v>
      </c>
      <c r="G2786" s="2" t="s">
        <v>67</v>
      </c>
      <c r="H2786" s="2">
        <v>14.0</v>
      </c>
      <c r="I2786" s="2">
        <v>76.0</v>
      </c>
      <c r="J2786" s="37">
        <v>413.24</v>
      </c>
      <c r="K2786" s="2">
        <v>15.0</v>
      </c>
      <c r="L2786" s="2">
        <v>106.0</v>
      </c>
      <c r="M2786" s="37">
        <v>474.70000000000005</v>
      </c>
    </row>
    <row r="2787" ht="14.25" customHeight="1">
      <c r="A2787" t="s">
        <v>2848</v>
      </c>
      <c r="B2787" t="s">
        <v>2727</v>
      </c>
      <c r="C2787" t="s">
        <v>62</v>
      </c>
      <c r="D2787" t="s">
        <v>63</v>
      </c>
      <c r="E2787">
        <v>2.5</v>
      </c>
      <c r="F2787">
        <v>3.2</v>
      </c>
      <c r="G2787" s="2" t="s">
        <v>64</v>
      </c>
      <c r="H2787" s="2">
        <v>0.0</v>
      </c>
      <c r="I2787" s="2">
        <v>0.0</v>
      </c>
      <c r="J2787" s="37">
        <v>0.0</v>
      </c>
      <c r="K2787" s="2">
        <v>0.0</v>
      </c>
      <c r="L2787" s="2">
        <v>0.0</v>
      </c>
      <c r="M2787" s="37">
        <v>0.0</v>
      </c>
    </row>
    <row r="2788" ht="14.25" customHeight="1">
      <c r="A2788" t="s">
        <v>2849</v>
      </c>
      <c r="B2788" t="s">
        <v>2727</v>
      </c>
      <c r="C2788" t="s">
        <v>62</v>
      </c>
      <c r="D2788" t="s">
        <v>63</v>
      </c>
      <c r="E2788">
        <v>2.5</v>
      </c>
      <c r="F2788">
        <v>3.2</v>
      </c>
      <c r="G2788" s="2" t="s">
        <v>64</v>
      </c>
      <c r="H2788" s="2">
        <v>0.0</v>
      </c>
      <c r="I2788" s="2">
        <v>0.0</v>
      </c>
      <c r="J2788" s="37">
        <v>0.0</v>
      </c>
      <c r="K2788" s="2">
        <v>0.0</v>
      </c>
      <c r="L2788" s="2">
        <v>0.0</v>
      </c>
      <c r="M2788" s="37">
        <v>0.0</v>
      </c>
    </row>
    <row r="2789" ht="14.25" customHeight="1">
      <c r="A2789" t="s">
        <v>2850</v>
      </c>
      <c r="B2789" t="s">
        <v>2727</v>
      </c>
      <c r="C2789" t="s">
        <v>62</v>
      </c>
      <c r="D2789" t="s">
        <v>63</v>
      </c>
      <c r="E2789">
        <v>2.5</v>
      </c>
      <c r="F2789">
        <v>3.2</v>
      </c>
      <c r="G2789" s="2" t="s">
        <v>64</v>
      </c>
      <c r="H2789" s="2">
        <v>0.0</v>
      </c>
      <c r="I2789" s="2">
        <v>0.0</v>
      </c>
      <c r="J2789" s="37">
        <v>0.0</v>
      </c>
      <c r="K2789" s="2">
        <v>0.0</v>
      </c>
      <c r="L2789" s="2">
        <v>0.0</v>
      </c>
      <c r="M2789" s="37">
        <v>0.0</v>
      </c>
    </row>
    <row r="2790" ht="14.25" customHeight="1">
      <c r="A2790" t="s">
        <v>2851</v>
      </c>
      <c r="B2790" t="s">
        <v>2727</v>
      </c>
      <c r="C2790" t="s">
        <v>62</v>
      </c>
      <c r="D2790" t="s">
        <v>63</v>
      </c>
      <c r="E2790">
        <v>3.5</v>
      </c>
      <c r="F2790">
        <v>3.7</v>
      </c>
      <c r="G2790" s="2" t="s">
        <v>64</v>
      </c>
      <c r="H2790" s="2">
        <v>0.0</v>
      </c>
      <c r="I2790" s="2">
        <v>0.0</v>
      </c>
      <c r="J2790" s="37">
        <v>0.0</v>
      </c>
      <c r="K2790" s="2">
        <v>0.0</v>
      </c>
      <c r="L2790" s="2">
        <v>0.0</v>
      </c>
      <c r="M2790" s="37">
        <v>0.0</v>
      </c>
    </row>
    <row r="2791" ht="14.25" customHeight="1">
      <c r="A2791" t="s">
        <v>2852</v>
      </c>
      <c r="B2791" t="s">
        <v>2727</v>
      </c>
      <c r="C2791" t="s">
        <v>62</v>
      </c>
      <c r="D2791" t="s">
        <v>63</v>
      </c>
      <c r="E2791">
        <v>3.5</v>
      </c>
      <c r="F2791">
        <v>3.7</v>
      </c>
      <c r="G2791" s="2" t="s">
        <v>64</v>
      </c>
      <c r="H2791" s="2">
        <v>0.0</v>
      </c>
      <c r="I2791" s="2">
        <v>0.0</v>
      </c>
      <c r="J2791" s="37">
        <v>0.0</v>
      </c>
      <c r="K2791" s="2">
        <v>0.0</v>
      </c>
      <c r="L2791" s="2">
        <v>0.0</v>
      </c>
      <c r="M2791" s="37">
        <v>0.0</v>
      </c>
    </row>
    <row r="2792" ht="14.25" customHeight="1">
      <c r="A2792" t="s">
        <v>2853</v>
      </c>
      <c r="B2792" t="s">
        <v>2727</v>
      </c>
      <c r="C2792" t="s">
        <v>62</v>
      </c>
      <c r="D2792" t="s">
        <v>63</v>
      </c>
      <c r="E2792">
        <v>3.5</v>
      </c>
      <c r="F2792">
        <v>3.7</v>
      </c>
      <c r="G2792" s="2" t="s">
        <v>64</v>
      </c>
      <c r="H2792" s="2">
        <v>0.0</v>
      </c>
      <c r="I2792" s="2">
        <v>0.0</v>
      </c>
      <c r="J2792" s="37">
        <v>0.0</v>
      </c>
      <c r="K2792" s="2">
        <v>0.0</v>
      </c>
      <c r="L2792" s="2">
        <v>0.0</v>
      </c>
      <c r="M2792" s="37">
        <v>0.0</v>
      </c>
    </row>
    <row r="2793" ht="14.25" customHeight="1">
      <c r="A2793" t="s">
        <v>2854</v>
      </c>
      <c r="B2793" t="s">
        <v>2727</v>
      </c>
      <c r="C2793" t="s">
        <v>62</v>
      </c>
      <c r="D2793" t="s">
        <v>63</v>
      </c>
      <c r="E2793">
        <v>5.0</v>
      </c>
      <c r="F2793">
        <v>5.8</v>
      </c>
      <c r="G2793" s="2" t="s">
        <v>64</v>
      </c>
      <c r="H2793" s="2">
        <v>0.0</v>
      </c>
      <c r="I2793" s="2">
        <v>0.0</v>
      </c>
      <c r="J2793" s="37">
        <v>0.0</v>
      </c>
      <c r="K2793" s="2">
        <v>0.0</v>
      </c>
      <c r="L2793" s="2">
        <v>0.0</v>
      </c>
      <c r="M2793" s="37">
        <v>0.0</v>
      </c>
    </row>
    <row r="2794" ht="14.25" customHeight="1">
      <c r="A2794" t="s">
        <v>2855</v>
      </c>
      <c r="B2794" t="s">
        <v>2727</v>
      </c>
      <c r="C2794" t="s">
        <v>62</v>
      </c>
      <c r="D2794" t="s">
        <v>63</v>
      </c>
      <c r="E2794">
        <v>5.0</v>
      </c>
      <c r="F2794">
        <v>5.8</v>
      </c>
      <c r="G2794" s="2" t="s">
        <v>64</v>
      </c>
      <c r="H2794" s="2">
        <v>0.0</v>
      </c>
      <c r="I2794" s="2">
        <v>0.0</v>
      </c>
      <c r="J2794" s="37">
        <v>0.0</v>
      </c>
      <c r="K2794" s="2">
        <v>0.0</v>
      </c>
      <c r="L2794" s="2">
        <v>0.0</v>
      </c>
      <c r="M2794" s="37">
        <v>0.0</v>
      </c>
    </row>
    <row r="2795" ht="14.25" customHeight="1">
      <c r="A2795" t="s">
        <v>2856</v>
      </c>
      <c r="B2795" t="s">
        <v>2727</v>
      </c>
      <c r="C2795" t="s">
        <v>62</v>
      </c>
      <c r="D2795" t="s">
        <v>63</v>
      </c>
      <c r="E2795">
        <v>5.0</v>
      </c>
      <c r="F2795">
        <v>5.8</v>
      </c>
      <c r="G2795" s="2" t="s">
        <v>64</v>
      </c>
      <c r="H2795" s="2">
        <v>0.0</v>
      </c>
      <c r="I2795" s="2">
        <v>0.0</v>
      </c>
      <c r="J2795" s="37">
        <v>0.0</v>
      </c>
      <c r="K2795" s="2">
        <v>0.0</v>
      </c>
      <c r="L2795" s="2">
        <v>0.0</v>
      </c>
      <c r="M2795" s="37">
        <v>0.0</v>
      </c>
    </row>
    <row r="2796" ht="14.25" customHeight="1">
      <c r="A2796" t="s">
        <v>2857</v>
      </c>
      <c r="B2796" t="s">
        <v>2727</v>
      </c>
      <c r="C2796" t="s">
        <v>62</v>
      </c>
      <c r="D2796" t="s">
        <v>63</v>
      </c>
      <c r="E2796">
        <v>6.3</v>
      </c>
      <c r="F2796">
        <v>7.1</v>
      </c>
      <c r="G2796" s="2" t="s">
        <v>67</v>
      </c>
      <c r="H2796" s="2">
        <v>41.0</v>
      </c>
      <c r="I2796" s="2">
        <v>211.0</v>
      </c>
      <c r="J2796" s="37">
        <v>1195.16</v>
      </c>
      <c r="K2796" s="2">
        <v>47.0</v>
      </c>
      <c r="L2796" s="2">
        <v>319.0</v>
      </c>
      <c r="M2796" s="37">
        <v>1470.3200000000002</v>
      </c>
    </row>
    <row r="2797" ht="14.25" customHeight="1">
      <c r="A2797" t="s">
        <v>2858</v>
      </c>
      <c r="B2797" t="s">
        <v>2727</v>
      </c>
      <c r="C2797" t="s">
        <v>62</v>
      </c>
      <c r="D2797" t="s">
        <v>63</v>
      </c>
      <c r="E2797">
        <v>6.3</v>
      </c>
      <c r="F2797">
        <v>7.1</v>
      </c>
      <c r="G2797" s="2" t="s">
        <v>67</v>
      </c>
      <c r="H2797" s="2">
        <v>41.0</v>
      </c>
      <c r="I2797" s="2">
        <v>211.0</v>
      </c>
      <c r="J2797" s="37">
        <v>1195.16</v>
      </c>
      <c r="K2797" s="2">
        <v>47.0</v>
      </c>
      <c r="L2797" s="2">
        <v>319.0</v>
      </c>
      <c r="M2797" s="37">
        <v>1470.3200000000002</v>
      </c>
    </row>
    <row r="2798" ht="14.25" customHeight="1">
      <c r="A2798" t="s">
        <v>2859</v>
      </c>
      <c r="B2798" t="s">
        <v>2727</v>
      </c>
      <c r="C2798" t="s">
        <v>62</v>
      </c>
      <c r="D2798" t="s">
        <v>63</v>
      </c>
      <c r="E2798">
        <v>6.3</v>
      </c>
      <c r="F2798">
        <v>7.1</v>
      </c>
      <c r="G2798" s="2" t="s">
        <v>67</v>
      </c>
      <c r="H2798" s="2">
        <v>41.0</v>
      </c>
      <c r="I2798" s="2">
        <v>211.0</v>
      </c>
      <c r="J2798" s="37">
        <v>1195.16</v>
      </c>
      <c r="K2798" s="2">
        <v>47.0</v>
      </c>
      <c r="L2798" s="2">
        <v>319.0</v>
      </c>
      <c r="M2798" s="37">
        <v>1470.3200000000002</v>
      </c>
    </row>
    <row r="2799" ht="14.25" customHeight="1">
      <c r="A2799" t="s">
        <v>2860</v>
      </c>
      <c r="B2799" t="s">
        <v>2727</v>
      </c>
      <c r="C2799" t="s">
        <v>62</v>
      </c>
      <c r="D2799" t="s">
        <v>63</v>
      </c>
      <c r="E2799">
        <v>7.1</v>
      </c>
      <c r="F2799">
        <v>8.0</v>
      </c>
      <c r="G2799" s="2" t="s">
        <v>67</v>
      </c>
      <c r="H2799" s="2">
        <v>44.0</v>
      </c>
      <c r="I2799" s="2">
        <v>204.0</v>
      </c>
      <c r="J2799" s="37">
        <v>1253.44</v>
      </c>
      <c r="K2799" s="2">
        <v>50.0</v>
      </c>
      <c r="L2799" s="2">
        <v>326.0</v>
      </c>
      <c r="M2799" s="37">
        <v>1546.8</v>
      </c>
    </row>
    <row r="2800" ht="14.25" customHeight="1">
      <c r="A2800" t="s">
        <v>2861</v>
      </c>
      <c r="B2800" t="s">
        <v>2727</v>
      </c>
      <c r="C2800" t="s">
        <v>62</v>
      </c>
      <c r="D2800" t="s">
        <v>63</v>
      </c>
      <c r="E2800">
        <v>7.1</v>
      </c>
      <c r="F2800">
        <v>8.0</v>
      </c>
      <c r="G2800" s="2" t="s">
        <v>67</v>
      </c>
      <c r="H2800" s="2">
        <v>44.0</v>
      </c>
      <c r="I2800" s="2">
        <v>204.0</v>
      </c>
      <c r="J2800" s="37">
        <v>1253.44</v>
      </c>
      <c r="K2800" s="2">
        <v>50.0</v>
      </c>
      <c r="L2800" s="2">
        <v>326.0</v>
      </c>
      <c r="M2800" s="37">
        <v>1546.8</v>
      </c>
    </row>
    <row r="2801" ht="14.25" customHeight="1">
      <c r="A2801" t="s">
        <v>2862</v>
      </c>
      <c r="B2801" t="s">
        <v>2727</v>
      </c>
      <c r="C2801" t="s">
        <v>62</v>
      </c>
      <c r="D2801" t="s">
        <v>63</v>
      </c>
      <c r="E2801">
        <v>7.1</v>
      </c>
      <c r="F2801">
        <v>8.0</v>
      </c>
      <c r="G2801" s="2" t="s">
        <v>67</v>
      </c>
      <c r="H2801" s="2">
        <v>44.0</v>
      </c>
      <c r="I2801" s="2">
        <v>204.0</v>
      </c>
      <c r="J2801" s="37">
        <v>1253.44</v>
      </c>
      <c r="K2801" s="2">
        <v>50.0</v>
      </c>
      <c r="L2801" s="2">
        <v>326.0</v>
      </c>
      <c r="M2801" s="37">
        <v>1546.8</v>
      </c>
    </row>
    <row r="2802" ht="14.25" customHeight="1">
      <c r="A2802" t="s">
        <v>2863</v>
      </c>
      <c r="B2802" t="s">
        <v>2727</v>
      </c>
      <c r="C2802" t="s">
        <v>62</v>
      </c>
      <c r="D2802" t="s">
        <v>63</v>
      </c>
      <c r="E2802">
        <v>8.0</v>
      </c>
      <c r="F2802">
        <v>9.0</v>
      </c>
      <c r="G2802" s="2" t="s">
        <v>67</v>
      </c>
      <c r="H2802" s="2">
        <v>47.0</v>
      </c>
      <c r="I2802" s="2">
        <v>148.0</v>
      </c>
      <c r="J2802" s="37">
        <v>1248.0200000000002</v>
      </c>
      <c r="K2802" s="2">
        <v>54.0</v>
      </c>
      <c r="L2802" s="2">
        <v>286.0</v>
      </c>
      <c r="M2802" s="37">
        <v>1584.64</v>
      </c>
    </row>
    <row r="2803" ht="14.25" customHeight="1">
      <c r="A2803" t="s">
        <v>2864</v>
      </c>
      <c r="B2803" t="s">
        <v>2727</v>
      </c>
      <c r="C2803" t="s">
        <v>62</v>
      </c>
      <c r="D2803" t="s">
        <v>63</v>
      </c>
      <c r="E2803">
        <v>8.0</v>
      </c>
      <c r="F2803">
        <v>9.0</v>
      </c>
      <c r="G2803" s="2" t="s">
        <v>67</v>
      </c>
      <c r="H2803" s="2">
        <v>47.0</v>
      </c>
      <c r="I2803" s="2">
        <v>148.0</v>
      </c>
      <c r="J2803" s="37">
        <v>1248.0200000000002</v>
      </c>
      <c r="K2803" s="2">
        <v>54.0</v>
      </c>
      <c r="L2803" s="2">
        <v>286.0</v>
      </c>
      <c r="M2803" s="37">
        <v>1584.64</v>
      </c>
    </row>
    <row r="2804" ht="14.25" customHeight="1">
      <c r="A2804" t="s">
        <v>2865</v>
      </c>
      <c r="B2804" t="s">
        <v>2727</v>
      </c>
      <c r="C2804" t="s">
        <v>62</v>
      </c>
      <c r="D2804" t="s">
        <v>63</v>
      </c>
      <c r="E2804">
        <v>8.0</v>
      </c>
      <c r="F2804">
        <v>9.0</v>
      </c>
      <c r="G2804" s="2" t="s">
        <v>67</v>
      </c>
      <c r="H2804" s="2">
        <v>47.0</v>
      </c>
      <c r="I2804" s="2">
        <v>148.0</v>
      </c>
      <c r="J2804" s="37">
        <v>1248.0200000000002</v>
      </c>
      <c r="K2804" s="2">
        <v>54.0</v>
      </c>
      <c r="L2804" s="2">
        <v>286.0</v>
      </c>
      <c r="M2804" s="37">
        <v>1584.64</v>
      </c>
    </row>
    <row r="2805" ht="14.25" customHeight="1">
      <c r="A2805" t="s">
        <v>2866</v>
      </c>
      <c r="B2805" t="s">
        <v>2727</v>
      </c>
      <c r="C2805" t="s">
        <v>62</v>
      </c>
      <c r="D2805" t="s">
        <v>63</v>
      </c>
      <c r="E2805">
        <v>9.5</v>
      </c>
      <c r="F2805">
        <v>10.3</v>
      </c>
      <c r="G2805" s="2" t="s">
        <v>67</v>
      </c>
      <c r="H2805" s="2">
        <v>56.0</v>
      </c>
      <c r="I2805" s="2">
        <v>218.0</v>
      </c>
      <c r="J2805" s="37">
        <v>1541.16</v>
      </c>
      <c r="K2805" s="2">
        <v>64.0</v>
      </c>
      <c r="L2805" s="2">
        <v>382.0</v>
      </c>
      <c r="M2805" s="37">
        <v>1934.04</v>
      </c>
    </row>
    <row r="2806" ht="14.25" customHeight="1">
      <c r="A2806" t="s">
        <v>2867</v>
      </c>
      <c r="B2806" t="s">
        <v>2727</v>
      </c>
      <c r="C2806" t="s">
        <v>62</v>
      </c>
      <c r="D2806" t="s">
        <v>63</v>
      </c>
      <c r="E2806">
        <v>9.5</v>
      </c>
      <c r="F2806">
        <v>10.3</v>
      </c>
      <c r="G2806" s="2" t="s">
        <v>67</v>
      </c>
      <c r="H2806" s="2">
        <v>56.0</v>
      </c>
      <c r="I2806" s="2">
        <v>218.0</v>
      </c>
      <c r="J2806" s="37">
        <v>1541.16</v>
      </c>
      <c r="K2806" s="2">
        <v>64.0</v>
      </c>
      <c r="L2806" s="2">
        <v>382.0</v>
      </c>
      <c r="M2806" s="37">
        <v>1934.04</v>
      </c>
    </row>
    <row r="2807" ht="14.25" customHeight="1">
      <c r="A2807" t="s">
        <v>2868</v>
      </c>
      <c r="B2807" t="s">
        <v>2727</v>
      </c>
      <c r="C2807" t="s">
        <v>62</v>
      </c>
      <c r="D2807" t="s">
        <v>63</v>
      </c>
      <c r="E2807">
        <v>9.5</v>
      </c>
      <c r="F2807">
        <v>10.3</v>
      </c>
      <c r="G2807" s="2" t="s">
        <v>67</v>
      </c>
      <c r="H2807" s="2">
        <v>56.0</v>
      </c>
      <c r="I2807" s="2">
        <v>218.0</v>
      </c>
      <c r="J2807" s="37">
        <v>1541.16</v>
      </c>
      <c r="K2807" s="2">
        <v>64.0</v>
      </c>
      <c r="L2807" s="2">
        <v>382.0</v>
      </c>
      <c r="M2807" s="37">
        <v>1934.04</v>
      </c>
    </row>
    <row r="2808" ht="14.25" customHeight="1">
      <c r="A2808" t="s">
        <v>2869</v>
      </c>
      <c r="B2808" t="s">
        <v>2727</v>
      </c>
      <c r="C2808" t="s">
        <v>75</v>
      </c>
      <c r="D2808" t="s">
        <v>63</v>
      </c>
      <c r="E2808">
        <v>23.5</v>
      </c>
      <c r="F2808">
        <v>28.0</v>
      </c>
      <c r="G2808" s="2" t="s">
        <v>64</v>
      </c>
      <c r="H2808" s="2">
        <v>0.0</v>
      </c>
      <c r="I2808" s="2">
        <v>0.0</v>
      </c>
      <c r="J2808" s="37">
        <v>0.0</v>
      </c>
      <c r="K2808" s="2">
        <v>0.0</v>
      </c>
      <c r="L2808" s="2">
        <v>0.0</v>
      </c>
      <c r="M2808" s="37">
        <v>0.0</v>
      </c>
    </row>
    <row r="2809" ht="14.25" customHeight="1">
      <c r="A2809" t="s">
        <v>2870</v>
      </c>
      <c r="B2809" t="s">
        <v>2727</v>
      </c>
      <c r="C2809" t="s">
        <v>62</v>
      </c>
      <c r="D2809" t="s">
        <v>63</v>
      </c>
      <c r="E2809">
        <v>7.1</v>
      </c>
      <c r="F2809">
        <v>8.0</v>
      </c>
      <c r="G2809" s="2" t="s">
        <v>67</v>
      </c>
      <c r="H2809" s="2">
        <v>44.0</v>
      </c>
      <c r="I2809" s="2">
        <v>204.0</v>
      </c>
      <c r="J2809" s="37">
        <v>1253.44</v>
      </c>
      <c r="K2809" s="2">
        <v>50.0</v>
      </c>
      <c r="L2809" s="2">
        <v>326.0</v>
      </c>
      <c r="M2809" s="37">
        <v>1546.8</v>
      </c>
    </row>
    <row r="2810" ht="14.25" customHeight="1">
      <c r="A2810" t="s">
        <v>2871</v>
      </c>
      <c r="B2810" t="s">
        <v>2727</v>
      </c>
      <c r="C2810" t="s">
        <v>62</v>
      </c>
      <c r="D2810" t="s">
        <v>63</v>
      </c>
      <c r="E2810">
        <v>7.1</v>
      </c>
      <c r="F2810">
        <v>8.0</v>
      </c>
      <c r="G2810" s="2" t="s">
        <v>67</v>
      </c>
      <c r="H2810" s="2">
        <v>44.0</v>
      </c>
      <c r="I2810" s="2">
        <v>204.0</v>
      </c>
      <c r="J2810" s="37">
        <v>1253.44</v>
      </c>
      <c r="K2810" s="2">
        <v>50.0</v>
      </c>
      <c r="L2810" s="2">
        <v>326.0</v>
      </c>
      <c r="M2810" s="37">
        <v>1546.8</v>
      </c>
    </row>
    <row r="2811" ht="14.25" customHeight="1">
      <c r="A2811" t="s">
        <v>2872</v>
      </c>
      <c r="B2811" t="s">
        <v>2727</v>
      </c>
      <c r="C2811" t="s">
        <v>62</v>
      </c>
      <c r="D2811" t="s">
        <v>63</v>
      </c>
      <c r="E2811">
        <v>7.1</v>
      </c>
      <c r="F2811">
        <v>8.0</v>
      </c>
      <c r="G2811" s="2" t="s">
        <v>67</v>
      </c>
      <c r="H2811" s="2">
        <v>44.0</v>
      </c>
      <c r="I2811" s="2">
        <v>204.0</v>
      </c>
      <c r="J2811" s="37">
        <v>1253.44</v>
      </c>
      <c r="K2811" s="2">
        <v>50.0</v>
      </c>
      <c r="L2811" s="2">
        <v>326.0</v>
      </c>
      <c r="M2811" s="37">
        <v>1546.8</v>
      </c>
    </row>
    <row r="2812" ht="14.25" customHeight="1">
      <c r="A2812" t="s">
        <v>2873</v>
      </c>
      <c r="B2812" t="s">
        <v>2727</v>
      </c>
      <c r="C2812" t="s">
        <v>62</v>
      </c>
      <c r="D2812" t="s">
        <v>63</v>
      </c>
      <c r="E2812">
        <v>8.0</v>
      </c>
      <c r="F2812">
        <v>9.0</v>
      </c>
      <c r="G2812" s="2" t="s">
        <v>67</v>
      </c>
      <c r="H2812" s="2">
        <v>47.0</v>
      </c>
      <c r="I2812" s="2">
        <v>148.0</v>
      </c>
      <c r="J2812" s="37">
        <v>1248.0200000000002</v>
      </c>
      <c r="K2812" s="2">
        <v>54.0</v>
      </c>
      <c r="L2812" s="2">
        <v>286.0</v>
      </c>
      <c r="M2812" s="37">
        <v>1584.64</v>
      </c>
    </row>
    <row r="2813" ht="14.25" customHeight="1">
      <c r="A2813" t="s">
        <v>2874</v>
      </c>
      <c r="B2813" t="s">
        <v>2727</v>
      </c>
      <c r="C2813" t="s">
        <v>62</v>
      </c>
      <c r="D2813" t="s">
        <v>63</v>
      </c>
      <c r="E2813">
        <v>8.0</v>
      </c>
      <c r="F2813">
        <v>9.0</v>
      </c>
      <c r="G2813" s="2" t="s">
        <v>67</v>
      </c>
      <c r="H2813" s="2">
        <v>47.0</v>
      </c>
      <c r="I2813" s="2">
        <v>148.0</v>
      </c>
      <c r="J2813" s="37">
        <v>1248.0200000000002</v>
      </c>
      <c r="K2813" s="2">
        <v>54.0</v>
      </c>
      <c r="L2813" s="2">
        <v>286.0</v>
      </c>
      <c r="M2813" s="37">
        <v>1584.64</v>
      </c>
    </row>
    <row r="2814" ht="14.25" customHeight="1">
      <c r="A2814" t="s">
        <v>2875</v>
      </c>
      <c r="B2814" t="s">
        <v>2727</v>
      </c>
      <c r="C2814" t="s">
        <v>62</v>
      </c>
      <c r="D2814" t="s">
        <v>63</v>
      </c>
      <c r="E2814">
        <v>8.0</v>
      </c>
      <c r="F2814">
        <v>9.0</v>
      </c>
      <c r="G2814" s="2" t="s">
        <v>67</v>
      </c>
      <c r="H2814" s="2">
        <v>47.0</v>
      </c>
      <c r="I2814" s="2">
        <v>148.0</v>
      </c>
      <c r="J2814" s="37">
        <v>1248.0200000000002</v>
      </c>
      <c r="K2814" s="2">
        <v>54.0</v>
      </c>
      <c r="L2814" s="2">
        <v>286.0</v>
      </c>
      <c r="M2814" s="37">
        <v>1584.64</v>
      </c>
    </row>
    <row r="2815" ht="14.25" customHeight="1">
      <c r="A2815" t="s">
        <v>2875</v>
      </c>
      <c r="B2815" t="s">
        <v>2727</v>
      </c>
      <c r="C2815" t="s">
        <v>62</v>
      </c>
      <c r="D2815" t="s">
        <v>63</v>
      </c>
      <c r="E2815">
        <v>8.0</v>
      </c>
      <c r="F2815">
        <v>9.0</v>
      </c>
      <c r="G2815" s="2" t="s">
        <v>67</v>
      </c>
      <c r="H2815" s="2">
        <v>47.0</v>
      </c>
      <c r="I2815" s="2">
        <v>148.0</v>
      </c>
      <c r="J2815" s="37">
        <v>1248.0200000000002</v>
      </c>
      <c r="K2815" s="2">
        <v>54.0</v>
      </c>
      <c r="L2815" s="2">
        <v>286.0</v>
      </c>
      <c r="M2815" s="37">
        <v>1584.64</v>
      </c>
    </row>
    <row r="2816" ht="14.25" customHeight="1">
      <c r="A2816" t="s">
        <v>2876</v>
      </c>
      <c r="B2816" t="s">
        <v>2727</v>
      </c>
      <c r="C2816" t="s">
        <v>62</v>
      </c>
      <c r="D2816" t="s">
        <v>63</v>
      </c>
      <c r="E2816">
        <v>2.0</v>
      </c>
      <c r="F2816">
        <v>2.7</v>
      </c>
      <c r="G2816" s="2" t="s">
        <v>67</v>
      </c>
      <c r="H2816" s="2">
        <v>14.0</v>
      </c>
      <c r="I2816" s="2">
        <v>76.0</v>
      </c>
      <c r="J2816" s="37">
        <v>413.24</v>
      </c>
      <c r="K2816" s="2">
        <v>16.0</v>
      </c>
      <c r="L2816" s="2">
        <v>106.0</v>
      </c>
      <c r="M2816" s="37">
        <v>497.16</v>
      </c>
    </row>
    <row r="2817" ht="14.25" customHeight="1">
      <c r="A2817" t="s">
        <v>2877</v>
      </c>
      <c r="B2817" t="s">
        <v>2727</v>
      </c>
      <c r="C2817" t="s">
        <v>62</v>
      </c>
      <c r="D2817" t="s">
        <v>63</v>
      </c>
      <c r="E2817">
        <v>2.0</v>
      </c>
      <c r="F2817">
        <v>2.7</v>
      </c>
      <c r="G2817" s="2" t="s">
        <v>67</v>
      </c>
      <c r="H2817" s="2">
        <v>14.0</v>
      </c>
      <c r="I2817" s="2">
        <v>76.0</v>
      </c>
      <c r="J2817" s="37">
        <v>413.24</v>
      </c>
      <c r="K2817" s="2">
        <v>16.0</v>
      </c>
      <c r="L2817" s="2">
        <v>106.0</v>
      </c>
      <c r="M2817" s="37">
        <v>497.16</v>
      </c>
    </row>
    <row r="2818" ht="14.25" customHeight="1">
      <c r="A2818" t="s">
        <v>2878</v>
      </c>
      <c r="B2818" t="s">
        <v>2727</v>
      </c>
      <c r="C2818" t="s">
        <v>62</v>
      </c>
      <c r="D2818" t="s">
        <v>63</v>
      </c>
      <c r="E2818">
        <v>2.0</v>
      </c>
      <c r="F2818">
        <v>2.7</v>
      </c>
      <c r="G2818" s="2" t="s">
        <v>67</v>
      </c>
      <c r="H2818" s="2">
        <v>14.0</v>
      </c>
      <c r="I2818" s="2">
        <v>76.0</v>
      </c>
      <c r="J2818" s="37">
        <v>413.24</v>
      </c>
      <c r="K2818" s="2">
        <v>16.0</v>
      </c>
      <c r="L2818" s="2">
        <v>106.0</v>
      </c>
      <c r="M2818" s="37">
        <v>497.16</v>
      </c>
    </row>
    <row r="2819" ht="14.25" customHeight="1">
      <c r="A2819" t="s">
        <v>2879</v>
      </c>
      <c r="B2819" t="s">
        <v>2727</v>
      </c>
      <c r="C2819" t="s">
        <v>62</v>
      </c>
      <c r="D2819" t="s">
        <v>63</v>
      </c>
      <c r="E2819">
        <v>9.5</v>
      </c>
      <c r="F2819">
        <v>10.3</v>
      </c>
      <c r="G2819" s="2" t="s">
        <v>67</v>
      </c>
      <c r="H2819" s="2">
        <v>56.0</v>
      </c>
      <c r="I2819" s="2">
        <v>218.0</v>
      </c>
      <c r="J2819" s="37">
        <v>1541.16</v>
      </c>
      <c r="K2819" s="2">
        <v>64.0</v>
      </c>
      <c r="L2819" s="2">
        <v>382.0</v>
      </c>
      <c r="M2819" s="37">
        <v>1934.04</v>
      </c>
    </row>
    <row r="2820" ht="14.25" customHeight="1">
      <c r="A2820" t="s">
        <v>2880</v>
      </c>
      <c r="B2820" t="s">
        <v>2727</v>
      </c>
      <c r="C2820" t="s">
        <v>62</v>
      </c>
      <c r="D2820" t="s">
        <v>63</v>
      </c>
      <c r="E2820">
        <v>9.5</v>
      </c>
      <c r="F2820">
        <v>10.3</v>
      </c>
      <c r="G2820" s="2" t="s">
        <v>67</v>
      </c>
      <c r="H2820" s="2">
        <v>56.0</v>
      </c>
      <c r="I2820" s="2">
        <v>218.0</v>
      </c>
      <c r="J2820" s="37">
        <v>1541.16</v>
      </c>
      <c r="K2820" s="2">
        <v>64.0</v>
      </c>
      <c r="L2820" s="2">
        <v>382.0</v>
      </c>
      <c r="M2820" s="37">
        <v>1934.04</v>
      </c>
    </row>
    <row r="2821" ht="14.25" customHeight="1">
      <c r="A2821" t="s">
        <v>2881</v>
      </c>
      <c r="B2821" t="s">
        <v>2727</v>
      </c>
      <c r="C2821" t="s">
        <v>62</v>
      </c>
      <c r="D2821" t="s">
        <v>63</v>
      </c>
      <c r="E2821">
        <v>9.5</v>
      </c>
      <c r="F2821">
        <v>10.3</v>
      </c>
      <c r="G2821" s="2" t="s">
        <v>67</v>
      </c>
      <c r="H2821" s="2">
        <v>56.0</v>
      </c>
      <c r="I2821" s="2">
        <v>218.0</v>
      </c>
      <c r="J2821" s="37">
        <v>1541.16</v>
      </c>
      <c r="K2821" s="2">
        <v>64.0</v>
      </c>
      <c r="L2821" s="2">
        <v>382.0</v>
      </c>
      <c r="M2821" s="37">
        <v>1934.04</v>
      </c>
    </row>
    <row r="2822" ht="14.25" customHeight="1">
      <c r="A2822" t="s">
        <v>2882</v>
      </c>
      <c r="B2822" t="s">
        <v>2727</v>
      </c>
      <c r="C2822" t="s">
        <v>62</v>
      </c>
      <c r="D2822" t="s">
        <v>63</v>
      </c>
      <c r="E2822">
        <v>2.5</v>
      </c>
      <c r="F2822">
        <v>3.2</v>
      </c>
      <c r="G2822" s="2" t="s">
        <v>67</v>
      </c>
      <c r="H2822" s="2">
        <v>16.0</v>
      </c>
      <c r="I2822" s="2">
        <v>97.0</v>
      </c>
      <c r="J2822" s="37">
        <v>485.46000000000004</v>
      </c>
      <c r="K2822" s="2">
        <v>19.0</v>
      </c>
      <c r="L2822" s="2">
        <v>134.0</v>
      </c>
      <c r="M2822" s="37">
        <v>600.94</v>
      </c>
    </row>
    <row r="2823" ht="14.25" customHeight="1">
      <c r="A2823" t="s">
        <v>2883</v>
      </c>
      <c r="B2823" t="s">
        <v>2727</v>
      </c>
      <c r="C2823" t="s">
        <v>62</v>
      </c>
      <c r="D2823" t="s">
        <v>63</v>
      </c>
      <c r="E2823">
        <v>2.5</v>
      </c>
      <c r="F2823">
        <v>3.2</v>
      </c>
      <c r="G2823" s="2" t="s">
        <v>67</v>
      </c>
      <c r="H2823" s="2">
        <v>16.0</v>
      </c>
      <c r="I2823" s="2">
        <v>97.0</v>
      </c>
      <c r="J2823" s="37">
        <v>485.46000000000004</v>
      </c>
      <c r="K2823" s="2">
        <v>19.0</v>
      </c>
      <c r="L2823" s="2">
        <v>134.0</v>
      </c>
      <c r="M2823" s="37">
        <v>600.94</v>
      </c>
    </row>
    <row r="2824" ht="14.25" customHeight="1">
      <c r="A2824" t="s">
        <v>2884</v>
      </c>
      <c r="B2824" t="s">
        <v>2727</v>
      </c>
      <c r="C2824" t="s">
        <v>62</v>
      </c>
      <c r="D2824" t="s">
        <v>63</v>
      </c>
      <c r="E2824">
        <v>2.5</v>
      </c>
      <c r="F2824">
        <v>3.2</v>
      </c>
      <c r="G2824" s="2" t="s">
        <v>67</v>
      </c>
      <c r="H2824" s="2">
        <v>16.0</v>
      </c>
      <c r="I2824" s="2">
        <v>97.0</v>
      </c>
      <c r="J2824" s="37">
        <v>485.46000000000004</v>
      </c>
      <c r="K2824" s="2">
        <v>19.0</v>
      </c>
      <c r="L2824" s="2">
        <v>134.0</v>
      </c>
      <c r="M2824" s="37">
        <v>600.94</v>
      </c>
    </row>
    <row r="2825" ht="14.25" customHeight="1">
      <c r="A2825" t="s">
        <v>2885</v>
      </c>
      <c r="B2825" t="s">
        <v>2727</v>
      </c>
      <c r="C2825" t="s">
        <v>62</v>
      </c>
      <c r="D2825" t="s">
        <v>63</v>
      </c>
      <c r="E2825">
        <v>6.3</v>
      </c>
      <c r="F2825">
        <v>7.1</v>
      </c>
      <c r="G2825" s="2" t="s">
        <v>67</v>
      </c>
      <c r="H2825" s="2">
        <v>42.0</v>
      </c>
      <c r="I2825" s="2">
        <v>211.0</v>
      </c>
      <c r="J2825" s="37">
        <v>1217.6200000000001</v>
      </c>
      <c r="K2825" s="2">
        <v>47.0</v>
      </c>
      <c r="L2825" s="2">
        <v>319.0</v>
      </c>
      <c r="M2825" s="37">
        <v>1470.3200000000002</v>
      </c>
    </row>
    <row r="2826" ht="14.25" customHeight="1">
      <c r="A2826" t="s">
        <v>2886</v>
      </c>
      <c r="B2826" t="s">
        <v>2727</v>
      </c>
      <c r="C2826" t="s">
        <v>62</v>
      </c>
      <c r="D2826" t="s">
        <v>63</v>
      </c>
      <c r="E2826">
        <v>6.3</v>
      </c>
      <c r="F2826">
        <v>7.1</v>
      </c>
      <c r="G2826" s="2" t="s">
        <v>67</v>
      </c>
      <c r="H2826" s="2">
        <v>42.0</v>
      </c>
      <c r="I2826" s="2">
        <v>211.0</v>
      </c>
      <c r="J2826" s="37">
        <v>1217.6200000000001</v>
      </c>
      <c r="K2826" s="2">
        <v>47.0</v>
      </c>
      <c r="L2826" s="2">
        <v>319.0</v>
      </c>
      <c r="M2826" s="37">
        <v>1470.3200000000002</v>
      </c>
    </row>
    <row r="2827" ht="14.25" customHeight="1">
      <c r="A2827" t="s">
        <v>2887</v>
      </c>
      <c r="B2827" t="s">
        <v>2727</v>
      </c>
      <c r="C2827" t="s">
        <v>62</v>
      </c>
      <c r="D2827" t="s">
        <v>63</v>
      </c>
      <c r="E2827">
        <v>6.3</v>
      </c>
      <c r="F2827">
        <v>7.1</v>
      </c>
      <c r="G2827" s="2" t="s">
        <v>67</v>
      </c>
      <c r="H2827" s="2">
        <v>42.0</v>
      </c>
      <c r="I2827" s="2">
        <v>211.0</v>
      </c>
      <c r="J2827" s="37">
        <v>1217.6200000000001</v>
      </c>
      <c r="K2827" s="2">
        <v>47.0</v>
      </c>
      <c r="L2827" s="2">
        <v>319.0</v>
      </c>
      <c r="M2827" s="37">
        <v>1470.3200000000002</v>
      </c>
    </row>
    <row r="2828" ht="14.25" customHeight="1">
      <c r="A2828" t="s">
        <v>2888</v>
      </c>
      <c r="B2828" t="s">
        <v>2727</v>
      </c>
      <c r="C2828" t="s">
        <v>62</v>
      </c>
      <c r="D2828" t="s">
        <v>63</v>
      </c>
      <c r="E2828">
        <v>3.5</v>
      </c>
      <c r="F2828">
        <v>3.7</v>
      </c>
      <c r="G2828" s="2" t="s">
        <v>64</v>
      </c>
      <c r="H2828" s="2">
        <v>0.0</v>
      </c>
      <c r="I2828" s="2">
        <v>0.0</v>
      </c>
      <c r="J2828" s="37">
        <v>0.0</v>
      </c>
      <c r="K2828" s="2">
        <v>0.0</v>
      </c>
      <c r="L2828" s="2">
        <v>0.0</v>
      </c>
      <c r="M2828" s="37">
        <v>0.0</v>
      </c>
    </row>
    <row r="2829" ht="14.25" customHeight="1">
      <c r="A2829" t="s">
        <v>2889</v>
      </c>
      <c r="B2829" t="s">
        <v>2727</v>
      </c>
      <c r="C2829" t="s">
        <v>62</v>
      </c>
      <c r="D2829" t="s">
        <v>63</v>
      </c>
      <c r="E2829">
        <v>3.5</v>
      </c>
      <c r="F2829">
        <v>3.7</v>
      </c>
      <c r="G2829" s="2" t="s">
        <v>64</v>
      </c>
      <c r="H2829" s="2">
        <v>0.0</v>
      </c>
      <c r="I2829" s="2">
        <v>0.0</v>
      </c>
      <c r="J2829" s="37">
        <v>0.0</v>
      </c>
      <c r="K2829" s="2">
        <v>0.0</v>
      </c>
      <c r="L2829" s="2">
        <v>0.0</v>
      </c>
      <c r="M2829" s="37">
        <v>0.0</v>
      </c>
    </row>
    <row r="2830" ht="14.25" customHeight="1">
      <c r="A2830" t="s">
        <v>2890</v>
      </c>
      <c r="B2830" t="s">
        <v>2727</v>
      </c>
      <c r="C2830" t="s">
        <v>62</v>
      </c>
      <c r="D2830" t="s">
        <v>63</v>
      </c>
      <c r="E2830">
        <v>3.5</v>
      </c>
      <c r="F2830">
        <v>3.7</v>
      </c>
      <c r="G2830" s="2" t="s">
        <v>64</v>
      </c>
      <c r="H2830" s="2">
        <v>0.0</v>
      </c>
      <c r="I2830" s="2">
        <v>0.0</v>
      </c>
      <c r="J2830" s="37">
        <v>0.0</v>
      </c>
      <c r="K2830" s="2">
        <v>0.0</v>
      </c>
      <c r="L2830" s="2">
        <v>0.0</v>
      </c>
      <c r="M2830" s="37">
        <v>0.0</v>
      </c>
    </row>
    <row r="2831" ht="14.25" customHeight="1">
      <c r="A2831" t="s">
        <v>2891</v>
      </c>
      <c r="B2831" t="s">
        <v>2727</v>
      </c>
      <c r="C2831" t="s">
        <v>62</v>
      </c>
      <c r="D2831" t="s">
        <v>63</v>
      </c>
      <c r="E2831">
        <v>5.0</v>
      </c>
      <c r="F2831">
        <v>5.8</v>
      </c>
      <c r="G2831" s="2" t="s">
        <v>64</v>
      </c>
      <c r="H2831" s="2">
        <v>0.0</v>
      </c>
      <c r="I2831" s="2">
        <v>0.0</v>
      </c>
      <c r="J2831" s="37">
        <v>0.0</v>
      </c>
      <c r="K2831" s="2">
        <v>0.0</v>
      </c>
      <c r="L2831" s="2">
        <v>0.0</v>
      </c>
      <c r="M2831" s="37">
        <v>0.0</v>
      </c>
    </row>
    <row r="2832" ht="14.25" customHeight="1">
      <c r="A2832" t="s">
        <v>2892</v>
      </c>
      <c r="B2832" t="s">
        <v>2727</v>
      </c>
      <c r="C2832" t="s">
        <v>62</v>
      </c>
      <c r="D2832" t="s">
        <v>63</v>
      </c>
      <c r="E2832">
        <v>5.0</v>
      </c>
      <c r="F2832">
        <v>5.8</v>
      </c>
      <c r="G2832" s="2" t="s">
        <v>64</v>
      </c>
      <c r="H2832" s="2">
        <v>0.0</v>
      </c>
      <c r="I2832" s="2">
        <v>0.0</v>
      </c>
      <c r="J2832" s="37">
        <v>0.0</v>
      </c>
      <c r="K2832" s="2">
        <v>0.0</v>
      </c>
      <c r="L2832" s="2">
        <v>0.0</v>
      </c>
      <c r="M2832" s="37">
        <v>0.0</v>
      </c>
    </row>
    <row r="2833" ht="14.25" customHeight="1">
      <c r="A2833" t="s">
        <v>2893</v>
      </c>
      <c r="B2833" t="s">
        <v>2727</v>
      </c>
      <c r="C2833" t="s">
        <v>62</v>
      </c>
      <c r="D2833" t="s">
        <v>63</v>
      </c>
      <c r="E2833">
        <v>5.0</v>
      </c>
      <c r="F2833">
        <v>5.8</v>
      </c>
      <c r="G2833" s="2" t="s">
        <v>64</v>
      </c>
      <c r="H2833" s="2">
        <v>0.0</v>
      </c>
      <c r="I2833" s="2">
        <v>0.0</v>
      </c>
      <c r="J2833" s="37">
        <v>0.0</v>
      </c>
      <c r="K2833" s="2">
        <v>0.0</v>
      </c>
      <c r="L2833" s="2">
        <v>0.0</v>
      </c>
      <c r="M2833" s="37">
        <v>0.0</v>
      </c>
    </row>
    <row r="2834" ht="14.25" customHeight="1">
      <c r="A2834" t="s">
        <v>2894</v>
      </c>
      <c r="B2834" t="s">
        <v>2727</v>
      </c>
      <c r="C2834" t="s">
        <v>62</v>
      </c>
      <c r="D2834" t="s">
        <v>63</v>
      </c>
      <c r="E2834">
        <v>5.0</v>
      </c>
      <c r="F2834">
        <v>5.8</v>
      </c>
      <c r="G2834" s="2" t="s">
        <v>64</v>
      </c>
      <c r="H2834" s="2">
        <v>0.0</v>
      </c>
      <c r="I2834" s="2">
        <v>0.0</v>
      </c>
      <c r="J2834" s="37">
        <v>0.0</v>
      </c>
      <c r="K2834" s="2">
        <v>0.0</v>
      </c>
      <c r="L2834" s="2">
        <v>0.0</v>
      </c>
      <c r="M2834" s="37">
        <v>0.0</v>
      </c>
    </row>
    <row r="2835" ht="14.25" customHeight="1">
      <c r="A2835" t="s">
        <v>2895</v>
      </c>
      <c r="B2835" t="s">
        <v>2727</v>
      </c>
      <c r="C2835" t="s">
        <v>62</v>
      </c>
      <c r="D2835" t="s">
        <v>63</v>
      </c>
      <c r="E2835">
        <v>5.0</v>
      </c>
      <c r="F2835">
        <v>5.8</v>
      </c>
      <c r="G2835" s="2" t="s">
        <v>64</v>
      </c>
      <c r="H2835" s="2">
        <v>0.0</v>
      </c>
      <c r="I2835" s="2">
        <v>0.0</v>
      </c>
      <c r="J2835" s="37">
        <v>0.0</v>
      </c>
      <c r="K2835" s="2">
        <v>0.0</v>
      </c>
      <c r="L2835" s="2">
        <v>0.0</v>
      </c>
      <c r="M2835" s="37">
        <v>0.0</v>
      </c>
    </row>
    <row r="2836" ht="14.25" customHeight="1">
      <c r="A2836" t="s">
        <v>2896</v>
      </c>
      <c r="B2836" t="s">
        <v>2727</v>
      </c>
      <c r="C2836" t="s">
        <v>62</v>
      </c>
      <c r="D2836" t="s">
        <v>63</v>
      </c>
      <c r="E2836">
        <v>5.0</v>
      </c>
      <c r="F2836">
        <v>5.8</v>
      </c>
      <c r="G2836" s="2" t="s">
        <v>64</v>
      </c>
      <c r="H2836" s="2">
        <v>0.0</v>
      </c>
      <c r="I2836" s="2">
        <v>0.0</v>
      </c>
      <c r="J2836" s="37">
        <v>0.0</v>
      </c>
      <c r="K2836" s="2">
        <v>0.0</v>
      </c>
      <c r="L2836" s="2">
        <v>0.0</v>
      </c>
      <c r="M2836" s="37">
        <v>0.0</v>
      </c>
    </row>
    <row r="2837" ht="14.25" customHeight="1">
      <c r="A2837" t="s">
        <v>2897</v>
      </c>
      <c r="B2837" t="s">
        <v>2727</v>
      </c>
      <c r="C2837" t="s">
        <v>62</v>
      </c>
      <c r="D2837" t="s">
        <v>63</v>
      </c>
      <c r="E2837">
        <v>2.0</v>
      </c>
      <c r="F2837">
        <v>2.7</v>
      </c>
      <c r="G2837" s="2" t="s">
        <v>67</v>
      </c>
      <c r="H2837" s="2">
        <v>14.0</v>
      </c>
      <c r="I2837" s="2">
        <v>76.0</v>
      </c>
      <c r="J2837" s="37">
        <v>413.24</v>
      </c>
      <c r="K2837" s="2">
        <v>16.0</v>
      </c>
      <c r="L2837" s="2">
        <v>106.0</v>
      </c>
      <c r="M2837" s="37">
        <v>497.16</v>
      </c>
    </row>
    <row r="2838" ht="14.25" customHeight="1">
      <c r="A2838" t="s">
        <v>2898</v>
      </c>
      <c r="B2838" t="s">
        <v>2727</v>
      </c>
      <c r="C2838" t="s">
        <v>62</v>
      </c>
      <c r="D2838" t="s">
        <v>63</v>
      </c>
      <c r="E2838">
        <v>2.0</v>
      </c>
      <c r="F2838">
        <v>2.7</v>
      </c>
      <c r="G2838" s="2" t="s">
        <v>67</v>
      </c>
      <c r="H2838" s="2">
        <v>14.0</v>
      </c>
      <c r="I2838" s="2">
        <v>76.0</v>
      </c>
      <c r="J2838" s="37">
        <v>413.24</v>
      </c>
      <c r="K2838" s="2">
        <v>16.0</v>
      </c>
      <c r="L2838" s="2">
        <v>106.0</v>
      </c>
      <c r="M2838" s="37">
        <v>497.16</v>
      </c>
    </row>
    <row r="2839" ht="14.25" customHeight="1">
      <c r="A2839" t="s">
        <v>2899</v>
      </c>
      <c r="B2839" t="s">
        <v>2727</v>
      </c>
      <c r="C2839" t="s">
        <v>62</v>
      </c>
      <c r="D2839" t="s">
        <v>63</v>
      </c>
      <c r="E2839">
        <v>2.0</v>
      </c>
      <c r="F2839">
        <v>2.7</v>
      </c>
      <c r="G2839" s="2" t="s">
        <v>67</v>
      </c>
      <c r="H2839" s="2">
        <v>14.0</v>
      </c>
      <c r="I2839" s="2">
        <v>76.0</v>
      </c>
      <c r="J2839" s="37">
        <v>413.24</v>
      </c>
      <c r="K2839" s="2">
        <v>16.0</v>
      </c>
      <c r="L2839" s="2">
        <v>106.0</v>
      </c>
      <c r="M2839" s="37">
        <v>497.16</v>
      </c>
    </row>
    <row r="2840" ht="14.25" customHeight="1">
      <c r="A2840" t="s">
        <v>2900</v>
      </c>
      <c r="B2840" t="s">
        <v>2727</v>
      </c>
      <c r="C2840" t="s">
        <v>62</v>
      </c>
      <c r="D2840" t="s">
        <v>63</v>
      </c>
      <c r="E2840">
        <v>3.5</v>
      </c>
      <c r="F2840">
        <v>3.7</v>
      </c>
      <c r="G2840" s="2" t="s">
        <v>64</v>
      </c>
      <c r="H2840" s="2">
        <v>0.0</v>
      </c>
      <c r="I2840" s="2">
        <v>0.0</v>
      </c>
      <c r="J2840" s="37">
        <v>0.0</v>
      </c>
      <c r="K2840" s="2">
        <v>0.0</v>
      </c>
      <c r="L2840" s="2">
        <v>0.0</v>
      </c>
      <c r="M2840" s="37">
        <v>0.0</v>
      </c>
    </row>
    <row r="2841" ht="14.25" customHeight="1">
      <c r="A2841" t="s">
        <v>2901</v>
      </c>
      <c r="B2841" t="s">
        <v>2727</v>
      </c>
      <c r="C2841" t="s">
        <v>62</v>
      </c>
      <c r="D2841" t="s">
        <v>63</v>
      </c>
      <c r="E2841">
        <v>3.5</v>
      </c>
      <c r="F2841">
        <v>3.7</v>
      </c>
      <c r="G2841" s="2" t="s">
        <v>64</v>
      </c>
      <c r="H2841" s="2">
        <v>0.0</v>
      </c>
      <c r="I2841" s="2">
        <v>0.0</v>
      </c>
      <c r="J2841" s="37">
        <v>0.0</v>
      </c>
      <c r="K2841" s="2">
        <v>0.0</v>
      </c>
      <c r="L2841" s="2">
        <v>0.0</v>
      </c>
      <c r="M2841" s="37">
        <v>0.0</v>
      </c>
    </row>
    <row r="2842" ht="14.25" customHeight="1">
      <c r="A2842" t="s">
        <v>2902</v>
      </c>
      <c r="B2842" t="s">
        <v>2727</v>
      </c>
      <c r="C2842" t="s">
        <v>62</v>
      </c>
      <c r="D2842" t="s">
        <v>63</v>
      </c>
      <c r="E2842">
        <v>3.5</v>
      </c>
      <c r="F2842">
        <v>3.7</v>
      </c>
      <c r="G2842" s="2" t="s">
        <v>64</v>
      </c>
      <c r="H2842" s="2">
        <v>0.0</v>
      </c>
      <c r="I2842" s="2">
        <v>0.0</v>
      </c>
      <c r="J2842" s="37">
        <v>0.0</v>
      </c>
      <c r="K2842" s="2">
        <v>0.0</v>
      </c>
      <c r="L2842" s="2">
        <v>0.0</v>
      </c>
      <c r="M2842" s="37">
        <v>0.0</v>
      </c>
    </row>
    <row r="2843" ht="14.25" customHeight="1">
      <c r="A2843" t="s">
        <v>2903</v>
      </c>
      <c r="B2843" t="s">
        <v>2727</v>
      </c>
      <c r="C2843" t="s">
        <v>62</v>
      </c>
      <c r="D2843" t="s">
        <v>63</v>
      </c>
      <c r="E2843">
        <v>2.5</v>
      </c>
      <c r="F2843">
        <v>3.2</v>
      </c>
      <c r="G2843" s="2" t="s">
        <v>64</v>
      </c>
      <c r="H2843" s="2">
        <v>0.0</v>
      </c>
      <c r="I2843" s="2">
        <v>0.0</v>
      </c>
      <c r="J2843" s="37">
        <v>0.0</v>
      </c>
      <c r="K2843" s="2">
        <v>0.0</v>
      </c>
      <c r="L2843" s="2">
        <v>0.0</v>
      </c>
      <c r="M2843" s="37">
        <v>0.0</v>
      </c>
    </row>
    <row r="2844" ht="14.25" customHeight="1">
      <c r="A2844" t="s">
        <v>2904</v>
      </c>
      <c r="B2844" t="s">
        <v>2727</v>
      </c>
      <c r="C2844" t="s">
        <v>62</v>
      </c>
      <c r="D2844" t="s">
        <v>63</v>
      </c>
      <c r="E2844">
        <v>2.5</v>
      </c>
      <c r="F2844">
        <v>3.2</v>
      </c>
      <c r="G2844" s="2" t="s">
        <v>64</v>
      </c>
      <c r="H2844" s="2">
        <v>0.0</v>
      </c>
      <c r="I2844" s="2">
        <v>0.0</v>
      </c>
      <c r="J2844" s="37">
        <v>0.0</v>
      </c>
      <c r="K2844" s="2">
        <v>0.0</v>
      </c>
      <c r="L2844" s="2">
        <v>0.0</v>
      </c>
      <c r="M2844" s="37">
        <v>0.0</v>
      </c>
    </row>
    <row r="2845" ht="14.25" customHeight="1">
      <c r="A2845" t="s">
        <v>2905</v>
      </c>
      <c r="B2845" t="s">
        <v>2727</v>
      </c>
      <c r="C2845" t="s">
        <v>62</v>
      </c>
      <c r="D2845" t="s">
        <v>63</v>
      </c>
      <c r="E2845">
        <v>2.5</v>
      </c>
      <c r="F2845">
        <v>3.2</v>
      </c>
      <c r="G2845" s="2" t="s">
        <v>64</v>
      </c>
      <c r="H2845" s="2">
        <v>0.0</v>
      </c>
      <c r="I2845" s="2">
        <v>0.0</v>
      </c>
      <c r="J2845" s="37">
        <v>0.0</v>
      </c>
      <c r="K2845" s="2">
        <v>0.0</v>
      </c>
      <c r="L2845" s="2">
        <v>0.0</v>
      </c>
      <c r="M2845" s="37">
        <v>0.0</v>
      </c>
    </row>
    <row r="2846" ht="14.25" customHeight="1">
      <c r="A2846" t="s">
        <v>2906</v>
      </c>
      <c r="B2846" t="s">
        <v>2727</v>
      </c>
      <c r="C2846" t="s">
        <v>62</v>
      </c>
      <c r="D2846" t="s">
        <v>63</v>
      </c>
      <c r="E2846">
        <v>3.5</v>
      </c>
      <c r="F2846">
        <v>4.2</v>
      </c>
      <c r="G2846" s="2" t="s">
        <v>64</v>
      </c>
      <c r="H2846" s="2">
        <v>0.0</v>
      </c>
      <c r="I2846" s="2">
        <v>0.0</v>
      </c>
      <c r="J2846" s="37">
        <v>0.0</v>
      </c>
      <c r="K2846" s="2">
        <v>0.0</v>
      </c>
      <c r="L2846" s="2">
        <v>0.0</v>
      </c>
      <c r="M2846" s="37">
        <v>0.0</v>
      </c>
    </row>
    <row r="2847" ht="14.25" customHeight="1">
      <c r="A2847" t="s">
        <v>2907</v>
      </c>
      <c r="B2847" t="s">
        <v>2727</v>
      </c>
      <c r="C2847" t="s">
        <v>62</v>
      </c>
      <c r="D2847" t="s">
        <v>63</v>
      </c>
      <c r="E2847">
        <v>2.5</v>
      </c>
      <c r="F2847">
        <v>3.4</v>
      </c>
      <c r="G2847" s="2" t="s">
        <v>64</v>
      </c>
      <c r="H2847" s="2">
        <v>0.0</v>
      </c>
      <c r="I2847" s="2">
        <v>0.0</v>
      </c>
      <c r="J2847" s="37">
        <v>0.0</v>
      </c>
      <c r="K2847" s="2">
        <v>0.0</v>
      </c>
      <c r="L2847" s="2">
        <v>0.0</v>
      </c>
      <c r="M2847" s="37">
        <v>0.0</v>
      </c>
    </row>
    <row r="2848" ht="14.25" customHeight="1">
      <c r="A2848" t="s">
        <v>2908</v>
      </c>
      <c r="B2848" t="s">
        <v>2727</v>
      </c>
      <c r="C2848" t="s">
        <v>62</v>
      </c>
      <c r="D2848" t="s">
        <v>63</v>
      </c>
      <c r="E2848">
        <v>2.0</v>
      </c>
      <c r="F2848">
        <v>2.7</v>
      </c>
      <c r="G2848" s="2" t="s">
        <v>67</v>
      </c>
      <c r="H2848" s="2">
        <v>15.0</v>
      </c>
      <c r="I2848" s="2">
        <v>132.0</v>
      </c>
      <c r="J2848" s="37">
        <v>508.5</v>
      </c>
      <c r="K2848" s="2">
        <v>17.0</v>
      </c>
      <c r="L2848" s="2">
        <v>162.0</v>
      </c>
      <c r="M2848" s="37">
        <v>592.42</v>
      </c>
    </row>
    <row r="2849" ht="14.25" customHeight="1">
      <c r="A2849" t="s">
        <v>2909</v>
      </c>
      <c r="B2849" t="s">
        <v>2727</v>
      </c>
      <c r="C2849" t="s">
        <v>62</v>
      </c>
      <c r="D2849" t="s">
        <v>63</v>
      </c>
      <c r="E2849">
        <v>2.5</v>
      </c>
      <c r="F2849">
        <v>3.2</v>
      </c>
      <c r="G2849" s="2" t="s">
        <v>67</v>
      </c>
      <c r="H2849" s="2">
        <v>18.0</v>
      </c>
      <c r="I2849" s="2">
        <v>136.0</v>
      </c>
      <c r="J2849" s="37">
        <v>581.08</v>
      </c>
      <c r="K2849" s="2">
        <v>20.0</v>
      </c>
      <c r="L2849" s="2">
        <v>174.0</v>
      </c>
      <c r="M2849" s="37">
        <v>675.4000000000001</v>
      </c>
    </row>
    <row r="2850" ht="14.25" customHeight="1">
      <c r="A2850" t="s">
        <v>2910</v>
      </c>
      <c r="B2850" t="s">
        <v>2727</v>
      </c>
      <c r="C2850" t="s">
        <v>62</v>
      </c>
      <c r="D2850" t="s">
        <v>63</v>
      </c>
      <c r="E2850">
        <v>6.1</v>
      </c>
      <c r="F2850">
        <v>6.8</v>
      </c>
      <c r="G2850" s="2" t="s">
        <v>67</v>
      </c>
      <c r="H2850" s="2">
        <v>38.0</v>
      </c>
      <c r="I2850" s="2">
        <v>103.0</v>
      </c>
      <c r="J2850" s="37">
        <v>987.38</v>
      </c>
      <c r="K2850" s="2">
        <v>43.0</v>
      </c>
      <c r="L2850" s="2">
        <v>208.0</v>
      </c>
      <c r="M2850" s="37">
        <v>1236.18</v>
      </c>
    </row>
    <row r="2851" ht="14.25" customHeight="1">
      <c r="A2851" t="s">
        <v>2911</v>
      </c>
      <c r="B2851" t="s">
        <v>2727</v>
      </c>
      <c r="C2851" t="s">
        <v>62</v>
      </c>
      <c r="D2851" t="s">
        <v>63</v>
      </c>
      <c r="E2851">
        <v>3.5</v>
      </c>
      <c r="F2851">
        <v>4.3</v>
      </c>
      <c r="G2851" s="2" t="s">
        <v>67</v>
      </c>
      <c r="H2851" s="2">
        <v>22.0</v>
      </c>
      <c r="I2851" s="2">
        <v>121.0</v>
      </c>
      <c r="J2851" s="37">
        <v>651.4200000000001</v>
      </c>
      <c r="K2851" s="2">
        <v>25.0</v>
      </c>
      <c r="L2851" s="2">
        <v>174.0</v>
      </c>
      <c r="M2851" s="37">
        <v>787.7</v>
      </c>
    </row>
    <row r="2852" ht="14.25" customHeight="1">
      <c r="A2852" t="s">
        <v>2912</v>
      </c>
      <c r="B2852" t="s">
        <v>2727</v>
      </c>
      <c r="C2852" t="s">
        <v>62</v>
      </c>
      <c r="D2852" t="s">
        <v>63</v>
      </c>
      <c r="E2852">
        <v>5.0</v>
      </c>
      <c r="F2852">
        <v>6.0</v>
      </c>
      <c r="G2852" s="2" t="s">
        <v>67</v>
      </c>
      <c r="H2852" s="2">
        <v>35.0</v>
      </c>
      <c r="I2852" s="2">
        <v>175.0</v>
      </c>
      <c r="J2852" s="37">
        <v>1013.6</v>
      </c>
      <c r="K2852" s="2">
        <v>39.0</v>
      </c>
      <c r="L2852" s="2">
        <v>261.0</v>
      </c>
      <c r="M2852" s="37">
        <v>1215.24</v>
      </c>
    </row>
    <row r="2853" ht="14.25" customHeight="1">
      <c r="A2853" t="s">
        <v>2913</v>
      </c>
      <c r="B2853" t="s">
        <v>2727</v>
      </c>
      <c r="C2853" t="s">
        <v>62</v>
      </c>
      <c r="D2853" t="s">
        <v>63</v>
      </c>
      <c r="E2853">
        <v>9.5</v>
      </c>
      <c r="F2853">
        <v>10.3</v>
      </c>
      <c r="G2853" s="2" t="s">
        <v>67</v>
      </c>
      <c r="H2853" s="2">
        <v>57.0</v>
      </c>
      <c r="I2853" s="2">
        <v>218.0</v>
      </c>
      <c r="J2853" s="37">
        <v>1563.6200000000001</v>
      </c>
      <c r="K2853" s="2">
        <v>65.0</v>
      </c>
      <c r="L2853" s="2">
        <v>382.0</v>
      </c>
      <c r="M2853" s="37">
        <v>1956.5</v>
      </c>
    </row>
    <row r="2854" ht="14.25" customHeight="1">
      <c r="A2854" t="s">
        <v>2914</v>
      </c>
      <c r="B2854" t="s">
        <v>2727</v>
      </c>
      <c r="C2854" t="s">
        <v>62</v>
      </c>
      <c r="D2854" t="s">
        <v>63</v>
      </c>
      <c r="E2854">
        <v>9.5</v>
      </c>
      <c r="F2854">
        <v>10.3</v>
      </c>
      <c r="G2854" s="2" t="s">
        <v>67</v>
      </c>
      <c r="H2854" s="2">
        <v>57.0</v>
      </c>
      <c r="I2854" s="2">
        <v>218.0</v>
      </c>
      <c r="J2854" s="37">
        <v>1563.6200000000001</v>
      </c>
      <c r="K2854" s="2">
        <v>65.0</v>
      </c>
      <c r="L2854" s="2">
        <v>382.0</v>
      </c>
      <c r="M2854" s="37">
        <v>1956.5</v>
      </c>
    </row>
    <row r="2855" ht="14.25" customHeight="1">
      <c r="A2855" t="s">
        <v>2915</v>
      </c>
      <c r="B2855" t="s">
        <v>2727</v>
      </c>
      <c r="C2855" t="s">
        <v>62</v>
      </c>
      <c r="D2855" t="s">
        <v>63</v>
      </c>
      <c r="E2855">
        <v>9.5</v>
      </c>
      <c r="F2855">
        <v>10.3</v>
      </c>
      <c r="G2855" s="2" t="s">
        <v>67</v>
      </c>
      <c r="H2855" s="2">
        <v>57.0</v>
      </c>
      <c r="I2855" s="2">
        <v>218.0</v>
      </c>
      <c r="J2855" s="37">
        <v>1563.6200000000001</v>
      </c>
      <c r="K2855" s="2">
        <v>65.0</v>
      </c>
      <c r="L2855" s="2">
        <v>382.0</v>
      </c>
      <c r="M2855" s="37">
        <v>1956.5</v>
      </c>
    </row>
    <row r="2856" ht="14.25" customHeight="1">
      <c r="A2856" t="s">
        <v>2916</v>
      </c>
      <c r="B2856" t="s">
        <v>2727</v>
      </c>
      <c r="C2856" t="s">
        <v>62</v>
      </c>
      <c r="D2856" t="s">
        <v>63</v>
      </c>
      <c r="E2856">
        <v>7.1</v>
      </c>
      <c r="F2856">
        <v>8.0</v>
      </c>
      <c r="G2856" s="2" t="s">
        <v>67</v>
      </c>
      <c r="H2856" s="2">
        <v>44.0</v>
      </c>
      <c r="I2856" s="2">
        <v>204.0</v>
      </c>
      <c r="J2856" s="37">
        <v>1253.44</v>
      </c>
      <c r="K2856" s="2">
        <v>50.0</v>
      </c>
      <c r="L2856" s="2">
        <v>326.0</v>
      </c>
      <c r="M2856" s="37">
        <v>1546.8</v>
      </c>
    </row>
    <row r="2857" ht="14.25" customHeight="1">
      <c r="A2857" t="s">
        <v>2917</v>
      </c>
      <c r="B2857" t="s">
        <v>2727</v>
      </c>
      <c r="C2857" t="s">
        <v>62</v>
      </c>
      <c r="D2857" t="s">
        <v>63</v>
      </c>
      <c r="E2857">
        <v>7.1</v>
      </c>
      <c r="F2857">
        <v>8.0</v>
      </c>
      <c r="G2857" s="2" t="s">
        <v>67</v>
      </c>
      <c r="H2857" s="2">
        <v>44.0</v>
      </c>
      <c r="I2857" s="2">
        <v>204.0</v>
      </c>
      <c r="J2857" s="37">
        <v>1253.44</v>
      </c>
      <c r="K2857" s="2">
        <v>50.0</v>
      </c>
      <c r="L2857" s="2">
        <v>326.0</v>
      </c>
      <c r="M2857" s="37">
        <v>1546.8</v>
      </c>
    </row>
    <row r="2858" ht="14.25" customHeight="1">
      <c r="A2858" t="s">
        <v>2918</v>
      </c>
      <c r="B2858" t="s">
        <v>2727</v>
      </c>
      <c r="C2858" t="s">
        <v>62</v>
      </c>
      <c r="D2858" t="s">
        <v>63</v>
      </c>
      <c r="E2858">
        <v>7.1</v>
      </c>
      <c r="F2858">
        <v>8.0</v>
      </c>
      <c r="G2858" s="2" t="s">
        <v>67</v>
      </c>
      <c r="H2858" s="2">
        <v>44.0</v>
      </c>
      <c r="I2858" s="2">
        <v>204.0</v>
      </c>
      <c r="J2858" s="37">
        <v>1253.44</v>
      </c>
      <c r="K2858" s="2">
        <v>50.0</v>
      </c>
      <c r="L2858" s="2">
        <v>326.0</v>
      </c>
      <c r="M2858" s="37">
        <v>1546.8</v>
      </c>
    </row>
    <row r="2859" ht="14.25" customHeight="1">
      <c r="A2859" t="s">
        <v>2919</v>
      </c>
      <c r="B2859" t="s">
        <v>2727</v>
      </c>
      <c r="C2859" t="s">
        <v>62</v>
      </c>
      <c r="D2859" t="s">
        <v>63</v>
      </c>
      <c r="E2859">
        <v>6.3</v>
      </c>
      <c r="F2859">
        <v>7.1</v>
      </c>
      <c r="G2859" s="2" t="s">
        <v>67</v>
      </c>
      <c r="H2859" s="2">
        <v>42.0</v>
      </c>
      <c r="I2859" s="2">
        <v>211.0</v>
      </c>
      <c r="J2859" s="37">
        <v>1217.6200000000001</v>
      </c>
      <c r="K2859" s="2">
        <v>47.0</v>
      </c>
      <c r="L2859" s="2">
        <v>319.0</v>
      </c>
      <c r="M2859" s="37">
        <v>1470.3200000000002</v>
      </c>
    </row>
    <row r="2860" ht="14.25" customHeight="1">
      <c r="A2860" t="s">
        <v>2920</v>
      </c>
      <c r="B2860" t="s">
        <v>2727</v>
      </c>
      <c r="C2860" t="s">
        <v>62</v>
      </c>
      <c r="D2860" t="s">
        <v>63</v>
      </c>
      <c r="E2860">
        <v>6.3</v>
      </c>
      <c r="F2860">
        <v>7.1</v>
      </c>
      <c r="G2860" s="2" t="s">
        <v>67</v>
      </c>
      <c r="H2860" s="2">
        <v>42.0</v>
      </c>
      <c r="I2860" s="2">
        <v>211.0</v>
      </c>
      <c r="J2860" s="37">
        <v>1217.6200000000001</v>
      </c>
      <c r="K2860" s="2">
        <v>47.0</v>
      </c>
      <c r="L2860" s="2">
        <v>319.0</v>
      </c>
      <c r="M2860" s="37">
        <v>1470.3200000000002</v>
      </c>
    </row>
    <row r="2861" ht="14.25" customHeight="1">
      <c r="A2861" t="s">
        <v>2921</v>
      </c>
      <c r="B2861" t="s">
        <v>2727</v>
      </c>
      <c r="C2861" t="s">
        <v>62</v>
      </c>
      <c r="D2861" t="s">
        <v>63</v>
      </c>
      <c r="E2861">
        <v>6.3</v>
      </c>
      <c r="F2861">
        <v>7.1</v>
      </c>
      <c r="G2861" s="2" t="s">
        <v>67</v>
      </c>
      <c r="H2861" s="2">
        <v>42.0</v>
      </c>
      <c r="I2861" s="2">
        <v>211.0</v>
      </c>
      <c r="J2861" s="37">
        <v>1217.6200000000001</v>
      </c>
      <c r="K2861" s="2">
        <v>47.0</v>
      </c>
      <c r="L2861" s="2">
        <v>319.0</v>
      </c>
      <c r="M2861" s="37">
        <v>1470.3200000000002</v>
      </c>
    </row>
    <row r="2862" ht="14.25" customHeight="1">
      <c r="A2862" t="s">
        <v>2922</v>
      </c>
      <c r="B2862" t="s">
        <v>2727</v>
      </c>
      <c r="C2862" t="s">
        <v>62</v>
      </c>
      <c r="D2862" t="s">
        <v>63</v>
      </c>
      <c r="E2862">
        <v>3.5</v>
      </c>
      <c r="F2862">
        <v>4.25</v>
      </c>
      <c r="G2862" s="2" t="s">
        <v>64</v>
      </c>
      <c r="H2862" s="2">
        <v>0.0</v>
      </c>
      <c r="I2862" s="2">
        <v>0.0</v>
      </c>
      <c r="J2862" s="37">
        <v>0.0</v>
      </c>
      <c r="K2862" s="2">
        <v>0.0</v>
      </c>
      <c r="L2862" s="2">
        <v>0.0</v>
      </c>
      <c r="M2862" s="37">
        <v>0.0</v>
      </c>
    </row>
    <row r="2863" ht="14.25" customHeight="1">
      <c r="A2863" t="s">
        <v>2923</v>
      </c>
      <c r="B2863" t="s">
        <v>2727</v>
      </c>
      <c r="C2863" t="s">
        <v>62</v>
      </c>
      <c r="D2863" t="s">
        <v>63</v>
      </c>
      <c r="E2863">
        <v>8.0</v>
      </c>
      <c r="F2863">
        <v>9.0</v>
      </c>
      <c r="G2863" s="2" t="s">
        <v>67</v>
      </c>
      <c r="H2863" s="2">
        <v>48.0</v>
      </c>
      <c r="I2863" s="2">
        <v>148.0</v>
      </c>
      <c r="J2863" s="37">
        <v>1270.48</v>
      </c>
      <c r="K2863" s="2">
        <v>55.0</v>
      </c>
      <c r="L2863" s="2">
        <v>286.0</v>
      </c>
      <c r="M2863" s="37">
        <v>1607.1</v>
      </c>
    </row>
    <row r="2864" ht="14.25" customHeight="1">
      <c r="A2864" t="s">
        <v>2924</v>
      </c>
      <c r="B2864" t="s">
        <v>2727</v>
      </c>
      <c r="C2864" t="s">
        <v>62</v>
      </c>
      <c r="D2864" t="s">
        <v>63</v>
      </c>
      <c r="E2864">
        <v>8.0</v>
      </c>
      <c r="F2864">
        <v>9.0</v>
      </c>
      <c r="G2864" s="2" t="s">
        <v>67</v>
      </c>
      <c r="H2864" s="2">
        <v>48.0</v>
      </c>
      <c r="I2864" s="2">
        <v>148.0</v>
      </c>
      <c r="J2864" s="37">
        <v>1270.48</v>
      </c>
      <c r="K2864" s="2">
        <v>55.0</v>
      </c>
      <c r="L2864" s="2">
        <v>286.0</v>
      </c>
      <c r="M2864" s="37">
        <v>1607.1</v>
      </c>
    </row>
    <row r="2865" ht="14.25" customHeight="1">
      <c r="A2865" t="s">
        <v>2925</v>
      </c>
      <c r="B2865" t="s">
        <v>2727</v>
      </c>
      <c r="C2865" t="s">
        <v>62</v>
      </c>
      <c r="D2865" t="s">
        <v>63</v>
      </c>
      <c r="E2865">
        <v>8.0</v>
      </c>
      <c r="F2865">
        <v>9.0</v>
      </c>
      <c r="G2865" s="2" t="s">
        <v>67</v>
      </c>
      <c r="H2865" s="2">
        <v>48.0</v>
      </c>
      <c r="I2865" s="2">
        <v>148.0</v>
      </c>
      <c r="J2865" s="37">
        <v>1270.48</v>
      </c>
      <c r="K2865" s="2">
        <v>55.0</v>
      </c>
      <c r="L2865" s="2">
        <v>286.0</v>
      </c>
      <c r="M2865" s="37">
        <v>1607.1</v>
      </c>
    </row>
    <row r="2866" ht="14.25" customHeight="1">
      <c r="A2866" t="s">
        <v>2926</v>
      </c>
      <c r="B2866" t="s">
        <v>2727</v>
      </c>
      <c r="C2866" t="s">
        <v>62</v>
      </c>
      <c r="D2866" t="s">
        <v>63</v>
      </c>
      <c r="E2866">
        <v>2.5</v>
      </c>
      <c r="F2866">
        <v>3.4</v>
      </c>
      <c r="G2866" s="2" t="s">
        <v>64</v>
      </c>
      <c r="H2866" s="2">
        <v>0.0</v>
      </c>
      <c r="I2866" s="2">
        <v>0.0</v>
      </c>
      <c r="J2866" s="37">
        <v>0.0</v>
      </c>
      <c r="K2866" s="2">
        <v>0.0</v>
      </c>
      <c r="L2866" s="2">
        <v>0.0</v>
      </c>
      <c r="M2866" s="37">
        <v>0.0</v>
      </c>
    </row>
    <row r="2867" ht="14.25" customHeight="1">
      <c r="A2867" t="s">
        <v>2927</v>
      </c>
      <c r="B2867" t="s">
        <v>2727</v>
      </c>
      <c r="C2867" t="s">
        <v>62</v>
      </c>
      <c r="D2867" t="s">
        <v>63</v>
      </c>
      <c r="E2867">
        <v>5.0</v>
      </c>
      <c r="F2867">
        <v>6.0</v>
      </c>
      <c r="G2867" s="2" t="s">
        <v>64</v>
      </c>
      <c r="H2867" s="2">
        <v>0.0</v>
      </c>
      <c r="I2867" s="2">
        <v>0.0</v>
      </c>
      <c r="J2867" s="37">
        <v>0.0</v>
      </c>
      <c r="K2867" s="2">
        <v>0.0</v>
      </c>
      <c r="L2867" s="2">
        <v>0.0</v>
      </c>
      <c r="M2867" s="37">
        <v>0.0</v>
      </c>
    </row>
    <row r="2868" ht="14.25" customHeight="1">
      <c r="A2868" t="s">
        <v>2928</v>
      </c>
      <c r="B2868" t="s">
        <v>2727</v>
      </c>
      <c r="C2868" t="s">
        <v>62</v>
      </c>
      <c r="D2868" t="s">
        <v>63</v>
      </c>
      <c r="E2868">
        <v>2.5</v>
      </c>
      <c r="F2868">
        <v>3.4</v>
      </c>
      <c r="G2868" s="2" t="s">
        <v>64</v>
      </c>
      <c r="H2868" s="2">
        <v>0.0</v>
      </c>
      <c r="I2868" s="2">
        <v>0.0</v>
      </c>
      <c r="J2868" s="37">
        <v>0.0</v>
      </c>
      <c r="K2868" s="2">
        <v>0.0</v>
      </c>
      <c r="L2868" s="2">
        <v>0.0</v>
      </c>
      <c r="M2868" s="37">
        <v>0.0</v>
      </c>
    </row>
    <row r="2869" ht="14.25" customHeight="1">
      <c r="A2869" t="s">
        <v>2929</v>
      </c>
      <c r="B2869" t="s">
        <v>2727</v>
      </c>
      <c r="C2869" t="s">
        <v>62</v>
      </c>
      <c r="D2869" t="s">
        <v>63</v>
      </c>
      <c r="E2869">
        <v>3.5</v>
      </c>
      <c r="F2869">
        <v>4.5</v>
      </c>
      <c r="G2869" s="2" t="s">
        <v>64</v>
      </c>
      <c r="H2869" s="2">
        <v>0.0</v>
      </c>
      <c r="I2869" s="2">
        <v>0.0</v>
      </c>
      <c r="J2869" s="37">
        <v>0.0</v>
      </c>
      <c r="K2869" s="2">
        <v>0.0</v>
      </c>
      <c r="L2869" s="2">
        <v>0.0</v>
      </c>
      <c r="M2869" s="37">
        <v>0.0</v>
      </c>
    </row>
    <row r="2870" ht="14.25" customHeight="1">
      <c r="A2870" t="s">
        <v>2930</v>
      </c>
      <c r="B2870" t="s">
        <v>2727</v>
      </c>
      <c r="C2870" t="s">
        <v>62</v>
      </c>
      <c r="D2870" t="s">
        <v>63</v>
      </c>
      <c r="E2870">
        <v>2.0</v>
      </c>
      <c r="F2870">
        <v>2.7</v>
      </c>
      <c r="G2870" s="2" t="s">
        <v>64</v>
      </c>
      <c r="H2870" s="2">
        <v>0.0</v>
      </c>
      <c r="I2870" s="2">
        <v>0.0</v>
      </c>
      <c r="J2870" s="37">
        <v>0.0</v>
      </c>
      <c r="K2870" s="2">
        <v>0.0</v>
      </c>
      <c r="L2870" s="2">
        <v>0.0</v>
      </c>
      <c r="M2870" s="37">
        <v>0.0</v>
      </c>
    </row>
    <row r="2871" ht="14.25" customHeight="1">
      <c r="A2871" t="s">
        <v>2931</v>
      </c>
      <c r="B2871" t="s">
        <v>2727</v>
      </c>
      <c r="C2871" t="s">
        <v>62</v>
      </c>
      <c r="D2871" t="s">
        <v>63</v>
      </c>
      <c r="E2871">
        <v>3.3</v>
      </c>
      <c r="F2871">
        <v>3.8</v>
      </c>
      <c r="G2871" s="2" t="s">
        <v>64</v>
      </c>
      <c r="H2871" s="2">
        <v>0.0</v>
      </c>
      <c r="I2871" s="2">
        <v>0.0</v>
      </c>
      <c r="J2871" s="37">
        <v>0.0</v>
      </c>
      <c r="K2871" s="2">
        <v>0.0</v>
      </c>
      <c r="L2871" s="2">
        <v>0.0</v>
      </c>
      <c r="M2871" s="37">
        <v>0.0</v>
      </c>
    </row>
    <row r="2872" ht="14.25" customHeight="1">
      <c r="A2872" t="s">
        <v>2932</v>
      </c>
      <c r="B2872" t="s">
        <v>2727</v>
      </c>
      <c r="C2872" t="s">
        <v>62</v>
      </c>
      <c r="D2872" t="s">
        <v>63</v>
      </c>
      <c r="E2872">
        <v>5.0</v>
      </c>
      <c r="F2872">
        <v>5.8</v>
      </c>
      <c r="G2872" s="2" t="s">
        <v>64</v>
      </c>
      <c r="H2872" s="2">
        <v>0.0</v>
      </c>
      <c r="I2872" s="2">
        <v>0.0</v>
      </c>
      <c r="J2872" s="37">
        <v>0.0</v>
      </c>
      <c r="K2872" s="2">
        <v>0.0</v>
      </c>
      <c r="L2872" s="2">
        <v>0.0</v>
      </c>
      <c r="M2872" s="37">
        <v>0.0</v>
      </c>
    </row>
    <row r="2873" ht="14.25" customHeight="1">
      <c r="A2873" t="s">
        <v>2933</v>
      </c>
      <c r="B2873" t="s">
        <v>2727</v>
      </c>
      <c r="C2873" t="s">
        <v>62</v>
      </c>
      <c r="D2873" t="s">
        <v>63</v>
      </c>
      <c r="E2873">
        <v>10.0</v>
      </c>
      <c r="F2873">
        <v>11.2</v>
      </c>
      <c r="G2873" s="2" t="s">
        <v>67</v>
      </c>
      <c r="H2873" s="2">
        <v>67.0</v>
      </c>
      <c r="I2873" s="2">
        <v>210.0</v>
      </c>
      <c r="J2873" s="37">
        <v>1777.8200000000002</v>
      </c>
      <c r="K2873" s="2">
        <v>77.0</v>
      </c>
      <c r="L2873" s="2">
        <v>404.0</v>
      </c>
      <c r="M2873" s="37">
        <v>2254.62</v>
      </c>
    </row>
    <row r="2874" ht="14.25" customHeight="1">
      <c r="A2874" t="s">
        <v>2934</v>
      </c>
      <c r="B2874" t="s">
        <v>2727</v>
      </c>
      <c r="C2874" t="s">
        <v>62</v>
      </c>
      <c r="D2874" t="s">
        <v>63</v>
      </c>
      <c r="E2874">
        <v>10.0</v>
      </c>
      <c r="F2874">
        <v>11.2</v>
      </c>
      <c r="G2874" s="2" t="s">
        <v>67</v>
      </c>
      <c r="H2874" s="2">
        <v>67.0</v>
      </c>
      <c r="I2874" s="2">
        <v>210.0</v>
      </c>
      <c r="J2874" s="37">
        <v>1777.8200000000002</v>
      </c>
      <c r="K2874" s="2">
        <v>77.0</v>
      </c>
      <c r="L2874" s="2">
        <v>404.0</v>
      </c>
      <c r="M2874" s="37">
        <v>2254.62</v>
      </c>
    </row>
    <row r="2875" ht="14.25" customHeight="1">
      <c r="A2875" t="s">
        <v>2935</v>
      </c>
      <c r="B2875" t="s">
        <v>2727</v>
      </c>
      <c r="C2875" t="s">
        <v>62</v>
      </c>
      <c r="D2875" t="s">
        <v>63</v>
      </c>
      <c r="E2875">
        <v>10.0</v>
      </c>
      <c r="F2875">
        <v>11.2</v>
      </c>
      <c r="G2875" s="2" t="s">
        <v>67</v>
      </c>
      <c r="H2875" s="2">
        <v>67.0</v>
      </c>
      <c r="I2875" s="2">
        <v>210.0</v>
      </c>
      <c r="J2875" s="37">
        <v>1777.8200000000002</v>
      </c>
      <c r="K2875" s="2">
        <v>77.0</v>
      </c>
      <c r="L2875" s="2">
        <v>404.0</v>
      </c>
      <c r="M2875" s="37">
        <v>2254.62</v>
      </c>
    </row>
    <row r="2876" ht="14.25" customHeight="1">
      <c r="A2876" t="s">
        <v>2936</v>
      </c>
      <c r="B2876" t="s">
        <v>2727</v>
      </c>
      <c r="C2876" t="s">
        <v>75</v>
      </c>
      <c r="D2876" t="s">
        <v>63</v>
      </c>
      <c r="E2876">
        <v>10.0</v>
      </c>
      <c r="F2876">
        <v>11.2</v>
      </c>
      <c r="G2876" s="2" t="s">
        <v>67</v>
      </c>
      <c r="H2876" s="2">
        <v>62.0</v>
      </c>
      <c r="I2876" s="2">
        <v>98.0</v>
      </c>
      <c r="J2876" s="37">
        <v>1519.92</v>
      </c>
      <c r="K2876" s="2">
        <v>72.0</v>
      </c>
      <c r="L2876" s="2">
        <v>292.0</v>
      </c>
      <c r="M2876" s="37">
        <v>1996.7200000000003</v>
      </c>
    </row>
    <row r="2877" ht="14.25" customHeight="1">
      <c r="A2877" t="s">
        <v>2937</v>
      </c>
      <c r="B2877" t="s">
        <v>2727</v>
      </c>
      <c r="C2877" t="s">
        <v>75</v>
      </c>
      <c r="D2877" t="s">
        <v>63</v>
      </c>
      <c r="E2877">
        <v>10.0</v>
      </c>
      <c r="F2877">
        <v>11.2</v>
      </c>
      <c r="G2877" s="2" t="s">
        <v>67</v>
      </c>
      <c r="H2877" s="2">
        <v>62.0</v>
      </c>
      <c r="I2877" s="2">
        <v>98.0</v>
      </c>
      <c r="J2877" s="37">
        <v>1519.92</v>
      </c>
      <c r="K2877" s="2">
        <v>72.0</v>
      </c>
      <c r="L2877" s="2">
        <v>292.0</v>
      </c>
      <c r="M2877" s="37">
        <v>1996.7200000000003</v>
      </c>
    </row>
    <row r="2878" ht="14.25" customHeight="1">
      <c r="A2878" t="s">
        <v>2938</v>
      </c>
      <c r="B2878" t="s">
        <v>2727</v>
      </c>
      <c r="C2878" t="s">
        <v>75</v>
      </c>
      <c r="D2878" t="s">
        <v>63</v>
      </c>
      <c r="E2878">
        <v>10.0</v>
      </c>
      <c r="F2878">
        <v>11.2</v>
      </c>
      <c r="G2878" s="2" t="s">
        <v>67</v>
      </c>
      <c r="H2878" s="2">
        <v>62.0</v>
      </c>
      <c r="I2878" s="2">
        <v>98.0</v>
      </c>
      <c r="J2878" s="37">
        <v>1519.92</v>
      </c>
      <c r="K2878" s="2">
        <v>72.0</v>
      </c>
      <c r="L2878" s="2">
        <v>292.0</v>
      </c>
      <c r="M2878" s="37">
        <v>1996.7200000000003</v>
      </c>
    </row>
    <row r="2879" ht="14.25" customHeight="1">
      <c r="A2879" t="s">
        <v>2939</v>
      </c>
      <c r="B2879" t="s">
        <v>2727</v>
      </c>
      <c r="C2879" t="s">
        <v>62</v>
      </c>
      <c r="D2879" t="s">
        <v>63</v>
      </c>
      <c r="E2879">
        <v>10.0</v>
      </c>
      <c r="F2879">
        <v>11.2</v>
      </c>
      <c r="G2879" s="2" t="s">
        <v>67</v>
      </c>
      <c r="H2879" s="2">
        <v>67.0</v>
      </c>
      <c r="I2879" s="2">
        <v>277.0</v>
      </c>
      <c r="J2879" s="37">
        <v>1864.92</v>
      </c>
      <c r="K2879" s="2">
        <v>77.0</v>
      </c>
      <c r="L2879" s="2">
        <v>471.0</v>
      </c>
      <c r="M2879" s="37">
        <v>2341.7200000000003</v>
      </c>
    </row>
    <row r="2880" ht="14.25" customHeight="1">
      <c r="A2880" t="s">
        <v>2940</v>
      </c>
      <c r="B2880" t="s">
        <v>2727</v>
      </c>
      <c r="C2880" t="s">
        <v>62</v>
      </c>
      <c r="D2880" t="s">
        <v>63</v>
      </c>
      <c r="E2880">
        <v>10.0</v>
      </c>
      <c r="F2880">
        <v>11.2</v>
      </c>
      <c r="G2880" s="2" t="s">
        <v>67</v>
      </c>
      <c r="H2880" s="2">
        <v>67.0</v>
      </c>
      <c r="I2880" s="2">
        <v>277.0</v>
      </c>
      <c r="J2880" s="37">
        <v>1864.92</v>
      </c>
      <c r="K2880" s="2">
        <v>77.0</v>
      </c>
      <c r="L2880" s="2">
        <v>471.0</v>
      </c>
      <c r="M2880" s="37">
        <v>2341.7200000000003</v>
      </c>
    </row>
    <row r="2881" ht="14.25" customHeight="1">
      <c r="A2881" t="s">
        <v>2941</v>
      </c>
      <c r="B2881" t="s">
        <v>2727</v>
      </c>
      <c r="C2881" t="s">
        <v>62</v>
      </c>
      <c r="D2881" t="s">
        <v>63</v>
      </c>
      <c r="E2881">
        <v>10.0</v>
      </c>
      <c r="F2881">
        <v>11.2</v>
      </c>
      <c r="G2881" s="2" t="s">
        <v>67</v>
      </c>
      <c r="H2881" s="2">
        <v>67.0</v>
      </c>
      <c r="I2881" s="2">
        <v>277.0</v>
      </c>
      <c r="J2881" s="37">
        <v>1864.92</v>
      </c>
      <c r="K2881" s="2">
        <v>77.0</v>
      </c>
      <c r="L2881" s="2">
        <v>471.0</v>
      </c>
      <c r="M2881" s="37">
        <v>2341.7200000000003</v>
      </c>
    </row>
    <row r="2882" ht="14.25" customHeight="1">
      <c r="A2882" t="s">
        <v>2942</v>
      </c>
      <c r="B2882" t="s">
        <v>2727</v>
      </c>
      <c r="C2882" t="s">
        <v>62</v>
      </c>
      <c r="D2882" t="s">
        <v>63</v>
      </c>
      <c r="E2882">
        <v>10.0</v>
      </c>
      <c r="F2882">
        <v>11.2</v>
      </c>
      <c r="G2882" s="2" t="s">
        <v>67</v>
      </c>
      <c r="H2882" s="2">
        <v>67.0</v>
      </c>
      <c r="I2882" s="2">
        <v>210.0</v>
      </c>
      <c r="J2882" s="37">
        <v>1777.8200000000002</v>
      </c>
      <c r="K2882" s="2">
        <v>77.0</v>
      </c>
      <c r="L2882" s="2">
        <v>404.0</v>
      </c>
      <c r="M2882" s="37">
        <v>2254.62</v>
      </c>
    </row>
    <row r="2883" ht="14.25" customHeight="1">
      <c r="A2883" t="s">
        <v>2943</v>
      </c>
      <c r="B2883" t="s">
        <v>2727</v>
      </c>
      <c r="C2883" t="s">
        <v>62</v>
      </c>
      <c r="D2883" t="s">
        <v>63</v>
      </c>
      <c r="E2883">
        <v>10.0</v>
      </c>
      <c r="F2883">
        <v>11.2</v>
      </c>
      <c r="G2883" s="2" t="s">
        <v>67</v>
      </c>
      <c r="H2883" s="2">
        <v>67.0</v>
      </c>
      <c r="I2883" s="2">
        <v>210.0</v>
      </c>
      <c r="J2883" s="37">
        <v>1777.8200000000002</v>
      </c>
      <c r="K2883" s="2">
        <v>77.0</v>
      </c>
      <c r="L2883" s="2">
        <v>404.0</v>
      </c>
      <c r="M2883" s="37">
        <v>2254.62</v>
      </c>
    </row>
    <row r="2884" ht="14.25" customHeight="1">
      <c r="A2884" t="s">
        <v>2944</v>
      </c>
      <c r="B2884" t="s">
        <v>2727</v>
      </c>
      <c r="C2884" t="s">
        <v>62</v>
      </c>
      <c r="D2884" t="s">
        <v>63</v>
      </c>
      <c r="E2884">
        <v>10.0</v>
      </c>
      <c r="F2884">
        <v>11.2</v>
      </c>
      <c r="G2884" s="2" t="s">
        <v>67</v>
      </c>
      <c r="H2884" s="2">
        <v>67.0</v>
      </c>
      <c r="I2884" s="2">
        <v>210.0</v>
      </c>
      <c r="J2884" s="37">
        <v>1777.8200000000002</v>
      </c>
      <c r="K2884" s="2">
        <v>77.0</v>
      </c>
      <c r="L2884" s="2">
        <v>404.0</v>
      </c>
      <c r="M2884" s="37">
        <v>2254.62</v>
      </c>
    </row>
    <row r="2885" ht="14.25" customHeight="1">
      <c r="A2885" t="s">
        <v>2945</v>
      </c>
      <c r="B2885" t="s">
        <v>2727</v>
      </c>
      <c r="C2885" t="s">
        <v>75</v>
      </c>
      <c r="D2885" t="s">
        <v>63</v>
      </c>
      <c r="E2885">
        <v>10.0</v>
      </c>
      <c r="F2885">
        <v>11.2</v>
      </c>
      <c r="G2885" s="2" t="s">
        <v>67</v>
      </c>
      <c r="H2885" s="2">
        <v>63.0</v>
      </c>
      <c r="I2885" s="2">
        <v>132.0</v>
      </c>
      <c r="J2885" s="37">
        <v>1586.58</v>
      </c>
      <c r="K2885" s="2">
        <v>73.0</v>
      </c>
      <c r="L2885" s="2">
        <v>325.0</v>
      </c>
      <c r="M2885" s="37">
        <v>2062.08</v>
      </c>
    </row>
    <row r="2886" ht="14.25" customHeight="1">
      <c r="A2886" t="s">
        <v>2946</v>
      </c>
      <c r="B2886" t="s">
        <v>2727</v>
      </c>
      <c r="C2886" t="s">
        <v>75</v>
      </c>
      <c r="D2886" t="s">
        <v>63</v>
      </c>
      <c r="E2886">
        <v>10.0</v>
      </c>
      <c r="F2886">
        <v>11.2</v>
      </c>
      <c r="G2886" s="2" t="s">
        <v>67</v>
      </c>
      <c r="H2886" s="2">
        <v>63.0</v>
      </c>
      <c r="I2886" s="2">
        <v>132.0</v>
      </c>
      <c r="J2886" s="37">
        <v>1586.58</v>
      </c>
      <c r="K2886" s="2">
        <v>73.0</v>
      </c>
      <c r="L2886" s="2">
        <v>325.0</v>
      </c>
      <c r="M2886" s="37">
        <v>2062.08</v>
      </c>
    </row>
    <row r="2887" ht="14.25" customHeight="1">
      <c r="A2887" t="s">
        <v>2947</v>
      </c>
      <c r="B2887" t="s">
        <v>2727</v>
      </c>
      <c r="C2887" t="s">
        <v>75</v>
      </c>
      <c r="D2887" t="s">
        <v>63</v>
      </c>
      <c r="E2887">
        <v>10.0</v>
      </c>
      <c r="F2887">
        <v>11.2</v>
      </c>
      <c r="G2887" s="2" t="s">
        <v>67</v>
      </c>
      <c r="H2887" s="2">
        <v>63.0</v>
      </c>
      <c r="I2887" s="2">
        <v>132.0</v>
      </c>
      <c r="J2887" s="37">
        <v>1586.58</v>
      </c>
      <c r="K2887" s="2">
        <v>73.0</v>
      </c>
      <c r="L2887" s="2">
        <v>325.0</v>
      </c>
      <c r="M2887" s="37">
        <v>2062.08</v>
      </c>
    </row>
    <row r="2888" ht="14.25" customHeight="1">
      <c r="A2888" t="s">
        <v>2948</v>
      </c>
      <c r="B2888" t="s">
        <v>2727</v>
      </c>
      <c r="C2888" t="s">
        <v>75</v>
      </c>
      <c r="D2888" t="s">
        <v>63</v>
      </c>
      <c r="E2888">
        <v>10.0</v>
      </c>
      <c r="F2888">
        <v>11.2</v>
      </c>
      <c r="G2888" s="2" t="s">
        <v>67</v>
      </c>
      <c r="H2888" s="2">
        <v>62.0</v>
      </c>
      <c r="I2888" s="2">
        <v>98.0</v>
      </c>
      <c r="J2888" s="37">
        <v>1519.92</v>
      </c>
      <c r="K2888" s="2">
        <v>72.0</v>
      </c>
      <c r="L2888" s="2">
        <v>292.0</v>
      </c>
      <c r="M2888" s="37">
        <v>1996.7200000000003</v>
      </c>
    </row>
    <row r="2889" ht="14.25" customHeight="1">
      <c r="A2889" t="s">
        <v>2949</v>
      </c>
      <c r="B2889" t="s">
        <v>2727</v>
      </c>
      <c r="C2889" t="s">
        <v>75</v>
      </c>
      <c r="D2889" t="s">
        <v>63</v>
      </c>
      <c r="E2889">
        <v>10.0</v>
      </c>
      <c r="F2889">
        <v>11.2</v>
      </c>
      <c r="G2889" s="2" t="s">
        <v>67</v>
      </c>
      <c r="H2889" s="2">
        <v>62.0</v>
      </c>
      <c r="I2889" s="2">
        <v>98.0</v>
      </c>
      <c r="J2889" s="37">
        <v>1519.92</v>
      </c>
      <c r="K2889" s="2">
        <v>72.0</v>
      </c>
      <c r="L2889" s="2">
        <v>292.0</v>
      </c>
      <c r="M2889" s="37">
        <v>1996.7200000000003</v>
      </c>
    </row>
    <row r="2890" ht="14.25" customHeight="1">
      <c r="A2890" t="s">
        <v>2950</v>
      </c>
      <c r="B2890" t="s">
        <v>2727</v>
      </c>
      <c r="C2890" t="s">
        <v>75</v>
      </c>
      <c r="D2890" t="s">
        <v>63</v>
      </c>
      <c r="E2890">
        <v>10.0</v>
      </c>
      <c r="F2890">
        <v>11.2</v>
      </c>
      <c r="G2890" s="2" t="s">
        <v>67</v>
      </c>
      <c r="H2890" s="2">
        <v>64.0</v>
      </c>
      <c r="I2890" s="2">
        <v>132.0</v>
      </c>
      <c r="J2890" s="37">
        <v>1609.04</v>
      </c>
      <c r="K2890" s="2">
        <v>74.0</v>
      </c>
      <c r="L2890" s="2">
        <v>325.0</v>
      </c>
      <c r="M2890" s="37">
        <v>2084.54</v>
      </c>
    </row>
    <row r="2891" ht="14.25" customHeight="1">
      <c r="A2891" t="s">
        <v>2951</v>
      </c>
      <c r="B2891" t="s">
        <v>2727</v>
      </c>
      <c r="C2891" t="s">
        <v>75</v>
      </c>
      <c r="D2891" t="s">
        <v>63</v>
      </c>
      <c r="E2891">
        <v>10.0</v>
      </c>
      <c r="F2891">
        <v>11.2</v>
      </c>
      <c r="G2891" s="2" t="s">
        <v>67</v>
      </c>
      <c r="H2891" s="2">
        <v>64.0</v>
      </c>
      <c r="I2891" s="2">
        <v>132.0</v>
      </c>
      <c r="J2891" s="37">
        <v>1609.04</v>
      </c>
      <c r="K2891" s="2">
        <v>74.0</v>
      </c>
      <c r="L2891" s="2">
        <v>325.0</v>
      </c>
      <c r="M2891" s="37">
        <v>2084.54</v>
      </c>
    </row>
    <row r="2892" ht="14.25" customHeight="1">
      <c r="A2892" t="s">
        <v>2952</v>
      </c>
      <c r="B2892" t="s">
        <v>2727</v>
      </c>
      <c r="C2892" t="s">
        <v>75</v>
      </c>
      <c r="D2892" t="s">
        <v>63</v>
      </c>
      <c r="E2892">
        <v>10.0</v>
      </c>
      <c r="F2892">
        <v>11.2</v>
      </c>
      <c r="G2892" s="2" t="s">
        <v>67</v>
      </c>
      <c r="H2892" s="2">
        <v>64.0</v>
      </c>
      <c r="I2892" s="2">
        <v>132.0</v>
      </c>
      <c r="J2892" s="37">
        <v>1609.04</v>
      </c>
      <c r="K2892" s="2">
        <v>74.0</v>
      </c>
      <c r="L2892" s="2">
        <v>325.0</v>
      </c>
      <c r="M2892" s="37">
        <v>2084.54</v>
      </c>
    </row>
    <row r="2893" ht="14.25" customHeight="1">
      <c r="A2893" t="s">
        <v>2953</v>
      </c>
      <c r="B2893" t="s">
        <v>2727</v>
      </c>
      <c r="C2893" t="s">
        <v>62</v>
      </c>
      <c r="D2893" t="s">
        <v>63</v>
      </c>
      <c r="E2893">
        <v>7.1</v>
      </c>
      <c r="F2893">
        <v>8.0</v>
      </c>
      <c r="G2893" s="2" t="s">
        <v>67</v>
      </c>
      <c r="H2893" s="2">
        <v>47.0</v>
      </c>
      <c r="I2893" s="2">
        <v>288.0</v>
      </c>
      <c r="J2893" s="37">
        <v>1430.0200000000002</v>
      </c>
      <c r="K2893" s="2">
        <v>53.0</v>
      </c>
      <c r="L2893" s="2">
        <v>411.0</v>
      </c>
      <c r="M2893" s="37">
        <v>1724.6800000000003</v>
      </c>
    </row>
    <row r="2894" ht="14.25" customHeight="1">
      <c r="A2894" t="s">
        <v>2954</v>
      </c>
      <c r="B2894" t="s">
        <v>2727</v>
      </c>
      <c r="C2894" t="s">
        <v>62</v>
      </c>
      <c r="D2894" t="s">
        <v>63</v>
      </c>
      <c r="E2894">
        <v>7.1</v>
      </c>
      <c r="F2894">
        <v>8.0</v>
      </c>
      <c r="G2894" s="2" t="s">
        <v>67</v>
      </c>
      <c r="H2894" s="2">
        <v>47.0</v>
      </c>
      <c r="I2894" s="2">
        <v>288.0</v>
      </c>
      <c r="J2894" s="37">
        <v>1430.0200000000002</v>
      </c>
      <c r="K2894" s="2">
        <v>53.0</v>
      </c>
      <c r="L2894" s="2">
        <v>411.0</v>
      </c>
      <c r="M2894" s="37">
        <v>1724.6800000000003</v>
      </c>
    </row>
    <row r="2895" ht="14.25" customHeight="1">
      <c r="A2895" t="s">
        <v>2955</v>
      </c>
      <c r="B2895" t="s">
        <v>2727</v>
      </c>
      <c r="C2895" t="s">
        <v>75</v>
      </c>
      <c r="D2895" t="s">
        <v>63</v>
      </c>
      <c r="E2895">
        <v>7.1</v>
      </c>
      <c r="F2895">
        <v>8.0</v>
      </c>
      <c r="G2895" s="2" t="s">
        <v>67</v>
      </c>
      <c r="H2895" s="2">
        <v>45.0</v>
      </c>
      <c r="I2895" s="2">
        <v>291.0</v>
      </c>
      <c r="J2895" s="37">
        <v>1389.0</v>
      </c>
      <c r="K2895" s="2">
        <v>52.0</v>
      </c>
      <c r="L2895" s="2">
        <v>429.0</v>
      </c>
      <c r="M2895" s="37">
        <v>1725.6200000000001</v>
      </c>
    </row>
    <row r="2896" ht="14.25" customHeight="1">
      <c r="A2896" t="s">
        <v>2956</v>
      </c>
      <c r="B2896" t="s">
        <v>2727</v>
      </c>
      <c r="C2896" t="s">
        <v>75</v>
      </c>
      <c r="D2896" t="s">
        <v>63</v>
      </c>
      <c r="E2896">
        <v>7.1</v>
      </c>
      <c r="F2896">
        <v>8.0</v>
      </c>
      <c r="G2896" s="2" t="s">
        <v>67</v>
      </c>
      <c r="H2896" s="2">
        <v>45.0</v>
      </c>
      <c r="I2896" s="2">
        <v>291.0</v>
      </c>
      <c r="J2896" s="37">
        <v>1389.0</v>
      </c>
      <c r="K2896" s="2">
        <v>52.0</v>
      </c>
      <c r="L2896" s="2">
        <v>429.0</v>
      </c>
      <c r="M2896" s="37">
        <v>1725.6200000000001</v>
      </c>
    </row>
    <row r="2897" ht="14.25" customHeight="1">
      <c r="A2897" t="s">
        <v>2957</v>
      </c>
      <c r="B2897" t="s">
        <v>2727</v>
      </c>
      <c r="C2897" t="s">
        <v>62</v>
      </c>
      <c r="D2897" t="s">
        <v>63</v>
      </c>
      <c r="E2897">
        <v>5.6</v>
      </c>
      <c r="F2897">
        <v>6.7</v>
      </c>
      <c r="G2897" s="2" t="s">
        <v>67</v>
      </c>
      <c r="H2897" s="2">
        <v>40.0</v>
      </c>
      <c r="I2897" s="2">
        <v>229.0</v>
      </c>
      <c r="J2897" s="37">
        <v>1196.1000000000001</v>
      </c>
      <c r="K2897" s="2">
        <v>45.0</v>
      </c>
      <c r="L2897" s="2">
        <v>325.0</v>
      </c>
      <c r="M2897" s="37">
        <v>1433.2</v>
      </c>
    </row>
    <row r="2898" ht="14.25" customHeight="1">
      <c r="A2898" t="s">
        <v>2958</v>
      </c>
      <c r="B2898" t="s">
        <v>2727</v>
      </c>
      <c r="C2898" t="s">
        <v>62</v>
      </c>
      <c r="D2898" t="s">
        <v>63</v>
      </c>
      <c r="E2898">
        <v>5.6</v>
      </c>
      <c r="F2898">
        <v>6.7</v>
      </c>
      <c r="G2898" s="2" t="s">
        <v>67</v>
      </c>
      <c r="H2898" s="2">
        <v>40.0</v>
      </c>
      <c r="I2898" s="2">
        <v>229.0</v>
      </c>
      <c r="J2898" s="37">
        <v>1196.1000000000001</v>
      </c>
      <c r="K2898" s="2">
        <v>45.0</v>
      </c>
      <c r="L2898" s="2">
        <v>325.0</v>
      </c>
      <c r="M2898" s="37">
        <v>1433.2</v>
      </c>
    </row>
    <row r="2899" ht="14.25" customHeight="1">
      <c r="A2899" t="s">
        <v>2959</v>
      </c>
      <c r="B2899" t="s">
        <v>2727</v>
      </c>
      <c r="C2899" t="s">
        <v>75</v>
      </c>
      <c r="D2899" t="s">
        <v>63</v>
      </c>
      <c r="E2899">
        <v>5.6</v>
      </c>
      <c r="F2899">
        <v>6.7</v>
      </c>
      <c r="G2899" s="2" t="s">
        <v>67</v>
      </c>
      <c r="H2899" s="2">
        <v>35.0</v>
      </c>
      <c r="I2899" s="2">
        <v>149.0</v>
      </c>
      <c r="J2899" s="37">
        <v>979.8000000000001</v>
      </c>
      <c r="K2899" s="2">
        <v>41.0</v>
      </c>
      <c r="L2899" s="2">
        <v>257.0</v>
      </c>
      <c r="M2899" s="37">
        <v>1254.96</v>
      </c>
    </row>
    <row r="2900" ht="14.25" customHeight="1">
      <c r="A2900" t="s">
        <v>2960</v>
      </c>
      <c r="B2900" t="s">
        <v>2727</v>
      </c>
      <c r="C2900" t="s">
        <v>75</v>
      </c>
      <c r="D2900" t="s">
        <v>63</v>
      </c>
      <c r="E2900">
        <v>5.6</v>
      </c>
      <c r="F2900">
        <v>6.7</v>
      </c>
      <c r="G2900" s="2" t="s">
        <v>67</v>
      </c>
      <c r="H2900" s="2">
        <v>35.0</v>
      </c>
      <c r="I2900" s="2">
        <v>149.0</v>
      </c>
      <c r="J2900" s="37">
        <v>979.8000000000001</v>
      </c>
      <c r="K2900" s="2">
        <v>41.0</v>
      </c>
      <c r="L2900" s="2">
        <v>257.0</v>
      </c>
      <c r="M2900" s="37">
        <v>1254.96</v>
      </c>
    </row>
    <row r="2901" ht="14.25" customHeight="1">
      <c r="A2901" t="s">
        <v>2961</v>
      </c>
      <c r="B2901" t="s">
        <v>2727</v>
      </c>
      <c r="C2901" t="s">
        <v>62</v>
      </c>
      <c r="D2901" t="s">
        <v>63</v>
      </c>
      <c r="E2901">
        <v>7.1</v>
      </c>
      <c r="F2901">
        <v>8.0</v>
      </c>
      <c r="G2901" s="2" t="s">
        <v>64</v>
      </c>
      <c r="H2901" s="2">
        <v>0.0</v>
      </c>
      <c r="I2901" s="2">
        <v>0.0</v>
      </c>
      <c r="J2901" s="37">
        <v>0.0</v>
      </c>
      <c r="K2901" s="2">
        <v>0.0</v>
      </c>
      <c r="L2901" s="2">
        <v>0.0</v>
      </c>
      <c r="M2901" s="37">
        <v>0.0</v>
      </c>
    </row>
    <row r="2902" ht="14.25" customHeight="1">
      <c r="A2902" t="s">
        <v>2962</v>
      </c>
      <c r="B2902" t="s">
        <v>2727</v>
      </c>
      <c r="C2902" t="s">
        <v>62</v>
      </c>
      <c r="D2902" t="s">
        <v>63</v>
      </c>
      <c r="E2902">
        <v>7.1</v>
      </c>
      <c r="F2902">
        <v>8.0</v>
      </c>
      <c r="G2902" s="2" t="s">
        <v>64</v>
      </c>
      <c r="H2902" s="2">
        <v>0.0</v>
      </c>
      <c r="I2902" s="2">
        <v>0.0</v>
      </c>
      <c r="J2902" s="37">
        <v>0.0</v>
      </c>
      <c r="K2902" s="2">
        <v>0.0</v>
      </c>
      <c r="L2902" s="2">
        <v>0.0</v>
      </c>
      <c r="M2902" s="37">
        <v>0.0</v>
      </c>
    </row>
    <row r="2903" ht="14.25" customHeight="1">
      <c r="A2903" t="s">
        <v>2963</v>
      </c>
      <c r="B2903" t="s">
        <v>2727</v>
      </c>
      <c r="C2903" t="s">
        <v>62</v>
      </c>
      <c r="D2903" t="s">
        <v>63</v>
      </c>
      <c r="E2903">
        <v>10.0</v>
      </c>
      <c r="F2903">
        <v>10.0</v>
      </c>
      <c r="G2903" s="2" t="s">
        <v>67</v>
      </c>
      <c r="H2903" s="2">
        <v>58.0</v>
      </c>
      <c r="I2903" s="2">
        <v>216.0</v>
      </c>
      <c r="J2903" s="37">
        <v>1583.48</v>
      </c>
      <c r="K2903" s="2">
        <v>67.0</v>
      </c>
      <c r="L2903" s="2">
        <v>410.0</v>
      </c>
      <c r="M2903" s="37">
        <v>2037.8200000000002</v>
      </c>
    </row>
    <row r="2904" ht="14.25" customHeight="1">
      <c r="A2904" t="s">
        <v>2964</v>
      </c>
      <c r="B2904" t="s">
        <v>2727</v>
      </c>
      <c r="C2904" t="s">
        <v>62</v>
      </c>
      <c r="D2904" t="s">
        <v>63</v>
      </c>
      <c r="E2904">
        <v>10.0</v>
      </c>
      <c r="F2904">
        <v>10.0</v>
      </c>
      <c r="G2904" s="2" t="s">
        <v>67</v>
      </c>
      <c r="H2904" s="2">
        <v>58.0</v>
      </c>
      <c r="I2904" s="2">
        <v>216.0</v>
      </c>
      <c r="J2904" s="37">
        <v>1583.48</v>
      </c>
      <c r="K2904" s="2">
        <v>67.0</v>
      </c>
      <c r="L2904" s="2">
        <v>410.0</v>
      </c>
      <c r="M2904" s="37">
        <v>2037.8200000000002</v>
      </c>
    </row>
    <row r="2905" ht="14.25" customHeight="1">
      <c r="A2905" t="s">
        <v>2965</v>
      </c>
      <c r="B2905" t="s">
        <v>2727</v>
      </c>
      <c r="C2905" t="s">
        <v>62</v>
      </c>
      <c r="D2905" t="s">
        <v>63</v>
      </c>
      <c r="E2905">
        <v>10.0</v>
      </c>
      <c r="F2905">
        <v>10.0</v>
      </c>
      <c r="G2905" s="2" t="s">
        <v>67</v>
      </c>
      <c r="H2905" s="2">
        <v>58.0</v>
      </c>
      <c r="I2905" s="2">
        <v>216.0</v>
      </c>
      <c r="J2905" s="37">
        <v>1583.48</v>
      </c>
      <c r="K2905" s="2">
        <v>67.0</v>
      </c>
      <c r="L2905" s="2">
        <v>410.0</v>
      </c>
      <c r="M2905" s="37">
        <v>2037.8200000000002</v>
      </c>
    </row>
    <row r="2906" ht="14.25" customHeight="1">
      <c r="A2906" t="s">
        <v>2965</v>
      </c>
      <c r="B2906" t="s">
        <v>2727</v>
      </c>
      <c r="C2906" t="s">
        <v>62</v>
      </c>
      <c r="D2906" t="s">
        <v>63</v>
      </c>
      <c r="E2906">
        <v>10.0</v>
      </c>
      <c r="F2906">
        <v>10.0</v>
      </c>
      <c r="G2906" s="2" t="s">
        <v>67</v>
      </c>
      <c r="H2906" s="2">
        <v>58.0</v>
      </c>
      <c r="I2906" s="2">
        <v>216.0</v>
      </c>
      <c r="J2906" s="37">
        <v>1583.48</v>
      </c>
      <c r="K2906" s="2">
        <v>67.0</v>
      </c>
      <c r="L2906" s="2">
        <v>410.0</v>
      </c>
      <c r="M2906" s="37">
        <v>2037.8200000000002</v>
      </c>
    </row>
    <row r="2907" ht="14.25" customHeight="1">
      <c r="A2907" t="s">
        <v>2966</v>
      </c>
      <c r="B2907" t="s">
        <v>2727</v>
      </c>
      <c r="C2907" t="s">
        <v>62</v>
      </c>
      <c r="D2907" t="s">
        <v>63</v>
      </c>
      <c r="E2907">
        <v>10.0</v>
      </c>
      <c r="F2907">
        <v>10.0</v>
      </c>
      <c r="G2907" s="2" t="s">
        <v>67</v>
      </c>
      <c r="H2907" s="2">
        <v>57.0</v>
      </c>
      <c r="I2907" s="2">
        <v>126.0</v>
      </c>
      <c r="J2907" s="37">
        <v>1444.02</v>
      </c>
      <c r="K2907" s="2">
        <v>66.0</v>
      </c>
      <c r="L2907" s="2">
        <v>320.0</v>
      </c>
      <c r="M2907" s="37">
        <v>1898.3600000000001</v>
      </c>
    </row>
    <row r="2908" ht="14.25" customHeight="1">
      <c r="A2908" t="s">
        <v>2967</v>
      </c>
      <c r="B2908" t="s">
        <v>2727</v>
      </c>
      <c r="C2908" t="s">
        <v>62</v>
      </c>
      <c r="D2908" t="s">
        <v>63</v>
      </c>
      <c r="E2908">
        <v>10.0</v>
      </c>
      <c r="F2908">
        <v>10.0</v>
      </c>
      <c r="G2908" s="2" t="s">
        <v>67</v>
      </c>
      <c r="H2908" s="2">
        <v>57.0</v>
      </c>
      <c r="I2908" s="2">
        <v>126.0</v>
      </c>
      <c r="J2908" s="37">
        <v>1444.02</v>
      </c>
      <c r="K2908" s="2">
        <v>66.0</v>
      </c>
      <c r="L2908" s="2">
        <v>320.0</v>
      </c>
      <c r="M2908" s="37">
        <v>1898.3600000000001</v>
      </c>
    </row>
    <row r="2909" ht="14.25" customHeight="1">
      <c r="A2909" t="s">
        <v>2967</v>
      </c>
      <c r="B2909" t="s">
        <v>2727</v>
      </c>
      <c r="C2909" t="s">
        <v>62</v>
      </c>
      <c r="D2909" t="s">
        <v>63</v>
      </c>
      <c r="E2909">
        <v>10.0</v>
      </c>
      <c r="F2909">
        <v>10.0</v>
      </c>
      <c r="G2909" s="2" t="s">
        <v>67</v>
      </c>
      <c r="H2909" s="2">
        <v>57.0</v>
      </c>
      <c r="I2909" s="2">
        <v>126.0</v>
      </c>
      <c r="J2909" s="37">
        <v>1444.02</v>
      </c>
      <c r="K2909" s="2">
        <v>66.0</v>
      </c>
      <c r="L2909" s="2">
        <v>320.0</v>
      </c>
      <c r="M2909" s="37">
        <v>1898.3600000000001</v>
      </c>
    </row>
    <row r="2910" ht="14.25" customHeight="1">
      <c r="A2910" t="s">
        <v>2968</v>
      </c>
      <c r="B2910" t="s">
        <v>2727</v>
      </c>
      <c r="C2910" t="s">
        <v>62</v>
      </c>
      <c r="D2910" t="s">
        <v>63</v>
      </c>
      <c r="E2910">
        <v>10.0</v>
      </c>
      <c r="F2910">
        <v>10.0</v>
      </c>
      <c r="G2910" s="2" t="s">
        <v>67</v>
      </c>
      <c r="H2910" s="2">
        <v>57.0</v>
      </c>
      <c r="I2910" s="2">
        <v>126.0</v>
      </c>
      <c r="J2910" s="37">
        <v>1444.02</v>
      </c>
      <c r="K2910" s="2">
        <v>66.0</v>
      </c>
      <c r="L2910" s="2">
        <v>320.0</v>
      </c>
      <c r="M2910" s="37">
        <v>1898.3600000000001</v>
      </c>
    </row>
    <row r="2911" ht="14.25" customHeight="1">
      <c r="A2911" t="s">
        <v>2969</v>
      </c>
      <c r="B2911" t="s">
        <v>2727</v>
      </c>
      <c r="C2911" t="s">
        <v>75</v>
      </c>
      <c r="D2911" t="s">
        <v>63</v>
      </c>
      <c r="E2911">
        <v>10.0</v>
      </c>
      <c r="F2911">
        <v>10.0</v>
      </c>
      <c r="G2911" s="2" t="s">
        <v>67</v>
      </c>
      <c r="H2911" s="2">
        <v>54.0</v>
      </c>
      <c r="I2911" s="2">
        <v>81.0</v>
      </c>
      <c r="J2911" s="37">
        <v>1318.14</v>
      </c>
      <c r="K2911" s="2">
        <v>63.0</v>
      </c>
      <c r="L2911" s="2">
        <v>275.0</v>
      </c>
      <c r="M2911" s="37">
        <v>1772.48</v>
      </c>
    </row>
    <row r="2912" ht="14.25" customHeight="1">
      <c r="A2912" t="s">
        <v>2970</v>
      </c>
      <c r="B2912" t="s">
        <v>2727</v>
      </c>
      <c r="C2912" t="s">
        <v>75</v>
      </c>
      <c r="D2912" t="s">
        <v>63</v>
      </c>
      <c r="E2912">
        <v>10.0</v>
      </c>
      <c r="F2912">
        <v>10.0</v>
      </c>
      <c r="G2912" s="2" t="s">
        <v>67</v>
      </c>
      <c r="H2912" s="2">
        <v>54.0</v>
      </c>
      <c r="I2912" s="2">
        <v>81.0</v>
      </c>
      <c r="J2912" s="37">
        <v>1318.14</v>
      </c>
      <c r="K2912" s="2">
        <v>63.0</v>
      </c>
      <c r="L2912" s="2">
        <v>275.0</v>
      </c>
      <c r="M2912" s="37">
        <v>1772.48</v>
      </c>
    </row>
    <row r="2913" ht="14.25" customHeight="1">
      <c r="A2913" t="s">
        <v>2971</v>
      </c>
      <c r="B2913" t="s">
        <v>2727</v>
      </c>
      <c r="C2913" t="s">
        <v>75</v>
      </c>
      <c r="D2913" t="s">
        <v>63</v>
      </c>
      <c r="E2913">
        <v>10.0</v>
      </c>
      <c r="F2913">
        <v>10.0</v>
      </c>
      <c r="G2913" s="2" t="s">
        <v>67</v>
      </c>
      <c r="H2913" s="2">
        <v>54.0</v>
      </c>
      <c r="I2913" s="2">
        <v>81.0</v>
      </c>
      <c r="J2913" s="37">
        <v>1318.14</v>
      </c>
      <c r="K2913" s="2">
        <v>63.0</v>
      </c>
      <c r="L2913" s="2">
        <v>275.0</v>
      </c>
      <c r="M2913" s="37">
        <v>1772.48</v>
      </c>
    </row>
    <row r="2914" ht="14.25" customHeight="1">
      <c r="A2914" t="s">
        <v>2971</v>
      </c>
      <c r="B2914" t="s">
        <v>2727</v>
      </c>
      <c r="C2914" t="s">
        <v>75</v>
      </c>
      <c r="D2914" t="s">
        <v>63</v>
      </c>
      <c r="E2914">
        <v>10.0</v>
      </c>
      <c r="F2914">
        <v>10.0</v>
      </c>
      <c r="G2914" s="2" t="s">
        <v>67</v>
      </c>
      <c r="H2914" s="2">
        <v>54.0</v>
      </c>
      <c r="I2914" s="2">
        <v>81.0</v>
      </c>
      <c r="J2914" s="37">
        <v>1318.14</v>
      </c>
      <c r="K2914" s="2">
        <v>63.0</v>
      </c>
      <c r="L2914" s="2">
        <v>275.0</v>
      </c>
      <c r="M2914" s="37">
        <v>1772.48</v>
      </c>
    </row>
    <row r="2915" ht="14.25" customHeight="1">
      <c r="A2915" t="s">
        <v>2972</v>
      </c>
      <c r="B2915" t="s">
        <v>2727</v>
      </c>
      <c r="C2915" t="s">
        <v>62</v>
      </c>
      <c r="D2915" t="s">
        <v>63</v>
      </c>
      <c r="E2915">
        <v>5.0</v>
      </c>
      <c r="F2915">
        <v>5.4</v>
      </c>
      <c r="G2915" s="2" t="s">
        <v>64</v>
      </c>
      <c r="H2915" s="2">
        <v>0.0</v>
      </c>
      <c r="I2915" s="2">
        <v>0.0</v>
      </c>
      <c r="J2915" s="37">
        <v>0.0</v>
      </c>
      <c r="K2915" s="2">
        <v>0.0</v>
      </c>
      <c r="L2915" s="2">
        <v>0.0</v>
      </c>
      <c r="M2915" s="37">
        <v>0.0</v>
      </c>
    </row>
    <row r="2916" ht="14.25" customHeight="1">
      <c r="A2916" t="s">
        <v>2973</v>
      </c>
      <c r="B2916" t="s">
        <v>2727</v>
      </c>
      <c r="C2916" t="s">
        <v>62</v>
      </c>
      <c r="D2916" t="s">
        <v>63</v>
      </c>
      <c r="E2916">
        <v>5.0</v>
      </c>
      <c r="F2916">
        <v>5.4</v>
      </c>
      <c r="G2916" s="2" t="s">
        <v>64</v>
      </c>
      <c r="H2916" s="2">
        <v>0.0</v>
      </c>
      <c r="I2916" s="2">
        <v>0.0</v>
      </c>
      <c r="J2916" s="37">
        <v>0.0</v>
      </c>
      <c r="K2916" s="2">
        <v>0.0</v>
      </c>
      <c r="L2916" s="2">
        <v>0.0</v>
      </c>
      <c r="M2916" s="37">
        <v>0.0</v>
      </c>
    </row>
    <row r="2917" ht="14.25" customHeight="1">
      <c r="A2917" t="s">
        <v>2974</v>
      </c>
      <c r="B2917" t="s">
        <v>2727</v>
      </c>
      <c r="C2917" t="s">
        <v>75</v>
      </c>
      <c r="D2917" t="s">
        <v>63</v>
      </c>
      <c r="E2917">
        <v>5.0</v>
      </c>
      <c r="F2917">
        <v>5.4</v>
      </c>
      <c r="G2917" s="2" t="s">
        <v>64</v>
      </c>
      <c r="H2917" s="2">
        <v>0.0</v>
      </c>
      <c r="I2917" s="2">
        <v>0.0</v>
      </c>
      <c r="J2917" s="37">
        <v>0.0</v>
      </c>
      <c r="K2917" s="2">
        <v>0.0</v>
      </c>
      <c r="L2917" s="2">
        <v>0.0</v>
      </c>
      <c r="M2917" s="37">
        <v>0.0</v>
      </c>
    </row>
    <row r="2918" ht="14.25" customHeight="1">
      <c r="A2918" t="s">
        <v>2975</v>
      </c>
      <c r="B2918" t="s">
        <v>2727</v>
      </c>
      <c r="C2918" t="s">
        <v>75</v>
      </c>
      <c r="D2918" t="s">
        <v>63</v>
      </c>
      <c r="E2918">
        <v>5.0</v>
      </c>
      <c r="F2918">
        <v>5.4</v>
      </c>
      <c r="G2918" s="2" t="s">
        <v>64</v>
      </c>
      <c r="H2918" s="2">
        <v>0.0</v>
      </c>
      <c r="I2918" s="2">
        <v>0.0</v>
      </c>
      <c r="J2918" s="37">
        <v>0.0</v>
      </c>
      <c r="K2918" s="2">
        <v>0.0</v>
      </c>
      <c r="L2918" s="2">
        <v>0.0</v>
      </c>
      <c r="M2918" s="37">
        <v>0.0</v>
      </c>
    </row>
    <row r="2919" ht="14.25" customHeight="1">
      <c r="A2919" t="s">
        <v>2976</v>
      </c>
      <c r="B2919" t="s">
        <v>2727</v>
      </c>
      <c r="C2919" t="s">
        <v>62</v>
      </c>
      <c r="D2919" t="s">
        <v>63</v>
      </c>
      <c r="E2919">
        <v>5.6</v>
      </c>
      <c r="F2919">
        <v>6.7</v>
      </c>
      <c r="G2919" s="2" t="s">
        <v>64</v>
      </c>
      <c r="H2919" s="2">
        <v>0.0</v>
      </c>
      <c r="I2919" s="2">
        <v>0.0</v>
      </c>
      <c r="J2919" s="37">
        <v>0.0</v>
      </c>
      <c r="K2919" s="2">
        <v>0.0</v>
      </c>
      <c r="L2919" s="2">
        <v>0.0</v>
      </c>
      <c r="M2919" s="37">
        <v>0.0</v>
      </c>
    </row>
    <row r="2920" ht="14.25" customHeight="1">
      <c r="A2920" t="s">
        <v>2977</v>
      </c>
      <c r="B2920" t="s">
        <v>2727</v>
      </c>
      <c r="C2920" t="s">
        <v>62</v>
      </c>
      <c r="D2920" t="s">
        <v>63</v>
      </c>
      <c r="E2920">
        <v>5.6</v>
      </c>
      <c r="F2920">
        <v>6.7</v>
      </c>
      <c r="G2920" s="2" t="s">
        <v>64</v>
      </c>
      <c r="H2920" s="2">
        <v>0.0</v>
      </c>
      <c r="I2920" s="2">
        <v>0.0</v>
      </c>
      <c r="J2920" s="37">
        <v>0.0</v>
      </c>
      <c r="K2920" s="2">
        <v>0.0</v>
      </c>
      <c r="L2920" s="2">
        <v>0.0</v>
      </c>
      <c r="M2920" s="37">
        <v>0.0</v>
      </c>
    </row>
    <row r="2921" ht="14.25" customHeight="1">
      <c r="A2921" t="s">
        <v>2978</v>
      </c>
      <c r="B2921" t="s">
        <v>2727</v>
      </c>
      <c r="C2921" t="s">
        <v>75</v>
      </c>
      <c r="D2921" t="s">
        <v>63</v>
      </c>
      <c r="E2921">
        <v>10.0</v>
      </c>
      <c r="F2921">
        <v>10.0</v>
      </c>
      <c r="G2921" s="2" t="s">
        <v>64</v>
      </c>
      <c r="H2921" s="2">
        <v>0.0</v>
      </c>
      <c r="I2921" s="2">
        <v>0.0</v>
      </c>
      <c r="J2921" s="37">
        <v>0.0</v>
      </c>
      <c r="K2921" s="2">
        <v>0.0</v>
      </c>
      <c r="L2921" s="2">
        <v>0.0</v>
      </c>
      <c r="M2921" s="37">
        <v>0.0</v>
      </c>
    </row>
    <row r="2922" ht="14.25" customHeight="1">
      <c r="A2922" t="s">
        <v>2979</v>
      </c>
      <c r="B2922" t="s">
        <v>2727</v>
      </c>
      <c r="C2922" t="s">
        <v>75</v>
      </c>
      <c r="D2922" t="s">
        <v>63</v>
      </c>
      <c r="E2922">
        <v>10.0</v>
      </c>
      <c r="F2922">
        <v>10.0</v>
      </c>
      <c r="G2922" s="2" t="s">
        <v>64</v>
      </c>
      <c r="H2922" s="2">
        <v>0.0</v>
      </c>
      <c r="I2922" s="2">
        <v>0.0</v>
      </c>
      <c r="J2922" s="37">
        <v>0.0</v>
      </c>
      <c r="K2922" s="2">
        <v>0.0</v>
      </c>
      <c r="L2922" s="2">
        <v>0.0</v>
      </c>
      <c r="M2922" s="37">
        <v>0.0</v>
      </c>
    </row>
    <row r="2923" ht="14.25" customHeight="1">
      <c r="A2923" t="s">
        <v>2980</v>
      </c>
      <c r="B2923" t="s">
        <v>2727</v>
      </c>
      <c r="C2923" t="s">
        <v>75</v>
      </c>
      <c r="D2923" t="s">
        <v>63</v>
      </c>
      <c r="E2923">
        <v>10.0</v>
      </c>
      <c r="F2923">
        <v>10.0</v>
      </c>
      <c r="G2923" s="2" t="s">
        <v>64</v>
      </c>
      <c r="H2923" s="2">
        <v>0.0</v>
      </c>
      <c r="I2923" s="2">
        <v>0.0</v>
      </c>
      <c r="J2923" s="37">
        <v>0.0</v>
      </c>
      <c r="K2923" s="2">
        <v>0.0</v>
      </c>
      <c r="L2923" s="2">
        <v>0.0</v>
      </c>
      <c r="M2923" s="37">
        <v>0.0</v>
      </c>
    </row>
    <row r="2924" ht="14.25" customHeight="1">
      <c r="A2924" t="s">
        <v>2981</v>
      </c>
      <c r="B2924" t="s">
        <v>2727</v>
      </c>
      <c r="C2924" t="s">
        <v>75</v>
      </c>
      <c r="D2924" t="s">
        <v>63</v>
      </c>
      <c r="E2924">
        <v>10.0</v>
      </c>
      <c r="F2924">
        <v>10.0</v>
      </c>
      <c r="G2924" s="2" t="s">
        <v>64</v>
      </c>
      <c r="H2924" s="2">
        <v>0.0</v>
      </c>
      <c r="I2924" s="2">
        <v>0.0</v>
      </c>
      <c r="J2924" s="37">
        <v>0.0</v>
      </c>
      <c r="K2924" s="2">
        <v>0.0</v>
      </c>
      <c r="L2924" s="2">
        <v>0.0</v>
      </c>
      <c r="M2924" s="37">
        <v>0.0</v>
      </c>
    </row>
    <row r="2925" ht="14.25" customHeight="1">
      <c r="A2925" t="s">
        <v>2981</v>
      </c>
      <c r="B2925" t="s">
        <v>2727</v>
      </c>
      <c r="C2925" t="s">
        <v>75</v>
      </c>
      <c r="D2925" t="s">
        <v>63</v>
      </c>
      <c r="E2925">
        <v>10.0</v>
      </c>
      <c r="F2925">
        <v>10.0</v>
      </c>
      <c r="G2925" s="2" t="s">
        <v>64</v>
      </c>
      <c r="H2925" s="2">
        <v>0.0</v>
      </c>
      <c r="I2925" s="2">
        <v>0.0</v>
      </c>
      <c r="J2925" s="37">
        <v>0.0</v>
      </c>
      <c r="K2925" s="2">
        <v>0.0</v>
      </c>
      <c r="L2925" s="2">
        <v>0.0</v>
      </c>
      <c r="M2925" s="37">
        <v>0.0</v>
      </c>
    </row>
    <row r="2926" ht="14.25" customHeight="1">
      <c r="A2926" t="s">
        <v>2982</v>
      </c>
      <c r="B2926" t="s">
        <v>2727</v>
      </c>
      <c r="C2926" t="s">
        <v>62</v>
      </c>
      <c r="D2926" t="s">
        <v>63</v>
      </c>
      <c r="E2926">
        <v>1.5</v>
      </c>
      <c r="F2926">
        <v>2.0</v>
      </c>
      <c r="G2926" s="2" t="s">
        <v>64</v>
      </c>
      <c r="H2926" s="2">
        <v>0.0</v>
      </c>
      <c r="I2926" s="2">
        <v>0.0</v>
      </c>
      <c r="J2926" s="37">
        <v>0.0</v>
      </c>
      <c r="K2926" s="2">
        <v>0.0</v>
      </c>
      <c r="L2926" s="2">
        <v>0.0</v>
      </c>
      <c r="M2926" s="37">
        <v>0.0</v>
      </c>
    </row>
    <row r="2927" ht="14.25" customHeight="1">
      <c r="A2927" t="s">
        <v>2983</v>
      </c>
      <c r="B2927" t="s">
        <v>2727</v>
      </c>
      <c r="C2927" t="s">
        <v>62</v>
      </c>
      <c r="D2927" t="s">
        <v>63</v>
      </c>
      <c r="E2927">
        <v>2.5</v>
      </c>
      <c r="F2927">
        <v>3.0</v>
      </c>
      <c r="G2927" s="2" t="s">
        <v>64</v>
      </c>
      <c r="H2927" s="2">
        <v>0.0</v>
      </c>
      <c r="I2927" s="2">
        <v>0.0</v>
      </c>
      <c r="J2927" s="37">
        <v>0.0</v>
      </c>
      <c r="K2927" s="2">
        <v>0.0</v>
      </c>
      <c r="L2927" s="2">
        <v>0.0</v>
      </c>
      <c r="M2927" s="37">
        <v>0.0</v>
      </c>
    </row>
    <row r="2928" ht="14.25" customHeight="1">
      <c r="A2928" t="s">
        <v>2984</v>
      </c>
      <c r="B2928" t="s">
        <v>2727</v>
      </c>
      <c r="C2928" t="s">
        <v>62</v>
      </c>
      <c r="D2928" t="s">
        <v>63</v>
      </c>
      <c r="E2928">
        <v>6.3</v>
      </c>
      <c r="F2928">
        <v>7.1</v>
      </c>
      <c r="G2928" s="2" t="s">
        <v>67</v>
      </c>
      <c r="H2928" s="2">
        <v>37.0</v>
      </c>
      <c r="I2928" s="2">
        <v>65.0</v>
      </c>
      <c r="J2928" s="37">
        <v>915.52</v>
      </c>
      <c r="K2928" s="2">
        <v>42.0</v>
      </c>
      <c r="L2928" s="2">
        <v>173.0</v>
      </c>
      <c r="M2928" s="37">
        <v>1168.22</v>
      </c>
    </row>
    <row r="2929" ht="14.25" customHeight="1">
      <c r="A2929" t="s">
        <v>2985</v>
      </c>
      <c r="B2929" t="s">
        <v>2727</v>
      </c>
      <c r="C2929" t="s">
        <v>62</v>
      </c>
      <c r="D2929" t="s">
        <v>63</v>
      </c>
      <c r="E2929">
        <v>7.1</v>
      </c>
      <c r="F2929">
        <v>8.0</v>
      </c>
      <c r="G2929" s="2" t="s">
        <v>67</v>
      </c>
      <c r="H2929" s="2">
        <v>40.0</v>
      </c>
      <c r="I2929" s="2">
        <v>-36.0</v>
      </c>
      <c r="J2929" s="37">
        <v>898.4000000000001</v>
      </c>
      <c r="K2929" s="2">
        <v>46.0</v>
      </c>
      <c r="L2929" s="2">
        <v>85.0</v>
      </c>
      <c r="M2929" s="37">
        <v>1143.66</v>
      </c>
    </row>
    <row r="2930" ht="14.25" customHeight="1">
      <c r="A2930" t="s">
        <v>2986</v>
      </c>
      <c r="B2930" t="s">
        <v>2727</v>
      </c>
      <c r="C2930" t="s">
        <v>62</v>
      </c>
      <c r="D2930" t="s">
        <v>63</v>
      </c>
      <c r="E2930">
        <v>10.0</v>
      </c>
      <c r="F2930">
        <v>11.2</v>
      </c>
      <c r="G2930" s="2" t="s">
        <v>64</v>
      </c>
      <c r="H2930" s="2">
        <v>0.0</v>
      </c>
      <c r="I2930" s="2">
        <v>0.0</v>
      </c>
      <c r="J2930" s="37">
        <v>0.0</v>
      </c>
      <c r="K2930" s="2">
        <v>0.0</v>
      </c>
      <c r="L2930" s="2">
        <v>0.0</v>
      </c>
      <c r="M2930" s="37">
        <v>0.0</v>
      </c>
    </row>
    <row r="2931" ht="14.25" customHeight="1">
      <c r="A2931" t="s">
        <v>2987</v>
      </c>
      <c r="B2931" t="s">
        <v>2727</v>
      </c>
      <c r="C2931" t="s">
        <v>62</v>
      </c>
      <c r="D2931" t="s">
        <v>63</v>
      </c>
      <c r="E2931">
        <v>10.0</v>
      </c>
      <c r="F2931">
        <v>11.2</v>
      </c>
      <c r="G2931" s="2" t="s">
        <v>64</v>
      </c>
      <c r="H2931" s="2">
        <v>0.0</v>
      </c>
      <c r="I2931" s="2">
        <v>0.0</v>
      </c>
      <c r="J2931" s="37">
        <v>0.0</v>
      </c>
      <c r="K2931" s="2">
        <v>0.0</v>
      </c>
      <c r="L2931" s="2">
        <v>0.0</v>
      </c>
      <c r="M2931" s="37">
        <v>0.0</v>
      </c>
    </row>
    <row r="2932" ht="14.25" customHeight="1">
      <c r="A2932" t="s">
        <v>2988</v>
      </c>
      <c r="B2932" t="s">
        <v>2727</v>
      </c>
      <c r="C2932" t="s">
        <v>62</v>
      </c>
      <c r="D2932" t="s">
        <v>63</v>
      </c>
      <c r="E2932">
        <v>10.0</v>
      </c>
      <c r="F2932">
        <v>11.2</v>
      </c>
      <c r="G2932" s="2" t="s">
        <v>64</v>
      </c>
      <c r="H2932" s="2">
        <v>0.0</v>
      </c>
      <c r="I2932" s="2">
        <v>0.0</v>
      </c>
      <c r="J2932" s="37">
        <v>0.0</v>
      </c>
      <c r="K2932" s="2">
        <v>0.0</v>
      </c>
      <c r="L2932" s="2">
        <v>0.0</v>
      </c>
      <c r="M2932" s="37">
        <v>0.0</v>
      </c>
    </row>
    <row r="2933" ht="14.25" customHeight="1">
      <c r="A2933" t="s">
        <v>2989</v>
      </c>
      <c r="B2933" t="s">
        <v>2727</v>
      </c>
      <c r="C2933" t="s">
        <v>62</v>
      </c>
      <c r="D2933" t="s">
        <v>63</v>
      </c>
      <c r="E2933">
        <v>10.0</v>
      </c>
      <c r="F2933">
        <v>11.2</v>
      </c>
      <c r="G2933" s="2" t="s">
        <v>64</v>
      </c>
      <c r="H2933" s="2">
        <v>0.0</v>
      </c>
      <c r="I2933" s="2">
        <v>0.0</v>
      </c>
      <c r="J2933" s="37">
        <v>0.0</v>
      </c>
      <c r="K2933" s="2">
        <v>0.0</v>
      </c>
      <c r="L2933" s="2">
        <v>0.0</v>
      </c>
      <c r="M2933" s="37">
        <v>0.0</v>
      </c>
    </row>
    <row r="2934" ht="14.25" customHeight="1">
      <c r="A2934" t="s">
        <v>2990</v>
      </c>
      <c r="B2934" t="s">
        <v>2727</v>
      </c>
      <c r="C2934" t="s">
        <v>62</v>
      </c>
      <c r="D2934" t="s">
        <v>63</v>
      </c>
      <c r="E2934">
        <v>10.0</v>
      </c>
      <c r="F2934">
        <v>11.2</v>
      </c>
      <c r="G2934" s="2" t="s">
        <v>64</v>
      </c>
      <c r="H2934" s="2">
        <v>0.0</v>
      </c>
      <c r="I2934" s="2">
        <v>0.0</v>
      </c>
      <c r="J2934" s="37">
        <v>0.0</v>
      </c>
      <c r="K2934" s="2">
        <v>0.0</v>
      </c>
      <c r="L2934" s="2">
        <v>0.0</v>
      </c>
      <c r="M2934" s="37">
        <v>0.0</v>
      </c>
    </row>
    <row r="2935" ht="14.25" customHeight="1">
      <c r="A2935" t="s">
        <v>2991</v>
      </c>
      <c r="B2935" t="s">
        <v>2727</v>
      </c>
      <c r="C2935" t="s">
        <v>62</v>
      </c>
      <c r="D2935" t="s">
        <v>63</v>
      </c>
      <c r="E2935">
        <v>10.0</v>
      </c>
      <c r="F2935">
        <v>11.2</v>
      </c>
      <c r="G2935" s="2" t="s">
        <v>64</v>
      </c>
      <c r="H2935" s="2">
        <v>0.0</v>
      </c>
      <c r="I2935" s="2">
        <v>0.0</v>
      </c>
      <c r="J2935" s="37">
        <v>0.0</v>
      </c>
      <c r="K2935" s="2">
        <v>0.0</v>
      </c>
      <c r="L2935" s="2">
        <v>0.0</v>
      </c>
      <c r="M2935" s="37">
        <v>0.0</v>
      </c>
    </row>
    <row r="2936" ht="14.25" customHeight="1">
      <c r="A2936" t="s">
        <v>2992</v>
      </c>
      <c r="B2936" t="s">
        <v>2993</v>
      </c>
      <c r="C2936" t="s">
        <v>62</v>
      </c>
      <c r="D2936" t="s">
        <v>63</v>
      </c>
      <c r="E2936">
        <v>2.48</v>
      </c>
      <c r="F2936">
        <v>3.24</v>
      </c>
      <c r="G2936" s="2" t="s">
        <v>64</v>
      </c>
      <c r="H2936" s="2">
        <v>0.0</v>
      </c>
      <c r="I2936" s="2">
        <v>0.0</v>
      </c>
      <c r="J2936" s="37">
        <v>0.0</v>
      </c>
      <c r="K2936" s="2">
        <v>0.0</v>
      </c>
      <c r="L2936" s="2">
        <v>0.0</v>
      </c>
      <c r="M2936" s="37">
        <v>0.0</v>
      </c>
    </row>
    <row r="2937" ht="14.25" customHeight="1">
      <c r="A2937" t="s">
        <v>2994</v>
      </c>
      <c r="B2937" t="s">
        <v>2993</v>
      </c>
      <c r="C2937" t="s">
        <v>62</v>
      </c>
      <c r="D2937" t="s">
        <v>63</v>
      </c>
      <c r="E2937">
        <v>3.45</v>
      </c>
      <c r="F2937">
        <v>4.02</v>
      </c>
      <c r="G2937" s="2" t="s">
        <v>64</v>
      </c>
      <c r="H2937" s="2">
        <v>0.0</v>
      </c>
      <c r="I2937" s="2">
        <v>0.0</v>
      </c>
      <c r="J2937" s="37">
        <v>0.0</v>
      </c>
      <c r="K2937" s="2">
        <v>0.0</v>
      </c>
      <c r="L2937" s="2">
        <v>0.0</v>
      </c>
      <c r="M2937" s="37">
        <v>0.0</v>
      </c>
    </row>
    <row r="2938" ht="14.25" customHeight="1">
      <c r="A2938" t="s">
        <v>2995</v>
      </c>
      <c r="B2938" t="s">
        <v>2993</v>
      </c>
      <c r="C2938" t="s">
        <v>62</v>
      </c>
      <c r="D2938" t="s">
        <v>63</v>
      </c>
      <c r="E2938">
        <v>5.14</v>
      </c>
      <c r="F2938">
        <v>5.95</v>
      </c>
      <c r="G2938" s="2" t="s">
        <v>67</v>
      </c>
      <c r="H2938" s="2">
        <v>32.0</v>
      </c>
      <c r="I2938" s="2">
        <v>210.0</v>
      </c>
      <c r="J2938" s="37">
        <v>991.72</v>
      </c>
      <c r="K2938" s="2">
        <v>37.0</v>
      </c>
      <c r="L2938" s="2">
        <v>299.0</v>
      </c>
      <c r="M2938" s="37">
        <v>1219.72</v>
      </c>
    </row>
    <row r="2939" ht="14.25" customHeight="1">
      <c r="A2939" t="s">
        <v>2996</v>
      </c>
      <c r="B2939" t="s">
        <v>2993</v>
      </c>
      <c r="C2939" t="s">
        <v>62</v>
      </c>
      <c r="D2939" t="s">
        <v>63</v>
      </c>
      <c r="E2939">
        <v>7.07</v>
      </c>
      <c r="F2939">
        <v>7.94</v>
      </c>
      <c r="G2939" s="2" t="s">
        <v>64</v>
      </c>
      <c r="H2939" s="2">
        <v>0.0</v>
      </c>
      <c r="I2939" s="2">
        <v>0.0</v>
      </c>
      <c r="J2939" s="37">
        <v>0.0</v>
      </c>
      <c r="K2939" s="2">
        <v>0.0</v>
      </c>
      <c r="L2939" s="2">
        <v>0.0</v>
      </c>
      <c r="M2939" s="37">
        <v>0.0</v>
      </c>
    </row>
    <row r="2940" ht="14.25" customHeight="1">
      <c r="A2940">
        <v>2404.0</v>
      </c>
      <c r="B2940" t="s">
        <v>2993</v>
      </c>
      <c r="C2940" t="s">
        <v>62</v>
      </c>
      <c r="D2940" t="s">
        <v>268</v>
      </c>
      <c r="E2940">
        <v>3.5</v>
      </c>
      <c r="F2940">
        <v>2.93</v>
      </c>
      <c r="G2940" s="2" t="s">
        <v>64</v>
      </c>
      <c r="H2940" s="2">
        <v>0.0</v>
      </c>
      <c r="I2940" s="2">
        <v>0.0</v>
      </c>
      <c r="J2940" s="37">
        <v>0.0</v>
      </c>
      <c r="K2940" s="2">
        <v>0.0</v>
      </c>
      <c r="L2940" s="2">
        <v>0.0</v>
      </c>
      <c r="M2940" s="37">
        <v>0.0</v>
      </c>
    </row>
    <row r="2941" ht="14.25" customHeight="1">
      <c r="A2941" t="s">
        <v>2997</v>
      </c>
      <c r="B2941" t="s">
        <v>2993</v>
      </c>
      <c r="C2941" t="s">
        <v>62</v>
      </c>
      <c r="D2941" t="s">
        <v>258</v>
      </c>
      <c r="E2941">
        <v>2.12</v>
      </c>
      <c r="F2941">
        <v>2.0</v>
      </c>
      <c r="G2941" s="2" t="s">
        <v>64</v>
      </c>
      <c r="H2941" s="2">
        <v>0.0</v>
      </c>
      <c r="I2941" s="2">
        <v>0.0</v>
      </c>
      <c r="J2941" s="37">
        <v>0.0</v>
      </c>
      <c r="K2941" s="2">
        <v>0.0</v>
      </c>
      <c r="L2941" s="2">
        <v>0.0</v>
      </c>
      <c r="M2941" s="37">
        <v>0.0</v>
      </c>
    </row>
    <row r="2942" ht="14.25" customHeight="1">
      <c r="A2942" t="s">
        <v>2998</v>
      </c>
      <c r="B2942" t="s">
        <v>2993</v>
      </c>
      <c r="C2942" t="s">
        <v>62</v>
      </c>
      <c r="D2942" t="s">
        <v>258</v>
      </c>
      <c r="E2942">
        <v>2.04</v>
      </c>
      <c r="F2942">
        <v>2.088</v>
      </c>
      <c r="G2942" s="2" t="s">
        <v>64</v>
      </c>
      <c r="H2942" s="2">
        <v>0.0</v>
      </c>
      <c r="I2942" s="2">
        <v>0.0</v>
      </c>
      <c r="J2942" s="37">
        <v>0.0</v>
      </c>
      <c r="K2942" s="2">
        <v>0.0</v>
      </c>
      <c r="L2942" s="2">
        <v>0.0</v>
      </c>
      <c r="M2942" s="37">
        <v>0.0</v>
      </c>
    </row>
    <row r="2943" ht="14.25" customHeight="1">
      <c r="A2943" t="s">
        <v>2999</v>
      </c>
      <c r="B2943" t="s">
        <v>3000</v>
      </c>
      <c r="C2943" t="s">
        <v>62</v>
      </c>
      <c r="D2943" t="s">
        <v>268</v>
      </c>
      <c r="E2943">
        <v>3.517</v>
      </c>
      <c r="F2943">
        <v>2.872</v>
      </c>
      <c r="G2943" s="2" t="s">
        <v>64</v>
      </c>
      <c r="H2943" s="2">
        <v>0.0</v>
      </c>
      <c r="I2943" s="2">
        <v>0.0</v>
      </c>
      <c r="J2943" s="37">
        <v>0.0</v>
      </c>
      <c r="K2943" s="2">
        <v>0.0</v>
      </c>
      <c r="L2943" s="2">
        <v>0.0</v>
      </c>
      <c r="M2943" s="37">
        <v>0.0</v>
      </c>
    </row>
    <row r="2944" ht="14.25" customHeight="1">
      <c r="A2944" t="s">
        <v>3001</v>
      </c>
      <c r="B2944" t="s">
        <v>3000</v>
      </c>
      <c r="C2944" t="s">
        <v>62</v>
      </c>
      <c r="D2944" t="s">
        <v>268</v>
      </c>
      <c r="E2944">
        <v>3.517</v>
      </c>
      <c r="F2944">
        <v>2.872</v>
      </c>
      <c r="G2944" s="2" t="s">
        <v>64</v>
      </c>
      <c r="H2944" s="2">
        <v>0.0</v>
      </c>
      <c r="I2944" s="2">
        <v>0.0</v>
      </c>
      <c r="J2944" s="37">
        <v>0.0</v>
      </c>
      <c r="K2944" s="2">
        <v>0.0</v>
      </c>
      <c r="L2944" s="2">
        <v>0.0</v>
      </c>
      <c r="M2944" s="37">
        <v>0.0</v>
      </c>
    </row>
    <row r="2945" ht="14.25" customHeight="1">
      <c r="A2945" t="s">
        <v>3002</v>
      </c>
      <c r="B2945" t="s">
        <v>3003</v>
      </c>
      <c r="C2945" t="s">
        <v>75</v>
      </c>
      <c r="D2945" t="s">
        <v>63</v>
      </c>
      <c r="E2945">
        <v>6.0</v>
      </c>
      <c r="F2945">
        <v>6.0</v>
      </c>
      <c r="G2945" s="2" t="s">
        <v>64</v>
      </c>
      <c r="H2945" s="2">
        <v>0.0</v>
      </c>
      <c r="I2945" s="2">
        <v>0.0</v>
      </c>
      <c r="J2945" s="37">
        <v>0.0</v>
      </c>
      <c r="K2945" s="2">
        <v>0.0</v>
      </c>
      <c r="L2945" s="2">
        <v>0.0</v>
      </c>
      <c r="M2945" s="37">
        <v>0.0</v>
      </c>
    </row>
    <row r="2946" ht="14.25" customHeight="1">
      <c r="A2946" t="s">
        <v>3004</v>
      </c>
      <c r="B2946" t="s">
        <v>3003</v>
      </c>
      <c r="C2946" t="s">
        <v>75</v>
      </c>
      <c r="D2946" t="s">
        <v>63</v>
      </c>
      <c r="E2946">
        <v>7.1</v>
      </c>
      <c r="F2946">
        <v>7.1</v>
      </c>
      <c r="G2946" s="2" t="s">
        <v>64</v>
      </c>
      <c r="H2946" s="2">
        <v>0.0</v>
      </c>
      <c r="I2946" s="2">
        <v>0.0</v>
      </c>
      <c r="J2946" s="37">
        <v>0.0</v>
      </c>
      <c r="K2946" s="2">
        <v>0.0</v>
      </c>
      <c r="L2946" s="2">
        <v>0.0</v>
      </c>
      <c r="M2946" s="37">
        <v>0.0</v>
      </c>
    </row>
    <row r="2947" ht="14.25" customHeight="1">
      <c r="A2947" t="s">
        <v>3005</v>
      </c>
      <c r="B2947" t="s">
        <v>3003</v>
      </c>
      <c r="C2947" t="s">
        <v>75</v>
      </c>
      <c r="D2947" t="s">
        <v>63</v>
      </c>
      <c r="E2947">
        <v>10.0</v>
      </c>
      <c r="F2947">
        <v>10.0</v>
      </c>
      <c r="G2947" s="2" t="s">
        <v>67</v>
      </c>
      <c r="H2947" s="2">
        <v>53.0</v>
      </c>
      <c r="I2947" s="2">
        <v>244.0</v>
      </c>
      <c r="J2947" s="37">
        <v>1507.5800000000002</v>
      </c>
      <c r="K2947" s="2">
        <v>62.0</v>
      </c>
      <c r="L2947" s="2">
        <v>438.0</v>
      </c>
      <c r="M2947" s="37">
        <v>1961.92</v>
      </c>
    </row>
    <row r="2948" ht="14.25" customHeight="1">
      <c r="A2948" t="s">
        <v>3006</v>
      </c>
      <c r="B2948" t="s">
        <v>3003</v>
      </c>
      <c r="C2948" t="s">
        <v>75</v>
      </c>
      <c r="D2948" t="s">
        <v>63</v>
      </c>
      <c r="E2948">
        <v>10.0</v>
      </c>
      <c r="F2948">
        <v>10.0</v>
      </c>
      <c r="G2948" s="2" t="s">
        <v>67</v>
      </c>
      <c r="H2948" s="2">
        <v>53.0</v>
      </c>
      <c r="I2948" s="2">
        <v>244.0</v>
      </c>
      <c r="J2948" s="37">
        <v>1507.5800000000002</v>
      </c>
      <c r="K2948" s="2">
        <v>62.0</v>
      </c>
      <c r="L2948" s="2">
        <v>438.0</v>
      </c>
      <c r="M2948" s="37">
        <v>1961.92</v>
      </c>
    </row>
    <row r="2949" ht="14.25" customHeight="1">
      <c r="A2949" t="s">
        <v>3007</v>
      </c>
      <c r="B2949" t="s">
        <v>3003</v>
      </c>
      <c r="C2949" t="s">
        <v>75</v>
      </c>
      <c r="D2949" t="s">
        <v>63</v>
      </c>
      <c r="E2949">
        <v>12.5</v>
      </c>
      <c r="F2949">
        <v>12.5</v>
      </c>
      <c r="G2949" s="2" t="s">
        <v>64</v>
      </c>
      <c r="H2949" s="2">
        <v>0.0</v>
      </c>
      <c r="I2949" s="2">
        <v>0.0</v>
      </c>
      <c r="J2949" s="37">
        <v>0.0</v>
      </c>
      <c r="K2949" s="2">
        <v>0.0</v>
      </c>
      <c r="L2949" s="2">
        <v>0.0</v>
      </c>
      <c r="M2949" s="37">
        <v>0.0</v>
      </c>
    </row>
    <row r="2950" ht="14.25" customHeight="1">
      <c r="A2950" t="s">
        <v>3008</v>
      </c>
      <c r="B2950" t="s">
        <v>3003</v>
      </c>
      <c r="C2950" t="s">
        <v>75</v>
      </c>
      <c r="D2950" t="s">
        <v>63</v>
      </c>
      <c r="E2950">
        <v>12.5</v>
      </c>
      <c r="F2950">
        <v>12.5</v>
      </c>
      <c r="G2950" s="2" t="s">
        <v>64</v>
      </c>
      <c r="H2950" s="2">
        <v>0.0</v>
      </c>
      <c r="I2950" s="2">
        <v>0.0</v>
      </c>
      <c r="J2950" s="37">
        <v>0.0</v>
      </c>
      <c r="K2950" s="2">
        <v>0.0</v>
      </c>
      <c r="L2950" s="2">
        <v>0.0</v>
      </c>
      <c r="M2950" s="37">
        <v>0.0</v>
      </c>
    </row>
    <row r="2951" ht="14.25" customHeight="1">
      <c r="A2951" t="s">
        <v>3009</v>
      </c>
      <c r="B2951" t="s">
        <v>3003</v>
      </c>
      <c r="C2951" t="s">
        <v>75</v>
      </c>
      <c r="D2951" t="s">
        <v>63</v>
      </c>
      <c r="E2951">
        <v>14.0</v>
      </c>
      <c r="F2951">
        <v>14.0</v>
      </c>
      <c r="G2951" s="2" t="s">
        <v>64</v>
      </c>
      <c r="H2951" s="2">
        <v>0.0</v>
      </c>
      <c r="I2951" s="2">
        <v>0.0</v>
      </c>
      <c r="J2951" s="37">
        <v>0.0</v>
      </c>
      <c r="K2951" s="2">
        <v>0.0</v>
      </c>
      <c r="L2951" s="2">
        <v>0.0</v>
      </c>
      <c r="M2951" s="37">
        <v>0.0</v>
      </c>
    </row>
    <row r="2952" ht="14.25" customHeight="1">
      <c r="A2952" t="s">
        <v>3010</v>
      </c>
      <c r="B2952" t="s">
        <v>3003</v>
      </c>
      <c r="C2952" t="s">
        <v>75</v>
      </c>
      <c r="D2952" t="s">
        <v>63</v>
      </c>
      <c r="E2952">
        <v>7.1</v>
      </c>
      <c r="F2952">
        <v>8.0</v>
      </c>
      <c r="G2952" s="2" t="s">
        <v>67</v>
      </c>
      <c r="H2952" s="2">
        <v>44.0</v>
      </c>
      <c r="I2952" s="2">
        <v>140.0</v>
      </c>
      <c r="J2952" s="37">
        <v>1170.24</v>
      </c>
      <c r="K2952" s="2">
        <v>51.0</v>
      </c>
      <c r="L2952" s="2">
        <v>277.0</v>
      </c>
      <c r="M2952" s="37">
        <v>1505.56</v>
      </c>
    </row>
    <row r="2953" ht="14.25" customHeight="1">
      <c r="A2953" t="s">
        <v>3011</v>
      </c>
      <c r="B2953" t="s">
        <v>3003</v>
      </c>
      <c r="C2953" t="s">
        <v>75</v>
      </c>
      <c r="D2953" t="s">
        <v>63</v>
      </c>
      <c r="E2953">
        <v>10.0</v>
      </c>
      <c r="F2953">
        <v>11.2</v>
      </c>
      <c r="G2953" s="2" t="s">
        <v>67</v>
      </c>
      <c r="H2953" s="2">
        <v>65.0</v>
      </c>
      <c r="I2953" s="2">
        <v>328.0</v>
      </c>
      <c r="J2953" s="37">
        <v>1886.3000000000002</v>
      </c>
      <c r="K2953" s="2">
        <v>75.0</v>
      </c>
      <c r="L2953" s="2">
        <v>522.0</v>
      </c>
      <c r="M2953" s="37">
        <v>2363.1</v>
      </c>
    </row>
    <row r="2954" ht="14.25" customHeight="1">
      <c r="A2954" t="s">
        <v>3012</v>
      </c>
      <c r="B2954" t="s">
        <v>3003</v>
      </c>
      <c r="C2954" t="s">
        <v>75</v>
      </c>
      <c r="D2954" t="s">
        <v>63</v>
      </c>
      <c r="E2954">
        <v>10.0</v>
      </c>
      <c r="F2954">
        <v>11.2</v>
      </c>
      <c r="G2954" s="2" t="s">
        <v>67</v>
      </c>
      <c r="H2954" s="2">
        <v>65.0</v>
      </c>
      <c r="I2954" s="2">
        <v>328.0</v>
      </c>
      <c r="J2954" s="37">
        <v>1886.3000000000002</v>
      </c>
      <c r="K2954" s="2">
        <v>75.0</v>
      </c>
      <c r="L2954" s="2">
        <v>522.0</v>
      </c>
      <c r="M2954" s="37">
        <v>2363.1</v>
      </c>
    </row>
    <row r="2955" ht="14.25" customHeight="1">
      <c r="A2955" t="s">
        <v>3013</v>
      </c>
      <c r="B2955" t="s">
        <v>3003</v>
      </c>
      <c r="C2955" t="s">
        <v>75</v>
      </c>
      <c r="D2955" t="s">
        <v>63</v>
      </c>
      <c r="E2955">
        <v>12.5</v>
      </c>
      <c r="F2955">
        <v>14.0</v>
      </c>
      <c r="G2955" s="2" t="s">
        <v>67</v>
      </c>
      <c r="H2955" s="2">
        <v>81.0</v>
      </c>
      <c r="I2955" s="2">
        <v>298.0</v>
      </c>
      <c r="J2955" s="37">
        <v>2206.66</v>
      </c>
      <c r="K2955" s="2">
        <v>93.0</v>
      </c>
      <c r="L2955" s="2">
        <v>540.0</v>
      </c>
      <c r="M2955" s="37">
        <v>2790.78</v>
      </c>
    </row>
    <row r="2956" ht="14.25" customHeight="1">
      <c r="A2956" t="s">
        <v>3014</v>
      </c>
      <c r="B2956" t="s">
        <v>3003</v>
      </c>
      <c r="C2956" t="s">
        <v>75</v>
      </c>
      <c r="D2956" t="s">
        <v>63</v>
      </c>
      <c r="E2956">
        <v>12.5</v>
      </c>
      <c r="F2956">
        <v>14.0</v>
      </c>
      <c r="G2956" s="2" t="s">
        <v>67</v>
      </c>
      <c r="H2956" s="2">
        <v>81.0</v>
      </c>
      <c r="I2956" s="2">
        <v>298.0</v>
      </c>
      <c r="J2956" s="37">
        <v>2206.66</v>
      </c>
      <c r="K2956" s="2">
        <v>93.0</v>
      </c>
      <c r="L2956" s="2">
        <v>540.0</v>
      </c>
      <c r="M2956" s="37">
        <v>2790.78</v>
      </c>
    </row>
    <row r="2957" ht="14.25" customHeight="1">
      <c r="A2957" t="s">
        <v>3015</v>
      </c>
      <c r="B2957" t="s">
        <v>3003</v>
      </c>
      <c r="C2957" t="s">
        <v>75</v>
      </c>
      <c r="D2957" t="s">
        <v>63</v>
      </c>
      <c r="E2957">
        <v>14.0</v>
      </c>
      <c r="F2957">
        <v>16.0</v>
      </c>
      <c r="G2957" s="2" t="s">
        <v>64</v>
      </c>
      <c r="H2957" s="2">
        <v>0.0</v>
      </c>
      <c r="I2957" s="2">
        <v>0.0</v>
      </c>
      <c r="J2957" s="37">
        <v>0.0</v>
      </c>
      <c r="K2957" s="2">
        <v>0.0</v>
      </c>
      <c r="L2957" s="2">
        <v>0.0</v>
      </c>
      <c r="M2957" s="37">
        <v>0.0</v>
      </c>
    </row>
    <row r="2958" ht="14.25" customHeight="1">
      <c r="A2958" t="s">
        <v>3016</v>
      </c>
      <c r="B2958" t="s">
        <v>3003</v>
      </c>
      <c r="C2958" t="s">
        <v>75</v>
      </c>
      <c r="D2958" t="s">
        <v>63</v>
      </c>
      <c r="E2958">
        <v>14.0</v>
      </c>
      <c r="F2958">
        <v>16.0</v>
      </c>
      <c r="G2958" s="2" t="s">
        <v>64</v>
      </c>
      <c r="H2958" s="2">
        <v>0.0</v>
      </c>
      <c r="I2958" s="2">
        <v>0.0</v>
      </c>
      <c r="J2958" s="37">
        <v>0.0</v>
      </c>
      <c r="K2958" s="2">
        <v>0.0</v>
      </c>
      <c r="L2958" s="2">
        <v>0.0</v>
      </c>
      <c r="M2958" s="37">
        <v>0.0</v>
      </c>
    </row>
    <row r="2959" ht="14.25" customHeight="1">
      <c r="A2959" t="s">
        <v>3017</v>
      </c>
      <c r="B2959" t="s">
        <v>3003</v>
      </c>
      <c r="C2959" t="s">
        <v>75</v>
      </c>
      <c r="D2959" t="s">
        <v>63</v>
      </c>
      <c r="E2959">
        <v>18.0</v>
      </c>
      <c r="F2959">
        <v>20.0</v>
      </c>
      <c r="G2959" s="2" t="s">
        <v>64</v>
      </c>
      <c r="H2959" s="2">
        <v>0.0</v>
      </c>
      <c r="I2959" s="2">
        <v>0.0</v>
      </c>
      <c r="J2959" s="37">
        <v>0.0</v>
      </c>
      <c r="K2959" s="2">
        <v>0.0</v>
      </c>
      <c r="L2959" s="2">
        <v>0.0</v>
      </c>
      <c r="M2959" s="37">
        <v>0.0</v>
      </c>
    </row>
    <row r="2960" ht="14.25" customHeight="1">
      <c r="A2960" t="s">
        <v>3018</v>
      </c>
      <c r="B2960" t="s">
        <v>3003</v>
      </c>
      <c r="C2960" t="s">
        <v>75</v>
      </c>
      <c r="D2960" t="s">
        <v>63</v>
      </c>
      <c r="E2960">
        <v>20.0</v>
      </c>
      <c r="F2960">
        <v>22.4</v>
      </c>
      <c r="G2960" s="2" t="s">
        <v>64</v>
      </c>
      <c r="H2960" s="2">
        <v>0.0</v>
      </c>
      <c r="I2960" s="2">
        <v>0.0</v>
      </c>
      <c r="J2960" s="37">
        <v>0.0</v>
      </c>
      <c r="K2960" s="2">
        <v>0.0</v>
      </c>
      <c r="L2960" s="2">
        <v>0.0</v>
      </c>
      <c r="M2960" s="37">
        <v>0.0</v>
      </c>
    </row>
    <row r="2961" ht="14.25" customHeight="1">
      <c r="A2961" t="s">
        <v>3019</v>
      </c>
      <c r="B2961" t="s">
        <v>3003</v>
      </c>
      <c r="C2961" t="s">
        <v>75</v>
      </c>
      <c r="D2961" t="s">
        <v>63</v>
      </c>
      <c r="E2961">
        <v>22.4</v>
      </c>
      <c r="F2961">
        <v>25.0</v>
      </c>
      <c r="G2961" s="2" t="s">
        <v>64</v>
      </c>
      <c r="H2961" s="2">
        <v>0.0</v>
      </c>
      <c r="I2961" s="2">
        <v>0.0</v>
      </c>
      <c r="J2961" s="37">
        <v>0.0</v>
      </c>
      <c r="K2961" s="2">
        <v>0.0</v>
      </c>
      <c r="L2961" s="2">
        <v>0.0</v>
      </c>
      <c r="M2961" s="37">
        <v>0.0</v>
      </c>
    </row>
    <row r="2962" ht="14.25" customHeight="1">
      <c r="A2962" t="s">
        <v>3020</v>
      </c>
      <c r="B2962" t="s">
        <v>3003</v>
      </c>
      <c r="C2962" t="s">
        <v>62</v>
      </c>
      <c r="D2962" t="s">
        <v>63</v>
      </c>
      <c r="E2962">
        <v>9.5</v>
      </c>
      <c r="F2962">
        <v>9.5</v>
      </c>
      <c r="G2962" s="2" t="s">
        <v>67</v>
      </c>
      <c r="H2962" s="2">
        <v>54.0</v>
      </c>
      <c r="I2962" s="2">
        <v>22.0</v>
      </c>
      <c r="J2962" s="37">
        <v>1241.44</v>
      </c>
      <c r="K2962" s="2">
        <v>62.0</v>
      </c>
      <c r="L2962" s="2">
        <v>186.0</v>
      </c>
      <c r="M2962" s="37">
        <v>1634.32</v>
      </c>
    </row>
    <row r="2963" ht="14.25" customHeight="1">
      <c r="A2963" t="s">
        <v>3021</v>
      </c>
      <c r="B2963" t="s">
        <v>3003</v>
      </c>
      <c r="C2963" t="s">
        <v>62</v>
      </c>
      <c r="D2963" t="s">
        <v>63</v>
      </c>
      <c r="E2963">
        <v>9.5</v>
      </c>
      <c r="F2963">
        <v>9.5</v>
      </c>
      <c r="G2963" s="2" t="s">
        <v>67</v>
      </c>
      <c r="H2963" s="2">
        <v>54.0</v>
      </c>
      <c r="I2963" s="2">
        <v>22.0</v>
      </c>
      <c r="J2963" s="37">
        <v>1241.44</v>
      </c>
      <c r="K2963" s="2">
        <v>62.0</v>
      </c>
      <c r="L2963" s="2">
        <v>186.0</v>
      </c>
      <c r="M2963" s="37">
        <v>1634.32</v>
      </c>
    </row>
    <row r="2964" ht="14.25" customHeight="1">
      <c r="A2964" t="s">
        <v>3022</v>
      </c>
      <c r="B2964" t="s">
        <v>3003</v>
      </c>
      <c r="C2964" t="s">
        <v>62</v>
      </c>
      <c r="D2964" t="s">
        <v>63</v>
      </c>
      <c r="E2964">
        <v>9.0</v>
      </c>
      <c r="F2964">
        <v>9.0</v>
      </c>
      <c r="G2964" s="2" t="s">
        <v>64</v>
      </c>
      <c r="H2964" s="2">
        <v>0.0</v>
      </c>
      <c r="I2964" s="2">
        <v>0.0</v>
      </c>
      <c r="J2964" s="37">
        <v>0.0</v>
      </c>
      <c r="K2964" s="2">
        <v>0.0</v>
      </c>
      <c r="L2964" s="2">
        <v>0.0</v>
      </c>
      <c r="M2964" s="37">
        <v>0.0</v>
      </c>
    </row>
    <row r="2965" ht="14.25" customHeight="1">
      <c r="A2965" t="s">
        <v>3023</v>
      </c>
      <c r="B2965" t="s">
        <v>3003</v>
      </c>
      <c r="C2965" t="s">
        <v>62</v>
      </c>
      <c r="D2965" t="s">
        <v>63</v>
      </c>
      <c r="E2965">
        <v>9.0</v>
      </c>
      <c r="F2965">
        <v>9.0</v>
      </c>
      <c r="G2965" s="2" t="s">
        <v>64</v>
      </c>
      <c r="H2965" s="2">
        <v>0.0</v>
      </c>
      <c r="I2965" s="2">
        <v>0.0</v>
      </c>
      <c r="J2965" s="37">
        <v>0.0</v>
      </c>
      <c r="K2965" s="2">
        <v>0.0</v>
      </c>
      <c r="L2965" s="2">
        <v>0.0</v>
      </c>
      <c r="M2965" s="37">
        <v>0.0</v>
      </c>
    </row>
    <row r="2966" ht="14.25" customHeight="1">
      <c r="A2966" t="s">
        <v>3024</v>
      </c>
      <c r="B2966" t="s">
        <v>3003</v>
      </c>
      <c r="C2966" t="s">
        <v>62</v>
      </c>
      <c r="D2966" t="s">
        <v>63</v>
      </c>
      <c r="E2966">
        <v>9.5</v>
      </c>
      <c r="F2966">
        <v>9.5</v>
      </c>
      <c r="G2966" s="2" t="s">
        <v>67</v>
      </c>
      <c r="H2966" s="2">
        <v>54.0</v>
      </c>
      <c r="I2966" s="2">
        <v>22.0</v>
      </c>
      <c r="J2966" s="37">
        <v>1241.44</v>
      </c>
      <c r="K2966" s="2">
        <v>62.0</v>
      </c>
      <c r="L2966" s="2">
        <v>186.0</v>
      </c>
      <c r="M2966" s="37">
        <v>1634.32</v>
      </c>
    </row>
    <row r="2967" ht="14.25" customHeight="1">
      <c r="A2967" t="s">
        <v>3025</v>
      </c>
      <c r="B2967" t="s">
        <v>3003</v>
      </c>
      <c r="C2967" t="s">
        <v>62</v>
      </c>
      <c r="D2967" t="s">
        <v>63</v>
      </c>
      <c r="E2967">
        <v>9.5</v>
      </c>
      <c r="F2967">
        <v>9.5</v>
      </c>
      <c r="G2967" s="2" t="s">
        <v>67</v>
      </c>
      <c r="H2967" s="2">
        <v>54.0</v>
      </c>
      <c r="I2967" s="2">
        <v>22.0</v>
      </c>
      <c r="J2967" s="37">
        <v>1241.44</v>
      </c>
      <c r="K2967" s="2">
        <v>62.0</v>
      </c>
      <c r="L2967" s="2">
        <v>186.0</v>
      </c>
      <c r="M2967" s="37">
        <v>1634.32</v>
      </c>
    </row>
    <row r="2968" ht="14.25" customHeight="1">
      <c r="A2968" t="s">
        <v>3026</v>
      </c>
      <c r="B2968" t="s">
        <v>3003</v>
      </c>
      <c r="C2968" t="s">
        <v>62</v>
      </c>
      <c r="D2968" t="s">
        <v>63</v>
      </c>
      <c r="E2968">
        <v>9.0</v>
      </c>
      <c r="F2968">
        <v>9.0</v>
      </c>
      <c r="G2968" s="2" t="s">
        <v>64</v>
      </c>
      <c r="H2968" s="2">
        <v>0.0</v>
      </c>
      <c r="I2968" s="2">
        <v>0.0</v>
      </c>
      <c r="J2968" s="37">
        <v>0.0</v>
      </c>
      <c r="K2968" s="2">
        <v>0.0</v>
      </c>
      <c r="L2968" s="2">
        <v>0.0</v>
      </c>
      <c r="M2968" s="37">
        <v>0.0</v>
      </c>
    </row>
    <row r="2969" ht="14.25" customHeight="1">
      <c r="A2969" t="s">
        <v>3027</v>
      </c>
      <c r="B2969" t="s">
        <v>3003</v>
      </c>
      <c r="C2969" t="s">
        <v>62</v>
      </c>
      <c r="D2969" t="s">
        <v>63</v>
      </c>
      <c r="E2969">
        <v>9.0</v>
      </c>
      <c r="F2969">
        <v>9.0</v>
      </c>
      <c r="G2969" s="2" t="s">
        <v>64</v>
      </c>
      <c r="H2969" s="2">
        <v>0.0</v>
      </c>
      <c r="I2969" s="2">
        <v>0.0</v>
      </c>
      <c r="J2969" s="37">
        <v>0.0</v>
      </c>
      <c r="K2969" s="2">
        <v>0.0</v>
      </c>
      <c r="L2969" s="2">
        <v>0.0</v>
      </c>
      <c r="M2969" s="37">
        <v>0.0</v>
      </c>
    </row>
    <row r="2970" ht="14.25" customHeight="1">
      <c r="A2970" t="s">
        <v>3028</v>
      </c>
      <c r="B2970" t="s">
        <v>3003</v>
      </c>
      <c r="C2970" t="s">
        <v>75</v>
      </c>
      <c r="D2970" t="s">
        <v>63</v>
      </c>
      <c r="E2970">
        <v>7.1</v>
      </c>
      <c r="F2970">
        <v>8.0</v>
      </c>
      <c r="G2970" s="2" t="s">
        <v>67</v>
      </c>
      <c r="H2970" s="2">
        <v>44.0</v>
      </c>
      <c r="I2970" s="2">
        <v>140.0</v>
      </c>
      <c r="J2970" s="37">
        <v>1170.24</v>
      </c>
      <c r="K2970" s="2">
        <v>51.0</v>
      </c>
      <c r="L2970" s="2">
        <v>277.0</v>
      </c>
      <c r="M2970" s="37">
        <v>1505.56</v>
      </c>
    </row>
    <row r="2971" ht="14.25" customHeight="1">
      <c r="A2971" t="s">
        <v>3029</v>
      </c>
      <c r="B2971" t="s">
        <v>3003</v>
      </c>
      <c r="C2971" t="s">
        <v>75</v>
      </c>
      <c r="D2971" t="s">
        <v>63</v>
      </c>
      <c r="E2971">
        <v>10.0</v>
      </c>
      <c r="F2971">
        <v>11.2</v>
      </c>
      <c r="G2971" s="2" t="s">
        <v>67</v>
      </c>
      <c r="H2971" s="2">
        <v>65.0</v>
      </c>
      <c r="I2971" s="2">
        <v>328.0</v>
      </c>
      <c r="J2971" s="37">
        <v>1886.3000000000002</v>
      </c>
      <c r="K2971" s="2">
        <v>75.0</v>
      </c>
      <c r="L2971" s="2">
        <v>522.0</v>
      </c>
      <c r="M2971" s="37">
        <v>2363.1</v>
      </c>
    </row>
    <row r="2972" ht="14.25" customHeight="1">
      <c r="A2972" t="s">
        <v>3030</v>
      </c>
      <c r="B2972" t="s">
        <v>3003</v>
      </c>
      <c r="C2972" t="s">
        <v>75</v>
      </c>
      <c r="D2972" t="s">
        <v>63</v>
      </c>
      <c r="E2972">
        <v>10.0</v>
      </c>
      <c r="F2972">
        <v>11.2</v>
      </c>
      <c r="G2972" s="2" t="s">
        <v>67</v>
      </c>
      <c r="H2972" s="2">
        <v>65.0</v>
      </c>
      <c r="I2972" s="2">
        <v>328.0</v>
      </c>
      <c r="J2972" s="37">
        <v>1886.3000000000002</v>
      </c>
      <c r="K2972" s="2">
        <v>75.0</v>
      </c>
      <c r="L2972" s="2">
        <v>522.0</v>
      </c>
      <c r="M2972" s="37">
        <v>2363.1</v>
      </c>
    </row>
    <row r="2973" ht="14.25" customHeight="1">
      <c r="A2973" t="s">
        <v>3031</v>
      </c>
      <c r="B2973" t="s">
        <v>3003</v>
      </c>
      <c r="C2973" t="s">
        <v>75</v>
      </c>
      <c r="D2973" t="s">
        <v>63</v>
      </c>
      <c r="E2973">
        <v>12.5</v>
      </c>
      <c r="F2973">
        <v>14.0</v>
      </c>
      <c r="G2973" s="2" t="s">
        <v>67</v>
      </c>
      <c r="H2973" s="2">
        <v>80.0</v>
      </c>
      <c r="I2973" s="2">
        <v>264.0</v>
      </c>
      <c r="J2973" s="37">
        <v>2140.0</v>
      </c>
      <c r="K2973" s="2">
        <v>93.0</v>
      </c>
      <c r="L2973" s="2">
        <v>506.0</v>
      </c>
      <c r="M2973" s="37">
        <v>2746.5800000000004</v>
      </c>
    </row>
    <row r="2974" ht="14.25" customHeight="1">
      <c r="A2974" t="s">
        <v>3032</v>
      </c>
      <c r="B2974" t="s">
        <v>3003</v>
      </c>
      <c r="C2974" t="s">
        <v>75</v>
      </c>
      <c r="D2974" t="s">
        <v>63</v>
      </c>
      <c r="E2974">
        <v>12.5</v>
      </c>
      <c r="F2974">
        <v>14.0</v>
      </c>
      <c r="G2974" s="2" t="s">
        <v>67</v>
      </c>
      <c r="H2974" s="2">
        <v>80.0</v>
      </c>
      <c r="I2974" s="2">
        <v>264.0</v>
      </c>
      <c r="J2974" s="37">
        <v>2140.0</v>
      </c>
      <c r="K2974" s="2">
        <v>93.0</v>
      </c>
      <c r="L2974" s="2">
        <v>506.0</v>
      </c>
      <c r="M2974" s="37">
        <v>2746.5800000000004</v>
      </c>
    </row>
    <row r="2975" ht="14.25" customHeight="1">
      <c r="A2975" t="s">
        <v>3033</v>
      </c>
      <c r="B2975" t="s">
        <v>3003</v>
      </c>
      <c r="C2975" t="s">
        <v>75</v>
      </c>
      <c r="D2975" t="s">
        <v>63</v>
      </c>
      <c r="E2975">
        <v>14.0</v>
      </c>
      <c r="F2975">
        <v>16.0</v>
      </c>
      <c r="G2975" s="2" t="s">
        <v>64</v>
      </c>
      <c r="H2975" s="2">
        <v>0.0</v>
      </c>
      <c r="I2975" s="2">
        <v>0.0</v>
      </c>
      <c r="J2975" s="37">
        <v>0.0</v>
      </c>
      <c r="K2975" s="2">
        <v>0.0</v>
      </c>
      <c r="L2975" s="2">
        <v>0.0</v>
      </c>
      <c r="M2975" s="37">
        <v>0.0</v>
      </c>
    </row>
    <row r="2976" ht="14.25" customHeight="1">
      <c r="A2976" t="s">
        <v>3034</v>
      </c>
      <c r="B2976" t="s">
        <v>3003</v>
      </c>
      <c r="C2976" t="s">
        <v>75</v>
      </c>
      <c r="D2976" t="s">
        <v>63</v>
      </c>
      <c r="E2976">
        <v>14.0</v>
      </c>
      <c r="F2976">
        <v>16.0</v>
      </c>
      <c r="G2976" s="2" t="s">
        <v>64</v>
      </c>
      <c r="H2976" s="2">
        <v>0.0</v>
      </c>
      <c r="I2976" s="2">
        <v>0.0</v>
      </c>
      <c r="J2976" s="37">
        <v>0.0</v>
      </c>
      <c r="K2976" s="2">
        <v>0.0</v>
      </c>
      <c r="L2976" s="2">
        <v>0.0</v>
      </c>
      <c r="M2976" s="37">
        <v>0.0</v>
      </c>
    </row>
    <row r="2977" ht="14.25" customHeight="1">
      <c r="A2977" t="s">
        <v>3035</v>
      </c>
      <c r="B2977" t="s">
        <v>3003</v>
      </c>
      <c r="C2977" t="s">
        <v>75</v>
      </c>
      <c r="D2977" t="s">
        <v>63</v>
      </c>
      <c r="E2977">
        <v>6.0</v>
      </c>
      <c r="F2977">
        <v>6.0</v>
      </c>
      <c r="G2977" s="2" t="s">
        <v>64</v>
      </c>
      <c r="H2977" s="2">
        <v>0.0</v>
      </c>
      <c r="I2977" s="2">
        <v>0.0</v>
      </c>
      <c r="J2977" s="37">
        <v>0.0</v>
      </c>
      <c r="K2977" s="2">
        <v>0.0</v>
      </c>
      <c r="L2977" s="2">
        <v>0.0</v>
      </c>
      <c r="M2977" s="37">
        <v>0.0</v>
      </c>
    </row>
    <row r="2978" ht="14.25" customHeight="1">
      <c r="A2978" t="s">
        <v>3036</v>
      </c>
      <c r="B2978" t="s">
        <v>3003</v>
      </c>
      <c r="C2978" t="s">
        <v>75</v>
      </c>
      <c r="D2978" t="s">
        <v>63</v>
      </c>
      <c r="E2978">
        <v>7.1</v>
      </c>
      <c r="F2978">
        <v>7.1</v>
      </c>
      <c r="G2978" s="2" t="s">
        <v>64</v>
      </c>
      <c r="H2978" s="2">
        <v>0.0</v>
      </c>
      <c r="I2978" s="2">
        <v>0.0</v>
      </c>
      <c r="J2978" s="37">
        <v>0.0</v>
      </c>
      <c r="K2978" s="2">
        <v>0.0</v>
      </c>
      <c r="L2978" s="2">
        <v>0.0</v>
      </c>
      <c r="M2978" s="37">
        <v>0.0</v>
      </c>
    </row>
    <row r="2979" ht="14.25" customHeight="1">
      <c r="A2979" t="s">
        <v>3037</v>
      </c>
      <c r="B2979" t="s">
        <v>3003</v>
      </c>
      <c r="C2979" t="s">
        <v>75</v>
      </c>
      <c r="D2979" t="s">
        <v>63</v>
      </c>
      <c r="E2979">
        <v>10.0</v>
      </c>
      <c r="F2979">
        <v>10.0</v>
      </c>
      <c r="G2979" s="2" t="s">
        <v>67</v>
      </c>
      <c r="H2979" s="2">
        <v>53.0</v>
      </c>
      <c r="I2979" s="2">
        <v>188.0</v>
      </c>
      <c r="J2979" s="37">
        <v>1434.7800000000002</v>
      </c>
      <c r="K2979" s="2">
        <v>62.0</v>
      </c>
      <c r="L2979" s="2">
        <v>382.0</v>
      </c>
      <c r="M2979" s="37">
        <v>1889.12</v>
      </c>
    </row>
    <row r="2980" ht="14.25" customHeight="1">
      <c r="A2980" t="s">
        <v>3038</v>
      </c>
      <c r="B2980" t="s">
        <v>3003</v>
      </c>
      <c r="C2980" t="s">
        <v>75</v>
      </c>
      <c r="D2980" t="s">
        <v>63</v>
      </c>
      <c r="E2980">
        <v>10.0</v>
      </c>
      <c r="F2980">
        <v>10.0</v>
      </c>
      <c r="G2980" s="2" t="s">
        <v>67</v>
      </c>
      <c r="H2980" s="2">
        <v>53.0</v>
      </c>
      <c r="I2980" s="2">
        <v>188.0</v>
      </c>
      <c r="J2980" s="37">
        <v>1434.7800000000002</v>
      </c>
      <c r="K2980" s="2">
        <v>62.0</v>
      </c>
      <c r="L2980" s="2">
        <v>382.0</v>
      </c>
      <c r="M2980" s="37">
        <v>1889.12</v>
      </c>
    </row>
    <row r="2981" ht="14.25" customHeight="1">
      <c r="A2981" t="s">
        <v>3039</v>
      </c>
      <c r="B2981" t="s">
        <v>3003</v>
      </c>
      <c r="C2981" t="s">
        <v>75</v>
      </c>
      <c r="D2981" t="s">
        <v>63</v>
      </c>
      <c r="E2981">
        <v>12.5</v>
      </c>
      <c r="F2981">
        <v>12.5</v>
      </c>
      <c r="G2981" s="2" t="s">
        <v>64</v>
      </c>
      <c r="H2981" s="2">
        <v>0.0</v>
      </c>
      <c r="I2981" s="2">
        <v>0.0</v>
      </c>
      <c r="J2981" s="37">
        <v>0.0</v>
      </c>
      <c r="K2981" s="2">
        <v>0.0</v>
      </c>
      <c r="L2981" s="2">
        <v>0.0</v>
      </c>
      <c r="M2981" s="37">
        <v>0.0</v>
      </c>
    </row>
    <row r="2982" ht="14.25" customHeight="1">
      <c r="A2982" t="s">
        <v>3040</v>
      </c>
      <c r="B2982" t="s">
        <v>3003</v>
      </c>
      <c r="C2982" t="s">
        <v>75</v>
      </c>
      <c r="D2982" t="s">
        <v>63</v>
      </c>
      <c r="E2982">
        <v>12.5</v>
      </c>
      <c r="F2982">
        <v>12.5</v>
      </c>
      <c r="G2982" s="2" t="s">
        <v>64</v>
      </c>
      <c r="H2982" s="2">
        <v>0.0</v>
      </c>
      <c r="I2982" s="2">
        <v>0.0</v>
      </c>
      <c r="J2982" s="37">
        <v>0.0</v>
      </c>
      <c r="K2982" s="2">
        <v>0.0</v>
      </c>
      <c r="L2982" s="2">
        <v>0.0</v>
      </c>
      <c r="M2982" s="37">
        <v>0.0</v>
      </c>
    </row>
    <row r="2983" ht="14.25" customHeight="1">
      <c r="A2983" t="s">
        <v>3041</v>
      </c>
      <c r="B2983" t="s">
        <v>3003</v>
      </c>
      <c r="C2983" t="s">
        <v>75</v>
      </c>
      <c r="D2983" t="s">
        <v>63</v>
      </c>
      <c r="E2983">
        <v>14.0</v>
      </c>
      <c r="F2983">
        <v>14.0</v>
      </c>
      <c r="G2983" s="2" t="s">
        <v>64</v>
      </c>
      <c r="H2983" s="2">
        <v>0.0</v>
      </c>
      <c r="I2983" s="2">
        <v>0.0</v>
      </c>
      <c r="J2983" s="37">
        <v>0.0</v>
      </c>
      <c r="K2983" s="2">
        <v>0.0</v>
      </c>
      <c r="L2983" s="2">
        <v>0.0</v>
      </c>
      <c r="M2983" s="37">
        <v>0.0</v>
      </c>
    </row>
    <row r="2984" ht="14.25" customHeight="1">
      <c r="A2984" t="s">
        <v>3042</v>
      </c>
      <c r="B2984" t="s">
        <v>3003</v>
      </c>
      <c r="C2984" t="s">
        <v>75</v>
      </c>
      <c r="D2984" t="s">
        <v>63</v>
      </c>
      <c r="E2984">
        <v>14.0</v>
      </c>
      <c r="F2984">
        <v>14.0</v>
      </c>
      <c r="G2984" s="2" t="s">
        <v>64</v>
      </c>
      <c r="H2984" s="2">
        <v>0.0</v>
      </c>
      <c r="I2984" s="2">
        <v>0.0</v>
      </c>
      <c r="J2984" s="37">
        <v>0.0</v>
      </c>
      <c r="K2984" s="2">
        <v>0.0</v>
      </c>
      <c r="L2984" s="2">
        <v>0.0</v>
      </c>
      <c r="M2984" s="37">
        <v>0.0</v>
      </c>
    </row>
    <row r="2985" ht="14.25" customHeight="1">
      <c r="A2985" t="s">
        <v>3043</v>
      </c>
      <c r="B2985" t="s">
        <v>3003</v>
      </c>
      <c r="C2985" t="s">
        <v>75</v>
      </c>
      <c r="D2985" t="s">
        <v>63</v>
      </c>
      <c r="E2985">
        <v>14.0</v>
      </c>
      <c r="F2985">
        <v>14.0</v>
      </c>
      <c r="G2985" s="2" t="s">
        <v>64</v>
      </c>
      <c r="H2985" s="2">
        <v>0.0</v>
      </c>
      <c r="I2985" s="2">
        <v>0.0</v>
      </c>
      <c r="J2985" s="37">
        <v>0.0</v>
      </c>
      <c r="K2985" s="2">
        <v>0.0</v>
      </c>
      <c r="L2985" s="2">
        <v>0.0</v>
      </c>
      <c r="M2985" s="37">
        <v>0.0</v>
      </c>
    </row>
    <row r="2986" ht="14.25" customHeight="1">
      <c r="A2986" t="s">
        <v>3044</v>
      </c>
      <c r="B2986" t="s">
        <v>3003</v>
      </c>
      <c r="C2986" t="s">
        <v>75</v>
      </c>
      <c r="D2986" t="s">
        <v>63</v>
      </c>
      <c r="E2986">
        <v>16.0</v>
      </c>
      <c r="F2986">
        <v>18.0</v>
      </c>
      <c r="G2986" s="2" t="s">
        <v>64</v>
      </c>
      <c r="H2986" s="2">
        <v>0.0</v>
      </c>
      <c r="I2986" s="2">
        <v>0.0</v>
      </c>
      <c r="J2986" s="37">
        <v>0.0</v>
      </c>
      <c r="K2986" s="2">
        <v>0.0</v>
      </c>
      <c r="L2986" s="2">
        <v>0.0</v>
      </c>
      <c r="M2986" s="37">
        <v>0.0</v>
      </c>
    </row>
    <row r="2987" ht="14.25" customHeight="1">
      <c r="A2987" t="s">
        <v>3045</v>
      </c>
      <c r="B2987" t="s">
        <v>3003</v>
      </c>
      <c r="C2987" t="s">
        <v>75</v>
      </c>
      <c r="D2987" t="s">
        <v>63</v>
      </c>
      <c r="E2987">
        <v>16.0</v>
      </c>
      <c r="F2987">
        <v>18.0</v>
      </c>
      <c r="G2987" s="2" t="s">
        <v>64</v>
      </c>
      <c r="H2987" s="2">
        <v>0.0</v>
      </c>
      <c r="I2987" s="2">
        <v>0.0</v>
      </c>
      <c r="J2987" s="37">
        <v>0.0</v>
      </c>
      <c r="K2987" s="2">
        <v>0.0</v>
      </c>
      <c r="L2987" s="2">
        <v>0.0</v>
      </c>
      <c r="M2987" s="37">
        <v>0.0</v>
      </c>
    </row>
    <row r="2988" ht="14.25" customHeight="1">
      <c r="A2988" t="s">
        <v>3046</v>
      </c>
      <c r="B2988" t="s">
        <v>3003</v>
      </c>
      <c r="C2988" t="s">
        <v>62</v>
      </c>
      <c r="D2988" t="s">
        <v>63</v>
      </c>
      <c r="E2988">
        <v>7.1</v>
      </c>
      <c r="F2988">
        <v>8.0</v>
      </c>
      <c r="G2988" s="2" t="s">
        <v>67</v>
      </c>
      <c r="H2988" s="2">
        <v>46.0</v>
      </c>
      <c r="I2988" s="2">
        <v>255.0</v>
      </c>
      <c r="J2988" s="37">
        <v>1364.66</v>
      </c>
      <c r="K2988" s="2">
        <v>52.0</v>
      </c>
      <c r="L2988" s="2">
        <v>377.0</v>
      </c>
      <c r="M2988" s="37">
        <v>1658.02</v>
      </c>
    </row>
    <row r="2989" ht="14.25" customHeight="1">
      <c r="A2989" t="s">
        <v>3047</v>
      </c>
      <c r="B2989" t="s">
        <v>3003</v>
      </c>
      <c r="C2989" t="s">
        <v>62</v>
      </c>
      <c r="D2989" t="s">
        <v>63</v>
      </c>
      <c r="E2989">
        <v>10.0</v>
      </c>
      <c r="F2989">
        <v>11.2</v>
      </c>
      <c r="G2989" s="2" t="s">
        <v>67</v>
      </c>
      <c r="H2989" s="2">
        <v>74.0</v>
      </c>
      <c r="I2989" s="2">
        <v>535.0</v>
      </c>
      <c r="J2989" s="37">
        <v>2357.54</v>
      </c>
      <c r="K2989" s="2">
        <v>83.0</v>
      </c>
      <c r="L2989" s="2">
        <v>729.0</v>
      </c>
      <c r="M2989" s="37">
        <v>2811.88</v>
      </c>
    </row>
    <row r="2990" ht="14.25" customHeight="1">
      <c r="A2990" t="s">
        <v>3048</v>
      </c>
      <c r="B2990" t="s">
        <v>3003</v>
      </c>
      <c r="C2990" t="s">
        <v>62</v>
      </c>
      <c r="D2990" t="s">
        <v>63</v>
      </c>
      <c r="E2990">
        <v>12.5</v>
      </c>
      <c r="F2990">
        <v>14.0</v>
      </c>
      <c r="G2990" s="2" t="s">
        <v>67</v>
      </c>
      <c r="H2990" s="2">
        <v>87.0</v>
      </c>
      <c r="I2990" s="2">
        <v>416.0</v>
      </c>
      <c r="J2990" s="37">
        <v>2494.82</v>
      </c>
      <c r="K2990" s="2">
        <v>100.0</v>
      </c>
      <c r="L2990" s="2">
        <v>658.0</v>
      </c>
      <c r="M2990" s="37">
        <v>3101.4</v>
      </c>
    </row>
    <row r="2991" ht="14.25" customHeight="1">
      <c r="A2991" t="s">
        <v>3049</v>
      </c>
      <c r="B2991" t="s">
        <v>3003</v>
      </c>
      <c r="C2991" t="s">
        <v>62</v>
      </c>
      <c r="D2991" t="s">
        <v>63</v>
      </c>
      <c r="E2991">
        <v>14.0</v>
      </c>
      <c r="F2991">
        <v>16.0</v>
      </c>
      <c r="G2991" s="2" t="s">
        <v>67</v>
      </c>
      <c r="H2991" s="2">
        <v>95.0</v>
      </c>
      <c r="I2991" s="2">
        <v>227.0</v>
      </c>
      <c r="J2991" s="37">
        <v>2428.8</v>
      </c>
      <c r="K2991" s="2">
        <v>109.0</v>
      </c>
      <c r="L2991" s="2">
        <v>498.0</v>
      </c>
      <c r="M2991" s="37">
        <v>3095.54</v>
      </c>
    </row>
    <row r="2992" ht="14.25" customHeight="1">
      <c r="A2992" t="s">
        <v>3050</v>
      </c>
      <c r="B2992" t="s">
        <v>3003</v>
      </c>
      <c r="C2992" t="s">
        <v>62</v>
      </c>
      <c r="D2992" t="s">
        <v>63</v>
      </c>
      <c r="E2992">
        <v>10.0</v>
      </c>
      <c r="F2992">
        <v>11.2</v>
      </c>
      <c r="G2992" s="2" t="s">
        <v>67</v>
      </c>
      <c r="H2992" s="2">
        <v>74.0</v>
      </c>
      <c r="I2992" s="2">
        <v>535.0</v>
      </c>
      <c r="J2992" s="37">
        <v>2357.54</v>
      </c>
      <c r="K2992" s="2">
        <v>83.0</v>
      </c>
      <c r="L2992" s="2">
        <v>729.0</v>
      </c>
      <c r="M2992" s="37">
        <v>2811.88</v>
      </c>
    </row>
    <row r="2993" ht="14.25" customHeight="1">
      <c r="A2993" t="s">
        <v>3051</v>
      </c>
      <c r="B2993" t="s">
        <v>3003</v>
      </c>
      <c r="C2993" t="s">
        <v>62</v>
      </c>
      <c r="D2993" t="s">
        <v>63</v>
      </c>
      <c r="E2993">
        <v>12.5</v>
      </c>
      <c r="F2993">
        <v>14.0</v>
      </c>
      <c r="G2993" s="2" t="s">
        <v>67</v>
      </c>
      <c r="H2993" s="2">
        <v>87.0</v>
      </c>
      <c r="I2993" s="2">
        <v>416.0</v>
      </c>
      <c r="J2993" s="37">
        <v>2494.82</v>
      </c>
      <c r="K2993" s="2">
        <v>100.0</v>
      </c>
      <c r="L2993" s="2">
        <v>658.0</v>
      </c>
      <c r="M2993" s="37">
        <v>3101.4</v>
      </c>
    </row>
    <row r="2994" ht="14.25" customHeight="1">
      <c r="A2994" t="s">
        <v>3052</v>
      </c>
      <c r="B2994" t="s">
        <v>3003</v>
      </c>
      <c r="C2994" t="s">
        <v>62</v>
      </c>
      <c r="D2994" t="s">
        <v>63</v>
      </c>
      <c r="E2994">
        <v>14.0</v>
      </c>
      <c r="F2994">
        <v>16.0</v>
      </c>
      <c r="G2994" s="2" t="s">
        <v>67</v>
      </c>
      <c r="H2994" s="2">
        <v>95.0</v>
      </c>
      <c r="I2994" s="2">
        <v>227.0</v>
      </c>
      <c r="J2994" s="37">
        <v>2428.8</v>
      </c>
      <c r="K2994" s="2">
        <v>109.0</v>
      </c>
      <c r="L2994" s="2">
        <v>498.0</v>
      </c>
      <c r="M2994" s="37">
        <v>3095.54</v>
      </c>
    </row>
    <row r="2995" ht="14.25" customHeight="1">
      <c r="A2995" t="s">
        <v>3053</v>
      </c>
      <c r="B2995" t="s">
        <v>3003</v>
      </c>
      <c r="C2995" t="s">
        <v>75</v>
      </c>
      <c r="D2995" t="s">
        <v>63</v>
      </c>
      <c r="E2995">
        <v>6.8</v>
      </c>
      <c r="F2995">
        <v>7.5</v>
      </c>
      <c r="G2995" s="2" t="s">
        <v>67</v>
      </c>
      <c r="H2995" s="2">
        <v>45.0</v>
      </c>
      <c r="I2995" s="2">
        <v>209.0</v>
      </c>
      <c r="J2995" s="37">
        <v>1282.4</v>
      </c>
      <c r="K2995" s="2">
        <v>52.0</v>
      </c>
      <c r="L2995" s="2">
        <v>341.0</v>
      </c>
      <c r="M2995" s="37">
        <v>1611.22</v>
      </c>
    </row>
    <row r="2996" ht="14.25" customHeight="1">
      <c r="A2996" t="s">
        <v>3054</v>
      </c>
      <c r="B2996" t="s">
        <v>3003</v>
      </c>
      <c r="C2996" t="s">
        <v>75</v>
      </c>
      <c r="D2996" t="s">
        <v>63</v>
      </c>
      <c r="E2996">
        <v>9.5</v>
      </c>
      <c r="F2996">
        <v>10.8</v>
      </c>
      <c r="G2996" s="2" t="s">
        <v>67</v>
      </c>
      <c r="H2996" s="2">
        <v>66.0</v>
      </c>
      <c r="I2996" s="2">
        <v>439.0</v>
      </c>
      <c r="J2996" s="37">
        <v>2053.0600000000004</v>
      </c>
      <c r="K2996" s="2">
        <v>76.0</v>
      </c>
      <c r="L2996" s="2">
        <v>623.0</v>
      </c>
      <c r="M2996" s="37">
        <v>2516.86</v>
      </c>
    </row>
    <row r="2997" ht="14.25" customHeight="1">
      <c r="A2997" t="s">
        <v>3055</v>
      </c>
      <c r="B2997" t="s">
        <v>3003</v>
      </c>
      <c r="C2997" t="s">
        <v>75</v>
      </c>
      <c r="D2997" t="s">
        <v>63</v>
      </c>
      <c r="E2997">
        <v>9.5</v>
      </c>
      <c r="F2997">
        <v>10.8</v>
      </c>
      <c r="G2997" s="2" t="s">
        <v>67</v>
      </c>
      <c r="H2997" s="2">
        <v>66.0</v>
      </c>
      <c r="I2997" s="2">
        <v>439.0</v>
      </c>
      <c r="J2997" s="37">
        <v>2053.0600000000004</v>
      </c>
      <c r="K2997" s="2">
        <v>76.0</v>
      </c>
      <c r="L2997" s="2">
        <v>623.0</v>
      </c>
      <c r="M2997" s="37">
        <v>2516.86</v>
      </c>
    </row>
    <row r="2998" ht="14.25" customHeight="1">
      <c r="A2998" t="s">
        <v>3056</v>
      </c>
      <c r="B2998" t="s">
        <v>3003</v>
      </c>
      <c r="C2998" t="s">
        <v>75</v>
      </c>
      <c r="D2998" t="s">
        <v>63</v>
      </c>
      <c r="E2998">
        <v>12.1</v>
      </c>
      <c r="F2998">
        <v>13.5</v>
      </c>
      <c r="G2998" s="2" t="s">
        <v>67</v>
      </c>
      <c r="H2998" s="2">
        <v>77.0</v>
      </c>
      <c r="I2998" s="2">
        <v>293.0</v>
      </c>
      <c r="J2998" s="37">
        <v>2110.32</v>
      </c>
      <c r="K2998" s="2">
        <v>89.0</v>
      </c>
      <c r="L2998" s="2">
        <v>527.0</v>
      </c>
      <c r="M2998" s="37">
        <v>2684.04</v>
      </c>
    </row>
    <row r="2999" ht="14.25" customHeight="1">
      <c r="A2999" t="s">
        <v>3057</v>
      </c>
      <c r="B2999" t="s">
        <v>3003</v>
      </c>
      <c r="C2999" t="s">
        <v>75</v>
      </c>
      <c r="D2999" t="s">
        <v>63</v>
      </c>
      <c r="E2999">
        <v>12.1</v>
      </c>
      <c r="F2999">
        <v>13.5</v>
      </c>
      <c r="G2999" s="2" t="s">
        <v>67</v>
      </c>
      <c r="H2999" s="2">
        <v>77.0</v>
      </c>
      <c r="I2999" s="2">
        <v>293.0</v>
      </c>
      <c r="J2999" s="37">
        <v>2110.32</v>
      </c>
      <c r="K2999" s="2">
        <v>89.0</v>
      </c>
      <c r="L2999" s="2">
        <v>527.0</v>
      </c>
      <c r="M2999" s="37">
        <v>2684.04</v>
      </c>
    </row>
    <row r="3000" ht="14.25" customHeight="1">
      <c r="A3000" t="s">
        <v>3058</v>
      </c>
      <c r="B3000" t="s">
        <v>3003</v>
      </c>
      <c r="C3000" t="s">
        <v>75</v>
      </c>
      <c r="D3000" t="s">
        <v>63</v>
      </c>
      <c r="E3000">
        <v>13.4</v>
      </c>
      <c r="F3000">
        <v>15.5</v>
      </c>
      <c r="G3000" s="2" t="s">
        <v>67</v>
      </c>
      <c r="H3000" s="2">
        <v>85.0</v>
      </c>
      <c r="I3000" s="2">
        <v>203.0</v>
      </c>
      <c r="J3000" s="37">
        <v>2173.0</v>
      </c>
      <c r="K3000" s="2">
        <v>98.0</v>
      </c>
      <c r="L3000" s="2">
        <v>462.0</v>
      </c>
      <c r="M3000" s="37">
        <v>2801.68</v>
      </c>
    </row>
    <row r="3001" ht="14.25" customHeight="1">
      <c r="A3001" t="s">
        <v>3059</v>
      </c>
      <c r="B3001" t="s">
        <v>3003</v>
      </c>
      <c r="C3001" t="s">
        <v>75</v>
      </c>
      <c r="D3001" t="s">
        <v>63</v>
      </c>
      <c r="E3001">
        <v>13.4</v>
      </c>
      <c r="F3001">
        <v>15.5</v>
      </c>
      <c r="G3001" s="2" t="s">
        <v>67</v>
      </c>
      <c r="H3001" s="2">
        <v>85.0</v>
      </c>
      <c r="I3001" s="2">
        <v>203.0</v>
      </c>
      <c r="J3001" s="37">
        <v>2173.0</v>
      </c>
      <c r="K3001" s="2">
        <v>98.0</v>
      </c>
      <c r="L3001" s="2">
        <v>462.0</v>
      </c>
      <c r="M3001" s="37">
        <v>2801.68</v>
      </c>
    </row>
    <row r="3002" ht="14.25" customHeight="1">
      <c r="A3002" t="s">
        <v>3060</v>
      </c>
      <c r="B3002" t="s">
        <v>3003</v>
      </c>
      <c r="C3002" t="s">
        <v>62</v>
      </c>
      <c r="D3002" t="s">
        <v>63</v>
      </c>
      <c r="E3002">
        <v>6.0</v>
      </c>
      <c r="F3002">
        <v>6.0</v>
      </c>
      <c r="G3002" s="2" t="s">
        <v>67</v>
      </c>
      <c r="H3002" s="2">
        <v>34.0</v>
      </c>
      <c r="I3002" s="2">
        <v>164.0</v>
      </c>
      <c r="J3002" s="37">
        <v>976.84</v>
      </c>
      <c r="K3002" s="2">
        <v>39.0</v>
      </c>
      <c r="L3002" s="2">
        <v>267.0</v>
      </c>
      <c r="M3002" s="37">
        <v>1223.04</v>
      </c>
    </row>
    <row r="3003" ht="14.25" customHeight="1">
      <c r="A3003" t="s">
        <v>3061</v>
      </c>
      <c r="B3003" t="s">
        <v>3003</v>
      </c>
      <c r="C3003" t="s">
        <v>62</v>
      </c>
      <c r="D3003" t="s">
        <v>63</v>
      </c>
      <c r="E3003">
        <v>6.8</v>
      </c>
      <c r="F3003">
        <v>6.8</v>
      </c>
      <c r="G3003" s="2" t="s">
        <v>64</v>
      </c>
      <c r="H3003" s="2">
        <v>0.0</v>
      </c>
      <c r="I3003" s="2">
        <v>0.0</v>
      </c>
      <c r="J3003" s="37">
        <v>0.0</v>
      </c>
      <c r="K3003" s="2">
        <v>0.0</v>
      </c>
      <c r="L3003" s="2">
        <v>0.0</v>
      </c>
      <c r="M3003" s="37">
        <v>0.0</v>
      </c>
    </row>
    <row r="3004" ht="14.25" customHeight="1">
      <c r="A3004" t="s">
        <v>3062</v>
      </c>
      <c r="B3004" t="s">
        <v>3003</v>
      </c>
      <c r="C3004" t="s">
        <v>62</v>
      </c>
      <c r="D3004" t="s">
        <v>63</v>
      </c>
      <c r="E3004">
        <v>10.0</v>
      </c>
      <c r="F3004">
        <v>10.0</v>
      </c>
      <c r="G3004" s="2" t="s">
        <v>67</v>
      </c>
      <c r="H3004" s="2">
        <v>61.0</v>
      </c>
      <c r="I3004" s="2">
        <v>266.0</v>
      </c>
      <c r="J3004" s="37">
        <v>1715.86</v>
      </c>
      <c r="K3004" s="2">
        <v>70.0</v>
      </c>
      <c r="L3004" s="2">
        <v>460.0</v>
      </c>
      <c r="M3004" s="37">
        <v>2170.2</v>
      </c>
    </row>
    <row r="3005" ht="14.25" customHeight="1">
      <c r="A3005" t="s">
        <v>3063</v>
      </c>
      <c r="B3005" t="s">
        <v>3003</v>
      </c>
      <c r="C3005" t="s">
        <v>62</v>
      </c>
      <c r="D3005" t="s">
        <v>63</v>
      </c>
      <c r="E3005">
        <v>10.0</v>
      </c>
      <c r="F3005">
        <v>10.0</v>
      </c>
      <c r="G3005" s="2" t="s">
        <v>67</v>
      </c>
      <c r="H3005" s="2">
        <v>61.0</v>
      </c>
      <c r="I3005" s="2">
        <v>266.0</v>
      </c>
      <c r="J3005" s="37">
        <v>1715.86</v>
      </c>
      <c r="K3005" s="2">
        <v>70.0</v>
      </c>
      <c r="L3005" s="2">
        <v>460.0</v>
      </c>
      <c r="M3005" s="37">
        <v>2170.2</v>
      </c>
    </row>
    <row r="3006" ht="14.25" customHeight="1">
      <c r="A3006" t="s">
        <v>3064</v>
      </c>
      <c r="B3006" t="s">
        <v>3003</v>
      </c>
      <c r="C3006" t="s">
        <v>62</v>
      </c>
      <c r="D3006" t="s">
        <v>63</v>
      </c>
      <c r="E3006">
        <v>12.5</v>
      </c>
      <c r="F3006">
        <v>12.5</v>
      </c>
      <c r="G3006" s="2" t="s">
        <v>67</v>
      </c>
      <c r="H3006" s="2">
        <v>70.0</v>
      </c>
      <c r="I3006" s="2">
        <v>152.0</v>
      </c>
      <c r="J3006" s="37">
        <v>1769.8</v>
      </c>
      <c r="K3006" s="2">
        <v>82.0</v>
      </c>
      <c r="L3006" s="2">
        <v>394.0</v>
      </c>
      <c r="M3006" s="37">
        <v>2353.92</v>
      </c>
    </row>
    <row r="3007" ht="14.25" customHeight="1">
      <c r="A3007" t="s">
        <v>3065</v>
      </c>
      <c r="B3007" t="s">
        <v>3003</v>
      </c>
      <c r="C3007" t="s">
        <v>62</v>
      </c>
      <c r="D3007" t="s">
        <v>63</v>
      </c>
      <c r="E3007">
        <v>12.5</v>
      </c>
      <c r="F3007">
        <v>12.5</v>
      </c>
      <c r="G3007" s="2" t="s">
        <v>67</v>
      </c>
      <c r="H3007" s="2">
        <v>70.0</v>
      </c>
      <c r="I3007" s="2">
        <v>152.0</v>
      </c>
      <c r="J3007" s="37">
        <v>1769.8</v>
      </c>
      <c r="K3007" s="2">
        <v>82.0</v>
      </c>
      <c r="L3007" s="2">
        <v>394.0</v>
      </c>
      <c r="M3007" s="37">
        <v>2353.92</v>
      </c>
    </row>
    <row r="3008" ht="14.25" customHeight="1">
      <c r="A3008" t="s">
        <v>3066</v>
      </c>
      <c r="B3008" t="s">
        <v>3003</v>
      </c>
      <c r="C3008" t="s">
        <v>62</v>
      </c>
      <c r="D3008" t="s">
        <v>63</v>
      </c>
      <c r="E3008">
        <v>13.6</v>
      </c>
      <c r="F3008">
        <v>14.0</v>
      </c>
      <c r="G3008" s="2" t="s">
        <v>67</v>
      </c>
      <c r="H3008" s="2">
        <v>75.0</v>
      </c>
      <c r="I3008" s="2">
        <v>37.0</v>
      </c>
      <c r="J3008" s="37">
        <v>1732.6</v>
      </c>
      <c r="K3008" s="2">
        <v>87.0</v>
      </c>
      <c r="L3008" s="2">
        <v>301.0</v>
      </c>
      <c r="M3008" s="37">
        <v>2345.32</v>
      </c>
    </row>
    <row r="3009" ht="14.25" customHeight="1">
      <c r="A3009" t="s">
        <v>3067</v>
      </c>
      <c r="B3009" t="s">
        <v>3003</v>
      </c>
      <c r="C3009" t="s">
        <v>62</v>
      </c>
      <c r="D3009" t="s">
        <v>63</v>
      </c>
      <c r="E3009">
        <v>13.6</v>
      </c>
      <c r="F3009">
        <v>14.0</v>
      </c>
      <c r="G3009" s="2" t="s">
        <v>67</v>
      </c>
      <c r="H3009" s="2">
        <v>75.0</v>
      </c>
      <c r="I3009" s="2">
        <v>37.0</v>
      </c>
      <c r="J3009" s="37">
        <v>1732.6</v>
      </c>
      <c r="K3009" s="2">
        <v>87.0</v>
      </c>
      <c r="L3009" s="2">
        <v>301.0</v>
      </c>
      <c r="M3009" s="37">
        <v>2345.32</v>
      </c>
    </row>
    <row r="3010" ht="14.25" customHeight="1">
      <c r="A3010" t="s">
        <v>3068</v>
      </c>
      <c r="B3010" t="s">
        <v>3003</v>
      </c>
      <c r="C3010" t="s">
        <v>62</v>
      </c>
      <c r="D3010" t="s">
        <v>63</v>
      </c>
      <c r="E3010">
        <v>6.8</v>
      </c>
      <c r="F3010">
        <v>8.0</v>
      </c>
      <c r="G3010" s="2" t="s">
        <v>67</v>
      </c>
      <c r="H3010" s="2">
        <v>45.0</v>
      </c>
      <c r="I3010" s="2">
        <v>208.0</v>
      </c>
      <c r="J3010" s="37">
        <v>1281.1000000000001</v>
      </c>
      <c r="K3010" s="2">
        <v>51.0</v>
      </c>
      <c r="L3010" s="2">
        <v>325.0</v>
      </c>
      <c r="M3010" s="37">
        <v>1567.96</v>
      </c>
    </row>
    <row r="3011" ht="14.25" customHeight="1">
      <c r="A3011" t="s">
        <v>3069</v>
      </c>
      <c r="B3011" t="s">
        <v>3003</v>
      </c>
      <c r="C3011" t="s">
        <v>62</v>
      </c>
      <c r="D3011" t="s">
        <v>63</v>
      </c>
      <c r="E3011">
        <v>9.5</v>
      </c>
      <c r="F3011">
        <v>11.2</v>
      </c>
      <c r="G3011" s="2" t="s">
        <v>67</v>
      </c>
      <c r="H3011" s="2">
        <v>65.0</v>
      </c>
      <c r="I3011" s="2">
        <v>370.0</v>
      </c>
      <c r="J3011" s="37">
        <v>1940.9</v>
      </c>
      <c r="K3011" s="2">
        <v>74.0</v>
      </c>
      <c r="L3011" s="2">
        <v>533.0</v>
      </c>
      <c r="M3011" s="37">
        <v>2354.94</v>
      </c>
    </row>
    <row r="3012" ht="14.25" customHeight="1">
      <c r="A3012" t="s">
        <v>3070</v>
      </c>
      <c r="B3012" t="s">
        <v>3003</v>
      </c>
      <c r="C3012" t="s">
        <v>62</v>
      </c>
      <c r="D3012" t="s">
        <v>63</v>
      </c>
      <c r="E3012">
        <v>9.5</v>
      </c>
      <c r="F3012">
        <v>11.2</v>
      </c>
      <c r="G3012" s="2" t="s">
        <v>67</v>
      </c>
      <c r="H3012" s="2">
        <v>65.0</v>
      </c>
      <c r="I3012" s="2">
        <v>370.0</v>
      </c>
      <c r="J3012" s="37">
        <v>1940.9</v>
      </c>
      <c r="K3012" s="2">
        <v>74.0</v>
      </c>
      <c r="L3012" s="2">
        <v>533.0</v>
      </c>
      <c r="M3012" s="37">
        <v>2354.94</v>
      </c>
    </row>
    <row r="3013" ht="14.25" customHeight="1">
      <c r="A3013" t="s">
        <v>3071</v>
      </c>
      <c r="B3013" t="s">
        <v>3003</v>
      </c>
      <c r="C3013" t="s">
        <v>62</v>
      </c>
      <c r="D3013" t="s">
        <v>63</v>
      </c>
      <c r="E3013">
        <v>12.1</v>
      </c>
      <c r="F3013">
        <v>14.0</v>
      </c>
      <c r="G3013" s="2" t="s">
        <v>67</v>
      </c>
      <c r="H3013" s="2">
        <v>80.0</v>
      </c>
      <c r="I3013" s="2">
        <v>254.0</v>
      </c>
      <c r="J3013" s="37">
        <v>2127.0</v>
      </c>
      <c r="K3013" s="2">
        <v>93.0</v>
      </c>
      <c r="L3013" s="2">
        <v>488.0</v>
      </c>
      <c r="M3013" s="37">
        <v>2723.1800000000003</v>
      </c>
    </row>
    <row r="3014" ht="14.25" customHeight="1">
      <c r="A3014" t="s">
        <v>3072</v>
      </c>
      <c r="B3014" t="s">
        <v>3003</v>
      </c>
      <c r="C3014" t="s">
        <v>62</v>
      </c>
      <c r="D3014" t="s">
        <v>63</v>
      </c>
      <c r="E3014">
        <v>12.1</v>
      </c>
      <c r="F3014">
        <v>14.0</v>
      </c>
      <c r="G3014" s="2" t="s">
        <v>67</v>
      </c>
      <c r="H3014" s="2">
        <v>80.0</v>
      </c>
      <c r="I3014" s="2">
        <v>254.0</v>
      </c>
      <c r="J3014" s="37">
        <v>2127.0</v>
      </c>
      <c r="K3014" s="2">
        <v>93.0</v>
      </c>
      <c r="L3014" s="2">
        <v>488.0</v>
      </c>
      <c r="M3014" s="37">
        <v>2723.1800000000003</v>
      </c>
    </row>
    <row r="3015" ht="14.25" customHeight="1">
      <c r="A3015" t="s">
        <v>3073</v>
      </c>
      <c r="B3015" t="s">
        <v>3003</v>
      </c>
      <c r="C3015" t="s">
        <v>62</v>
      </c>
      <c r="D3015" t="s">
        <v>63</v>
      </c>
      <c r="E3015">
        <v>13.4</v>
      </c>
      <c r="F3015">
        <v>16.0</v>
      </c>
      <c r="G3015" s="2" t="s">
        <v>67</v>
      </c>
      <c r="H3015" s="2">
        <v>86.0</v>
      </c>
      <c r="I3015" s="2">
        <v>85.0</v>
      </c>
      <c r="J3015" s="37">
        <v>2042.0600000000002</v>
      </c>
      <c r="K3015" s="2">
        <v>100.0</v>
      </c>
      <c r="L3015" s="2">
        <v>345.0</v>
      </c>
      <c r="M3015" s="37">
        <v>2694.5</v>
      </c>
    </row>
    <row r="3016" ht="14.25" customHeight="1">
      <c r="A3016" t="s">
        <v>3074</v>
      </c>
      <c r="B3016" t="s">
        <v>3003</v>
      </c>
      <c r="C3016" t="s">
        <v>62</v>
      </c>
      <c r="D3016" t="s">
        <v>63</v>
      </c>
      <c r="E3016">
        <v>13.4</v>
      </c>
      <c r="F3016">
        <v>16.0</v>
      </c>
      <c r="G3016" s="2" t="s">
        <v>67</v>
      </c>
      <c r="H3016" s="2">
        <v>86.0</v>
      </c>
      <c r="I3016" s="2">
        <v>85.0</v>
      </c>
      <c r="J3016" s="37">
        <v>2042.0600000000002</v>
      </c>
      <c r="K3016" s="2">
        <v>100.0</v>
      </c>
      <c r="L3016" s="2">
        <v>345.0</v>
      </c>
      <c r="M3016" s="37">
        <v>2694.5</v>
      </c>
    </row>
    <row r="3017" ht="14.25" customHeight="1">
      <c r="A3017" t="s">
        <v>3075</v>
      </c>
      <c r="B3017" t="s">
        <v>3003</v>
      </c>
      <c r="C3017" t="s">
        <v>62</v>
      </c>
      <c r="D3017" t="s">
        <v>63</v>
      </c>
      <c r="E3017">
        <v>6.0</v>
      </c>
      <c r="F3017">
        <v>6.0</v>
      </c>
      <c r="G3017" s="2" t="s">
        <v>67</v>
      </c>
      <c r="H3017" s="2">
        <v>36.0</v>
      </c>
      <c r="I3017" s="2">
        <v>214.0</v>
      </c>
      <c r="J3017" s="37">
        <v>1086.76</v>
      </c>
      <c r="K3017" s="2">
        <v>41.0</v>
      </c>
      <c r="L3017" s="2">
        <v>318.0</v>
      </c>
      <c r="M3017" s="37">
        <v>1334.26</v>
      </c>
    </row>
    <row r="3018" ht="14.25" customHeight="1">
      <c r="A3018" t="s">
        <v>3076</v>
      </c>
      <c r="B3018" t="s">
        <v>3003</v>
      </c>
      <c r="C3018" t="s">
        <v>62</v>
      </c>
      <c r="D3018" t="s">
        <v>63</v>
      </c>
      <c r="E3018">
        <v>7.1</v>
      </c>
      <c r="F3018">
        <v>7.1</v>
      </c>
      <c r="G3018" s="2" t="s">
        <v>67</v>
      </c>
      <c r="H3018" s="2">
        <v>42.0</v>
      </c>
      <c r="I3018" s="2">
        <v>154.0</v>
      </c>
      <c r="J3018" s="37">
        <v>1143.52</v>
      </c>
      <c r="K3018" s="2">
        <v>47.0</v>
      </c>
      <c r="L3018" s="2">
        <v>276.0</v>
      </c>
      <c r="M3018" s="37">
        <v>1414.42</v>
      </c>
    </row>
    <row r="3019" ht="14.25" customHeight="1">
      <c r="A3019" t="s">
        <v>3077</v>
      </c>
      <c r="B3019" t="s">
        <v>3003</v>
      </c>
      <c r="C3019" t="s">
        <v>62</v>
      </c>
      <c r="D3019" t="s">
        <v>63</v>
      </c>
      <c r="E3019">
        <v>10.0</v>
      </c>
      <c r="F3019">
        <v>10.0</v>
      </c>
      <c r="G3019" s="2" t="s">
        <v>67</v>
      </c>
      <c r="H3019" s="2">
        <v>61.0</v>
      </c>
      <c r="I3019" s="2">
        <v>266.0</v>
      </c>
      <c r="J3019" s="37">
        <v>1715.86</v>
      </c>
      <c r="K3019" s="2">
        <v>70.0</v>
      </c>
      <c r="L3019" s="2">
        <v>460.0</v>
      </c>
      <c r="M3019" s="37">
        <v>2170.2</v>
      </c>
    </row>
    <row r="3020" ht="14.25" customHeight="1">
      <c r="A3020" t="s">
        <v>3078</v>
      </c>
      <c r="B3020" t="s">
        <v>3003</v>
      </c>
      <c r="C3020" t="s">
        <v>62</v>
      </c>
      <c r="D3020" t="s">
        <v>63</v>
      </c>
      <c r="E3020">
        <v>10.0</v>
      </c>
      <c r="F3020">
        <v>10.0</v>
      </c>
      <c r="G3020" s="2" t="s">
        <v>67</v>
      </c>
      <c r="H3020" s="2">
        <v>61.0</v>
      </c>
      <c r="I3020" s="2">
        <v>266.0</v>
      </c>
      <c r="J3020" s="37">
        <v>1715.86</v>
      </c>
      <c r="K3020" s="2">
        <v>70.0</v>
      </c>
      <c r="L3020" s="2">
        <v>460.0</v>
      </c>
      <c r="M3020" s="37">
        <v>2170.2</v>
      </c>
    </row>
    <row r="3021" ht="14.25" customHeight="1">
      <c r="A3021" t="s">
        <v>3079</v>
      </c>
      <c r="B3021" t="s">
        <v>3003</v>
      </c>
      <c r="C3021" t="s">
        <v>62</v>
      </c>
      <c r="D3021" t="s">
        <v>63</v>
      </c>
      <c r="E3021">
        <v>12.5</v>
      </c>
      <c r="F3021">
        <v>12.5</v>
      </c>
      <c r="G3021" s="2" t="s">
        <v>67</v>
      </c>
      <c r="H3021" s="2">
        <v>70.0</v>
      </c>
      <c r="I3021" s="2">
        <v>152.0</v>
      </c>
      <c r="J3021" s="37">
        <v>1769.8</v>
      </c>
      <c r="K3021" s="2">
        <v>82.0</v>
      </c>
      <c r="L3021" s="2">
        <v>394.0</v>
      </c>
      <c r="M3021" s="37">
        <v>2353.92</v>
      </c>
    </row>
    <row r="3022" ht="14.25" customHeight="1">
      <c r="A3022" t="s">
        <v>3080</v>
      </c>
      <c r="B3022" t="s">
        <v>3003</v>
      </c>
      <c r="C3022" t="s">
        <v>62</v>
      </c>
      <c r="D3022" t="s">
        <v>63</v>
      </c>
      <c r="E3022">
        <v>12.5</v>
      </c>
      <c r="F3022">
        <v>12.5</v>
      </c>
      <c r="G3022" s="2" t="s">
        <v>67</v>
      </c>
      <c r="H3022" s="2">
        <v>70.0</v>
      </c>
      <c r="I3022" s="2">
        <v>152.0</v>
      </c>
      <c r="J3022" s="37">
        <v>1769.8</v>
      </c>
      <c r="K3022" s="2">
        <v>82.0</v>
      </c>
      <c r="L3022" s="2">
        <v>394.0</v>
      </c>
      <c r="M3022" s="37">
        <v>2353.92</v>
      </c>
    </row>
    <row r="3023" ht="14.25" customHeight="1">
      <c r="A3023" t="s">
        <v>3081</v>
      </c>
      <c r="B3023" t="s">
        <v>3003</v>
      </c>
      <c r="C3023" t="s">
        <v>62</v>
      </c>
      <c r="D3023" t="s">
        <v>63</v>
      </c>
      <c r="E3023">
        <v>13.6</v>
      </c>
      <c r="F3023">
        <v>14.0</v>
      </c>
      <c r="G3023" s="2" t="s">
        <v>67</v>
      </c>
      <c r="H3023" s="2">
        <v>75.0</v>
      </c>
      <c r="I3023" s="2">
        <v>37.0</v>
      </c>
      <c r="J3023" s="37">
        <v>1732.6</v>
      </c>
      <c r="K3023" s="2">
        <v>87.0</v>
      </c>
      <c r="L3023" s="2">
        <v>301.0</v>
      </c>
      <c r="M3023" s="37">
        <v>2345.32</v>
      </c>
    </row>
    <row r="3024" ht="14.25" customHeight="1">
      <c r="A3024" t="s">
        <v>3082</v>
      </c>
      <c r="B3024" t="s">
        <v>3003</v>
      </c>
      <c r="C3024" t="s">
        <v>62</v>
      </c>
      <c r="D3024" t="s">
        <v>63</v>
      </c>
      <c r="E3024">
        <v>13.6</v>
      </c>
      <c r="F3024">
        <v>14.0</v>
      </c>
      <c r="G3024" s="2" t="s">
        <v>67</v>
      </c>
      <c r="H3024" s="2">
        <v>75.0</v>
      </c>
      <c r="I3024" s="2">
        <v>37.0</v>
      </c>
      <c r="J3024" s="37">
        <v>1732.6</v>
      </c>
      <c r="K3024" s="2">
        <v>87.0</v>
      </c>
      <c r="L3024" s="2">
        <v>301.0</v>
      </c>
      <c r="M3024" s="37">
        <v>2345.32</v>
      </c>
    </row>
    <row r="3025" ht="14.25" customHeight="1">
      <c r="A3025" t="s">
        <v>3083</v>
      </c>
      <c r="B3025" t="s">
        <v>3003</v>
      </c>
      <c r="C3025" t="s">
        <v>62</v>
      </c>
      <c r="D3025" t="s">
        <v>63</v>
      </c>
      <c r="E3025">
        <v>6.8</v>
      </c>
      <c r="F3025">
        <v>8.0</v>
      </c>
      <c r="G3025" s="2" t="s">
        <v>67</v>
      </c>
      <c r="H3025" s="2">
        <v>45.0</v>
      </c>
      <c r="I3025" s="2">
        <v>208.0</v>
      </c>
      <c r="J3025" s="37">
        <v>1281.1000000000001</v>
      </c>
      <c r="K3025" s="2">
        <v>51.0</v>
      </c>
      <c r="L3025" s="2">
        <v>325.0</v>
      </c>
      <c r="M3025" s="37">
        <v>1567.96</v>
      </c>
    </row>
    <row r="3026" ht="14.25" customHeight="1">
      <c r="A3026" t="s">
        <v>3084</v>
      </c>
      <c r="B3026" t="s">
        <v>3003</v>
      </c>
      <c r="C3026" t="s">
        <v>62</v>
      </c>
      <c r="D3026" t="s">
        <v>63</v>
      </c>
      <c r="E3026">
        <v>9.5</v>
      </c>
      <c r="F3026">
        <v>11.2</v>
      </c>
      <c r="G3026" s="2" t="s">
        <v>67</v>
      </c>
      <c r="H3026" s="2">
        <v>65.0</v>
      </c>
      <c r="I3026" s="2">
        <v>370.0</v>
      </c>
      <c r="J3026" s="37">
        <v>1940.9</v>
      </c>
      <c r="K3026" s="2">
        <v>74.0</v>
      </c>
      <c r="L3026" s="2">
        <v>533.0</v>
      </c>
      <c r="M3026" s="37">
        <v>2354.94</v>
      </c>
    </row>
    <row r="3027" ht="14.25" customHeight="1">
      <c r="A3027" t="s">
        <v>3085</v>
      </c>
      <c r="B3027" t="s">
        <v>3003</v>
      </c>
      <c r="C3027" t="s">
        <v>62</v>
      </c>
      <c r="D3027" t="s">
        <v>63</v>
      </c>
      <c r="E3027">
        <v>9.5</v>
      </c>
      <c r="F3027">
        <v>11.2</v>
      </c>
      <c r="G3027" s="2" t="s">
        <v>67</v>
      </c>
      <c r="H3027" s="2">
        <v>65.0</v>
      </c>
      <c r="I3027" s="2">
        <v>370.0</v>
      </c>
      <c r="J3027" s="37">
        <v>1940.9</v>
      </c>
      <c r="K3027" s="2">
        <v>74.0</v>
      </c>
      <c r="L3027" s="2">
        <v>533.0</v>
      </c>
      <c r="M3027" s="37">
        <v>2354.94</v>
      </c>
    </row>
    <row r="3028" ht="14.25" customHeight="1">
      <c r="A3028" t="s">
        <v>3086</v>
      </c>
      <c r="B3028" t="s">
        <v>3003</v>
      </c>
      <c r="C3028" t="s">
        <v>62</v>
      </c>
      <c r="D3028" t="s">
        <v>63</v>
      </c>
      <c r="E3028">
        <v>12.1</v>
      </c>
      <c r="F3028">
        <v>14.0</v>
      </c>
      <c r="G3028" s="2" t="s">
        <v>67</v>
      </c>
      <c r="H3028" s="2">
        <v>80.0</v>
      </c>
      <c r="I3028" s="2">
        <v>254.0</v>
      </c>
      <c r="J3028" s="37">
        <v>2127.0</v>
      </c>
      <c r="K3028" s="2">
        <v>93.0</v>
      </c>
      <c r="L3028" s="2">
        <v>488.0</v>
      </c>
      <c r="M3028" s="37">
        <v>2723.1800000000003</v>
      </c>
    </row>
    <row r="3029" ht="14.25" customHeight="1">
      <c r="A3029" t="s">
        <v>3087</v>
      </c>
      <c r="B3029" t="s">
        <v>3003</v>
      </c>
      <c r="C3029" t="s">
        <v>62</v>
      </c>
      <c r="D3029" t="s">
        <v>63</v>
      </c>
      <c r="E3029">
        <v>12.1</v>
      </c>
      <c r="F3029">
        <v>14.0</v>
      </c>
      <c r="G3029" s="2" t="s">
        <v>67</v>
      </c>
      <c r="H3029" s="2">
        <v>80.0</v>
      </c>
      <c r="I3029" s="2">
        <v>254.0</v>
      </c>
      <c r="J3029" s="37">
        <v>2127.0</v>
      </c>
      <c r="K3029" s="2">
        <v>93.0</v>
      </c>
      <c r="L3029" s="2">
        <v>488.0</v>
      </c>
      <c r="M3029" s="37">
        <v>2723.1800000000003</v>
      </c>
    </row>
    <row r="3030" ht="14.25" customHeight="1">
      <c r="A3030" t="s">
        <v>3088</v>
      </c>
      <c r="B3030" t="s">
        <v>3003</v>
      </c>
      <c r="C3030" t="s">
        <v>62</v>
      </c>
      <c r="D3030" t="s">
        <v>63</v>
      </c>
      <c r="E3030">
        <v>13.4</v>
      </c>
      <c r="F3030">
        <v>16.0</v>
      </c>
      <c r="G3030" s="2" t="s">
        <v>67</v>
      </c>
      <c r="H3030" s="2">
        <v>86.0</v>
      </c>
      <c r="I3030" s="2">
        <v>85.0</v>
      </c>
      <c r="J3030" s="37">
        <v>2042.0600000000002</v>
      </c>
      <c r="K3030" s="2">
        <v>100.0</v>
      </c>
      <c r="L3030" s="2">
        <v>345.0</v>
      </c>
      <c r="M3030" s="37">
        <v>2694.5</v>
      </c>
    </row>
    <row r="3031" ht="14.25" customHeight="1">
      <c r="A3031" t="s">
        <v>3089</v>
      </c>
      <c r="B3031" t="s">
        <v>3003</v>
      </c>
      <c r="C3031" t="s">
        <v>62</v>
      </c>
      <c r="D3031" t="s">
        <v>63</v>
      </c>
      <c r="E3031">
        <v>13.4</v>
      </c>
      <c r="F3031">
        <v>16.0</v>
      </c>
      <c r="G3031" s="2" t="s">
        <v>67</v>
      </c>
      <c r="H3031" s="2">
        <v>86.0</v>
      </c>
      <c r="I3031" s="2">
        <v>85.0</v>
      </c>
      <c r="J3031" s="37">
        <v>2042.0600000000002</v>
      </c>
      <c r="K3031" s="2">
        <v>100.0</v>
      </c>
      <c r="L3031" s="2">
        <v>345.0</v>
      </c>
      <c r="M3031" s="37">
        <v>2694.5</v>
      </c>
    </row>
    <row r="3032" ht="14.25" customHeight="1">
      <c r="A3032" t="s">
        <v>3090</v>
      </c>
      <c r="B3032" t="s">
        <v>3091</v>
      </c>
      <c r="C3032" t="s">
        <v>62</v>
      </c>
      <c r="D3032" t="s">
        <v>63</v>
      </c>
      <c r="E3032">
        <v>2.05</v>
      </c>
      <c r="F3032">
        <v>2.8</v>
      </c>
      <c r="G3032" s="2" t="s">
        <v>64</v>
      </c>
      <c r="H3032" s="2">
        <v>0.0</v>
      </c>
      <c r="I3032" s="2">
        <v>0.0</v>
      </c>
      <c r="J3032" s="37">
        <v>0.0</v>
      </c>
      <c r="K3032" s="2">
        <v>0.0</v>
      </c>
      <c r="L3032" s="2">
        <v>0.0</v>
      </c>
      <c r="M3032" s="37">
        <v>0.0</v>
      </c>
    </row>
    <row r="3033" ht="14.25" customHeight="1">
      <c r="A3033" t="s">
        <v>3092</v>
      </c>
      <c r="B3033" t="s">
        <v>3091</v>
      </c>
      <c r="C3033" t="s">
        <v>62</v>
      </c>
      <c r="D3033" t="s">
        <v>63</v>
      </c>
      <c r="E3033">
        <v>4.2</v>
      </c>
      <c r="F3033">
        <v>5.1</v>
      </c>
      <c r="G3033" s="2" t="s">
        <v>67</v>
      </c>
      <c r="H3033" s="2">
        <v>26.0</v>
      </c>
      <c r="I3033" s="2">
        <v>69.0</v>
      </c>
      <c r="J3033" s="37">
        <v>673.6600000000001</v>
      </c>
      <c r="K3033" s="2">
        <v>30.0</v>
      </c>
      <c r="L3033" s="2">
        <v>142.0</v>
      </c>
      <c r="M3033" s="37">
        <v>858.4000000000001</v>
      </c>
    </row>
    <row r="3034" ht="14.25" customHeight="1">
      <c r="A3034" t="s">
        <v>3093</v>
      </c>
      <c r="B3034" t="s">
        <v>3091</v>
      </c>
      <c r="C3034" t="s">
        <v>62</v>
      </c>
      <c r="D3034" t="s">
        <v>63</v>
      </c>
      <c r="E3034">
        <v>4.2</v>
      </c>
      <c r="F3034">
        <v>5.1</v>
      </c>
      <c r="G3034" s="2" t="s">
        <v>67</v>
      </c>
      <c r="H3034" s="2">
        <v>26.0</v>
      </c>
      <c r="I3034" s="2">
        <v>69.0</v>
      </c>
      <c r="J3034" s="37">
        <v>673.6600000000001</v>
      </c>
      <c r="K3034" s="2">
        <v>30.0</v>
      </c>
      <c r="L3034" s="2">
        <v>142.0</v>
      </c>
      <c r="M3034" s="37">
        <v>858.4000000000001</v>
      </c>
    </row>
    <row r="3035" ht="14.25" customHeight="1">
      <c r="A3035" t="s">
        <v>3094</v>
      </c>
      <c r="B3035" t="s">
        <v>3091</v>
      </c>
      <c r="C3035" t="s">
        <v>62</v>
      </c>
      <c r="D3035" t="s">
        <v>63</v>
      </c>
      <c r="E3035">
        <v>4.2</v>
      </c>
      <c r="F3035">
        <v>5.1</v>
      </c>
      <c r="G3035" s="2" t="s">
        <v>67</v>
      </c>
      <c r="H3035" s="2">
        <v>26.0</v>
      </c>
      <c r="I3035" s="2">
        <v>69.0</v>
      </c>
      <c r="J3035" s="37">
        <v>673.6600000000001</v>
      </c>
      <c r="K3035" s="2">
        <v>30.0</v>
      </c>
      <c r="L3035" s="2">
        <v>142.0</v>
      </c>
      <c r="M3035" s="37">
        <v>858.4000000000001</v>
      </c>
    </row>
    <row r="3036" ht="14.25" customHeight="1">
      <c r="A3036" t="s">
        <v>3095</v>
      </c>
      <c r="B3036" t="s">
        <v>3091</v>
      </c>
      <c r="C3036" t="s">
        <v>62</v>
      </c>
      <c r="D3036" t="s">
        <v>63</v>
      </c>
      <c r="E3036">
        <v>2.5</v>
      </c>
      <c r="F3036">
        <v>3.0</v>
      </c>
      <c r="G3036" s="2" t="s">
        <v>67</v>
      </c>
      <c r="H3036" s="2">
        <v>14.0</v>
      </c>
      <c r="I3036" s="2">
        <v>63.0</v>
      </c>
      <c r="J3036" s="37">
        <v>396.34000000000003</v>
      </c>
      <c r="K3036" s="2">
        <v>16.0</v>
      </c>
      <c r="L3036" s="2">
        <v>101.0</v>
      </c>
      <c r="M3036" s="37">
        <v>490.66</v>
      </c>
    </row>
    <row r="3037" ht="14.25" customHeight="1">
      <c r="A3037" t="s">
        <v>3096</v>
      </c>
      <c r="B3037" t="s">
        <v>3091</v>
      </c>
      <c r="C3037" t="s">
        <v>62</v>
      </c>
      <c r="D3037" t="s">
        <v>63</v>
      </c>
      <c r="E3037">
        <v>2.5</v>
      </c>
      <c r="F3037">
        <v>3.0</v>
      </c>
      <c r="G3037" s="2" t="s">
        <v>67</v>
      </c>
      <c r="H3037" s="2">
        <v>14.0</v>
      </c>
      <c r="I3037" s="2">
        <v>63.0</v>
      </c>
      <c r="J3037" s="37">
        <v>396.34000000000003</v>
      </c>
      <c r="K3037" s="2">
        <v>16.0</v>
      </c>
      <c r="L3037" s="2">
        <v>101.0</v>
      </c>
      <c r="M3037" s="37">
        <v>490.66</v>
      </c>
    </row>
    <row r="3038" ht="14.25" customHeight="1">
      <c r="A3038" t="s">
        <v>3097</v>
      </c>
      <c r="B3038" t="s">
        <v>3091</v>
      </c>
      <c r="C3038" t="s">
        <v>62</v>
      </c>
      <c r="D3038" t="s">
        <v>63</v>
      </c>
      <c r="E3038">
        <v>2.5</v>
      </c>
      <c r="F3038">
        <v>3.0</v>
      </c>
      <c r="G3038" s="2" t="s">
        <v>67</v>
      </c>
      <c r="H3038" s="2">
        <v>14.0</v>
      </c>
      <c r="I3038" s="2">
        <v>63.0</v>
      </c>
      <c r="J3038" s="37">
        <v>396.34000000000003</v>
      </c>
      <c r="K3038" s="2">
        <v>16.0</v>
      </c>
      <c r="L3038" s="2">
        <v>101.0</v>
      </c>
      <c r="M3038" s="37">
        <v>490.66</v>
      </c>
    </row>
    <row r="3039" ht="14.25" customHeight="1">
      <c r="A3039" t="s">
        <v>3098</v>
      </c>
      <c r="B3039" t="s">
        <v>3091</v>
      </c>
      <c r="C3039" t="s">
        <v>62</v>
      </c>
      <c r="D3039" t="s">
        <v>63</v>
      </c>
      <c r="E3039">
        <v>2.5</v>
      </c>
      <c r="F3039">
        <v>3.2</v>
      </c>
      <c r="G3039" s="2" t="s">
        <v>64</v>
      </c>
      <c r="H3039" s="2">
        <v>0.0</v>
      </c>
      <c r="I3039" s="2">
        <v>0.0</v>
      </c>
      <c r="J3039" s="37">
        <v>0.0</v>
      </c>
      <c r="K3039" s="2">
        <v>0.0</v>
      </c>
      <c r="L3039" s="2">
        <v>0.0</v>
      </c>
      <c r="M3039" s="37">
        <v>0.0</v>
      </c>
    </row>
    <row r="3040" ht="14.25" customHeight="1">
      <c r="A3040" t="s">
        <v>3099</v>
      </c>
      <c r="B3040" t="s">
        <v>3091</v>
      </c>
      <c r="C3040" t="s">
        <v>62</v>
      </c>
      <c r="D3040" t="s">
        <v>63</v>
      </c>
      <c r="E3040">
        <v>3.5</v>
      </c>
      <c r="F3040">
        <v>4.0</v>
      </c>
      <c r="G3040" s="2" t="s">
        <v>67</v>
      </c>
      <c r="H3040" s="2">
        <v>19.0</v>
      </c>
      <c r="I3040" s="2">
        <v>87.0</v>
      </c>
      <c r="J3040" s="37">
        <v>539.84</v>
      </c>
      <c r="K3040" s="2">
        <v>22.0</v>
      </c>
      <c r="L3040" s="2">
        <v>140.0</v>
      </c>
      <c r="M3040" s="37">
        <v>676.12</v>
      </c>
    </row>
    <row r="3041" ht="14.25" customHeight="1">
      <c r="A3041" t="s">
        <v>3100</v>
      </c>
      <c r="B3041" t="s">
        <v>3091</v>
      </c>
      <c r="C3041" t="s">
        <v>62</v>
      </c>
      <c r="D3041" t="s">
        <v>63</v>
      </c>
      <c r="E3041">
        <v>3.5</v>
      </c>
      <c r="F3041">
        <v>4.0</v>
      </c>
      <c r="G3041" s="2" t="s">
        <v>67</v>
      </c>
      <c r="H3041" s="2">
        <v>19.0</v>
      </c>
      <c r="I3041" s="2">
        <v>87.0</v>
      </c>
      <c r="J3041" s="37">
        <v>539.84</v>
      </c>
      <c r="K3041" s="2">
        <v>22.0</v>
      </c>
      <c r="L3041" s="2">
        <v>140.0</v>
      </c>
      <c r="M3041" s="37">
        <v>676.12</v>
      </c>
    </row>
    <row r="3042" ht="14.25" customHeight="1">
      <c r="A3042" t="s">
        <v>3101</v>
      </c>
      <c r="B3042" t="s">
        <v>3091</v>
      </c>
      <c r="C3042" t="s">
        <v>62</v>
      </c>
      <c r="D3042" t="s">
        <v>63</v>
      </c>
      <c r="E3042">
        <v>3.5</v>
      </c>
      <c r="F3042">
        <v>4.0</v>
      </c>
      <c r="G3042" s="2" t="s">
        <v>67</v>
      </c>
      <c r="H3042" s="2">
        <v>19.0</v>
      </c>
      <c r="I3042" s="2">
        <v>87.0</v>
      </c>
      <c r="J3042" s="37">
        <v>539.84</v>
      </c>
      <c r="K3042" s="2">
        <v>22.0</v>
      </c>
      <c r="L3042" s="2">
        <v>140.0</v>
      </c>
      <c r="M3042" s="37">
        <v>676.12</v>
      </c>
    </row>
    <row r="3043" ht="14.25" customHeight="1">
      <c r="A3043" t="s">
        <v>3102</v>
      </c>
      <c r="B3043" t="s">
        <v>3091</v>
      </c>
      <c r="C3043" t="s">
        <v>62</v>
      </c>
      <c r="D3043" t="s">
        <v>63</v>
      </c>
      <c r="E3043">
        <v>8.0</v>
      </c>
      <c r="F3043">
        <v>9.0</v>
      </c>
      <c r="G3043" s="2" t="s">
        <v>67</v>
      </c>
      <c r="H3043" s="2">
        <v>48.0</v>
      </c>
      <c r="I3043" s="2">
        <v>24.0</v>
      </c>
      <c r="J3043" s="37">
        <v>1109.28</v>
      </c>
      <c r="K3043" s="2">
        <v>55.0</v>
      </c>
      <c r="L3043" s="2">
        <v>162.0</v>
      </c>
      <c r="M3043" s="37">
        <v>1445.8999999999999</v>
      </c>
    </row>
    <row r="3044" ht="14.25" customHeight="1">
      <c r="A3044" t="s">
        <v>3103</v>
      </c>
      <c r="B3044" t="s">
        <v>3091</v>
      </c>
      <c r="C3044" t="s">
        <v>62</v>
      </c>
      <c r="D3044" t="s">
        <v>63</v>
      </c>
      <c r="E3044">
        <v>8.0</v>
      </c>
      <c r="F3044">
        <v>9.0</v>
      </c>
      <c r="G3044" s="2" t="s">
        <v>67</v>
      </c>
      <c r="H3044" s="2">
        <v>48.0</v>
      </c>
      <c r="I3044" s="2">
        <v>24.0</v>
      </c>
      <c r="J3044" s="37">
        <v>1109.28</v>
      </c>
      <c r="K3044" s="2">
        <v>55.0</v>
      </c>
      <c r="L3044" s="2">
        <v>162.0</v>
      </c>
      <c r="M3044" s="37">
        <v>1445.8999999999999</v>
      </c>
    </row>
    <row r="3045" ht="14.25" customHeight="1">
      <c r="A3045" t="s">
        <v>3104</v>
      </c>
      <c r="B3045" t="s">
        <v>3091</v>
      </c>
      <c r="C3045" t="s">
        <v>62</v>
      </c>
      <c r="D3045" t="s">
        <v>63</v>
      </c>
      <c r="E3045">
        <v>8.0</v>
      </c>
      <c r="F3045">
        <v>9.0</v>
      </c>
      <c r="G3045" s="2" t="s">
        <v>67</v>
      </c>
      <c r="H3045" s="2">
        <v>48.0</v>
      </c>
      <c r="I3045" s="2">
        <v>24.0</v>
      </c>
      <c r="J3045" s="37">
        <v>1109.28</v>
      </c>
      <c r="K3045" s="2">
        <v>55.0</v>
      </c>
      <c r="L3045" s="2">
        <v>162.0</v>
      </c>
      <c r="M3045" s="37">
        <v>1445.8999999999999</v>
      </c>
    </row>
    <row r="3046" ht="14.25" customHeight="1">
      <c r="A3046" t="s">
        <v>3105</v>
      </c>
      <c r="B3046" t="s">
        <v>3003</v>
      </c>
      <c r="C3046" t="s">
        <v>62</v>
      </c>
      <c r="D3046" t="s">
        <v>63</v>
      </c>
      <c r="E3046">
        <v>2.5</v>
      </c>
      <c r="F3046">
        <v>3.2</v>
      </c>
      <c r="G3046" s="2" t="s">
        <v>64</v>
      </c>
      <c r="H3046" s="2">
        <v>0.0</v>
      </c>
      <c r="I3046" s="2">
        <v>0.0</v>
      </c>
      <c r="J3046" s="37">
        <v>0.0</v>
      </c>
      <c r="K3046" s="2">
        <v>0.0</v>
      </c>
      <c r="L3046" s="2">
        <v>0.0</v>
      </c>
      <c r="M3046" s="37">
        <v>0.0</v>
      </c>
    </row>
    <row r="3047" ht="14.25" customHeight="1">
      <c r="A3047" t="s">
        <v>3106</v>
      </c>
      <c r="B3047" t="s">
        <v>3003</v>
      </c>
      <c r="C3047" t="s">
        <v>62</v>
      </c>
      <c r="D3047" t="s">
        <v>63</v>
      </c>
      <c r="E3047">
        <v>3.6</v>
      </c>
      <c r="F3047">
        <v>3.6</v>
      </c>
      <c r="G3047" s="2" t="s">
        <v>64</v>
      </c>
      <c r="H3047" s="2">
        <v>0.0</v>
      </c>
      <c r="I3047" s="2">
        <v>0.0</v>
      </c>
      <c r="J3047" s="37">
        <v>0.0</v>
      </c>
      <c r="K3047" s="2">
        <v>0.0</v>
      </c>
      <c r="L3047" s="2">
        <v>0.0</v>
      </c>
      <c r="M3047" s="37">
        <v>0.0</v>
      </c>
    </row>
    <row r="3048" ht="14.25" customHeight="1">
      <c r="A3048" t="s">
        <v>3107</v>
      </c>
      <c r="B3048" t="s">
        <v>3003</v>
      </c>
      <c r="C3048" t="s">
        <v>62</v>
      </c>
      <c r="D3048" t="s">
        <v>63</v>
      </c>
      <c r="E3048">
        <v>5.0</v>
      </c>
      <c r="F3048">
        <v>5.0</v>
      </c>
      <c r="G3048" s="2" t="s">
        <v>64</v>
      </c>
      <c r="H3048" s="2">
        <v>0.0</v>
      </c>
      <c r="I3048" s="2">
        <v>0.0</v>
      </c>
      <c r="J3048" s="37">
        <v>0.0</v>
      </c>
      <c r="K3048" s="2">
        <v>0.0</v>
      </c>
      <c r="L3048" s="2">
        <v>0.0</v>
      </c>
      <c r="M3048" s="37">
        <v>0.0</v>
      </c>
    </row>
    <row r="3049" ht="14.25" customHeight="1">
      <c r="A3049" t="s">
        <v>3108</v>
      </c>
      <c r="B3049" t="s">
        <v>3003</v>
      </c>
      <c r="C3049" t="s">
        <v>62</v>
      </c>
      <c r="D3049" t="s">
        <v>63</v>
      </c>
      <c r="E3049">
        <v>6.0</v>
      </c>
      <c r="F3049">
        <v>6.0</v>
      </c>
      <c r="G3049" s="2" t="s">
        <v>64</v>
      </c>
      <c r="H3049" s="2">
        <v>0.0</v>
      </c>
      <c r="I3049" s="2">
        <v>0.0</v>
      </c>
      <c r="J3049" s="37">
        <v>0.0</v>
      </c>
      <c r="K3049" s="2">
        <v>0.0</v>
      </c>
      <c r="L3049" s="2">
        <v>0.0</v>
      </c>
      <c r="M3049" s="37">
        <v>0.0</v>
      </c>
    </row>
    <row r="3050" ht="14.25" customHeight="1">
      <c r="A3050" t="s">
        <v>3109</v>
      </c>
      <c r="B3050" t="s">
        <v>3091</v>
      </c>
      <c r="C3050" t="s">
        <v>62</v>
      </c>
      <c r="D3050" t="s">
        <v>63</v>
      </c>
      <c r="E3050">
        <v>2.5</v>
      </c>
      <c r="F3050">
        <v>3.2</v>
      </c>
      <c r="G3050" s="2" t="s">
        <v>67</v>
      </c>
      <c r="H3050" s="2">
        <v>17.0</v>
      </c>
      <c r="I3050" s="2">
        <v>108.0</v>
      </c>
      <c r="J3050" s="37">
        <v>522.22</v>
      </c>
      <c r="K3050" s="2">
        <v>19.0</v>
      </c>
      <c r="L3050" s="2">
        <v>146.0</v>
      </c>
      <c r="M3050" s="37">
        <v>616.54</v>
      </c>
    </row>
    <row r="3051" ht="14.25" customHeight="1">
      <c r="A3051" t="s">
        <v>3110</v>
      </c>
      <c r="B3051" t="s">
        <v>3091</v>
      </c>
      <c r="C3051" t="s">
        <v>62</v>
      </c>
      <c r="D3051" t="s">
        <v>63</v>
      </c>
      <c r="E3051">
        <v>3.5</v>
      </c>
      <c r="F3051">
        <v>4.1</v>
      </c>
      <c r="G3051" s="2" t="s">
        <v>67</v>
      </c>
      <c r="H3051" s="2">
        <v>21.0</v>
      </c>
      <c r="I3051" s="2">
        <v>98.0</v>
      </c>
      <c r="J3051" s="37">
        <v>599.0600000000001</v>
      </c>
      <c r="K3051" s="2">
        <v>24.0</v>
      </c>
      <c r="L3051" s="2">
        <v>151.0</v>
      </c>
      <c r="M3051" s="37">
        <v>735.3399999999999</v>
      </c>
    </row>
    <row r="3052" ht="14.25" customHeight="1">
      <c r="A3052" t="s">
        <v>3111</v>
      </c>
      <c r="B3052" t="s">
        <v>3091</v>
      </c>
      <c r="C3052" t="s">
        <v>62</v>
      </c>
      <c r="D3052" t="s">
        <v>63</v>
      </c>
      <c r="E3052">
        <v>5.0</v>
      </c>
      <c r="F3052">
        <v>6.0</v>
      </c>
      <c r="G3052" s="2" t="s">
        <v>67</v>
      </c>
      <c r="H3052" s="2">
        <v>36.0</v>
      </c>
      <c r="I3052" s="2">
        <v>180.0</v>
      </c>
      <c r="J3052" s="37">
        <v>1042.56</v>
      </c>
      <c r="K3052" s="2">
        <v>40.0</v>
      </c>
      <c r="L3052" s="2">
        <v>267.0</v>
      </c>
      <c r="M3052" s="37">
        <v>1245.5</v>
      </c>
    </row>
    <row r="3053" ht="14.25" customHeight="1">
      <c r="A3053" t="s">
        <v>3112</v>
      </c>
      <c r="B3053" t="s">
        <v>3091</v>
      </c>
      <c r="C3053" t="s">
        <v>62</v>
      </c>
      <c r="D3053" t="s">
        <v>63</v>
      </c>
      <c r="E3053">
        <v>8.0</v>
      </c>
      <c r="F3053">
        <v>9.0</v>
      </c>
      <c r="G3053" s="2" t="s">
        <v>67</v>
      </c>
      <c r="H3053" s="2">
        <v>50.0</v>
      </c>
      <c r="I3053" s="2">
        <v>52.0</v>
      </c>
      <c r="J3053" s="37">
        <v>1190.6</v>
      </c>
      <c r="K3053" s="2">
        <v>57.0</v>
      </c>
      <c r="L3053" s="2">
        <v>190.0</v>
      </c>
      <c r="M3053" s="37">
        <v>1527.22</v>
      </c>
    </row>
    <row r="3054" ht="14.25" customHeight="1">
      <c r="A3054" t="s">
        <v>3113</v>
      </c>
      <c r="B3054" t="s">
        <v>3091</v>
      </c>
      <c r="C3054" t="s">
        <v>62</v>
      </c>
      <c r="D3054" t="s">
        <v>63</v>
      </c>
      <c r="E3054">
        <v>8.0</v>
      </c>
      <c r="F3054">
        <v>9.0</v>
      </c>
      <c r="G3054" s="2" t="s">
        <v>67</v>
      </c>
      <c r="H3054" s="2">
        <v>50.0</v>
      </c>
      <c r="I3054" s="2">
        <v>52.0</v>
      </c>
      <c r="J3054" s="37">
        <v>1190.6</v>
      </c>
      <c r="K3054" s="2">
        <v>57.0</v>
      </c>
      <c r="L3054" s="2">
        <v>190.0</v>
      </c>
      <c r="M3054" s="37">
        <v>1527.22</v>
      </c>
    </row>
    <row r="3055" ht="14.25" customHeight="1">
      <c r="A3055" t="s">
        <v>3114</v>
      </c>
      <c r="B3055" t="s">
        <v>3091</v>
      </c>
      <c r="C3055" t="s">
        <v>62</v>
      </c>
      <c r="D3055" t="s">
        <v>63</v>
      </c>
      <c r="E3055">
        <v>8.0</v>
      </c>
      <c r="F3055">
        <v>9.0</v>
      </c>
      <c r="G3055" s="2" t="s">
        <v>67</v>
      </c>
      <c r="H3055" s="2">
        <v>50.0</v>
      </c>
      <c r="I3055" s="2">
        <v>52.0</v>
      </c>
      <c r="J3055" s="37">
        <v>1190.6</v>
      </c>
      <c r="K3055" s="2">
        <v>57.0</v>
      </c>
      <c r="L3055" s="2">
        <v>190.0</v>
      </c>
      <c r="M3055" s="37">
        <v>1527.22</v>
      </c>
    </row>
    <row r="3056" ht="14.25" customHeight="1">
      <c r="A3056" t="s">
        <v>3115</v>
      </c>
      <c r="B3056" t="s">
        <v>3091</v>
      </c>
      <c r="C3056" t="s">
        <v>62</v>
      </c>
      <c r="D3056" t="s">
        <v>63</v>
      </c>
      <c r="E3056">
        <v>8.0</v>
      </c>
      <c r="F3056">
        <v>9.0</v>
      </c>
      <c r="G3056" s="2" t="s">
        <v>67</v>
      </c>
      <c r="H3056" s="2">
        <v>50.0</v>
      </c>
      <c r="I3056" s="2">
        <v>52.0</v>
      </c>
      <c r="J3056" s="37">
        <v>1190.6</v>
      </c>
      <c r="K3056" s="2">
        <v>57.0</v>
      </c>
      <c r="L3056" s="2">
        <v>190.0</v>
      </c>
      <c r="M3056" s="37">
        <v>1527.22</v>
      </c>
    </row>
    <row r="3057" ht="14.25" customHeight="1">
      <c r="A3057" t="s">
        <v>3116</v>
      </c>
      <c r="B3057" t="s">
        <v>3091</v>
      </c>
      <c r="C3057" t="s">
        <v>62</v>
      </c>
      <c r="D3057" t="s">
        <v>63</v>
      </c>
      <c r="E3057">
        <v>7.1</v>
      </c>
      <c r="F3057">
        <v>8.0</v>
      </c>
      <c r="G3057" s="2" t="s">
        <v>67</v>
      </c>
      <c r="H3057" s="2">
        <v>47.0</v>
      </c>
      <c r="I3057" s="2">
        <v>154.0</v>
      </c>
      <c r="J3057" s="37">
        <v>1255.8200000000002</v>
      </c>
      <c r="K3057" s="2">
        <v>53.0</v>
      </c>
      <c r="L3057" s="2">
        <v>276.0</v>
      </c>
      <c r="M3057" s="37">
        <v>1549.18</v>
      </c>
    </row>
    <row r="3058" ht="14.25" customHeight="1">
      <c r="A3058" t="s">
        <v>3117</v>
      </c>
      <c r="B3058" t="s">
        <v>3091</v>
      </c>
      <c r="C3058" t="s">
        <v>62</v>
      </c>
      <c r="D3058" t="s">
        <v>63</v>
      </c>
      <c r="E3058">
        <v>7.1</v>
      </c>
      <c r="F3058">
        <v>8.0</v>
      </c>
      <c r="G3058" s="2" t="s">
        <v>67</v>
      </c>
      <c r="H3058" s="2">
        <v>47.0</v>
      </c>
      <c r="I3058" s="2">
        <v>154.0</v>
      </c>
      <c r="J3058" s="37">
        <v>1255.8200000000002</v>
      </c>
      <c r="K3058" s="2">
        <v>53.0</v>
      </c>
      <c r="L3058" s="2">
        <v>276.0</v>
      </c>
      <c r="M3058" s="37">
        <v>1549.18</v>
      </c>
    </row>
    <row r="3059" ht="14.25" customHeight="1">
      <c r="A3059" t="s">
        <v>3118</v>
      </c>
      <c r="B3059" t="s">
        <v>3091</v>
      </c>
      <c r="C3059" t="s">
        <v>62</v>
      </c>
      <c r="D3059" t="s">
        <v>63</v>
      </c>
      <c r="E3059">
        <v>7.1</v>
      </c>
      <c r="F3059">
        <v>8.0</v>
      </c>
      <c r="G3059" s="2" t="s">
        <v>67</v>
      </c>
      <c r="H3059" s="2">
        <v>47.0</v>
      </c>
      <c r="I3059" s="2">
        <v>154.0</v>
      </c>
      <c r="J3059" s="37">
        <v>1255.8200000000002</v>
      </c>
      <c r="K3059" s="2">
        <v>53.0</v>
      </c>
      <c r="L3059" s="2">
        <v>276.0</v>
      </c>
      <c r="M3059" s="37">
        <v>1549.18</v>
      </c>
    </row>
    <row r="3060" ht="14.25" customHeight="1">
      <c r="A3060" t="s">
        <v>3119</v>
      </c>
      <c r="B3060" t="s">
        <v>3091</v>
      </c>
      <c r="C3060" t="s">
        <v>75</v>
      </c>
      <c r="D3060" t="s">
        <v>63</v>
      </c>
      <c r="E3060">
        <v>5.6</v>
      </c>
      <c r="F3060">
        <v>7.0</v>
      </c>
      <c r="G3060" s="2" t="s">
        <v>64</v>
      </c>
      <c r="H3060" s="2">
        <v>0.0</v>
      </c>
      <c r="I3060" s="2">
        <v>0.0</v>
      </c>
      <c r="J3060" s="37">
        <v>0.0</v>
      </c>
      <c r="K3060" s="2">
        <v>0.0</v>
      </c>
      <c r="L3060" s="2">
        <v>0.0</v>
      </c>
      <c r="M3060" s="37">
        <v>0.0</v>
      </c>
    </row>
    <row r="3061" ht="14.25" customHeight="1">
      <c r="A3061" t="s">
        <v>3120</v>
      </c>
      <c r="B3061" t="s">
        <v>3091</v>
      </c>
      <c r="C3061" t="s">
        <v>75</v>
      </c>
      <c r="D3061" t="s">
        <v>63</v>
      </c>
      <c r="E3061">
        <v>2.6</v>
      </c>
      <c r="F3061">
        <v>3.3</v>
      </c>
      <c r="G3061" s="2" t="s">
        <v>67</v>
      </c>
      <c r="H3061" s="2">
        <v>18.0</v>
      </c>
      <c r="I3061" s="2">
        <v>145.0</v>
      </c>
      <c r="J3061" s="37">
        <v>592.78</v>
      </c>
      <c r="K3061" s="2">
        <v>21.0</v>
      </c>
      <c r="L3061" s="2">
        <v>195.0</v>
      </c>
      <c r="M3061" s="37">
        <v>725.1600000000001</v>
      </c>
    </row>
    <row r="3062" ht="14.25" customHeight="1">
      <c r="A3062" t="s">
        <v>3121</v>
      </c>
      <c r="B3062" t="s">
        <v>3091</v>
      </c>
      <c r="C3062" t="s">
        <v>75</v>
      </c>
      <c r="D3062" t="s">
        <v>63</v>
      </c>
      <c r="E3062">
        <v>3.7</v>
      </c>
      <c r="F3062">
        <v>4.2</v>
      </c>
      <c r="G3062" s="2" t="s">
        <v>67</v>
      </c>
      <c r="H3062" s="2">
        <v>23.0</v>
      </c>
      <c r="I3062" s="2">
        <v>130.0</v>
      </c>
      <c r="J3062" s="37">
        <v>685.58</v>
      </c>
      <c r="K3062" s="2">
        <v>27.0</v>
      </c>
      <c r="L3062" s="2">
        <v>202.0</v>
      </c>
      <c r="M3062" s="37">
        <v>869.0200000000001</v>
      </c>
    </row>
    <row r="3063" ht="14.25" customHeight="1">
      <c r="A3063" t="s">
        <v>3122</v>
      </c>
      <c r="B3063" t="s">
        <v>3091</v>
      </c>
      <c r="C3063" t="s">
        <v>75</v>
      </c>
      <c r="D3063" t="s">
        <v>63</v>
      </c>
      <c r="E3063">
        <v>5.0</v>
      </c>
      <c r="F3063">
        <v>6.1</v>
      </c>
      <c r="G3063" s="2" t="s">
        <v>67</v>
      </c>
      <c r="H3063" s="2">
        <v>32.0</v>
      </c>
      <c r="I3063" s="2">
        <v>119.0</v>
      </c>
      <c r="J3063" s="37">
        <v>873.4200000000001</v>
      </c>
      <c r="K3063" s="2">
        <v>37.0</v>
      </c>
      <c r="L3063" s="2">
        <v>216.0</v>
      </c>
      <c r="M3063" s="37">
        <v>1111.82</v>
      </c>
    </row>
    <row r="3064" ht="14.25" customHeight="1">
      <c r="A3064" t="s">
        <v>3123</v>
      </c>
      <c r="B3064" t="s">
        <v>3091</v>
      </c>
      <c r="C3064" t="s">
        <v>75</v>
      </c>
      <c r="D3064" t="s">
        <v>63</v>
      </c>
      <c r="E3064">
        <v>16.0</v>
      </c>
      <c r="F3064">
        <v>18.0</v>
      </c>
      <c r="G3064" s="2" t="s">
        <v>67</v>
      </c>
      <c r="H3064" s="2">
        <v>93.0</v>
      </c>
      <c r="I3064" s="2">
        <v>168.0</v>
      </c>
      <c r="J3064" s="37">
        <v>2307.1800000000003</v>
      </c>
      <c r="K3064" s="2">
        <v>109.0</v>
      </c>
      <c r="L3064" s="2">
        <v>478.0</v>
      </c>
      <c r="M3064" s="37">
        <v>3069.54</v>
      </c>
    </row>
    <row r="3065" ht="14.25" customHeight="1">
      <c r="A3065" t="s">
        <v>3124</v>
      </c>
      <c r="B3065" t="s">
        <v>3091</v>
      </c>
      <c r="C3065" t="s">
        <v>75</v>
      </c>
      <c r="D3065" t="s">
        <v>63</v>
      </c>
      <c r="E3065">
        <v>16.0</v>
      </c>
      <c r="F3065">
        <v>18.0</v>
      </c>
      <c r="G3065" s="2" t="s">
        <v>67</v>
      </c>
      <c r="H3065" s="2">
        <v>93.0</v>
      </c>
      <c r="I3065" s="2">
        <v>168.0</v>
      </c>
      <c r="J3065" s="37">
        <v>2307.1800000000003</v>
      </c>
      <c r="K3065" s="2">
        <v>109.0</v>
      </c>
      <c r="L3065" s="2">
        <v>478.0</v>
      </c>
      <c r="M3065" s="37">
        <v>3069.54</v>
      </c>
    </row>
    <row r="3066" ht="14.25" customHeight="1">
      <c r="A3066" t="s">
        <v>3125</v>
      </c>
      <c r="B3066" t="s">
        <v>3091</v>
      </c>
      <c r="C3066" t="s">
        <v>75</v>
      </c>
      <c r="D3066" t="s">
        <v>63</v>
      </c>
      <c r="E3066">
        <v>22.4</v>
      </c>
      <c r="F3066">
        <v>25.0</v>
      </c>
      <c r="G3066" s="2" t="s">
        <v>64</v>
      </c>
      <c r="H3066" s="2">
        <v>0.0</v>
      </c>
      <c r="I3066" s="2">
        <v>0.0</v>
      </c>
      <c r="J3066" s="37">
        <v>0.0</v>
      </c>
      <c r="K3066" s="2">
        <v>0.0</v>
      </c>
      <c r="L3066" s="2">
        <v>0.0</v>
      </c>
      <c r="M3066" s="37">
        <v>0.0</v>
      </c>
    </row>
    <row r="3067" ht="14.25" customHeight="1">
      <c r="A3067" t="s">
        <v>3126</v>
      </c>
      <c r="B3067" t="s">
        <v>3091</v>
      </c>
      <c r="C3067" t="s">
        <v>75</v>
      </c>
      <c r="D3067" t="s">
        <v>63</v>
      </c>
      <c r="E3067">
        <v>18.0</v>
      </c>
      <c r="F3067">
        <v>20.0</v>
      </c>
      <c r="G3067" s="2" t="s">
        <v>67</v>
      </c>
      <c r="H3067" s="2">
        <v>110.0</v>
      </c>
      <c r="I3067" s="2">
        <v>98.0</v>
      </c>
      <c r="J3067" s="37">
        <v>2598.0</v>
      </c>
      <c r="K3067" s="2">
        <v>128.0</v>
      </c>
      <c r="L3067" s="2">
        <v>447.0</v>
      </c>
      <c r="M3067" s="37">
        <v>3455.98</v>
      </c>
    </row>
    <row r="3068" ht="14.25" customHeight="1">
      <c r="A3068" t="s">
        <v>3127</v>
      </c>
      <c r="B3068" t="s">
        <v>3091</v>
      </c>
      <c r="C3068" t="s">
        <v>75</v>
      </c>
      <c r="D3068" t="s">
        <v>63</v>
      </c>
      <c r="E3068">
        <v>18.0</v>
      </c>
      <c r="F3068">
        <v>20.0</v>
      </c>
      <c r="G3068" s="2" t="s">
        <v>67</v>
      </c>
      <c r="H3068" s="2">
        <v>110.0</v>
      </c>
      <c r="I3068" s="2">
        <v>98.0</v>
      </c>
      <c r="J3068" s="37">
        <v>2598.0</v>
      </c>
      <c r="K3068" s="2">
        <v>128.0</v>
      </c>
      <c r="L3068" s="2">
        <v>447.0</v>
      </c>
      <c r="M3068" s="37">
        <v>3455.98</v>
      </c>
    </row>
    <row r="3069" ht="14.25" customHeight="1">
      <c r="A3069" t="s">
        <v>3128</v>
      </c>
      <c r="B3069" t="s">
        <v>3091</v>
      </c>
      <c r="C3069" t="s">
        <v>75</v>
      </c>
      <c r="D3069" t="s">
        <v>63</v>
      </c>
      <c r="E3069">
        <v>20.0</v>
      </c>
      <c r="F3069">
        <v>22.4</v>
      </c>
      <c r="G3069" s="2" t="s">
        <v>67</v>
      </c>
      <c r="H3069" s="2">
        <v>114.0</v>
      </c>
      <c r="I3069" s="2">
        <v>253.0</v>
      </c>
      <c r="J3069" s="37">
        <v>2889.34</v>
      </c>
      <c r="K3069" s="2">
        <v>134.0</v>
      </c>
      <c r="L3069" s="2">
        <v>640.0</v>
      </c>
      <c r="M3069" s="37">
        <v>3841.6400000000003</v>
      </c>
    </row>
    <row r="3070" ht="14.25" customHeight="1">
      <c r="A3070" t="s">
        <v>3017</v>
      </c>
      <c r="B3070" t="s">
        <v>3003</v>
      </c>
      <c r="C3070" t="s">
        <v>75</v>
      </c>
      <c r="D3070" t="s">
        <v>63</v>
      </c>
      <c r="E3070">
        <v>18.0</v>
      </c>
      <c r="F3070">
        <v>20.0</v>
      </c>
      <c r="G3070" s="2" t="s">
        <v>64</v>
      </c>
      <c r="H3070" s="2">
        <v>0.0</v>
      </c>
      <c r="I3070" s="2">
        <v>0.0</v>
      </c>
      <c r="J3070" s="37">
        <v>0.0</v>
      </c>
      <c r="K3070" s="2">
        <v>0.0</v>
      </c>
      <c r="L3070" s="2">
        <v>0.0</v>
      </c>
      <c r="M3070" s="37">
        <v>0.0</v>
      </c>
    </row>
    <row r="3071" ht="14.25" customHeight="1">
      <c r="A3071" t="s">
        <v>3018</v>
      </c>
      <c r="B3071" t="s">
        <v>3003</v>
      </c>
      <c r="C3071" t="s">
        <v>75</v>
      </c>
      <c r="D3071" t="s">
        <v>63</v>
      </c>
      <c r="E3071">
        <v>20.0</v>
      </c>
      <c r="F3071">
        <v>22.4</v>
      </c>
      <c r="G3071" s="2" t="s">
        <v>64</v>
      </c>
      <c r="H3071" s="2">
        <v>0.0</v>
      </c>
      <c r="I3071" s="2">
        <v>0.0</v>
      </c>
      <c r="J3071" s="37">
        <v>0.0</v>
      </c>
      <c r="K3071" s="2">
        <v>0.0</v>
      </c>
      <c r="L3071" s="2">
        <v>0.0</v>
      </c>
      <c r="M3071" s="37">
        <v>0.0</v>
      </c>
    </row>
    <row r="3072" ht="14.25" customHeight="1">
      <c r="A3072" t="s">
        <v>3019</v>
      </c>
      <c r="B3072" t="s">
        <v>3003</v>
      </c>
      <c r="C3072" t="s">
        <v>75</v>
      </c>
      <c r="D3072" t="s">
        <v>63</v>
      </c>
      <c r="E3072">
        <v>22.4</v>
      </c>
      <c r="F3072">
        <v>25.0</v>
      </c>
      <c r="G3072" s="2" t="s">
        <v>64</v>
      </c>
      <c r="H3072" s="2">
        <v>0.0</v>
      </c>
      <c r="I3072" s="2">
        <v>0.0</v>
      </c>
      <c r="J3072" s="37">
        <v>0.0</v>
      </c>
      <c r="K3072" s="2">
        <v>0.0</v>
      </c>
      <c r="L3072" s="2">
        <v>0.0</v>
      </c>
      <c r="M3072" s="37">
        <v>0.0</v>
      </c>
    </row>
    <row r="3073" ht="14.25" customHeight="1">
      <c r="A3073" t="s">
        <v>3129</v>
      </c>
      <c r="B3073" t="s">
        <v>3003</v>
      </c>
      <c r="C3073" t="s">
        <v>75</v>
      </c>
      <c r="D3073" t="s">
        <v>63</v>
      </c>
      <c r="E3073">
        <v>18.0</v>
      </c>
      <c r="F3073">
        <v>20.0</v>
      </c>
      <c r="G3073" s="2" t="s">
        <v>64</v>
      </c>
      <c r="H3073" s="2">
        <v>0.0</v>
      </c>
      <c r="I3073" s="2">
        <v>0.0</v>
      </c>
      <c r="J3073" s="37">
        <v>0.0</v>
      </c>
      <c r="K3073" s="2">
        <v>0.0</v>
      </c>
      <c r="L3073" s="2">
        <v>0.0</v>
      </c>
      <c r="M3073" s="37">
        <v>0.0</v>
      </c>
    </row>
    <row r="3074" ht="14.25" customHeight="1">
      <c r="A3074" t="s">
        <v>3130</v>
      </c>
      <c r="B3074" t="s">
        <v>3003</v>
      </c>
      <c r="C3074" t="s">
        <v>75</v>
      </c>
      <c r="D3074" t="s">
        <v>63</v>
      </c>
      <c r="E3074">
        <v>20.0</v>
      </c>
      <c r="F3074">
        <v>22.4</v>
      </c>
      <c r="G3074" s="2" t="s">
        <v>64</v>
      </c>
      <c r="H3074" s="2">
        <v>0.0</v>
      </c>
      <c r="I3074" s="2">
        <v>0.0</v>
      </c>
      <c r="J3074" s="37">
        <v>0.0</v>
      </c>
      <c r="K3074" s="2">
        <v>0.0</v>
      </c>
      <c r="L3074" s="2">
        <v>0.0</v>
      </c>
      <c r="M3074" s="37">
        <v>0.0</v>
      </c>
    </row>
    <row r="3075" ht="14.25" customHeight="1">
      <c r="A3075" t="s">
        <v>3131</v>
      </c>
      <c r="B3075" t="s">
        <v>3003</v>
      </c>
      <c r="C3075" t="s">
        <v>75</v>
      </c>
      <c r="D3075" t="s">
        <v>63</v>
      </c>
      <c r="E3075">
        <v>22.4</v>
      </c>
      <c r="F3075">
        <v>25.0</v>
      </c>
      <c r="G3075" s="2" t="s">
        <v>64</v>
      </c>
      <c r="H3075" s="2">
        <v>0.0</v>
      </c>
      <c r="I3075" s="2">
        <v>0.0</v>
      </c>
      <c r="J3075" s="37">
        <v>0.0</v>
      </c>
      <c r="K3075" s="2">
        <v>0.0</v>
      </c>
      <c r="L3075" s="2">
        <v>0.0</v>
      </c>
      <c r="M3075" s="37">
        <v>0.0</v>
      </c>
    </row>
    <row r="3076" ht="14.25" customHeight="1">
      <c r="A3076" t="s">
        <v>3132</v>
      </c>
      <c r="B3076" t="s">
        <v>3091</v>
      </c>
      <c r="C3076" t="s">
        <v>62</v>
      </c>
      <c r="D3076" t="s">
        <v>63</v>
      </c>
      <c r="E3076">
        <v>5.0</v>
      </c>
      <c r="F3076">
        <v>6.0</v>
      </c>
      <c r="G3076" s="2" t="s">
        <v>67</v>
      </c>
      <c r="H3076" s="2">
        <v>30.0</v>
      </c>
      <c r="I3076" s="2">
        <v>23.0</v>
      </c>
      <c r="J3076" s="37">
        <v>703.7</v>
      </c>
      <c r="K3076" s="2">
        <v>34.0</v>
      </c>
      <c r="L3076" s="2">
        <v>110.0</v>
      </c>
      <c r="M3076" s="37">
        <v>906.64</v>
      </c>
    </row>
    <row r="3077" ht="14.25" customHeight="1">
      <c r="A3077" t="s">
        <v>3133</v>
      </c>
      <c r="B3077" t="s">
        <v>3091</v>
      </c>
      <c r="C3077" t="s">
        <v>62</v>
      </c>
      <c r="D3077" t="s">
        <v>63</v>
      </c>
      <c r="E3077">
        <v>5.0</v>
      </c>
      <c r="F3077">
        <v>6.0</v>
      </c>
      <c r="G3077" s="2" t="s">
        <v>67</v>
      </c>
      <c r="H3077" s="2">
        <v>30.0</v>
      </c>
      <c r="I3077" s="2">
        <v>23.0</v>
      </c>
      <c r="J3077" s="37">
        <v>703.7</v>
      </c>
      <c r="K3077" s="2">
        <v>34.0</v>
      </c>
      <c r="L3077" s="2">
        <v>110.0</v>
      </c>
      <c r="M3077" s="37">
        <v>906.64</v>
      </c>
    </row>
    <row r="3078" ht="14.25" customHeight="1">
      <c r="A3078" t="s">
        <v>3134</v>
      </c>
      <c r="B3078" t="s">
        <v>3091</v>
      </c>
      <c r="C3078" t="s">
        <v>62</v>
      </c>
      <c r="D3078" t="s">
        <v>63</v>
      </c>
      <c r="E3078">
        <v>5.0</v>
      </c>
      <c r="F3078">
        <v>6.0</v>
      </c>
      <c r="G3078" s="2" t="s">
        <v>67</v>
      </c>
      <c r="H3078" s="2">
        <v>30.0</v>
      </c>
      <c r="I3078" s="2">
        <v>23.0</v>
      </c>
      <c r="J3078" s="37">
        <v>703.7</v>
      </c>
      <c r="K3078" s="2">
        <v>34.0</v>
      </c>
      <c r="L3078" s="2">
        <v>110.0</v>
      </c>
      <c r="M3078" s="37">
        <v>906.64</v>
      </c>
    </row>
    <row r="3079" ht="14.25" customHeight="1">
      <c r="A3079" t="s">
        <v>3135</v>
      </c>
      <c r="B3079" t="s">
        <v>3091</v>
      </c>
      <c r="C3079" t="s">
        <v>62</v>
      </c>
      <c r="D3079" t="s">
        <v>63</v>
      </c>
      <c r="E3079">
        <v>5.0</v>
      </c>
      <c r="F3079">
        <v>6.0</v>
      </c>
      <c r="G3079" s="2" t="s">
        <v>67</v>
      </c>
      <c r="H3079" s="2">
        <v>30.0</v>
      </c>
      <c r="I3079" s="2">
        <v>23.0</v>
      </c>
      <c r="J3079" s="37">
        <v>703.7</v>
      </c>
      <c r="K3079" s="2">
        <v>34.0</v>
      </c>
      <c r="L3079" s="2">
        <v>110.0</v>
      </c>
      <c r="M3079" s="37">
        <v>906.64</v>
      </c>
    </row>
    <row r="3080" ht="14.25" customHeight="1">
      <c r="A3080" t="s">
        <v>3136</v>
      </c>
      <c r="B3080" t="s">
        <v>3091</v>
      </c>
      <c r="C3080" t="s">
        <v>62</v>
      </c>
      <c r="D3080" t="s">
        <v>63</v>
      </c>
      <c r="E3080">
        <v>5.0</v>
      </c>
      <c r="F3080">
        <v>6.0</v>
      </c>
      <c r="G3080" s="2" t="s">
        <v>67</v>
      </c>
      <c r="H3080" s="2">
        <v>30.0</v>
      </c>
      <c r="I3080" s="2">
        <v>23.0</v>
      </c>
      <c r="J3080" s="37">
        <v>703.7</v>
      </c>
      <c r="K3080" s="2">
        <v>34.0</v>
      </c>
      <c r="L3080" s="2">
        <v>110.0</v>
      </c>
      <c r="M3080" s="37">
        <v>906.64</v>
      </c>
    </row>
    <row r="3081" ht="14.25" customHeight="1">
      <c r="A3081" t="s">
        <v>3137</v>
      </c>
      <c r="B3081" t="s">
        <v>3091</v>
      </c>
      <c r="C3081" t="s">
        <v>62</v>
      </c>
      <c r="D3081" t="s">
        <v>63</v>
      </c>
      <c r="E3081">
        <v>6.0</v>
      </c>
      <c r="F3081">
        <v>7.2</v>
      </c>
      <c r="G3081" s="2" t="s">
        <v>67</v>
      </c>
      <c r="H3081" s="2">
        <v>39.0</v>
      </c>
      <c r="I3081" s="2">
        <v>108.0</v>
      </c>
      <c r="J3081" s="37">
        <v>1016.34</v>
      </c>
      <c r="K3081" s="2">
        <v>45.0</v>
      </c>
      <c r="L3081" s="2">
        <v>211.0</v>
      </c>
      <c r="M3081" s="37">
        <v>1285.0</v>
      </c>
    </row>
    <row r="3082" ht="14.25" customHeight="1">
      <c r="A3082" t="s">
        <v>3138</v>
      </c>
      <c r="B3082" t="s">
        <v>3091</v>
      </c>
      <c r="C3082" t="s">
        <v>62</v>
      </c>
      <c r="D3082" t="s">
        <v>63</v>
      </c>
      <c r="E3082">
        <v>6.0</v>
      </c>
      <c r="F3082">
        <v>7.2</v>
      </c>
      <c r="G3082" s="2" t="s">
        <v>67</v>
      </c>
      <c r="H3082" s="2">
        <v>39.0</v>
      </c>
      <c r="I3082" s="2">
        <v>108.0</v>
      </c>
      <c r="J3082" s="37">
        <v>1016.34</v>
      </c>
      <c r="K3082" s="2">
        <v>45.0</v>
      </c>
      <c r="L3082" s="2">
        <v>211.0</v>
      </c>
      <c r="M3082" s="37">
        <v>1285.0</v>
      </c>
    </row>
    <row r="3083" ht="14.25" customHeight="1">
      <c r="A3083" t="s">
        <v>3139</v>
      </c>
      <c r="B3083" t="s">
        <v>3091</v>
      </c>
      <c r="C3083" t="s">
        <v>62</v>
      </c>
      <c r="D3083" t="s">
        <v>63</v>
      </c>
      <c r="E3083">
        <v>6.0</v>
      </c>
      <c r="F3083">
        <v>7.2</v>
      </c>
      <c r="G3083" s="2" t="s">
        <v>67</v>
      </c>
      <c r="H3083" s="2">
        <v>39.0</v>
      </c>
      <c r="I3083" s="2">
        <v>108.0</v>
      </c>
      <c r="J3083" s="37">
        <v>1016.34</v>
      </c>
      <c r="K3083" s="2">
        <v>45.0</v>
      </c>
      <c r="L3083" s="2">
        <v>211.0</v>
      </c>
      <c r="M3083" s="37">
        <v>1285.0</v>
      </c>
    </row>
    <row r="3084" ht="14.25" customHeight="1">
      <c r="A3084" t="s">
        <v>3140</v>
      </c>
      <c r="B3084" t="s">
        <v>3091</v>
      </c>
      <c r="C3084" t="s">
        <v>62</v>
      </c>
      <c r="D3084" t="s">
        <v>63</v>
      </c>
      <c r="E3084">
        <v>5.0</v>
      </c>
      <c r="F3084">
        <v>6.0</v>
      </c>
      <c r="G3084" s="2" t="s">
        <v>67</v>
      </c>
      <c r="H3084" s="2">
        <v>34.0</v>
      </c>
      <c r="I3084" s="2">
        <v>136.0</v>
      </c>
      <c r="J3084" s="37">
        <v>940.44</v>
      </c>
      <c r="K3084" s="2">
        <v>39.0</v>
      </c>
      <c r="L3084" s="2">
        <v>222.0</v>
      </c>
      <c r="M3084" s="37">
        <v>1164.54</v>
      </c>
    </row>
    <row r="3085" ht="14.25" customHeight="1">
      <c r="A3085" t="s">
        <v>3141</v>
      </c>
      <c r="B3085" t="s">
        <v>3091</v>
      </c>
      <c r="C3085" t="s">
        <v>62</v>
      </c>
      <c r="D3085" t="s">
        <v>63</v>
      </c>
      <c r="E3085">
        <v>5.0</v>
      </c>
      <c r="F3085">
        <v>6.0</v>
      </c>
      <c r="G3085" s="2" t="s">
        <v>67</v>
      </c>
      <c r="H3085" s="2">
        <v>34.0</v>
      </c>
      <c r="I3085" s="2">
        <v>136.0</v>
      </c>
      <c r="J3085" s="37">
        <v>940.44</v>
      </c>
      <c r="K3085" s="2">
        <v>39.0</v>
      </c>
      <c r="L3085" s="2">
        <v>222.0</v>
      </c>
      <c r="M3085" s="37">
        <v>1164.54</v>
      </c>
    </row>
    <row r="3086" ht="14.25" customHeight="1">
      <c r="A3086" t="s">
        <v>3142</v>
      </c>
      <c r="B3086" t="s">
        <v>3091</v>
      </c>
      <c r="C3086" t="s">
        <v>62</v>
      </c>
      <c r="D3086" t="s">
        <v>63</v>
      </c>
      <c r="E3086">
        <v>5.0</v>
      </c>
      <c r="F3086">
        <v>6.0</v>
      </c>
      <c r="G3086" s="2" t="s">
        <v>67</v>
      </c>
      <c r="H3086" s="2">
        <v>34.0</v>
      </c>
      <c r="I3086" s="2">
        <v>136.0</v>
      </c>
      <c r="J3086" s="37">
        <v>940.44</v>
      </c>
      <c r="K3086" s="2">
        <v>39.0</v>
      </c>
      <c r="L3086" s="2">
        <v>222.0</v>
      </c>
      <c r="M3086" s="37">
        <v>1164.54</v>
      </c>
    </row>
    <row r="3087" ht="14.25" customHeight="1">
      <c r="A3087" t="s">
        <v>3143</v>
      </c>
      <c r="B3087" t="s">
        <v>3091</v>
      </c>
      <c r="C3087" t="s">
        <v>62</v>
      </c>
      <c r="D3087" t="s">
        <v>63</v>
      </c>
      <c r="E3087">
        <v>6.0</v>
      </c>
      <c r="F3087">
        <v>6.5</v>
      </c>
      <c r="G3087" s="2" t="s">
        <v>67</v>
      </c>
      <c r="H3087" s="2">
        <v>36.0</v>
      </c>
      <c r="I3087" s="2">
        <v>7.0</v>
      </c>
      <c r="J3087" s="37">
        <v>817.6600000000001</v>
      </c>
      <c r="K3087" s="2">
        <v>41.0</v>
      </c>
      <c r="L3087" s="2">
        <v>110.0</v>
      </c>
      <c r="M3087" s="37">
        <v>1063.8600000000001</v>
      </c>
    </row>
    <row r="3088" ht="14.25" customHeight="1">
      <c r="A3088" t="s">
        <v>3144</v>
      </c>
      <c r="B3088" t="s">
        <v>3091</v>
      </c>
      <c r="C3088" t="s">
        <v>62</v>
      </c>
      <c r="D3088" t="s">
        <v>63</v>
      </c>
      <c r="E3088">
        <v>6.0</v>
      </c>
      <c r="F3088">
        <v>6.5</v>
      </c>
      <c r="G3088" s="2" t="s">
        <v>67</v>
      </c>
      <c r="H3088" s="2">
        <v>36.0</v>
      </c>
      <c r="I3088" s="2">
        <v>7.0</v>
      </c>
      <c r="J3088" s="37">
        <v>817.6600000000001</v>
      </c>
      <c r="K3088" s="2">
        <v>41.0</v>
      </c>
      <c r="L3088" s="2">
        <v>110.0</v>
      </c>
      <c r="M3088" s="37">
        <v>1063.8600000000001</v>
      </c>
    </row>
    <row r="3089" ht="14.25" customHeight="1">
      <c r="A3089" t="s">
        <v>3145</v>
      </c>
      <c r="B3089" t="s">
        <v>3091</v>
      </c>
      <c r="C3089" t="s">
        <v>62</v>
      </c>
      <c r="D3089" t="s">
        <v>63</v>
      </c>
      <c r="E3089">
        <v>6.0</v>
      </c>
      <c r="F3089">
        <v>6.5</v>
      </c>
      <c r="G3089" s="2" t="s">
        <v>67</v>
      </c>
      <c r="H3089" s="2">
        <v>36.0</v>
      </c>
      <c r="I3089" s="2">
        <v>7.0</v>
      </c>
      <c r="J3089" s="37">
        <v>817.6600000000001</v>
      </c>
      <c r="K3089" s="2">
        <v>41.0</v>
      </c>
      <c r="L3089" s="2">
        <v>110.0</v>
      </c>
      <c r="M3089" s="37">
        <v>1063.8600000000001</v>
      </c>
    </row>
    <row r="3090" ht="14.25" customHeight="1">
      <c r="A3090" t="s">
        <v>3146</v>
      </c>
      <c r="B3090" t="s">
        <v>3091</v>
      </c>
      <c r="C3090" t="s">
        <v>62</v>
      </c>
      <c r="D3090" t="s">
        <v>63</v>
      </c>
      <c r="E3090">
        <v>6.0</v>
      </c>
      <c r="F3090">
        <v>6.5</v>
      </c>
      <c r="G3090" s="2" t="s">
        <v>67</v>
      </c>
      <c r="H3090" s="2">
        <v>36.0</v>
      </c>
      <c r="I3090" s="2">
        <v>7.0</v>
      </c>
      <c r="J3090" s="37">
        <v>817.6600000000001</v>
      </c>
      <c r="K3090" s="2">
        <v>41.0</v>
      </c>
      <c r="L3090" s="2">
        <v>110.0</v>
      </c>
      <c r="M3090" s="37">
        <v>1063.8600000000001</v>
      </c>
    </row>
    <row r="3091" ht="14.25" customHeight="1">
      <c r="A3091" t="s">
        <v>3147</v>
      </c>
      <c r="B3091" t="s">
        <v>3091</v>
      </c>
      <c r="C3091" t="s">
        <v>62</v>
      </c>
      <c r="D3091" t="s">
        <v>63</v>
      </c>
      <c r="E3091">
        <v>6.0</v>
      </c>
      <c r="F3091">
        <v>6.5</v>
      </c>
      <c r="G3091" s="2" t="s">
        <v>67</v>
      </c>
      <c r="H3091" s="2">
        <v>36.0</v>
      </c>
      <c r="I3091" s="2">
        <v>7.0</v>
      </c>
      <c r="J3091" s="37">
        <v>817.6600000000001</v>
      </c>
      <c r="K3091" s="2">
        <v>41.0</v>
      </c>
      <c r="L3091" s="2">
        <v>110.0</v>
      </c>
      <c r="M3091" s="37">
        <v>1063.8600000000001</v>
      </c>
    </row>
    <row r="3092" ht="14.25" customHeight="1">
      <c r="A3092" t="s">
        <v>3148</v>
      </c>
      <c r="B3092" t="s">
        <v>3091</v>
      </c>
      <c r="C3092" t="s">
        <v>62</v>
      </c>
      <c r="D3092" t="s">
        <v>63</v>
      </c>
      <c r="E3092">
        <v>7.1</v>
      </c>
      <c r="F3092">
        <v>8.0</v>
      </c>
      <c r="G3092" s="2" t="s">
        <v>67</v>
      </c>
      <c r="H3092" s="2">
        <v>43.0</v>
      </c>
      <c r="I3092" s="2">
        <v>81.0</v>
      </c>
      <c r="J3092" s="37">
        <v>1071.0800000000002</v>
      </c>
      <c r="K3092" s="2">
        <v>50.0</v>
      </c>
      <c r="L3092" s="2">
        <v>203.0</v>
      </c>
      <c r="M3092" s="37">
        <v>1386.9</v>
      </c>
    </row>
    <row r="3093" ht="14.25" customHeight="1">
      <c r="A3093" t="s">
        <v>3149</v>
      </c>
      <c r="B3093" t="s">
        <v>3091</v>
      </c>
      <c r="C3093" t="s">
        <v>62</v>
      </c>
      <c r="D3093" t="s">
        <v>63</v>
      </c>
      <c r="E3093">
        <v>7.1</v>
      </c>
      <c r="F3093">
        <v>8.0</v>
      </c>
      <c r="G3093" s="2" t="s">
        <v>67</v>
      </c>
      <c r="H3093" s="2">
        <v>43.0</v>
      </c>
      <c r="I3093" s="2">
        <v>81.0</v>
      </c>
      <c r="J3093" s="37">
        <v>1071.0800000000002</v>
      </c>
      <c r="K3093" s="2">
        <v>50.0</v>
      </c>
      <c r="L3093" s="2">
        <v>203.0</v>
      </c>
      <c r="M3093" s="37">
        <v>1386.9</v>
      </c>
    </row>
    <row r="3094" ht="14.25" customHeight="1">
      <c r="A3094" t="s">
        <v>3150</v>
      </c>
      <c r="B3094" t="s">
        <v>3091</v>
      </c>
      <c r="C3094" t="s">
        <v>62</v>
      </c>
      <c r="D3094" t="s">
        <v>63</v>
      </c>
      <c r="E3094">
        <v>7.1</v>
      </c>
      <c r="F3094">
        <v>8.0</v>
      </c>
      <c r="G3094" s="2" t="s">
        <v>67</v>
      </c>
      <c r="H3094" s="2">
        <v>43.0</v>
      </c>
      <c r="I3094" s="2">
        <v>81.0</v>
      </c>
      <c r="J3094" s="37">
        <v>1071.0800000000002</v>
      </c>
      <c r="K3094" s="2">
        <v>50.0</v>
      </c>
      <c r="L3094" s="2">
        <v>203.0</v>
      </c>
      <c r="M3094" s="37">
        <v>1386.9</v>
      </c>
    </row>
    <row r="3095" ht="14.25" customHeight="1">
      <c r="A3095" t="s">
        <v>3151</v>
      </c>
      <c r="B3095" t="s">
        <v>3091</v>
      </c>
      <c r="C3095" t="s">
        <v>62</v>
      </c>
      <c r="D3095" t="s">
        <v>63</v>
      </c>
      <c r="E3095">
        <v>7.1</v>
      </c>
      <c r="F3095">
        <v>8.0</v>
      </c>
      <c r="G3095" s="2" t="s">
        <v>67</v>
      </c>
      <c r="H3095" s="2">
        <v>43.0</v>
      </c>
      <c r="I3095" s="2">
        <v>81.0</v>
      </c>
      <c r="J3095" s="37">
        <v>1071.0800000000002</v>
      </c>
      <c r="K3095" s="2">
        <v>50.0</v>
      </c>
      <c r="L3095" s="2">
        <v>203.0</v>
      </c>
      <c r="M3095" s="37">
        <v>1386.9</v>
      </c>
    </row>
    <row r="3096" ht="14.25" customHeight="1">
      <c r="A3096" t="s">
        <v>3152</v>
      </c>
      <c r="B3096" t="s">
        <v>3091</v>
      </c>
      <c r="C3096" t="s">
        <v>62</v>
      </c>
      <c r="D3096" t="s">
        <v>63</v>
      </c>
      <c r="E3096">
        <v>7.1</v>
      </c>
      <c r="F3096">
        <v>8.0</v>
      </c>
      <c r="G3096" s="2" t="s">
        <v>67</v>
      </c>
      <c r="H3096" s="2">
        <v>43.0</v>
      </c>
      <c r="I3096" s="2">
        <v>81.0</v>
      </c>
      <c r="J3096" s="37">
        <v>1071.0800000000002</v>
      </c>
      <c r="K3096" s="2">
        <v>50.0</v>
      </c>
      <c r="L3096" s="2">
        <v>203.0</v>
      </c>
      <c r="M3096" s="37">
        <v>1386.9</v>
      </c>
    </row>
    <row r="3097" ht="14.25" customHeight="1">
      <c r="A3097" t="s">
        <v>3153</v>
      </c>
      <c r="B3097" t="s">
        <v>3091</v>
      </c>
      <c r="C3097" t="s">
        <v>62</v>
      </c>
      <c r="D3097" t="s">
        <v>63</v>
      </c>
      <c r="E3097">
        <v>9.5</v>
      </c>
      <c r="F3097">
        <v>10.3</v>
      </c>
      <c r="G3097" s="2" t="s">
        <v>67</v>
      </c>
      <c r="H3097" s="2">
        <v>53.0</v>
      </c>
      <c r="I3097" s="2">
        <v>61.0</v>
      </c>
      <c r="J3097" s="37">
        <v>1269.68</v>
      </c>
      <c r="K3097" s="2">
        <v>61.0</v>
      </c>
      <c r="L3097" s="2">
        <v>225.0</v>
      </c>
      <c r="M3097" s="37">
        <v>1662.56</v>
      </c>
    </row>
    <row r="3098" ht="14.25" customHeight="1">
      <c r="A3098" t="s">
        <v>3154</v>
      </c>
      <c r="B3098" t="s">
        <v>3091</v>
      </c>
      <c r="C3098" t="s">
        <v>62</v>
      </c>
      <c r="D3098" t="s">
        <v>63</v>
      </c>
      <c r="E3098">
        <v>9.5</v>
      </c>
      <c r="F3098">
        <v>10.3</v>
      </c>
      <c r="G3098" s="2" t="s">
        <v>67</v>
      </c>
      <c r="H3098" s="2">
        <v>53.0</v>
      </c>
      <c r="I3098" s="2">
        <v>61.0</v>
      </c>
      <c r="J3098" s="37">
        <v>1269.68</v>
      </c>
      <c r="K3098" s="2">
        <v>61.0</v>
      </c>
      <c r="L3098" s="2">
        <v>225.0</v>
      </c>
      <c r="M3098" s="37">
        <v>1662.56</v>
      </c>
    </row>
    <row r="3099" ht="14.25" customHeight="1">
      <c r="A3099" t="s">
        <v>3155</v>
      </c>
      <c r="B3099" t="s">
        <v>3091</v>
      </c>
      <c r="C3099" t="s">
        <v>62</v>
      </c>
      <c r="D3099" t="s">
        <v>63</v>
      </c>
      <c r="E3099">
        <v>9.5</v>
      </c>
      <c r="F3099">
        <v>10.3</v>
      </c>
      <c r="G3099" s="2" t="s">
        <v>67</v>
      </c>
      <c r="H3099" s="2">
        <v>53.0</v>
      </c>
      <c r="I3099" s="2">
        <v>61.0</v>
      </c>
      <c r="J3099" s="37">
        <v>1269.68</v>
      </c>
      <c r="K3099" s="2">
        <v>61.0</v>
      </c>
      <c r="L3099" s="2">
        <v>225.0</v>
      </c>
      <c r="M3099" s="37">
        <v>1662.56</v>
      </c>
    </row>
    <row r="3100" ht="14.25" customHeight="1">
      <c r="A3100" t="s">
        <v>3156</v>
      </c>
      <c r="B3100" t="s">
        <v>3091</v>
      </c>
      <c r="C3100" t="s">
        <v>62</v>
      </c>
      <c r="D3100" t="s">
        <v>63</v>
      </c>
      <c r="E3100">
        <v>2.05</v>
      </c>
      <c r="F3100">
        <v>2.8</v>
      </c>
      <c r="G3100" s="2" t="s">
        <v>64</v>
      </c>
      <c r="H3100" s="2">
        <v>0.0</v>
      </c>
      <c r="I3100" s="2">
        <v>0.0</v>
      </c>
      <c r="J3100" s="37">
        <v>0.0</v>
      </c>
      <c r="K3100" s="2">
        <v>0.0</v>
      </c>
      <c r="L3100" s="2">
        <v>0.0</v>
      </c>
      <c r="M3100" s="37">
        <v>0.0</v>
      </c>
    </row>
    <row r="3101" ht="14.25" customHeight="1">
      <c r="A3101" t="s">
        <v>3157</v>
      </c>
      <c r="B3101" t="s">
        <v>3091</v>
      </c>
      <c r="C3101" t="s">
        <v>62</v>
      </c>
      <c r="D3101" t="s">
        <v>63</v>
      </c>
      <c r="E3101">
        <v>3.5</v>
      </c>
      <c r="F3101">
        <v>4.0</v>
      </c>
      <c r="G3101" s="2" t="s">
        <v>67</v>
      </c>
      <c r="H3101" s="2">
        <v>19.0</v>
      </c>
      <c r="I3101" s="2">
        <v>76.0</v>
      </c>
      <c r="J3101" s="37">
        <v>525.54</v>
      </c>
      <c r="K3101" s="2">
        <v>22.0</v>
      </c>
      <c r="L3101" s="2">
        <v>129.0</v>
      </c>
      <c r="M3101" s="37">
        <v>661.82</v>
      </c>
    </row>
    <row r="3102" ht="14.25" customHeight="1">
      <c r="A3102" t="s">
        <v>3158</v>
      </c>
      <c r="B3102" t="s">
        <v>3091</v>
      </c>
      <c r="C3102" t="s">
        <v>62</v>
      </c>
      <c r="D3102" t="s">
        <v>63</v>
      </c>
      <c r="E3102">
        <v>3.5</v>
      </c>
      <c r="F3102">
        <v>4.0</v>
      </c>
      <c r="G3102" s="2" t="s">
        <v>67</v>
      </c>
      <c r="H3102" s="2">
        <v>19.0</v>
      </c>
      <c r="I3102" s="2">
        <v>76.0</v>
      </c>
      <c r="J3102" s="37">
        <v>525.54</v>
      </c>
      <c r="K3102" s="2">
        <v>22.0</v>
      </c>
      <c r="L3102" s="2">
        <v>129.0</v>
      </c>
      <c r="M3102" s="37">
        <v>661.82</v>
      </c>
    </row>
    <row r="3103" ht="14.25" customHeight="1">
      <c r="A3103" t="s">
        <v>3159</v>
      </c>
      <c r="B3103" t="s">
        <v>3091</v>
      </c>
      <c r="C3103" t="s">
        <v>62</v>
      </c>
      <c r="D3103" t="s">
        <v>63</v>
      </c>
      <c r="E3103">
        <v>3.5</v>
      </c>
      <c r="F3103">
        <v>4.0</v>
      </c>
      <c r="G3103" s="2" t="s">
        <v>67</v>
      </c>
      <c r="H3103" s="2">
        <v>19.0</v>
      </c>
      <c r="I3103" s="2">
        <v>76.0</v>
      </c>
      <c r="J3103" s="37">
        <v>525.54</v>
      </c>
      <c r="K3103" s="2">
        <v>22.0</v>
      </c>
      <c r="L3103" s="2">
        <v>129.0</v>
      </c>
      <c r="M3103" s="37">
        <v>661.82</v>
      </c>
    </row>
    <row r="3104" ht="14.25" customHeight="1">
      <c r="A3104" t="s">
        <v>3160</v>
      </c>
      <c r="B3104" t="s">
        <v>3091</v>
      </c>
      <c r="C3104" t="s">
        <v>62</v>
      </c>
      <c r="D3104" t="s">
        <v>63</v>
      </c>
      <c r="E3104">
        <v>4.2</v>
      </c>
      <c r="F3104">
        <v>5.0</v>
      </c>
      <c r="G3104" s="2" t="s">
        <v>67</v>
      </c>
      <c r="H3104" s="2">
        <v>26.0</v>
      </c>
      <c r="I3104" s="2">
        <v>69.0</v>
      </c>
      <c r="J3104" s="37">
        <v>673.6600000000001</v>
      </c>
      <c r="K3104" s="2">
        <v>30.0</v>
      </c>
      <c r="L3104" s="2">
        <v>142.0</v>
      </c>
      <c r="M3104" s="37">
        <v>858.4000000000001</v>
      </c>
    </row>
    <row r="3105" ht="14.25" customHeight="1">
      <c r="A3105" t="s">
        <v>3161</v>
      </c>
      <c r="B3105" t="s">
        <v>3091</v>
      </c>
      <c r="C3105" t="s">
        <v>62</v>
      </c>
      <c r="D3105" t="s">
        <v>63</v>
      </c>
      <c r="E3105">
        <v>4.2</v>
      </c>
      <c r="F3105">
        <v>5.0</v>
      </c>
      <c r="G3105" s="2" t="s">
        <v>67</v>
      </c>
      <c r="H3105" s="2">
        <v>26.0</v>
      </c>
      <c r="I3105" s="2">
        <v>69.0</v>
      </c>
      <c r="J3105" s="37">
        <v>673.6600000000001</v>
      </c>
      <c r="K3105" s="2">
        <v>30.0</v>
      </c>
      <c r="L3105" s="2">
        <v>142.0</v>
      </c>
      <c r="M3105" s="37">
        <v>858.4000000000001</v>
      </c>
    </row>
    <row r="3106" ht="14.25" customHeight="1">
      <c r="A3106" t="s">
        <v>3162</v>
      </c>
      <c r="B3106" t="s">
        <v>3091</v>
      </c>
      <c r="C3106" t="s">
        <v>62</v>
      </c>
      <c r="D3106" t="s">
        <v>63</v>
      </c>
      <c r="E3106">
        <v>4.2</v>
      </c>
      <c r="F3106">
        <v>5.0</v>
      </c>
      <c r="G3106" s="2" t="s">
        <v>67</v>
      </c>
      <c r="H3106" s="2">
        <v>26.0</v>
      </c>
      <c r="I3106" s="2">
        <v>69.0</v>
      </c>
      <c r="J3106" s="37">
        <v>673.6600000000001</v>
      </c>
      <c r="K3106" s="2">
        <v>30.0</v>
      </c>
      <c r="L3106" s="2">
        <v>142.0</v>
      </c>
      <c r="M3106" s="37">
        <v>858.4000000000001</v>
      </c>
    </row>
    <row r="3107" ht="14.25" customHeight="1">
      <c r="A3107" t="s">
        <v>3163</v>
      </c>
      <c r="B3107" t="s">
        <v>3091</v>
      </c>
      <c r="C3107" t="s">
        <v>62</v>
      </c>
      <c r="D3107" t="s">
        <v>63</v>
      </c>
      <c r="E3107">
        <v>2.5</v>
      </c>
      <c r="F3107">
        <v>3.0</v>
      </c>
      <c r="G3107" s="2" t="s">
        <v>67</v>
      </c>
      <c r="H3107" s="2">
        <v>14.0</v>
      </c>
      <c r="I3107" s="2">
        <v>57.0</v>
      </c>
      <c r="J3107" s="37">
        <v>388.54</v>
      </c>
      <c r="K3107" s="2">
        <v>16.0</v>
      </c>
      <c r="L3107" s="2">
        <v>95.0</v>
      </c>
      <c r="M3107" s="37">
        <v>482.86</v>
      </c>
    </row>
    <row r="3108" ht="14.25" customHeight="1">
      <c r="A3108" t="s">
        <v>3164</v>
      </c>
      <c r="B3108" t="s">
        <v>3091</v>
      </c>
      <c r="C3108" t="s">
        <v>62</v>
      </c>
      <c r="D3108" t="s">
        <v>63</v>
      </c>
      <c r="E3108">
        <v>2.5</v>
      </c>
      <c r="F3108">
        <v>3.0</v>
      </c>
      <c r="G3108" s="2" t="s">
        <v>67</v>
      </c>
      <c r="H3108" s="2">
        <v>14.0</v>
      </c>
      <c r="I3108" s="2">
        <v>57.0</v>
      </c>
      <c r="J3108" s="37">
        <v>388.54</v>
      </c>
      <c r="K3108" s="2">
        <v>16.0</v>
      </c>
      <c r="L3108" s="2">
        <v>95.0</v>
      </c>
      <c r="M3108" s="37">
        <v>482.86</v>
      </c>
    </row>
    <row r="3109" ht="14.25" customHeight="1">
      <c r="A3109" t="s">
        <v>3165</v>
      </c>
      <c r="B3109" t="s">
        <v>3091</v>
      </c>
      <c r="C3109" t="s">
        <v>62</v>
      </c>
      <c r="D3109" t="s">
        <v>63</v>
      </c>
      <c r="E3109">
        <v>2.5</v>
      </c>
      <c r="F3109">
        <v>3.0</v>
      </c>
      <c r="G3109" s="2" t="s">
        <v>67</v>
      </c>
      <c r="H3109" s="2">
        <v>14.0</v>
      </c>
      <c r="I3109" s="2">
        <v>57.0</v>
      </c>
      <c r="J3109" s="37">
        <v>388.54</v>
      </c>
      <c r="K3109" s="2">
        <v>16.0</v>
      </c>
      <c r="L3109" s="2">
        <v>95.0</v>
      </c>
      <c r="M3109" s="37">
        <v>482.86</v>
      </c>
    </row>
    <row r="3110" ht="14.25" customHeight="1">
      <c r="A3110" t="s">
        <v>3166</v>
      </c>
      <c r="B3110" t="s">
        <v>3091</v>
      </c>
      <c r="C3110" t="s">
        <v>62</v>
      </c>
      <c r="D3110" t="s">
        <v>63</v>
      </c>
      <c r="E3110">
        <v>2.5</v>
      </c>
      <c r="F3110">
        <v>3.2</v>
      </c>
      <c r="G3110" s="2" t="s">
        <v>67</v>
      </c>
      <c r="H3110" s="2">
        <v>15.0</v>
      </c>
      <c r="I3110" s="2">
        <v>57.0</v>
      </c>
      <c r="J3110" s="37">
        <v>411.00000000000006</v>
      </c>
      <c r="K3110" s="2">
        <v>17.0</v>
      </c>
      <c r="L3110" s="2">
        <v>95.0</v>
      </c>
      <c r="M3110" s="37">
        <v>505.32</v>
      </c>
    </row>
    <row r="3111" ht="14.25" customHeight="1">
      <c r="A3111" t="s">
        <v>3167</v>
      </c>
      <c r="B3111" t="s">
        <v>3091</v>
      </c>
      <c r="C3111" t="s">
        <v>62</v>
      </c>
      <c r="D3111" t="s">
        <v>63</v>
      </c>
      <c r="E3111">
        <v>2.5</v>
      </c>
      <c r="F3111">
        <v>3.4</v>
      </c>
      <c r="G3111" s="2" t="s">
        <v>64</v>
      </c>
      <c r="H3111" s="2">
        <v>0.0</v>
      </c>
      <c r="I3111" s="2">
        <v>0.0</v>
      </c>
      <c r="J3111" s="37">
        <v>0.0</v>
      </c>
      <c r="K3111" s="2">
        <v>0.0</v>
      </c>
      <c r="L3111" s="2">
        <v>0.0</v>
      </c>
      <c r="M3111" s="37">
        <v>0.0</v>
      </c>
    </row>
    <row r="3112" ht="14.25" customHeight="1">
      <c r="A3112" t="s">
        <v>3168</v>
      </c>
      <c r="B3112" t="s">
        <v>3091</v>
      </c>
      <c r="C3112" t="s">
        <v>62</v>
      </c>
      <c r="D3112" t="s">
        <v>63</v>
      </c>
      <c r="E3112">
        <v>3.5</v>
      </c>
      <c r="F3112">
        <v>4.3</v>
      </c>
      <c r="G3112" s="2" t="s">
        <v>64</v>
      </c>
      <c r="H3112" s="2">
        <v>0.0</v>
      </c>
      <c r="I3112" s="2">
        <v>0.0</v>
      </c>
      <c r="J3112" s="37">
        <v>0.0</v>
      </c>
      <c r="K3112" s="2">
        <v>0.0</v>
      </c>
      <c r="L3112" s="2">
        <v>0.0</v>
      </c>
      <c r="M3112" s="37">
        <v>0.0</v>
      </c>
    </row>
    <row r="3113" ht="14.25" customHeight="1">
      <c r="A3113" t="s">
        <v>3169</v>
      </c>
      <c r="B3113" t="s">
        <v>3091</v>
      </c>
      <c r="C3113" t="s">
        <v>62</v>
      </c>
      <c r="D3113" t="s">
        <v>63</v>
      </c>
      <c r="E3113">
        <v>5.0</v>
      </c>
      <c r="F3113">
        <v>5.6</v>
      </c>
      <c r="G3113" s="2" t="s">
        <v>67</v>
      </c>
      <c r="H3113" s="2">
        <v>29.0</v>
      </c>
      <c r="I3113" s="2">
        <v>102.0</v>
      </c>
      <c r="J3113" s="37">
        <v>783.94</v>
      </c>
      <c r="K3113" s="2">
        <v>34.0</v>
      </c>
      <c r="L3113" s="2">
        <v>188.0</v>
      </c>
      <c r="M3113" s="37">
        <v>1008.04</v>
      </c>
    </row>
    <row r="3114" ht="14.25" customHeight="1">
      <c r="A3114" t="s">
        <v>3170</v>
      </c>
      <c r="B3114" t="s">
        <v>3091</v>
      </c>
      <c r="C3114" t="s">
        <v>62</v>
      </c>
      <c r="D3114" t="s">
        <v>63</v>
      </c>
      <c r="E3114">
        <v>7.0</v>
      </c>
      <c r="F3114">
        <v>7.5</v>
      </c>
      <c r="G3114" s="2" t="s">
        <v>67</v>
      </c>
      <c r="H3114" s="2">
        <v>39.0</v>
      </c>
      <c r="I3114" s="2">
        <v>34.0</v>
      </c>
      <c r="J3114" s="37">
        <v>920.1400000000001</v>
      </c>
      <c r="K3114" s="2">
        <v>45.0</v>
      </c>
      <c r="L3114" s="2">
        <v>154.0</v>
      </c>
      <c r="M3114" s="37">
        <v>1210.9</v>
      </c>
    </row>
    <row r="3115" ht="14.25" customHeight="1">
      <c r="A3115" t="s">
        <v>3171</v>
      </c>
      <c r="B3115" t="s">
        <v>3091</v>
      </c>
      <c r="C3115" t="s">
        <v>62</v>
      </c>
      <c r="D3115" t="s">
        <v>63</v>
      </c>
      <c r="E3115">
        <v>5.0</v>
      </c>
      <c r="F3115">
        <v>5.4</v>
      </c>
      <c r="G3115" s="2" t="s">
        <v>64</v>
      </c>
      <c r="H3115" s="2">
        <v>0.0</v>
      </c>
      <c r="I3115" s="2">
        <v>0.0</v>
      </c>
      <c r="J3115" s="37">
        <v>0.0</v>
      </c>
      <c r="K3115" s="2">
        <v>0.0</v>
      </c>
      <c r="L3115" s="2">
        <v>0.0</v>
      </c>
      <c r="M3115" s="37">
        <v>0.0</v>
      </c>
    </row>
    <row r="3116" ht="14.25" customHeight="1">
      <c r="A3116" t="s">
        <v>3172</v>
      </c>
      <c r="B3116" t="s">
        <v>3091</v>
      </c>
      <c r="C3116" t="s">
        <v>62</v>
      </c>
      <c r="D3116" t="s">
        <v>63</v>
      </c>
      <c r="E3116">
        <v>3.5</v>
      </c>
      <c r="F3116">
        <v>4.0</v>
      </c>
      <c r="G3116" s="2" t="s">
        <v>64</v>
      </c>
      <c r="H3116" s="2">
        <v>0.0</v>
      </c>
      <c r="I3116" s="2">
        <v>0.0</v>
      </c>
      <c r="J3116" s="37">
        <v>0.0</v>
      </c>
      <c r="K3116" s="2">
        <v>0.0</v>
      </c>
      <c r="L3116" s="2">
        <v>0.0</v>
      </c>
      <c r="M3116" s="37">
        <v>0.0</v>
      </c>
    </row>
    <row r="3117" ht="14.25" customHeight="1">
      <c r="A3117" t="s">
        <v>3173</v>
      </c>
      <c r="B3117" t="s">
        <v>3091</v>
      </c>
      <c r="C3117" t="s">
        <v>62</v>
      </c>
      <c r="D3117" t="s">
        <v>63</v>
      </c>
      <c r="E3117">
        <v>2.5</v>
      </c>
      <c r="F3117">
        <v>2.795</v>
      </c>
      <c r="G3117" s="2" t="s">
        <v>64</v>
      </c>
      <c r="H3117" s="2">
        <v>0.0</v>
      </c>
      <c r="I3117" s="2">
        <v>0.0</v>
      </c>
      <c r="J3117" s="37">
        <v>0.0</v>
      </c>
      <c r="K3117" s="2">
        <v>0.0</v>
      </c>
      <c r="L3117" s="2">
        <v>0.0</v>
      </c>
      <c r="M3117" s="37">
        <v>0.0</v>
      </c>
    </row>
    <row r="3118" ht="14.25" customHeight="1">
      <c r="A3118" t="s">
        <v>3174</v>
      </c>
      <c r="B3118" t="s">
        <v>3091</v>
      </c>
      <c r="C3118" t="s">
        <v>62</v>
      </c>
      <c r="D3118" t="s">
        <v>63</v>
      </c>
      <c r="E3118">
        <v>7.1</v>
      </c>
      <c r="F3118">
        <v>8.0</v>
      </c>
      <c r="G3118" s="2" t="s">
        <v>67</v>
      </c>
      <c r="H3118" s="2">
        <v>43.0</v>
      </c>
      <c r="I3118" s="2">
        <v>81.0</v>
      </c>
      <c r="J3118" s="37">
        <v>1071.0800000000002</v>
      </c>
      <c r="K3118" s="2">
        <v>49.0</v>
      </c>
      <c r="L3118" s="2">
        <v>203.0</v>
      </c>
      <c r="M3118" s="37">
        <v>1364.44</v>
      </c>
    </row>
    <row r="3119" ht="14.25" customHeight="1">
      <c r="A3119" t="s">
        <v>3175</v>
      </c>
      <c r="B3119" t="s">
        <v>3091</v>
      </c>
      <c r="C3119" t="s">
        <v>62</v>
      </c>
      <c r="D3119" t="s">
        <v>63</v>
      </c>
      <c r="E3119">
        <v>2.5</v>
      </c>
      <c r="F3119">
        <v>3.0</v>
      </c>
      <c r="G3119" s="2" t="s">
        <v>64</v>
      </c>
      <c r="H3119" s="2">
        <v>0.0</v>
      </c>
      <c r="I3119" s="2">
        <v>0.0</v>
      </c>
      <c r="J3119" s="37">
        <v>0.0</v>
      </c>
      <c r="K3119" s="2">
        <v>0.0</v>
      </c>
      <c r="L3119" s="2">
        <v>0.0</v>
      </c>
      <c r="M3119" s="37">
        <v>0.0</v>
      </c>
    </row>
    <row r="3120" ht="14.25" customHeight="1">
      <c r="A3120" t="s">
        <v>3176</v>
      </c>
      <c r="B3120" t="s">
        <v>3091</v>
      </c>
      <c r="C3120" t="s">
        <v>62</v>
      </c>
      <c r="D3120" t="s">
        <v>63</v>
      </c>
      <c r="E3120">
        <v>5.0</v>
      </c>
      <c r="F3120">
        <v>6.0</v>
      </c>
      <c r="G3120" s="2" t="s">
        <v>64</v>
      </c>
      <c r="H3120" s="2">
        <v>0.0</v>
      </c>
      <c r="I3120" s="2">
        <v>0.0</v>
      </c>
      <c r="J3120" s="37">
        <v>0.0</v>
      </c>
      <c r="K3120" s="2">
        <v>0.0</v>
      </c>
      <c r="L3120" s="2">
        <v>0.0</v>
      </c>
      <c r="M3120" s="37">
        <v>0.0</v>
      </c>
    </row>
    <row r="3121" ht="14.25" customHeight="1">
      <c r="A3121" t="s">
        <v>3177</v>
      </c>
      <c r="B3121" t="s">
        <v>3091</v>
      </c>
      <c r="C3121" t="s">
        <v>62</v>
      </c>
      <c r="D3121" t="s">
        <v>63</v>
      </c>
      <c r="E3121">
        <v>8.8</v>
      </c>
      <c r="F3121">
        <v>9.0</v>
      </c>
      <c r="G3121" s="2" t="s">
        <v>67</v>
      </c>
      <c r="H3121" s="2">
        <v>49.0</v>
      </c>
      <c r="I3121" s="2">
        <v>46.0</v>
      </c>
      <c r="J3121" s="37">
        <v>1160.34</v>
      </c>
      <c r="K3121" s="2">
        <v>56.0</v>
      </c>
      <c r="L3121" s="2">
        <v>198.0</v>
      </c>
      <c r="M3121" s="37">
        <v>1515.16</v>
      </c>
    </row>
    <row r="3122" ht="14.25" customHeight="1">
      <c r="A3122" t="s">
        <v>3178</v>
      </c>
      <c r="B3122" t="s">
        <v>3091</v>
      </c>
      <c r="C3122" t="s">
        <v>62</v>
      </c>
      <c r="D3122" t="s">
        <v>63</v>
      </c>
      <c r="E3122">
        <v>9.0</v>
      </c>
      <c r="F3122">
        <v>9.0</v>
      </c>
      <c r="G3122" s="2" t="s">
        <v>64</v>
      </c>
      <c r="H3122" s="2">
        <v>0.0</v>
      </c>
      <c r="I3122" s="2">
        <v>0.0</v>
      </c>
      <c r="J3122" s="37">
        <v>0.0</v>
      </c>
      <c r="K3122" s="2">
        <v>0.0</v>
      </c>
      <c r="L3122" s="2">
        <v>0.0</v>
      </c>
      <c r="M3122" s="37">
        <v>0.0</v>
      </c>
    </row>
    <row r="3123" ht="14.25" customHeight="1">
      <c r="A3123" t="s">
        <v>3179</v>
      </c>
      <c r="B3123" t="s">
        <v>3091</v>
      </c>
      <c r="C3123" t="s">
        <v>75</v>
      </c>
      <c r="D3123" t="s">
        <v>63</v>
      </c>
      <c r="E3123">
        <v>7.1</v>
      </c>
      <c r="F3123">
        <v>8.0</v>
      </c>
      <c r="G3123" s="2" t="s">
        <v>67</v>
      </c>
      <c r="H3123" s="2">
        <v>47.0</v>
      </c>
      <c r="I3123" s="2">
        <v>162.0</v>
      </c>
      <c r="J3123" s="37">
        <v>1266.22</v>
      </c>
      <c r="K3123" s="2">
        <v>54.0</v>
      </c>
      <c r="L3123" s="2">
        <v>300.0</v>
      </c>
      <c r="M3123" s="37">
        <v>1602.8400000000001</v>
      </c>
    </row>
    <row r="3124" ht="14.25" customHeight="1">
      <c r="A3124" t="s">
        <v>3180</v>
      </c>
      <c r="B3124" t="s">
        <v>3091</v>
      </c>
      <c r="C3124" t="s">
        <v>75</v>
      </c>
      <c r="D3124" t="s">
        <v>63</v>
      </c>
      <c r="E3124">
        <v>10.0</v>
      </c>
      <c r="F3124">
        <v>12.5</v>
      </c>
      <c r="G3124" s="2" t="s">
        <v>67</v>
      </c>
      <c r="H3124" s="2">
        <v>73.0</v>
      </c>
      <c r="I3124" s="2">
        <v>328.0</v>
      </c>
      <c r="J3124" s="37">
        <v>2065.98</v>
      </c>
      <c r="K3124" s="2">
        <v>84.0</v>
      </c>
      <c r="L3124" s="2">
        <v>522.0</v>
      </c>
      <c r="M3124" s="37">
        <v>2565.2400000000002</v>
      </c>
    </row>
    <row r="3125" ht="14.25" customHeight="1">
      <c r="A3125" t="s">
        <v>3181</v>
      </c>
      <c r="B3125" t="s">
        <v>3091</v>
      </c>
      <c r="C3125" t="s">
        <v>75</v>
      </c>
      <c r="D3125" t="s">
        <v>63</v>
      </c>
      <c r="E3125">
        <v>12.5</v>
      </c>
      <c r="F3125">
        <v>14.0</v>
      </c>
      <c r="G3125" s="2" t="s">
        <v>67</v>
      </c>
      <c r="H3125" s="2">
        <v>85.0</v>
      </c>
      <c r="I3125" s="2">
        <v>410.0</v>
      </c>
      <c r="J3125" s="37">
        <v>2442.1000000000004</v>
      </c>
      <c r="K3125" s="2">
        <v>98.0</v>
      </c>
      <c r="L3125" s="2">
        <v>652.0</v>
      </c>
      <c r="M3125" s="37">
        <v>3048.68</v>
      </c>
    </row>
    <row r="3126" ht="14.25" customHeight="1">
      <c r="A3126" t="s">
        <v>3182</v>
      </c>
      <c r="B3126" t="s">
        <v>3091</v>
      </c>
      <c r="C3126" t="s">
        <v>75</v>
      </c>
      <c r="D3126" t="s">
        <v>63</v>
      </c>
      <c r="E3126">
        <v>14.0</v>
      </c>
      <c r="F3126">
        <v>16.0</v>
      </c>
      <c r="G3126" s="2" t="s">
        <v>67</v>
      </c>
      <c r="H3126" s="2">
        <v>92.0</v>
      </c>
      <c r="I3126" s="2">
        <v>205.0</v>
      </c>
      <c r="J3126" s="37">
        <v>2332.82</v>
      </c>
      <c r="K3126" s="2">
        <v>106.0</v>
      </c>
      <c r="L3126" s="2">
        <v>476.0</v>
      </c>
      <c r="M3126" s="37">
        <v>2999.5600000000004</v>
      </c>
    </row>
    <row r="3127" ht="14.25" customHeight="1">
      <c r="A3127" t="s">
        <v>3183</v>
      </c>
      <c r="B3127" t="s">
        <v>3091</v>
      </c>
      <c r="C3127" t="s">
        <v>75</v>
      </c>
      <c r="D3127" t="s">
        <v>63</v>
      </c>
      <c r="E3127">
        <v>10.0</v>
      </c>
      <c r="F3127">
        <v>12.5</v>
      </c>
      <c r="G3127" s="2" t="s">
        <v>67</v>
      </c>
      <c r="H3127" s="2">
        <v>72.0</v>
      </c>
      <c r="I3127" s="2">
        <v>328.0</v>
      </c>
      <c r="J3127" s="37">
        <v>2043.5200000000002</v>
      </c>
      <c r="K3127" s="2">
        <v>83.0</v>
      </c>
      <c r="L3127" s="2">
        <v>522.0</v>
      </c>
      <c r="M3127" s="37">
        <v>2542.78</v>
      </c>
    </row>
    <row r="3128" ht="14.25" customHeight="1">
      <c r="A3128" t="s">
        <v>3184</v>
      </c>
      <c r="B3128" t="s">
        <v>3091</v>
      </c>
      <c r="C3128" t="s">
        <v>75</v>
      </c>
      <c r="D3128" t="s">
        <v>63</v>
      </c>
      <c r="E3128">
        <v>12.5</v>
      </c>
      <c r="F3128">
        <v>14.0</v>
      </c>
      <c r="G3128" s="2" t="s">
        <v>67</v>
      </c>
      <c r="H3128" s="2">
        <v>85.0</v>
      </c>
      <c r="I3128" s="2">
        <v>410.0</v>
      </c>
      <c r="J3128" s="37">
        <v>2442.1000000000004</v>
      </c>
      <c r="K3128" s="2">
        <v>98.0</v>
      </c>
      <c r="L3128" s="2">
        <v>652.0</v>
      </c>
      <c r="M3128" s="37">
        <v>3048.68</v>
      </c>
    </row>
    <row r="3129" ht="14.25" customHeight="1">
      <c r="A3129" t="s">
        <v>3185</v>
      </c>
      <c r="B3129" t="s">
        <v>3091</v>
      </c>
      <c r="C3129" t="s">
        <v>75</v>
      </c>
      <c r="D3129" t="s">
        <v>63</v>
      </c>
      <c r="E3129">
        <v>14.0</v>
      </c>
      <c r="F3129">
        <v>16.0</v>
      </c>
      <c r="G3129" s="2" t="s">
        <v>67</v>
      </c>
      <c r="H3129" s="2">
        <v>92.0</v>
      </c>
      <c r="I3129" s="2">
        <v>205.0</v>
      </c>
      <c r="J3129" s="37">
        <v>2332.82</v>
      </c>
      <c r="K3129" s="2">
        <v>106.0</v>
      </c>
      <c r="L3129" s="2">
        <v>476.0</v>
      </c>
      <c r="M3129" s="37">
        <v>2999.5600000000004</v>
      </c>
    </row>
    <row r="3130" ht="14.25" customHeight="1">
      <c r="A3130" t="s">
        <v>3186</v>
      </c>
      <c r="B3130" t="s">
        <v>3091</v>
      </c>
      <c r="C3130" t="s">
        <v>62</v>
      </c>
      <c r="D3130" t="s">
        <v>63</v>
      </c>
      <c r="E3130">
        <v>6.0</v>
      </c>
      <c r="F3130">
        <v>6.0</v>
      </c>
      <c r="G3130" s="2" t="s">
        <v>67</v>
      </c>
      <c r="H3130" s="2">
        <v>36.0</v>
      </c>
      <c r="I3130" s="2">
        <v>164.0</v>
      </c>
      <c r="J3130" s="37">
        <v>1021.7600000000001</v>
      </c>
      <c r="K3130" s="2">
        <v>41.0</v>
      </c>
      <c r="L3130" s="2">
        <v>267.0</v>
      </c>
      <c r="M3130" s="37">
        <v>1267.96</v>
      </c>
    </row>
    <row r="3131" ht="14.25" customHeight="1">
      <c r="A3131" t="s">
        <v>3187</v>
      </c>
      <c r="B3131" t="s">
        <v>3091</v>
      </c>
      <c r="C3131" t="s">
        <v>75</v>
      </c>
      <c r="D3131" t="s">
        <v>63</v>
      </c>
      <c r="E3131">
        <v>5.7</v>
      </c>
      <c r="F3131">
        <v>5.7</v>
      </c>
      <c r="G3131" s="2" t="s">
        <v>67</v>
      </c>
      <c r="H3131" s="2">
        <v>34.0</v>
      </c>
      <c r="I3131" s="2">
        <v>105.0</v>
      </c>
      <c r="J3131" s="37">
        <v>900.14</v>
      </c>
      <c r="K3131" s="2">
        <v>39.0</v>
      </c>
      <c r="L3131" s="2">
        <v>216.0</v>
      </c>
      <c r="M3131" s="37">
        <v>1156.74</v>
      </c>
    </row>
    <row r="3132" ht="14.25" customHeight="1">
      <c r="A3132" t="s">
        <v>3188</v>
      </c>
      <c r="B3132" t="s">
        <v>3091</v>
      </c>
      <c r="C3132" t="s">
        <v>62</v>
      </c>
      <c r="D3132" t="s">
        <v>63</v>
      </c>
      <c r="E3132">
        <v>6.0</v>
      </c>
      <c r="F3132">
        <v>6.0</v>
      </c>
      <c r="G3132" s="2" t="s">
        <v>67</v>
      </c>
      <c r="H3132" s="2">
        <v>34.0</v>
      </c>
      <c r="I3132" s="2">
        <v>164.0</v>
      </c>
      <c r="J3132" s="37">
        <v>976.84</v>
      </c>
      <c r="K3132" s="2">
        <v>39.0</v>
      </c>
      <c r="L3132" s="2">
        <v>267.0</v>
      </c>
      <c r="M3132" s="37">
        <v>1223.04</v>
      </c>
    </row>
    <row r="3133" ht="14.25" customHeight="1">
      <c r="A3133" t="s">
        <v>3189</v>
      </c>
      <c r="B3133" t="s">
        <v>3091</v>
      </c>
      <c r="C3133" t="s">
        <v>62</v>
      </c>
      <c r="D3133" t="s">
        <v>63</v>
      </c>
      <c r="E3133">
        <v>6.0</v>
      </c>
      <c r="F3133">
        <v>6.0</v>
      </c>
      <c r="G3133" s="2" t="s">
        <v>64</v>
      </c>
      <c r="H3133" s="2">
        <v>0.0</v>
      </c>
      <c r="I3133" s="2">
        <v>0.0</v>
      </c>
      <c r="J3133" s="37">
        <v>0.0</v>
      </c>
      <c r="K3133" s="2">
        <v>0.0</v>
      </c>
      <c r="L3133" s="2">
        <v>0.0</v>
      </c>
      <c r="M3133" s="37">
        <v>0.0</v>
      </c>
    </row>
    <row r="3134" ht="14.25" customHeight="1">
      <c r="A3134" t="s">
        <v>3190</v>
      </c>
      <c r="B3134" t="s">
        <v>3091</v>
      </c>
      <c r="C3134" t="s">
        <v>62</v>
      </c>
      <c r="D3134" t="s">
        <v>63</v>
      </c>
      <c r="E3134">
        <v>7.1</v>
      </c>
      <c r="F3134">
        <v>7.1</v>
      </c>
      <c r="G3134" s="2" t="s">
        <v>67</v>
      </c>
      <c r="H3134" s="2">
        <v>40.0</v>
      </c>
      <c r="I3134" s="2">
        <v>98.0</v>
      </c>
      <c r="J3134" s="37">
        <v>1025.8000000000002</v>
      </c>
      <c r="K3134" s="2">
        <v>46.0</v>
      </c>
      <c r="L3134" s="2">
        <v>220.0</v>
      </c>
      <c r="M3134" s="37">
        <v>1319.16</v>
      </c>
    </row>
    <row r="3135" ht="14.25" customHeight="1">
      <c r="A3135" t="s">
        <v>3191</v>
      </c>
      <c r="B3135" t="s">
        <v>3091</v>
      </c>
      <c r="C3135" t="s">
        <v>75</v>
      </c>
      <c r="D3135" t="s">
        <v>63</v>
      </c>
      <c r="E3135">
        <v>6.8</v>
      </c>
      <c r="F3135">
        <v>6.8</v>
      </c>
      <c r="G3135" s="2" t="s">
        <v>67</v>
      </c>
      <c r="H3135" s="2">
        <v>39.0</v>
      </c>
      <c r="I3135" s="2">
        <v>86.0</v>
      </c>
      <c r="J3135" s="37">
        <v>987.74</v>
      </c>
      <c r="K3135" s="2">
        <v>45.0</v>
      </c>
      <c r="L3135" s="2">
        <v>217.0</v>
      </c>
      <c r="M3135" s="37">
        <v>1292.8000000000002</v>
      </c>
    </row>
    <row r="3136" ht="14.25" customHeight="1">
      <c r="A3136" t="s">
        <v>3192</v>
      </c>
      <c r="B3136" t="s">
        <v>3091</v>
      </c>
      <c r="C3136" t="s">
        <v>62</v>
      </c>
      <c r="D3136" t="s">
        <v>63</v>
      </c>
      <c r="E3136">
        <v>6.8</v>
      </c>
      <c r="F3136">
        <v>6.8</v>
      </c>
      <c r="G3136" s="2" t="s">
        <v>67</v>
      </c>
      <c r="H3136" s="2">
        <v>38.0</v>
      </c>
      <c r="I3136" s="2">
        <v>129.0</v>
      </c>
      <c r="J3136" s="37">
        <v>1021.1800000000001</v>
      </c>
      <c r="K3136" s="2">
        <v>43.0</v>
      </c>
      <c r="L3136" s="2">
        <v>247.0</v>
      </c>
      <c r="M3136" s="37">
        <v>1286.88</v>
      </c>
    </row>
    <row r="3137" ht="14.25" customHeight="1">
      <c r="A3137" t="s">
        <v>3193</v>
      </c>
      <c r="B3137" t="s">
        <v>3091</v>
      </c>
      <c r="C3137" t="s">
        <v>62</v>
      </c>
      <c r="D3137" t="s">
        <v>63</v>
      </c>
      <c r="E3137">
        <v>10.0</v>
      </c>
      <c r="F3137">
        <v>10.0</v>
      </c>
      <c r="G3137" s="2" t="s">
        <v>67</v>
      </c>
      <c r="H3137" s="2">
        <v>65.0</v>
      </c>
      <c r="I3137" s="2">
        <v>339.0</v>
      </c>
      <c r="J3137" s="37">
        <v>1900.6000000000001</v>
      </c>
      <c r="K3137" s="2">
        <v>74.0</v>
      </c>
      <c r="L3137" s="2">
        <v>533.0</v>
      </c>
      <c r="M3137" s="37">
        <v>2354.94</v>
      </c>
    </row>
    <row r="3138" ht="14.25" customHeight="1">
      <c r="A3138" t="s">
        <v>3194</v>
      </c>
      <c r="B3138" t="s">
        <v>3091</v>
      </c>
      <c r="C3138" t="s">
        <v>62</v>
      </c>
      <c r="D3138" t="s">
        <v>63</v>
      </c>
      <c r="E3138">
        <v>10.0</v>
      </c>
      <c r="F3138">
        <v>10.0</v>
      </c>
      <c r="G3138" s="2" t="s">
        <v>67</v>
      </c>
      <c r="H3138" s="2">
        <v>65.0</v>
      </c>
      <c r="I3138" s="2">
        <v>339.0</v>
      </c>
      <c r="J3138" s="37">
        <v>1900.6000000000001</v>
      </c>
      <c r="K3138" s="2">
        <v>74.0</v>
      </c>
      <c r="L3138" s="2">
        <v>533.0</v>
      </c>
      <c r="M3138" s="37">
        <v>2354.94</v>
      </c>
    </row>
    <row r="3139" ht="14.25" customHeight="1">
      <c r="A3139" t="s">
        <v>3195</v>
      </c>
      <c r="B3139" t="s">
        <v>3091</v>
      </c>
      <c r="C3139" t="s">
        <v>75</v>
      </c>
      <c r="D3139" t="s">
        <v>63</v>
      </c>
      <c r="E3139">
        <v>9.5</v>
      </c>
      <c r="F3139">
        <v>9.5</v>
      </c>
      <c r="G3139" s="2" t="s">
        <v>67</v>
      </c>
      <c r="H3139" s="2">
        <v>56.0</v>
      </c>
      <c r="I3139" s="2">
        <v>226.0</v>
      </c>
      <c r="J3139" s="37">
        <v>1551.56</v>
      </c>
      <c r="K3139" s="2">
        <v>64.0</v>
      </c>
      <c r="L3139" s="2">
        <v>410.0</v>
      </c>
      <c r="M3139" s="37">
        <v>1970.44</v>
      </c>
    </row>
    <row r="3140" ht="14.25" customHeight="1">
      <c r="A3140" t="s">
        <v>3196</v>
      </c>
      <c r="B3140" t="s">
        <v>3091</v>
      </c>
      <c r="C3140" t="s">
        <v>75</v>
      </c>
      <c r="D3140" t="s">
        <v>63</v>
      </c>
      <c r="E3140">
        <v>9.5</v>
      </c>
      <c r="F3140">
        <v>9.5</v>
      </c>
      <c r="G3140" s="2" t="s">
        <v>67</v>
      </c>
      <c r="H3140" s="2">
        <v>56.0</v>
      </c>
      <c r="I3140" s="2">
        <v>226.0</v>
      </c>
      <c r="J3140" s="37">
        <v>1551.56</v>
      </c>
      <c r="K3140" s="2">
        <v>65.0</v>
      </c>
      <c r="L3140" s="2">
        <v>410.0</v>
      </c>
      <c r="M3140" s="37">
        <v>1992.9</v>
      </c>
    </row>
    <row r="3141" ht="14.25" customHeight="1">
      <c r="A3141" t="s">
        <v>3197</v>
      </c>
      <c r="B3141" t="s">
        <v>3091</v>
      </c>
      <c r="C3141" t="s">
        <v>62</v>
      </c>
      <c r="D3141" t="s">
        <v>63</v>
      </c>
      <c r="E3141">
        <v>10.0</v>
      </c>
      <c r="F3141">
        <v>10.0</v>
      </c>
      <c r="G3141" s="2" t="s">
        <v>67</v>
      </c>
      <c r="H3141" s="2">
        <v>62.0</v>
      </c>
      <c r="I3141" s="2">
        <v>266.0</v>
      </c>
      <c r="J3141" s="37">
        <v>1738.32</v>
      </c>
      <c r="K3141" s="2">
        <v>71.0</v>
      </c>
      <c r="L3141" s="2">
        <v>460.0</v>
      </c>
      <c r="M3141" s="37">
        <v>2192.66</v>
      </c>
    </row>
    <row r="3142" ht="14.25" customHeight="1">
      <c r="A3142" t="s">
        <v>3198</v>
      </c>
      <c r="B3142" t="s">
        <v>3091</v>
      </c>
      <c r="C3142" t="s">
        <v>62</v>
      </c>
      <c r="D3142" t="s">
        <v>63</v>
      </c>
      <c r="E3142">
        <v>10.0</v>
      </c>
      <c r="F3142">
        <v>10.0</v>
      </c>
      <c r="G3142" s="2" t="s">
        <v>67</v>
      </c>
      <c r="H3142" s="2">
        <v>61.0</v>
      </c>
      <c r="I3142" s="2">
        <v>266.0</v>
      </c>
      <c r="J3142" s="37">
        <v>1715.86</v>
      </c>
      <c r="K3142" s="2">
        <v>70.0</v>
      </c>
      <c r="L3142" s="2">
        <v>460.0</v>
      </c>
      <c r="M3142" s="37">
        <v>2170.2</v>
      </c>
    </row>
    <row r="3143" ht="14.25" customHeight="1">
      <c r="A3143" t="s">
        <v>3199</v>
      </c>
      <c r="B3143" t="s">
        <v>3091</v>
      </c>
      <c r="C3143" t="s">
        <v>62</v>
      </c>
      <c r="D3143" t="s">
        <v>63</v>
      </c>
      <c r="E3143">
        <v>12.5</v>
      </c>
      <c r="F3143">
        <v>12.5</v>
      </c>
      <c r="G3143" s="2" t="s">
        <v>67</v>
      </c>
      <c r="H3143" s="2">
        <v>76.0</v>
      </c>
      <c r="I3143" s="2">
        <v>304.0</v>
      </c>
      <c r="J3143" s="37">
        <v>2102.16</v>
      </c>
      <c r="K3143" s="2">
        <v>88.0</v>
      </c>
      <c r="L3143" s="2">
        <v>546.0</v>
      </c>
      <c r="M3143" s="37">
        <v>2686.28</v>
      </c>
    </row>
    <row r="3144" ht="14.25" customHeight="1">
      <c r="A3144" t="s">
        <v>3200</v>
      </c>
      <c r="B3144" t="s">
        <v>3091</v>
      </c>
      <c r="C3144" t="s">
        <v>62</v>
      </c>
      <c r="D3144" t="s">
        <v>63</v>
      </c>
      <c r="E3144">
        <v>12.5</v>
      </c>
      <c r="F3144">
        <v>12.5</v>
      </c>
      <c r="G3144" s="2" t="s">
        <v>67</v>
      </c>
      <c r="H3144" s="2">
        <v>76.0</v>
      </c>
      <c r="I3144" s="2">
        <v>304.0</v>
      </c>
      <c r="J3144" s="37">
        <v>2102.16</v>
      </c>
      <c r="K3144" s="2">
        <v>88.0</v>
      </c>
      <c r="L3144" s="2">
        <v>546.0</v>
      </c>
      <c r="M3144" s="37">
        <v>2686.28</v>
      </c>
    </row>
    <row r="3145" ht="14.25" customHeight="1">
      <c r="A3145" t="s">
        <v>3201</v>
      </c>
      <c r="B3145" t="s">
        <v>3091</v>
      </c>
      <c r="C3145" t="s">
        <v>75</v>
      </c>
      <c r="D3145" t="s">
        <v>63</v>
      </c>
      <c r="E3145">
        <v>12.1</v>
      </c>
      <c r="F3145">
        <v>12.1</v>
      </c>
      <c r="G3145" s="2" t="s">
        <v>67</v>
      </c>
      <c r="H3145" s="2">
        <v>67.0</v>
      </c>
      <c r="I3145" s="2">
        <v>192.0</v>
      </c>
      <c r="J3145" s="37">
        <v>1754.42</v>
      </c>
      <c r="K3145" s="2">
        <v>78.0</v>
      </c>
      <c r="L3145" s="2">
        <v>426.0</v>
      </c>
      <c r="M3145" s="37">
        <v>2305.6800000000003</v>
      </c>
    </row>
    <row r="3146" ht="14.25" customHeight="1">
      <c r="A3146" t="s">
        <v>3202</v>
      </c>
      <c r="B3146" t="s">
        <v>3091</v>
      </c>
      <c r="C3146" t="s">
        <v>75</v>
      </c>
      <c r="D3146" t="s">
        <v>63</v>
      </c>
      <c r="E3146">
        <v>12.1</v>
      </c>
      <c r="F3146">
        <v>12.1</v>
      </c>
      <c r="G3146" s="2" t="s">
        <v>67</v>
      </c>
      <c r="H3146" s="2">
        <v>67.0</v>
      </c>
      <c r="I3146" s="2">
        <v>192.0</v>
      </c>
      <c r="J3146" s="37">
        <v>1754.42</v>
      </c>
      <c r="K3146" s="2">
        <v>78.0</v>
      </c>
      <c r="L3146" s="2">
        <v>426.0</v>
      </c>
      <c r="M3146" s="37">
        <v>2305.6800000000003</v>
      </c>
    </row>
    <row r="3147" ht="14.25" customHeight="1">
      <c r="A3147" t="s">
        <v>3203</v>
      </c>
      <c r="B3147" t="s">
        <v>3091</v>
      </c>
      <c r="C3147" t="s">
        <v>62</v>
      </c>
      <c r="D3147" t="s">
        <v>63</v>
      </c>
      <c r="E3147">
        <v>12.5</v>
      </c>
      <c r="F3147">
        <v>12.5</v>
      </c>
      <c r="G3147" s="2" t="s">
        <v>67</v>
      </c>
      <c r="H3147" s="2">
        <v>70.0</v>
      </c>
      <c r="I3147" s="2">
        <v>152.0</v>
      </c>
      <c r="J3147" s="37">
        <v>1769.8</v>
      </c>
      <c r="K3147" s="2">
        <v>82.0</v>
      </c>
      <c r="L3147" s="2">
        <v>394.0</v>
      </c>
      <c r="M3147" s="37">
        <v>2353.92</v>
      </c>
    </row>
    <row r="3148" ht="14.25" customHeight="1">
      <c r="A3148" t="s">
        <v>3204</v>
      </c>
      <c r="B3148" t="s">
        <v>3091</v>
      </c>
      <c r="C3148" t="s">
        <v>62</v>
      </c>
      <c r="D3148" t="s">
        <v>63</v>
      </c>
      <c r="E3148">
        <v>12.5</v>
      </c>
      <c r="F3148">
        <v>12.5</v>
      </c>
      <c r="G3148" s="2" t="s">
        <v>67</v>
      </c>
      <c r="H3148" s="2">
        <v>70.0</v>
      </c>
      <c r="I3148" s="2">
        <v>152.0</v>
      </c>
      <c r="J3148" s="37">
        <v>1769.8</v>
      </c>
      <c r="K3148" s="2">
        <v>82.0</v>
      </c>
      <c r="L3148" s="2">
        <v>394.0</v>
      </c>
      <c r="M3148" s="37">
        <v>2353.92</v>
      </c>
    </row>
    <row r="3149" ht="14.25" customHeight="1">
      <c r="A3149" t="s">
        <v>3205</v>
      </c>
      <c r="B3149" t="s">
        <v>3091</v>
      </c>
      <c r="C3149" t="s">
        <v>62</v>
      </c>
      <c r="D3149" t="s">
        <v>63</v>
      </c>
      <c r="E3149">
        <v>14.0</v>
      </c>
      <c r="F3149">
        <v>14.0</v>
      </c>
      <c r="G3149" s="2" t="s">
        <v>67</v>
      </c>
      <c r="H3149" s="2">
        <v>83.0</v>
      </c>
      <c r="I3149" s="2">
        <v>98.0</v>
      </c>
      <c r="J3149" s="37">
        <v>1991.5800000000002</v>
      </c>
      <c r="K3149" s="2">
        <v>95.0</v>
      </c>
      <c r="L3149" s="2">
        <v>370.0</v>
      </c>
      <c r="M3149" s="37">
        <v>2614.7000000000003</v>
      </c>
    </row>
    <row r="3150" ht="14.25" customHeight="1">
      <c r="A3150" t="s">
        <v>3206</v>
      </c>
      <c r="B3150" t="s">
        <v>3091</v>
      </c>
      <c r="C3150" t="s">
        <v>62</v>
      </c>
      <c r="D3150" t="s">
        <v>63</v>
      </c>
      <c r="E3150">
        <v>14.0</v>
      </c>
      <c r="F3150">
        <v>14.0</v>
      </c>
      <c r="G3150" s="2" t="s">
        <v>67</v>
      </c>
      <c r="H3150" s="2">
        <v>83.0</v>
      </c>
      <c r="I3150" s="2">
        <v>98.0</v>
      </c>
      <c r="J3150" s="37">
        <v>1991.5800000000002</v>
      </c>
      <c r="K3150" s="2">
        <v>95.0</v>
      </c>
      <c r="L3150" s="2">
        <v>370.0</v>
      </c>
      <c r="M3150" s="37">
        <v>2614.7000000000003</v>
      </c>
    </row>
    <row r="3151" ht="14.25" customHeight="1">
      <c r="A3151" t="s">
        <v>3207</v>
      </c>
      <c r="B3151" t="s">
        <v>3091</v>
      </c>
      <c r="C3151" t="s">
        <v>75</v>
      </c>
      <c r="D3151" t="s">
        <v>63</v>
      </c>
      <c r="E3151">
        <v>13.4</v>
      </c>
      <c r="F3151">
        <v>13.4</v>
      </c>
      <c r="G3151" s="2" t="s">
        <v>67</v>
      </c>
      <c r="H3151" s="2">
        <v>75.0</v>
      </c>
      <c r="I3151" s="2">
        <v>180.0</v>
      </c>
      <c r="J3151" s="37">
        <v>1918.5</v>
      </c>
      <c r="K3151" s="2">
        <v>87.0</v>
      </c>
      <c r="L3151" s="2">
        <v>440.0</v>
      </c>
      <c r="M3151" s="37">
        <v>2526.02</v>
      </c>
    </row>
    <row r="3152" ht="14.25" customHeight="1">
      <c r="A3152" t="s">
        <v>3208</v>
      </c>
      <c r="B3152" t="s">
        <v>3091</v>
      </c>
      <c r="C3152" t="s">
        <v>75</v>
      </c>
      <c r="D3152" t="s">
        <v>63</v>
      </c>
      <c r="E3152">
        <v>13.4</v>
      </c>
      <c r="F3152">
        <v>13.4</v>
      </c>
      <c r="G3152" s="2" t="s">
        <v>67</v>
      </c>
      <c r="H3152" s="2">
        <v>75.0</v>
      </c>
      <c r="I3152" s="2">
        <v>180.0</v>
      </c>
      <c r="J3152" s="37">
        <v>1918.5</v>
      </c>
      <c r="K3152" s="2">
        <v>87.0</v>
      </c>
      <c r="L3152" s="2">
        <v>440.0</v>
      </c>
      <c r="M3152" s="37">
        <v>2526.02</v>
      </c>
    </row>
    <row r="3153" ht="14.25" customHeight="1">
      <c r="A3153" t="s">
        <v>3209</v>
      </c>
      <c r="B3153" t="s">
        <v>3091</v>
      </c>
      <c r="C3153" t="s">
        <v>62</v>
      </c>
      <c r="D3153" t="s">
        <v>63</v>
      </c>
      <c r="E3153">
        <v>13.6</v>
      </c>
      <c r="F3153">
        <v>14.0</v>
      </c>
      <c r="G3153" s="2" t="s">
        <v>67</v>
      </c>
      <c r="H3153" s="2">
        <v>75.0</v>
      </c>
      <c r="I3153" s="2">
        <v>37.0</v>
      </c>
      <c r="J3153" s="37">
        <v>1732.6</v>
      </c>
      <c r="K3153" s="2">
        <v>87.0</v>
      </c>
      <c r="L3153" s="2">
        <v>301.0</v>
      </c>
      <c r="M3153" s="37">
        <v>2345.32</v>
      </c>
    </row>
    <row r="3154" ht="14.25" customHeight="1">
      <c r="A3154" t="s">
        <v>3210</v>
      </c>
      <c r="B3154" t="s">
        <v>3091</v>
      </c>
      <c r="C3154" t="s">
        <v>62</v>
      </c>
      <c r="D3154" t="s">
        <v>63</v>
      </c>
      <c r="E3154">
        <v>13.6</v>
      </c>
      <c r="F3154">
        <v>14.0</v>
      </c>
      <c r="G3154" s="2" t="s">
        <v>67</v>
      </c>
      <c r="H3154" s="2">
        <v>75.0</v>
      </c>
      <c r="I3154" s="2">
        <v>37.0</v>
      </c>
      <c r="J3154" s="37">
        <v>1732.6</v>
      </c>
      <c r="K3154" s="2">
        <v>87.0</v>
      </c>
      <c r="L3154" s="2">
        <v>301.0</v>
      </c>
      <c r="M3154" s="37">
        <v>2345.32</v>
      </c>
    </row>
    <row r="3155" ht="14.25" customHeight="1">
      <c r="A3155" t="s">
        <v>3211</v>
      </c>
      <c r="B3155" t="s">
        <v>3091</v>
      </c>
      <c r="C3155" t="s">
        <v>75</v>
      </c>
      <c r="D3155" t="s">
        <v>63</v>
      </c>
      <c r="E3155">
        <v>16.0</v>
      </c>
      <c r="F3155">
        <v>18.0</v>
      </c>
      <c r="G3155" s="2" t="s">
        <v>67</v>
      </c>
      <c r="H3155" s="2">
        <v>99.0</v>
      </c>
      <c r="I3155" s="2">
        <v>174.0</v>
      </c>
      <c r="J3155" s="37">
        <v>2449.74</v>
      </c>
      <c r="K3155" s="2">
        <v>115.0</v>
      </c>
      <c r="L3155" s="2">
        <v>484.0</v>
      </c>
      <c r="M3155" s="37">
        <v>3212.1000000000004</v>
      </c>
    </row>
    <row r="3156" ht="14.25" customHeight="1">
      <c r="A3156" t="s">
        <v>3212</v>
      </c>
      <c r="B3156" t="s">
        <v>3091</v>
      </c>
      <c r="C3156" t="s">
        <v>75</v>
      </c>
      <c r="D3156" t="s">
        <v>63</v>
      </c>
      <c r="E3156">
        <v>16.0</v>
      </c>
      <c r="F3156">
        <v>18.0</v>
      </c>
      <c r="G3156" s="2" t="s">
        <v>67</v>
      </c>
      <c r="H3156" s="2">
        <v>99.0</v>
      </c>
      <c r="I3156" s="2">
        <v>174.0</v>
      </c>
      <c r="J3156" s="37">
        <v>2449.74</v>
      </c>
      <c r="K3156" s="2">
        <v>115.0</v>
      </c>
      <c r="L3156" s="2">
        <v>484.0</v>
      </c>
      <c r="M3156" s="37">
        <v>3212.1000000000004</v>
      </c>
    </row>
    <row r="3157" ht="14.25" customHeight="1">
      <c r="A3157" t="s">
        <v>3213</v>
      </c>
      <c r="B3157" t="s">
        <v>3091</v>
      </c>
      <c r="C3157" t="s">
        <v>75</v>
      </c>
      <c r="D3157" t="s">
        <v>63</v>
      </c>
      <c r="E3157">
        <v>16.0</v>
      </c>
      <c r="F3157">
        <v>18.0</v>
      </c>
      <c r="G3157" s="2" t="s">
        <v>67</v>
      </c>
      <c r="H3157" s="2">
        <v>99.0</v>
      </c>
      <c r="I3157" s="2">
        <v>174.0</v>
      </c>
      <c r="J3157" s="37">
        <v>2449.74</v>
      </c>
      <c r="K3157" s="2">
        <v>115.0</v>
      </c>
      <c r="L3157" s="2">
        <v>484.0</v>
      </c>
      <c r="M3157" s="37">
        <v>3212.1000000000004</v>
      </c>
    </row>
    <row r="3158" ht="14.25" customHeight="1">
      <c r="A3158" t="s">
        <v>3214</v>
      </c>
      <c r="B3158" t="s">
        <v>3091</v>
      </c>
      <c r="C3158" t="s">
        <v>75</v>
      </c>
      <c r="D3158" t="s">
        <v>63</v>
      </c>
      <c r="E3158">
        <v>16.0</v>
      </c>
      <c r="F3158">
        <v>18.0</v>
      </c>
      <c r="G3158" s="2" t="s">
        <v>67</v>
      </c>
      <c r="H3158" s="2">
        <v>99.0</v>
      </c>
      <c r="I3158" s="2">
        <v>174.0</v>
      </c>
      <c r="J3158" s="37">
        <v>2449.74</v>
      </c>
      <c r="K3158" s="2">
        <v>115.0</v>
      </c>
      <c r="L3158" s="2">
        <v>484.0</v>
      </c>
      <c r="M3158" s="37">
        <v>3212.1000000000004</v>
      </c>
    </row>
    <row r="3159" ht="14.25" customHeight="1">
      <c r="A3159" t="s">
        <v>3215</v>
      </c>
      <c r="B3159" t="s">
        <v>3091</v>
      </c>
      <c r="C3159" t="s">
        <v>75</v>
      </c>
      <c r="D3159" t="s">
        <v>63</v>
      </c>
      <c r="E3159">
        <v>16.0</v>
      </c>
      <c r="F3159">
        <v>18.0</v>
      </c>
      <c r="G3159" s="2" t="s">
        <v>67</v>
      </c>
      <c r="H3159" s="2">
        <v>99.0</v>
      </c>
      <c r="I3159" s="2">
        <v>174.0</v>
      </c>
      <c r="J3159" s="37">
        <v>2449.74</v>
      </c>
      <c r="K3159" s="2">
        <v>115.0</v>
      </c>
      <c r="L3159" s="2">
        <v>484.0</v>
      </c>
      <c r="M3159" s="37">
        <v>3212.1000000000004</v>
      </c>
    </row>
    <row r="3160" ht="14.25" customHeight="1">
      <c r="A3160" t="s">
        <v>3216</v>
      </c>
      <c r="B3160" t="s">
        <v>3091</v>
      </c>
      <c r="C3160" t="s">
        <v>75</v>
      </c>
      <c r="D3160" t="s">
        <v>63</v>
      </c>
      <c r="E3160">
        <v>16.0</v>
      </c>
      <c r="F3160">
        <v>18.0</v>
      </c>
      <c r="G3160" s="2" t="s">
        <v>67</v>
      </c>
      <c r="H3160" s="2">
        <v>99.0</v>
      </c>
      <c r="I3160" s="2">
        <v>174.0</v>
      </c>
      <c r="J3160" s="37">
        <v>2449.74</v>
      </c>
      <c r="K3160" s="2">
        <v>115.0</v>
      </c>
      <c r="L3160" s="2">
        <v>484.0</v>
      </c>
      <c r="M3160" s="37">
        <v>3212.1000000000004</v>
      </c>
    </row>
    <row r="3161" ht="14.25" customHeight="1">
      <c r="A3161" t="s">
        <v>3217</v>
      </c>
      <c r="B3161" t="s">
        <v>3091</v>
      </c>
      <c r="C3161" t="s">
        <v>75</v>
      </c>
      <c r="D3161" t="s">
        <v>63</v>
      </c>
      <c r="E3161">
        <v>16.0</v>
      </c>
      <c r="F3161">
        <v>18.0</v>
      </c>
      <c r="G3161" s="2" t="s">
        <v>67</v>
      </c>
      <c r="H3161" s="2">
        <v>99.0</v>
      </c>
      <c r="I3161" s="2">
        <v>174.0</v>
      </c>
      <c r="J3161" s="37">
        <v>2449.74</v>
      </c>
      <c r="K3161" s="2">
        <v>115.0</v>
      </c>
      <c r="L3161" s="2">
        <v>484.0</v>
      </c>
      <c r="M3161" s="37">
        <v>3212.1000000000004</v>
      </c>
    </row>
    <row r="3162" ht="14.25" customHeight="1">
      <c r="A3162" t="s">
        <v>3218</v>
      </c>
      <c r="B3162" t="s">
        <v>3091</v>
      </c>
      <c r="C3162" t="s">
        <v>75</v>
      </c>
      <c r="D3162" t="s">
        <v>63</v>
      </c>
      <c r="E3162">
        <v>16.0</v>
      </c>
      <c r="F3162">
        <v>18.0</v>
      </c>
      <c r="G3162" s="2" t="s">
        <v>67</v>
      </c>
      <c r="H3162" s="2">
        <v>99.0</v>
      </c>
      <c r="I3162" s="2">
        <v>174.0</v>
      </c>
      <c r="J3162" s="37">
        <v>2449.74</v>
      </c>
      <c r="K3162" s="2">
        <v>115.0</v>
      </c>
      <c r="L3162" s="2">
        <v>484.0</v>
      </c>
      <c r="M3162" s="37">
        <v>3212.1000000000004</v>
      </c>
    </row>
    <row r="3163" ht="14.25" customHeight="1">
      <c r="A3163" t="s">
        <v>3219</v>
      </c>
      <c r="B3163" t="s">
        <v>3091</v>
      </c>
      <c r="C3163" t="s">
        <v>75</v>
      </c>
      <c r="D3163" t="s">
        <v>63</v>
      </c>
      <c r="E3163">
        <v>14.0</v>
      </c>
      <c r="F3163">
        <v>14.0</v>
      </c>
      <c r="G3163" s="2" t="s">
        <v>67</v>
      </c>
      <c r="H3163" s="2">
        <v>78.0</v>
      </c>
      <c r="I3163" s="2">
        <v>115.0</v>
      </c>
      <c r="J3163" s="37">
        <v>1901.38</v>
      </c>
      <c r="K3163" s="2">
        <v>91.0</v>
      </c>
      <c r="L3163" s="2">
        <v>386.0</v>
      </c>
      <c r="M3163" s="37">
        <v>2545.6600000000003</v>
      </c>
    </row>
    <row r="3164" ht="14.25" customHeight="1">
      <c r="A3164" t="s">
        <v>3220</v>
      </c>
      <c r="B3164" t="s">
        <v>3091</v>
      </c>
      <c r="C3164" t="s">
        <v>75</v>
      </c>
      <c r="D3164" t="s">
        <v>63</v>
      </c>
      <c r="E3164">
        <v>14.0</v>
      </c>
      <c r="F3164">
        <v>14.0</v>
      </c>
      <c r="G3164" s="2" t="s">
        <v>67</v>
      </c>
      <c r="H3164" s="2">
        <v>78.0</v>
      </c>
      <c r="I3164" s="2">
        <v>115.0</v>
      </c>
      <c r="J3164" s="37">
        <v>1901.38</v>
      </c>
      <c r="K3164" s="2">
        <v>91.0</v>
      </c>
      <c r="L3164" s="2">
        <v>386.0</v>
      </c>
      <c r="M3164" s="37">
        <v>2545.6600000000003</v>
      </c>
    </row>
    <row r="3165" ht="14.25" customHeight="1">
      <c r="A3165" t="s">
        <v>3221</v>
      </c>
      <c r="B3165" t="s">
        <v>3091</v>
      </c>
      <c r="C3165" t="s">
        <v>75</v>
      </c>
      <c r="D3165" t="s">
        <v>63</v>
      </c>
      <c r="E3165">
        <v>14.0</v>
      </c>
      <c r="F3165">
        <v>14.0</v>
      </c>
      <c r="G3165" s="2" t="s">
        <v>67</v>
      </c>
      <c r="H3165" s="2">
        <v>78.0</v>
      </c>
      <c r="I3165" s="2">
        <v>115.0</v>
      </c>
      <c r="J3165" s="37">
        <v>1901.38</v>
      </c>
      <c r="K3165" s="2">
        <v>91.0</v>
      </c>
      <c r="L3165" s="2">
        <v>386.0</v>
      </c>
      <c r="M3165" s="37">
        <v>2545.6600000000003</v>
      </c>
    </row>
    <row r="3166" ht="14.25" customHeight="1">
      <c r="A3166" t="s">
        <v>3222</v>
      </c>
      <c r="B3166" t="s">
        <v>3091</v>
      </c>
      <c r="C3166" t="s">
        <v>75</v>
      </c>
      <c r="D3166" t="s">
        <v>63</v>
      </c>
      <c r="E3166">
        <v>14.0</v>
      </c>
      <c r="F3166">
        <v>14.0</v>
      </c>
      <c r="G3166" s="2" t="s">
        <v>67</v>
      </c>
      <c r="H3166" s="2">
        <v>78.0</v>
      </c>
      <c r="I3166" s="2">
        <v>115.0</v>
      </c>
      <c r="J3166" s="37">
        <v>1901.38</v>
      </c>
      <c r="K3166" s="2">
        <v>91.0</v>
      </c>
      <c r="L3166" s="2">
        <v>386.0</v>
      </c>
      <c r="M3166" s="37">
        <v>2545.6600000000003</v>
      </c>
    </row>
    <row r="3167" ht="14.25" customHeight="1">
      <c r="A3167" t="s">
        <v>3223</v>
      </c>
      <c r="B3167" t="s">
        <v>3091</v>
      </c>
      <c r="C3167" t="s">
        <v>75</v>
      </c>
      <c r="D3167" t="s">
        <v>63</v>
      </c>
      <c r="E3167">
        <v>14.0</v>
      </c>
      <c r="F3167">
        <v>14.0</v>
      </c>
      <c r="G3167" s="2" t="s">
        <v>67</v>
      </c>
      <c r="H3167" s="2">
        <v>78.0</v>
      </c>
      <c r="I3167" s="2">
        <v>115.0</v>
      </c>
      <c r="J3167" s="37">
        <v>1901.38</v>
      </c>
      <c r="K3167" s="2">
        <v>91.0</v>
      </c>
      <c r="L3167" s="2">
        <v>386.0</v>
      </c>
      <c r="M3167" s="37">
        <v>2545.6600000000003</v>
      </c>
    </row>
    <row r="3168" ht="14.25" customHeight="1">
      <c r="A3168" t="s">
        <v>3224</v>
      </c>
      <c r="B3168" t="s">
        <v>3091</v>
      </c>
      <c r="C3168" t="s">
        <v>75</v>
      </c>
      <c r="D3168" t="s">
        <v>63</v>
      </c>
      <c r="E3168">
        <v>14.0</v>
      </c>
      <c r="F3168">
        <v>14.0</v>
      </c>
      <c r="G3168" s="2" t="s">
        <v>67</v>
      </c>
      <c r="H3168" s="2">
        <v>78.0</v>
      </c>
      <c r="I3168" s="2">
        <v>115.0</v>
      </c>
      <c r="J3168" s="37">
        <v>1901.38</v>
      </c>
      <c r="K3168" s="2">
        <v>91.0</v>
      </c>
      <c r="L3168" s="2">
        <v>386.0</v>
      </c>
      <c r="M3168" s="37">
        <v>2545.6600000000003</v>
      </c>
    </row>
    <row r="3169" ht="14.25" customHeight="1">
      <c r="A3169" t="s">
        <v>3225</v>
      </c>
      <c r="B3169" t="s">
        <v>3091</v>
      </c>
      <c r="C3169" t="s">
        <v>75</v>
      </c>
      <c r="D3169" t="s">
        <v>63</v>
      </c>
      <c r="E3169">
        <v>12.5</v>
      </c>
      <c r="F3169">
        <v>12.5</v>
      </c>
      <c r="G3169" s="2" t="s">
        <v>67</v>
      </c>
      <c r="H3169" s="2">
        <v>75.0</v>
      </c>
      <c r="I3169" s="2">
        <v>287.0</v>
      </c>
      <c r="J3169" s="37">
        <v>2057.6</v>
      </c>
      <c r="K3169" s="2">
        <v>86.0</v>
      </c>
      <c r="L3169" s="2">
        <v>529.0</v>
      </c>
      <c r="M3169" s="37">
        <v>2619.26</v>
      </c>
    </row>
    <row r="3170" ht="14.25" customHeight="1">
      <c r="A3170" t="s">
        <v>3226</v>
      </c>
      <c r="B3170" t="s">
        <v>3091</v>
      </c>
      <c r="C3170" t="s">
        <v>75</v>
      </c>
      <c r="D3170" t="s">
        <v>63</v>
      </c>
      <c r="E3170">
        <v>12.5</v>
      </c>
      <c r="F3170">
        <v>12.5</v>
      </c>
      <c r="G3170" s="2" t="s">
        <v>67</v>
      </c>
      <c r="H3170" s="2">
        <v>75.0</v>
      </c>
      <c r="I3170" s="2">
        <v>287.0</v>
      </c>
      <c r="J3170" s="37">
        <v>2057.6</v>
      </c>
      <c r="K3170" s="2">
        <v>86.0</v>
      </c>
      <c r="L3170" s="2">
        <v>529.0</v>
      </c>
      <c r="M3170" s="37">
        <v>2619.26</v>
      </c>
    </row>
    <row r="3171" ht="14.25" customHeight="1">
      <c r="A3171" t="s">
        <v>3227</v>
      </c>
      <c r="B3171" t="s">
        <v>3091</v>
      </c>
      <c r="C3171" t="s">
        <v>75</v>
      </c>
      <c r="D3171" t="s">
        <v>63</v>
      </c>
      <c r="E3171">
        <v>12.5</v>
      </c>
      <c r="F3171">
        <v>12.5</v>
      </c>
      <c r="G3171" s="2" t="s">
        <v>67</v>
      </c>
      <c r="H3171" s="2">
        <v>75.0</v>
      </c>
      <c r="I3171" s="2">
        <v>287.0</v>
      </c>
      <c r="J3171" s="37">
        <v>2057.6</v>
      </c>
      <c r="K3171" s="2">
        <v>86.0</v>
      </c>
      <c r="L3171" s="2">
        <v>529.0</v>
      </c>
      <c r="M3171" s="37">
        <v>2619.26</v>
      </c>
    </row>
    <row r="3172" ht="14.25" customHeight="1">
      <c r="A3172" t="s">
        <v>3228</v>
      </c>
      <c r="B3172" t="s">
        <v>3091</v>
      </c>
      <c r="C3172" t="s">
        <v>75</v>
      </c>
      <c r="D3172" t="s">
        <v>63</v>
      </c>
      <c r="E3172">
        <v>12.5</v>
      </c>
      <c r="F3172">
        <v>12.5</v>
      </c>
      <c r="G3172" s="2" t="s">
        <v>67</v>
      </c>
      <c r="H3172" s="2">
        <v>75.0</v>
      </c>
      <c r="I3172" s="2">
        <v>287.0</v>
      </c>
      <c r="J3172" s="37">
        <v>2057.6</v>
      </c>
      <c r="K3172" s="2">
        <v>86.0</v>
      </c>
      <c r="L3172" s="2">
        <v>529.0</v>
      </c>
      <c r="M3172" s="37">
        <v>2619.26</v>
      </c>
    </row>
    <row r="3173" ht="14.25" customHeight="1">
      <c r="A3173" t="s">
        <v>3229</v>
      </c>
      <c r="B3173" t="s">
        <v>3091</v>
      </c>
      <c r="C3173" t="s">
        <v>75</v>
      </c>
      <c r="D3173" t="s">
        <v>63</v>
      </c>
      <c r="E3173">
        <v>12.5</v>
      </c>
      <c r="F3173">
        <v>12.5</v>
      </c>
      <c r="G3173" s="2" t="s">
        <v>67</v>
      </c>
      <c r="H3173" s="2">
        <v>75.0</v>
      </c>
      <c r="I3173" s="2">
        <v>287.0</v>
      </c>
      <c r="J3173" s="37">
        <v>2057.6</v>
      </c>
      <c r="K3173" s="2">
        <v>86.0</v>
      </c>
      <c r="L3173" s="2">
        <v>529.0</v>
      </c>
      <c r="M3173" s="37">
        <v>2619.26</v>
      </c>
    </row>
    <row r="3174" ht="14.25" customHeight="1">
      <c r="A3174" t="s">
        <v>3230</v>
      </c>
      <c r="B3174" t="s">
        <v>3091</v>
      </c>
      <c r="C3174" t="s">
        <v>75</v>
      </c>
      <c r="D3174" t="s">
        <v>63</v>
      </c>
      <c r="E3174">
        <v>12.5</v>
      </c>
      <c r="F3174">
        <v>12.5</v>
      </c>
      <c r="G3174" s="2" t="s">
        <v>67</v>
      </c>
      <c r="H3174" s="2">
        <v>75.0</v>
      </c>
      <c r="I3174" s="2">
        <v>287.0</v>
      </c>
      <c r="J3174" s="37">
        <v>2057.6</v>
      </c>
      <c r="K3174" s="2">
        <v>86.0</v>
      </c>
      <c r="L3174" s="2">
        <v>529.0</v>
      </c>
      <c r="M3174" s="37">
        <v>2619.26</v>
      </c>
    </row>
    <row r="3175" ht="14.25" customHeight="1">
      <c r="A3175" t="s">
        <v>3231</v>
      </c>
      <c r="B3175" t="s">
        <v>3091</v>
      </c>
      <c r="C3175" t="s">
        <v>75</v>
      </c>
      <c r="D3175" t="s">
        <v>63</v>
      </c>
      <c r="E3175">
        <v>10.0</v>
      </c>
      <c r="F3175">
        <v>10.0</v>
      </c>
      <c r="G3175" s="2" t="s">
        <v>67</v>
      </c>
      <c r="H3175" s="2">
        <v>59.0</v>
      </c>
      <c r="I3175" s="2">
        <v>182.0</v>
      </c>
      <c r="J3175" s="37">
        <v>1561.74</v>
      </c>
      <c r="K3175" s="2">
        <v>68.0</v>
      </c>
      <c r="L3175" s="2">
        <v>376.0</v>
      </c>
      <c r="M3175" s="37">
        <v>2016.08</v>
      </c>
    </row>
    <row r="3176" ht="14.25" customHeight="1">
      <c r="A3176" t="s">
        <v>3232</v>
      </c>
      <c r="B3176" t="s">
        <v>3091</v>
      </c>
      <c r="C3176" t="s">
        <v>75</v>
      </c>
      <c r="D3176" t="s">
        <v>63</v>
      </c>
      <c r="E3176">
        <v>10.0</v>
      </c>
      <c r="F3176">
        <v>10.0</v>
      </c>
      <c r="G3176" s="2" t="s">
        <v>67</v>
      </c>
      <c r="H3176" s="2">
        <v>59.0</v>
      </c>
      <c r="I3176" s="2">
        <v>182.0</v>
      </c>
      <c r="J3176" s="37">
        <v>1561.74</v>
      </c>
      <c r="K3176" s="2">
        <v>68.0</v>
      </c>
      <c r="L3176" s="2">
        <v>376.0</v>
      </c>
      <c r="M3176" s="37">
        <v>2016.08</v>
      </c>
    </row>
    <row r="3177" ht="14.25" customHeight="1">
      <c r="A3177" t="s">
        <v>3233</v>
      </c>
      <c r="B3177" t="s">
        <v>3091</v>
      </c>
      <c r="C3177" t="s">
        <v>75</v>
      </c>
      <c r="D3177" t="s">
        <v>63</v>
      </c>
      <c r="E3177">
        <v>10.0</v>
      </c>
      <c r="F3177">
        <v>10.0</v>
      </c>
      <c r="G3177" s="2" t="s">
        <v>67</v>
      </c>
      <c r="H3177" s="2">
        <v>59.0</v>
      </c>
      <c r="I3177" s="2">
        <v>182.0</v>
      </c>
      <c r="J3177" s="37">
        <v>1561.74</v>
      </c>
      <c r="K3177" s="2">
        <v>68.0</v>
      </c>
      <c r="L3177" s="2">
        <v>376.0</v>
      </c>
      <c r="M3177" s="37">
        <v>2016.08</v>
      </c>
    </row>
    <row r="3178" ht="14.25" customHeight="1">
      <c r="A3178" t="s">
        <v>3234</v>
      </c>
      <c r="B3178" t="s">
        <v>3091</v>
      </c>
      <c r="C3178" t="s">
        <v>75</v>
      </c>
      <c r="D3178" t="s">
        <v>63</v>
      </c>
      <c r="E3178">
        <v>9.5</v>
      </c>
      <c r="F3178">
        <v>10.0</v>
      </c>
      <c r="G3178" s="2" t="s">
        <v>67</v>
      </c>
      <c r="H3178" s="2">
        <v>52.0</v>
      </c>
      <c r="I3178" s="2">
        <v>36.0</v>
      </c>
      <c r="J3178" s="37">
        <v>1214.72</v>
      </c>
      <c r="K3178" s="2">
        <v>61.0</v>
      </c>
      <c r="L3178" s="2">
        <v>220.0</v>
      </c>
      <c r="M3178" s="37">
        <v>1656.06</v>
      </c>
    </row>
    <row r="3179" ht="14.25" customHeight="1">
      <c r="A3179" t="s">
        <v>3235</v>
      </c>
      <c r="B3179" t="s">
        <v>3091</v>
      </c>
      <c r="C3179" t="s">
        <v>75</v>
      </c>
      <c r="D3179" t="s">
        <v>63</v>
      </c>
      <c r="E3179">
        <v>9.5</v>
      </c>
      <c r="F3179">
        <v>10.0</v>
      </c>
      <c r="G3179" s="2" t="s">
        <v>67</v>
      </c>
      <c r="H3179" s="2">
        <v>52.0</v>
      </c>
      <c r="I3179" s="2">
        <v>36.0</v>
      </c>
      <c r="J3179" s="37">
        <v>1214.72</v>
      </c>
      <c r="K3179" s="2">
        <v>61.0</v>
      </c>
      <c r="L3179" s="2">
        <v>220.0</v>
      </c>
      <c r="M3179" s="37">
        <v>1656.06</v>
      </c>
    </row>
    <row r="3180" ht="14.25" customHeight="1">
      <c r="A3180" t="s">
        <v>3236</v>
      </c>
      <c r="B3180" t="s">
        <v>3091</v>
      </c>
      <c r="C3180" t="s">
        <v>75</v>
      </c>
      <c r="D3180" t="s">
        <v>63</v>
      </c>
      <c r="E3180">
        <v>9.5</v>
      </c>
      <c r="F3180">
        <v>10.0</v>
      </c>
      <c r="G3180" s="2" t="s">
        <v>67</v>
      </c>
      <c r="H3180" s="2">
        <v>52.0</v>
      </c>
      <c r="I3180" s="2">
        <v>36.0</v>
      </c>
      <c r="J3180" s="37">
        <v>1214.72</v>
      </c>
      <c r="K3180" s="2">
        <v>61.0</v>
      </c>
      <c r="L3180" s="2">
        <v>220.0</v>
      </c>
      <c r="M3180" s="37">
        <v>1656.06</v>
      </c>
    </row>
    <row r="3181" ht="14.25" customHeight="1">
      <c r="A3181" t="s">
        <v>3237</v>
      </c>
      <c r="B3181" t="s">
        <v>3091</v>
      </c>
      <c r="C3181" t="s">
        <v>75</v>
      </c>
      <c r="D3181" t="s">
        <v>63</v>
      </c>
      <c r="E3181">
        <v>7.1</v>
      </c>
      <c r="F3181">
        <v>7.1</v>
      </c>
      <c r="G3181" s="2" t="s">
        <v>67</v>
      </c>
      <c r="H3181" s="2">
        <v>40.0</v>
      </c>
      <c r="I3181" s="2">
        <v>61.0</v>
      </c>
      <c r="J3181" s="37">
        <v>977.7</v>
      </c>
      <c r="K3181" s="2">
        <v>46.0</v>
      </c>
      <c r="L3181" s="2">
        <v>199.0</v>
      </c>
      <c r="M3181" s="37">
        <v>1291.8600000000001</v>
      </c>
    </row>
    <row r="3182" ht="14.25" customHeight="1">
      <c r="A3182" t="s">
        <v>3238</v>
      </c>
      <c r="B3182" t="s">
        <v>3091</v>
      </c>
      <c r="C3182" t="s">
        <v>75</v>
      </c>
      <c r="D3182" t="s">
        <v>63</v>
      </c>
      <c r="E3182">
        <v>6.0</v>
      </c>
      <c r="F3182">
        <v>6.0</v>
      </c>
      <c r="G3182" s="2" t="s">
        <v>67</v>
      </c>
      <c r="H3182" s="2">
        <v>34.0</v>
      </c>
      <c r="I3182" s="2">
        <v>53.0</v>
      </c>
      <c r="J3182" s="37">
        <v>832.54</v>
      </c>
      <c r="K3182" s="2">
        <v>39.0</v>
      </c>
      <c r="L3182" s="2">
        <v>169.0</v>
      </c>
      <c r="M3182" s="37">
        <v>1095.64</v>
      </c>
    </row>
    <row r="3183" ht="14.25" customHeight="1">
      <c r="A3183" t="s">
        <v>3239</v>
      </c>
      <c r="B3183" t="s">
        <v>3091</v>
      </c>
      <c r="C3183" t="s">
        <v>62</v>
      </c>
      <c r="D3183" t="s">
        <v>63</v>
      </c>
      <c r="E3183">
        <v>7.1</v>
      </c>
      <c r="F3183">
        <v>7.1</v>
      </c>
      <c r="G3183" s="2" t="s">
        <v>67</v>
      </c>
      <c r="H3183" s="2">
        <v>41.0</v>
      </c>
      <c r="I3183" s="2">
        <v>64.0</v>
      </c>
      <c r="J3183" s="37">
        <v>1004.0600000000001</v>
      </c>
      <c r="K3183" s="2">
        <v>46.0</v>
      </c>
      <c r="L3183" s="2">
        <v>186.0</v>
      </c>
      <c r="M3183" s="37">
        <v>1274.96</v>
      </c>
    </row>
    <row r="3184" ht="14.25" customHeight="1">
      <c r="A3184" t="s">
        <v>3240</v>
      </c>
      <c r="B3184" t="s">
        <v>3091</v>
      </c>
      <c r="C3184" t="s">
        <v>75</v>
      </c>
      <c r="D3184" t="s">
        <v>63</v>
      </c>
      <c r="E3184">
        <v>6.8</v>
      </c>
      <c r="F3184">
        <v>6.8</v>
      </c>
      <c r="G3184" s="2" t="s">
        <v>67</v>
      </c>
      <c r="H3184" s="2">
        <v>38.0</v>
      </c>
      <c r="I3184" s="2">
        <v>30.0</v>
      </c>
      <c r="J3184" s="37">
        <v>892.48</v>
      </c>
      <c r="K3184" s="2">
        <v>44.0</v>
      </c>
      <c r="L3184" s="2">
        <v>161.0</v>
      </c>
      <c r="M3184" s="37">
        <v>1197.54</v>
      </c>
    </row>
    <row r="3185" ht="14.25" customHeight="1">
      <c r="A3185" t="s">
        <v>3241</v>
      </c>
      <c r="B3185" t="s">
        <v>3091</v>
      </c>
      <c r="C3185" t="s">
        <v>62</v>
      </c>
      <c r="D3185" t="s">
        <v>63</v>
      </c>
      <c r="E3185">
        <v>6.0</v>
      </c>
      <c r="F3185">
        <v>6.0</v>
      </c>
      <c r="G3185" s="2" t="s">
        <v>67</v>
      </c>
      <c r="H3185" s="2">
        <v>36.0</v>
      </c>
      <c r="I3185" s="2">
        <v>164.0</v>
      </c>
      <c r="J3185" s="37">
        <v>1021.7600000000001</v>
      </c>
      <c r="K3185" s="2">
        <v>41.0</v>
      </c>
      <c r="L3185" s="2">
        <v>267.0</v>
      </c>
      <c r="M3185" s="37">
        <v>1267.96</v>
      </c>
    </row>
    <row r="3186" ht="14.25" customHeight="1">
      <c r="A3186" t="s">
        <v>3242</v>
      </c>
      <c r="B3186" t="s">
        <v>3091</v>
      </c>
      <c r="C3186" t="s">
        <v>75</v>
      </c>
      <c r="D3186" t="s">
        <v>63</v>
      </c>
      <c r="E3186">
        <v>5.7</v>
      </c>
      <c r="F3186">
        <v>5.7</v>
      </c>
      <c r="G3186" s="2" t="s">
        <v>67</v>
      </c>
      <c r="H3186" s="2">
        <v>34.0</v>
      </c>
      <c r="I3186" s="2">
        <v>128.0</v>
      </c>
      <c r="J3186" s="37">
        <v>930.04</v>
      </c>
      <c r="K3186" s="2">
        <v>39.0</v>
      </c>
      <c r="L3186" s="2">
        <v>238.0</v>
      </c>
      <c r="M3186" s="37">
        <v>1185.3400000000001</v>
      </c>
    </row>
    <row r="3187" ht="14.25" customHeight="1">
      <c r="A3187" t="s">
        <v>3243</v>
      </c>
      <c r="B3187" t="s">
        <v>3091</v>
      </c>
      <c r="C3187" t="s">
        <v>75</v>
      </c>
      <c r="D3187" t="s">
        <v>63</v>
      </c>
      <c r="E3187">
        <v>4.6</v>
      </c>
      <c r="F3187">
        <v>5.0</v>
      </c>
      <c r="G3187" s="2" t="s">
        <v>67</v>
      </c>
      <c r="H3187" s="2">
        <v>28.0</v>
      </c>
      <c r="I3187" s="2">
        <v>24.0</v>
      </c>
      <c r="J3187" s="37">
        <v>660.08</v>
      </c>
      <c r="K3187" s="2">
        <v>32.0</v>
      </c>
      <c r="L3187" s="2">
        <v>113.0</v>
      </c>
      <c r="M3187" s="37">
        <v>865.62</v>
      </c>
    </row>
    <row r="3188" ht="14.25" customHeight="1">
      <c r="A3188" t="s">
        <v>3244</v>
      </c>
      <c r="B3188" t="s">
        <v>3091</v>
      </c>
      <c r="C3188" t="s">
        <v>75</v>
      </c>
      <c r="D3188" t="s">
        <v>63</v>
      </c>
      <c r="E3188">
        <v>3.4</v>
      </c>
      <c r="F3188">
        <v>3.6</v>
      </c>
      <c r="G3188" s="2" t="s">
        <v>67</v>
      </c>
      <c r="H3188" s="2">
        <v>21.0</v>
      </c>
      <c r="I3188" s="2">
        <v>110.0</v>
      </c>
      <c r="J3188" s="37">
        <v>614.6600000000001</v>
      </c>
      <c r="K3188" s="2">
        <v>24.0</v>
      </c>
      <c r="L3188" s="2">
        <v>176.0</v>
      </c>
      <c r="M3188" s="37">
        <v>767.8399999999999</v>
      </c>
    </row>
    <row r="3189" ht="14.25" customHeight="1">
      <c r="A3189" t="s">
        <v>3245</v>
      </c>
      <c r="B3189" t="s">
        <v>3091</v>
      </c>
      <c r="C3189" t="s">
        <v>75</v>
      </c>
      <c r="D3189" t="s">
        <v>63</v>
      </c>
      <c r="E3189">
        <v>13.4</v>
      </c>
      <c r="F3189">
        <v>13.4</v>
      </c>
      <c r="G3189" s="2" t="s">
        <v>64</v>
      </c>
      <c r="H3189" s="2">
        <v>0.0</v>
      </c>
      <c r="I3189" s="2">
        <v>0.0</v>
      </c>
      <c r="J3189" s="37">
        <v>0.0</v>
      </c>
      <c r="K3189" s="2">
        <v>0.0</v>
      </c>
      <c r="L3189" s="2">
        <v>0.0</v>
      </c>
      <c r="M3189" s="37">
        <v>0.0</v>
      </c>
    </row>
    <row r="3190" ht="14.25" customHeight="1">
      <c r="A3190" t="s">
        <v>3246</v>
      </c>
      <c r="B3190" t="s">
        <v>3091</v>
      </c>
      <c r="C3190" t="s">
        <v>62</v>
      </c>
      <c r="D3190" t="s">
        <v>63</v>
      </c>
      <c r="E3190">
        <v>14.0</v>
      </c>
      <c r="F3190">
        <v>14.0</v>
      </c>
      <c r="G3190" s="2" t="s">
        <v>67</v>
      </c>
      <c r="H3190" s="2">
        <v>82.0</v>
      </c>
      <c r="I3190" s="2">
        <v>98.0</v>
      </c>
      <c r="J3190" s="37">
        <v>1969.1200000000001</v>
      </c>
      <c r="K3190" s="2">
        <v>95.0</v>
      </c>
      <c r="L3190" s="2">
        <v>370.0</v>
      </c>
      <c r="M3190" s="37">
        <v>2614.7000000000003</v>
      </c>
    </row>
    <row r="3191" ht="14.25" customHeight="1">
      <c r="A3191" t="s">
        <v>3247</v>
      </c>
      <c r="B3191" t="s">
        <v>3091</v>
      </c>
      <c r="C3191" t="s">
        <v>75</v>
      </c>
      <c r="D3191" t="s">
        <v>63</v>
      </c>
      <c r="E3191">
        <v>12.1</v>
      </c>
      <c r="F3191">
        <v>12.1</v>
      </c>
      <c r="G3191" s="2" t="s">
        <v>64</v>
      </c>
      <c r="H3191" s="2">
        <v>0.0</v>
      </c>
      <c r="I3191" s="2">
        <v>0.0</v>
      </c>
      <c r="J3191" s="37">
        <v>0.0</v>
      </c>
      <c r="K3191" s="2">
        <v>0.0</v>
      </c>
      <c r="L3191" s="2">
        <v>0.0</v>
      </c>
      <c r="M3191" s="37">
        <v>0.0</v>
      </c>
    </row>
    <row r="3192" ht="14.25" customHeight="1">
      <c r="A3192" t="s">
        <v>3248</v>
      </c>
      <c r="B3192" t="s">
        <v>3091</v>
      </c>
      <c r="C3192" t="s">
        <v>62</v>
      </c>
      <c r="D3192" t="s">
        <v>63</v>
      </c>
      <c r="E3192">
        <v>12.5</v>
      </c>
      <c r="F3192">
        <v>12.5</v>
      </c>
      <c r="G3192" s="2" t="s">
        <v>67</v>
      </c>
      <c r="H3192" s="2">
        <v>76.0</v>
      </c>
      <c r="I3192" s="2">
        <v>304.0</v>
      </c>
      <c r="J3192" s="37">
        <v>2102.16</v>
      </c>
      <c r="K3192" s="2">
        <v>88.0</v>
      </c>
      <c r="L3192" s="2">
        <v>546.0</v>
      </c>
      <c r="M3192" s="37">
        <v>2686.28</v>
      </c>
    </row>
    <row r="3193" ht="14.25" customHeight="1">
      <c r="A3193" t="s">
        <v>3249</v>
      </c>
      <c r="B3193" t="s">
        <v>3091</v>
      </c>
      <c r="C3193" t="s">
        <v>75</v>
      </c>
      <c r="D3193" t="s">
        <v>63</v>
      </c>
      <c r="E3193">
        <v>9.5</v>
      </c>
      <c r="F3193">
        <v>9.5</v>
      </c>
      <c r="G3193" s="2" t="s">
        <v>67</v>
      </c>
      <c r="H3193" s="2">
        <v>56.0</v>
      </c>
      <c r="I3193" s="2">
        <v>226.0</v>
      </c>
      <c r="J3193" s="37">
        <v>1551.56</v>
      </c>
      <c r="K3193" s="2">
        <v>65.0</v>
      </c>
      <c r="L3193" s="2">
        <v>410.0</v>
      </c>
      <c r="M3193" s="37">
        <v>1992.9</v>
      </c>
    </row>
    <row r="3194" ht="14.25" customHeight="1">
      <c r="A3194" t="s">
        <v>3250</v>
      </c>
      <c r="B3194" t="s">
        <v>3091</v>
      </c>
      <c r="C3194" t="s">
        <v>62</v>
      </c>
      <c r="D3194" t="s">
        <v>63</v>
      </c>
      <c r="E3194">
        <v>10.0</v>
      </c>
      <c r="F3194">
        <v>10.0</v>
      </c>
      <c r="G3194" s="2" t="s">
        <v>67</v>
      </c>
      <c r="H3194" s="2">
        <v>65.0</v>
      </c>
      <c r="I3194" s="2">
        <v>339.0</v>
      </c>
      <c r="J3194" s="37">
        <v>1900.6000000000001</v>
      </c>
      <c r="K3194" s="2">
        <v>74.0</v>
      </c>
      <c r="L3194" s="2">
        <v>533.0</v>
      </c>
      <c r="M3194" s="37">
        <v>2354.94</v>
      </c>
    </row>
    <row r="3195" ht="14.25" customHeight="1">
      <c r="A3195" t="s">
        <v>3251</v>
      </c>
      <c r="B3195" t="s">
        <v>3091</v>
      </c>
      <c r="C3195" t="s">
        <v>75</v>
      </c>
      <c r="D3195" t="s">
        <v>63</v>
      </c>
      <c r="E3195">
        <v>13.4</v>
      </c>
      <c r="F3195">
        <v>13.4</v>
      </c>
      <c r="G3195" s="2" t="s">
        <v>67</v>
      </c>
      <c r="H3195" s="2">
        <v>73.0</v>
      </c>
      <c r="I3195" s="2">
        <v>46.0</v>
      </c>
      <c r="J3195" s="37">
        <v>1699.38</v>
      </c>
      <c r="K3195" s="2">
        <v>85.0</v>
      </c>
      <c r="L3195" s="2">
        <v>305.0</v>
      </c>
      <c r="M3195" s="37">
        <v>2305.6000000000004</v>
      </c>
    </row>
    <row r="3196" ht="14.25" customHeight="1">
      <c r="A3196" t="s">
        <v>3252</v>
      </c>
      <c r="B3196" t="s">
        <v>3091</v>
      </c>
      <c r="C3196" t="s">
        <v>62</v>
      </c>
      <c r="D3196" t="s">
        <v>63</v>
      </c>
      <c r="E3196">
        <v>14.0</v>
      </c>
      <c r="F3196">
        <v>14.0</v>
      </c>
      <c r="G3196" s="2" t="s">
        <v>67</v>
      </c>
      <c r="H3196" s="2">
        <v>82.0</v>
      </c>
      <c r="I3196" s="2">
        <v>98.0</v>
      </c>
      <c r="J3196" s="37">
        <v>1969.1200000000001</v>
      </c>
      <c r="K3196" s="2">
        <v>95.0</v>
      </c>
      <c r="L3196" s="2">
        <v>370.0</v>
      </c>
      <c r="M3196" s="37">
        <v>2614.7000000000003</v>
      </c>
    </row>
    <row r="3197" ht="14.25" customHeight="1">
      <c r="A3197" t="s">
        <v>3253</v>
      </c>
      <c r="B3197" t="s">
        <v>3091</v>
      </c>
      <c r="C3197" t="s">
        <v>62</v>
      </c>
      <c r="D3197" t="s">
        <v>63</v>
      </c>
      <c r="E3197">
        <v>12.5</v>
      </c>
      <c r="F3197">
        <v>12.5</v>
      </c>
      <c r="G3197" s="2" t="s">
        <v>67</v>
      </c>
      <c r="H3197" s="2">
        <v>76.0</v>
      </c>
      <c r="I3197" s="2">
        <v>304.0</v>
      </c>
      <c r="J3197" s="37">
        <v>2102.16</v>
      </c>
      <c r="K3197" s="2">
        <v>88.0</v>
      </c>
      <c r="L3197" s="2">
        <v>546.0</v>
      </c>
      <c r="M3197" s="37">
        <v>2686.28</v>
      </c>
    </row>
    <row r="3198" ht="14.25" customHeight="1">
      <c r="A3198" t="s">
        <v>3254</v>
      </c>
      <c r="B3198" t="s">
        <v>3091</v>
      </c>
      <c r="C3198" t="s">
        <v>75</v>
      </c>
      <c r="D3198" t="s">
        <v>63</v>
      </c>
      <c r="E3198">
        <v>9.5</v>
      </c>
      <c r="F3198">
        <v>9.5</v>
      </c>
      <c r="G3198" s="2" t="s">
        <v>67</v>
      </c>
      <c r="H3198" s="2">
        <v>56.0</v>
      </c>
      <c r="I3198" s="2">
        <v>226.0</v>
      </c>
      <c r="J3198" s="37">
        <v>1551.56</v>
      </c>
      <c r="K3198" s="2">
        <v>65.0</v>
      </c>
      <c r="L3198" s="2">
        <v>410.0</v>
      </c>
      <c r="M3198" s="37">
        <v>1992.9</v>
      </c>
    </row>
    <row r="3199" ht="14.25" customHeight="1">
      <c r="A3199" t="s">
        <v>3255</v>
      </c>
      <c r="B3199" t="s">
        <v>3091</v>
      </c>
      <c r="C3199" t="s">
        <v>62</v>
      </c>
      <c r="D3199" t="s">
        <v>63</v>
      </c>
      <c r="E3199">
        <v>10.0</v>
      </c>
      <c r="F3199">
        <v>10.0</v>
      </c>
      <c r="G3199" s="2" t="s">
        <v>67</v>
      </c>
      <c r="H3199" s="2">
        <v>65.0</v>
      </c>
      <c r="I3199" s="2">
        <v>339.0</v>
      </c>
      <c r="J3199" s="37">
        <v>1900.6000000000001</v>
      </c>
      <c r="K3199" s="2">
        <v>74.0</v>
      </c>
      <c r="L3199" s="2">
        <v>533.0</v>
      </c>
      <c r="M3199" s="37">
        <v>2354.94</v>
      </c>
    </row>
    <row r="3200" ht="14.25" customHeight="1">
      <c r="A3200" t="s">
        <v>3256</v>
      </c>
      <c r="B3200" t="s">
        <v>3091</v>
      </c>
      <c r="C3200" t="s">
        <v>75</v>
      </c>
      <c r="D3200" t="s">
        <v>63</v>
      </c>
      <c r="E3200">
        <v>12.1</v>
      </c>
      <c r="F3200">
        <v>12.1</v>
      </c>
      <c r="G3200" s="2" t="s">
        <v>67</v>
      </c>
      <c r="H3200" s="2">
        <v>67.0</v>
      </c>
      <c r="I3200" s="2">
        <v>192.0</v>
      </c>
      <c r="J3200" s="37">
        <v>1754.42</v>
      </c>
      <c r="K3200" s="2">
        <v>78.0</v>
      </c>
      <c r="L3200" s="2">
        <v>426.0</v>
      </c>
      <c r="M3200" s="37">
        <v>2305.6800000000003</v>
      </c>
    </row>
    <row r="3201" ht="14.25" customHeight="1">
      <c r="A3201" t="s">
        <v>3257</v>
      </c>
      <c r="B3201" t="s">
        <v>3258</v>
      </c>
      <c r="C3201" t="s">
        <v>62</v>
      </c>
      <c r="D3201" t="s">
        <v>63</v>
      </c>
      <c r="E3201">
        <v>2.5</v>
      </c>
      <c r="F3201">
        <v>2.6</v>
      </c>
      <c r="G3201" s="2" t="s">
        <v>67</v>
      </c>
      <c r="H3201" s="2">
        <v>13.0</v>
      </c>
      <c r="I3201" s="2">
        <v>29.0</v>
      </c>
      <c r="J3201" s="37">
        <v>329.68</v>
      </c>
      <c r="K3201" s="2">
        <v>15.0</v>
      </c>
      <c r="L3201" s="2">
        <v>67.0</v>
      </c>
      <c r="M3201" s="37">
        <v>424.00000000000006</v>
      </c>
    </row>
    <row r="3202" ht="14.25" customHeight="1">
      <c r="A3202" t="s">
        <v>3259</v>
      </c>
      <c r="B3202" t="s">
        <v>3258</v>
      </c>
      <c r="C3202" t="s">
        <v>62</v>
      </c>
      <c r="D3202" t="s">
        <v>63</v>
      </c>
      <c r="E3202">
        <v>3.5</v>
      </c>
      <c r="F3202">
        <v>3.6</v>
      </c>
      <c r="G3202" s="2" t="s">
        <v>64</v>
      </c>
      <c r="H3202" s="2">
        <v>0.0</v>
      </c>
      <c r="I3202" s="2">
        <v>0.0</v>
      </c>
      <c r="J3202" s="37">
        <v>0.0</v>
      </c>
      <c r="K3202" s="2">
        <v>0.0</v>
      </c>
      <c r="L3202" s="2">
        <v>0.0</v>
      </c>
      <c r="M3202" s="37">
        <v>0.0</v>
      </c>
    </row>
    <row r="3203" ht="14.25" customHeight="1">
      <c r="A3203" t="s">
        <v>3260</v>
      </c>
      <c r="B3203" t="s">
        <v>3258</v>
      </c>
      <c r="C3203" t="s">
        <v>62</v>
      </c>
      <c r="D3203" t="s">
        <v>63</v>
      </c>
      <c r="E3203">
        <v>5.0</v>
      </c>
      <c r="F3203">
        <v>5.1</v>
      </c>
      <c r="G3203" s="2" t="s">
        <v>67</v>
      </c>
      <c r="H3203" s="2">
        <v>28.0</v>
      </c>
      <c r="I3203" s="2">
        <v>7.0</v>
      </c>
      <c r="J3203" s="37">
        <v>637.98</v>
      </c>
      <c r="K3203" s="2">
        <v>32.0</v>
      </c>
      <c r="L3203" s="2">
        <v>93.0</v>
      </c>
      <c r="M3203" s="37">
        <v>839.62</v>
      </c>
    </row>
    <row r="3204" ht="14.25" customHeight="1">
      <c r="A3204" t="s">
        <v>3261</v>
      </c>
      <c r="B3204" t="s">
        <v>3258</v>
      </c>
      <c r="C3204" t="s">
        <v>62</v>
      </c>
      <c r="D3204" t="s">
        <v>63</v>
      </c>
      <c r="E3204">
        <v>6.7</v>
      </c>
      <c r="F3204">
        <v>7.0</v>
      </c>
      <c r="G3204" s="2" t="s">
        <v>64</v>
      </c>
      <c r="H3204" s="2">
        <v>0.0</v>
      </c>
      <c r="I3204" s="2">
        <v>0.0</v>
      </c>
      <c r="J3204" s="37">
        <v>0.0</v>
      </c>
      <c r="K3204" s="2">
        <v>0.0</v>
      </c>
      <c r="L3204" s="2">
        <v>0.0</v>
      </c>
      <c r="M3204" s="37">
        <v>0.0</v>
      </c>
    </row>
    <row r="3205" ht="14.25" customHeight="1">
      <c r="A3205" t="s">
        <v>3262</v>
      </c>
      <c r="B3205" t="s">
        <v>3258</v>
      </c>
      <c r="C3205" t="s">
        <v>75</v>
      </c>
      <c r="D3205" t="s">
        <v>63</v>
      </c>
      <c r="E3205">
        <v>10.0</v>
      </c>
      <c r="F3205">
        <v>10.0</v>
      </c>
      <c r="G3205" s="2" t="s">
        <v>64</v>
      </c>
      <c r="H3205" s="2">
        <v>0.0</v>
      </c>
      <c r="I3205" s="2">
        <v>0.0</v>
      </c>
      <c r="J3205" s="37">
        <v>0.0</v>
      </c>
      <c r="K3205" s="2">
        <v>0.0</v>
      </c>
      <c r="L3205" s="2">
        <v>0.0</v>
      </c>
      <c r="M3205" s="37">
        <v>0.0</v>
      </c>
    </row>
    <row r="3206" ht="14.25" customHeight="1">
      <c r="A3206" t="s">
        <v>3263</v>
      </c>
      <c r="B3206" t="s">
        <v>3258</v>
      </c>
      <c r="C3206" t="s">
        <v>75</v>
      </c>
      <c r="D3206" t="s">
        <v>63</v>
      </c>
      <c r="E3206">
        <v>10.0</v>
      </c>
      <c r="F3206">
        <v>10.0</v>
      </c>
      <c r="G3206" s="2" t="s">
        <v>64</v>
      </c>
      <c r="H3206" s="2">
        <v>0.0</v>
      </c>
      <c r="I3206" s="2">
        <v>0.0</v>
      </c>
      <c r="J3206" s="37">
        <v>0.0</v>
      </c>
      <c r="K3206" s="2">
        <v>0.0</v>
      </c>
      <c r="L3206" s="2">
        <v>0.0</v>
      </c>
      <c r="M3206" s="37">
        <v>0.0</v>
      </c>
    </row>
    <row r="3207" ht="14.25" customHeight="1">
      <c r="A3207" t="s">
        <v>3264</v>
      </c>
      <c r="B3207" t="s">
        <v>3258</v>
      </c>
      <c r="C3207" t="s">
        <v>75</v>
      </c>
      <c r="D3207" t="s">
        <v>63</v>
      </c>
      <c r="E3207">
        <v>10.0</v>
      </c>
      <c r="F3207">
        <v>10.0</v>
      </c>
      <c r="G3207" s="2" t="s">
        <v>64</v>
      </c>
      <c r="H3207" s="2">
        <v>0.0</v>
      </c>
      <c r="I3207" s="2">
        <v>0.0</v>
      </c>
      <c r="J3207" s="37">
        <v>0.0</v>
      </c>
      <c r="K3207" s="2">
        <v>0.0</v>
      </c>
      <c r="L3207" s="2">
        <v>0.0</v>
      </c>
      <c r="M3207" s="37">
        <v>0.0</v>
      </c>
    </row>
    <row r="3208" ht="14.25" customHeight="1">
      <c r="A3208" t="s">
        <v>3265</v>
      </c>
      <c r="B3208" t="s">
        <v>3258</v>
      </c>
      <c r="C3208" t="s">
        <v>75</v>
      </c>
      <c r="D3208" t="s">
        <v>63</v>
      </c>
      <c r="E3208">
        <v>14.0</v>
      </c>
      <c r="F3208">
        <v>14.0</v>
      </c>
      <c r="G3208" s="2" t="s">
        <v>67</v>
      </c>
      <c r="H3208" s="2">
        <v>74.0</v>
      </c>
      <c r="I3208" s="2">
        <v>513.0</v>
      </c>
      <c r="J3208" s="37">
        <v>2328.94</v>
      </c>
      <c r="K3208" s="2">
        <v>87.0</v>
      </c>
      <c r="L3208" s="2">
        <v>784.0</v>
      </c>
      <c r="M3208" s="37">
        <v>2973.2200000000003</v>
      </c>
    </row>
    <row r="3209" ht="14.25" customHeight="1">
      <c r="A3209" t="s">
        <v>3266</v>
      </c>
      <c r="B3209" t="s">
        <v>3258</v>
      </c>
      <c r="C3209" t="s">
        <v>75</v>
      </c>
      <c r="D3209" t="s">
        <v>63</v>
      </c>
      <c r="E3209">
        <v>14.0</v>
      </c>
      <c r="F3209">
        <v>14.0</v>
      </c>
      <c r="G3209" s="2" t="s">
        <v>67</v>
      </c>
      <c r="H3209" s="2">
        <v>74.0</v>
      </c>
      <c r="I3209" s="2">
        <v>513.0</v>
      </c>
      <c r="J3209" s="37">
        <v>2328.94</v>
      </c>
      <c r="K3209" s="2">
        <v>87.0</v>
      </c>
      <c r="L3209" s="2">
        <v>784.0</v>
      </c>
      <c r="M3209" s="37">
        <v>2973.2200000000003</v>
      </c>
    </row>
    <row r="3210" ht="14.25" customHeight="1">
      <c r="A3210" t="s">
        <v>3267</v>
      </c>
      <c r="B3210" t="s">
        <v>3258</v>
      </c>
      <c r="C3210" t="s">
        <v>75</v>
      </c>
      <c r="D3210" t="s">
        <v>63</v>
      </c>
      <c r="E3210">
        <v>14.0</v>
      </c>
      <c r="F3210">
        <v>14.0</v>
      </c>
      <c r="G3210" s="2" t="s">
        <v>67</v>
      </c>
      <c r="H3210" s="2">
        <v>74.0</v>
      </c>
      <c r="I3210" s="2">
        <v>513.0</v>
      </c>
      <c r="J3210" s="37">
        <v>2328.94</v>
      </c>
      <c r="K3210" s="2">
        <v>87.0</v>
      </c>
      <c r="L3210" s="2">
        <v>784.0</v>
      </c>
      <c r="M3210" s="37">
        <v>2973.2200000000003</v>
      </c>
    </row>
    <row r="3211" ht="14.25" customHeight="1">
      <c r="A3211" t="s">
        <v>3268</v>
      </c>
      <c r="B3211" t="s">
        <v>3258</v>
      </c>
      <c r="C3211" t="s">
        <v>75</v>
      </c>
      <c r="D3211" t="s">
        <v>63</v>
      </c>
      <c r="E3211">
        <v>16.29</v>
      </c>
      <c r="F3211">
        <v>16.0</v>
      </c>
      <c r="G3211" s="2" t="s">
        <v>67</v>
      </c>
      <c r="H3211" s="2">
        <v>75.0</v>
      </c>
      <c r="I3211" s="2">
        <v>350.0</v>
      </c>
      <c r="J3211" s="37">
        <v>2139.5</v>
      </c>
      <c r="K3211" s="2">
        <v>90.0</v>
      </c>
      <c r="L3211" s="2">
        <v>665.0</v>
      </c>
      <c r="M3211" s="37">
        <v>2885.9</v>
      </c>
    </row>
    <row r="3212" ht="14.25" customHeight="1">
      <c r="A3212" t="s">
        <v>3269</v>
      </c>
      <c r="B3212" t="s">
        <v>3258</v>
      </c>
      <c r="C3212" t="s">
        <v>75</v>
      </c>
      <c r="D3212" t="s">
        <v>63</v>
      </c>
      <c r="E3212">
        <v>16.29</v>
      </c>
      <c r="F3212">
        <v>16.0</v>
      </c>
      <c r="G3212" s="2" t="s">
        <v>67</v>
      </c>
      <c r="H3212" s="2">
        <v>75.0</v>
      </c>
      <c r="I3212" s="2">
        <v>350.0</v>
      </c>
      <c r="J3212" s="37">
        <v>2139.5</v>
      </c>
      <c r="K3212" s="2">
        <v>90.0</v>
      </c>
      <c r="L3212" s="2">
        <v>665.0</v>
      </c>
      <c r="M3212" s="37">
        <v>2885.9</v>
      </c>
    </row>
    <row r="3213" ht="14.25" customHeight="1">
      <c r="A3213" t="s">
        <v>3270</v>
      </c>
      <c r="B3213" t="s">
        <v>3258</v>
      </c>
      <c r="C3213" t="s">
        <v>75</v>
      </c>
      <c r="D3213" t="s">
        <v>63</v>
      </c>
      <c r="E3213">
        <v>16.29</v>
      </c>
      <c r="F3213">
        <v>16.0</v>
      </c>
      <c r="G3213" s="2" t="s">
        <v>67</v>
      </c>
      <c r="H3213" s="2">
        <v>75.0</v>
      </c>
      <c r="I3213" s="2">
        <v>350.0</v>
      </c>
      <c r="J3213" s="37">
        <v>2139.5</v>
      </c>
      <c r="K3213" s="2">
        <v>90.0</v>
      </c>
      <c r="L3213" s="2">
        <v>665.0</v>
      </c>
      <c r="M3213" s="37">
        <v>2885.9</v>
      </c>
    </row>
    <row r="3214" ht="14.25" customHeight="1">
      <c r="A3214" t="s">
        <v>3271</v>
      </c>
      <c r="B3214" t="s">
        <v>3272</v>
      </c>
      <c r="C3214" t="s">
        <v>62</v>
      </c>
      <c r="D3214" t="s">
        <v>268</v>
      </c>
      <c r="E3214">
        <v>3.5</v>
      </c>
      <c r="F3214">
        <v>3.0</v>
      </c>
      <c r="G3214" s="2" t="s">
        <v>64</v>
      </c>
      <c r="H3214" s="2">
        <v>0.0</v>
      </c>
      <c r="I3214" s="2">
        <v>0.0</v>
      </c>
      <c r="J3214" s="37">
        <v>0.0</v>
      </c>
      <c r="K3214" s="2">
        <v>0.0</v>
      </c>
      <c r="L3214" s="2">
        <v>0.0</v>
      </c>
      <c r="M3214" s="37">
        <v>0.0</v>
      </c>
    </row>
    <row r="3215" ht="14.25" customHeight="1">
      <c r="A3215" t="s">
        <v>3273</v>
      </c>
      <c r="B3215" t="s">
        <v>3274</v>
      </c>
      <c r="C3215" t="s">
        <v>62</v>
      </c>
      <c r="D3215" t="s">
        <v>63</v>
      </c>
      <c r="E3215">
        <v>5.25</v>
      </c>
      <c r="F3215">
        <v>5.4</v>
      </c>
      <c r="G3215" s="2" t="s">
        <v>64</v>
      </c>
      <c r="H3215" s="2">
        <v>0.0</v>
      </c>
      <c r="I3215" s="2">
        <v>0.0</v>
      </c>
      <c r="J3215" s="37">
        <v>0.0</v>
      </c>
      <c r="K3215" s="2">
        <v>0.0</v>
      </c>
      <c r="L3215" s="2">
        <v>0.0</v>
      </c>
      <c r="M3215" s="37">
        <v>0.0</v>
      </c>
    </row>
    <row r="3216" ht="14.25" customHeight="1">
      <c r="A3216" t="s">
        <v>3275</v>
      </c>
      <c r="B3216" t="s">
        <v>3274</v>
      </c>
      <c r="C3216" t="s">
        <v>62</v>
      </c>
      <c r="D3216" t="s">
        <v>63</v>
      </c>
      <c r="E3216">
        <v>3.5</v>
      </c>
      <c r="F3216">
        <v>4.5</v>
      </c>
      <c r="G3216" s="2" t="s">
        <v>64</v>
      </c>
      <c r="H3216" s="2">
        <v>0.0</v>
      </c>
      <c r="I3216" s="2">
        <v>0.0</v>
      </c>
      <c r="J3216" s="37">
        <v>0.0</v>
      </c>
      <c r="K3216" s="2">
        <v>0.0</v>
      </c>
      <c r="L3216" s="2">
        <v>0.0</v>
      </c>
      <c r="M3216" s="37">
        <v>0.0</v>
      </c>
    </row>
    <row r="3217" ht="14.25" customHeight="1">
      <c r="A3217" t="s">
        <v>3276</v>
      </c>
      <c r="B3217" t="s">
        <v>3274</v>
      </c>
      <c r="C3217" t="s">
        <v>62</v>
      </c>
      <c r="D3217" t="s">
        <v>63</v>
      </c>
      <c r="E3217">
        <v>7.2</v>
      </c>
      <c r="F3217">
        <v>7.2</v>
      </c>
      <c r="G3217" s="2" t="s">
        <v>67</v>
      </c>
      <c r="H3217" s="2">
        <v>38.0</v>
      </c>
      <c r="I3217" s="2">
        <v>188.0</v>
      </c>
      <c r="J3217" s="37">
        <v>1097.88</v>
      </c>
      <c r="K3217" s="2">
        <v>44.0</v>
      </c>
      <c r="L3217" s="2">
        <v>312.0</v>
      </c>
      <c r="M3217" s="37">
        <v>1393.8400000000001</v>
      </c>
    </row>
    <row r="3218" ht="14.25" customHeight="1">
      <c r="A3218" t="s">
        <v>3277</v>
      </c>
      <c r="B3218" t="s">
        <v>3274</v>
      </c>
      <c r="C3218" t="s">
        <v>62</v>
      </c>
      <c r="D3218" t="s">
        <v>63</v>
      </c>
      <c r="E3218">
        <v>2.64</v>
      </c>
      <c r="F3218">
        <v>4.05</v>
      </c>
      <c r="G3218" s="2" t="s">
        <v>64</v>
      </c>
      <c r="H3218" s="2">
        <v>0.0</v>
      </c>
      <c r="I3218" s="2">
        <v>0.0</v>
      </c>
      <c r="J3218" s="37">
        <v>0.0</v>
      </c>
      <c r="K3218" s="2">
        <v>0.0</v>
      </c>
      <c r="L3218" s="2">
        <v>0.0</v>
      </c>
      <c r="M3218" s="37">
        <v>0.0</v>
      </c>
    </row>
    <row r="3219" ht="14.25" customHeight="1">
      <c r="A3219" t="s">
        <v>3278</v>
      </c>
      <c r="B3219" t="s">
        <v>3274</v>
      </c>
      <c r="C3219" t="s">
        <v>62</v>
      </c>
      <c r="D3219" t="s">
        <v>63</v>
      </c>
      <c r="E3219">
        <v>5.2</v>
      </c>
      <c r="F3219">
        <v>5.2</v>
      </c>
      <c r="G3219" s="2" t="s">
        <v>67</v>
      </c>
      <c r="H3219" s="2">
        <v>28.0</v>
      </c>
      <c r="I3219" s="2">
        <v>120.0</v>
      </c>
      <c r="J3219" s="37">
        <v>784.88</v>
      </c>
      <c r="K3219" s="2">
        <v>32.0</v>
      </c>
      <c r="L3219" s="2">
        <v>210.0</v>
      </c>
      <c r="M3219" s="37">
        <v>991.72</v>
      </c>
    </row>
    <row r="3220" ht="14.25" customHeight="1">
      <c r="A3220" t="s">
        <v>3279</v>
      </c>
      <c r="B3220" t="s">
        <v>3280</v>
      </c>
      <c r="C3220" t="s">
        <v>62</v>
      </c>
      <c r="D3220" t="s">
        <v>467</v>
      </c>
      <c r="E3220">
        <v>2.7</v>
      </c>
      <c r="F3220">
        <v>2.4</v>
      </c>
      <c r="G3220" s="2" t="s">
        <v>64</v>
      </c>
      <c r="H3220" s="2">
        <v>0.0</v>
      </c>
      <c r="I3220" s="2">
        <v>0.0</v>
      </c>
      <c r="J3220" s="37">
        <v>0.0</v>
      </c>
      <c r="K3220" s="2">
        <v>0.0</v>
      </c>
      <c r="L3220" s="2">
        <v>0.0</v>
      </c>
      <c r="M3220" s="37">
        <v>0.0</v>
      </c>
    </row>
    <row r="3221" ht="14.25" customHeight="1">
      <c r="A3221" t="s">
        <v>3281</v>
      </c>
      <c r="B3221" t="s">
        <v>3282</v>
      </c>
      <c r="C3221" t="s">
        <v>62</v>
      </c>
      <c r="D3221" t="s">
        <v>63</v>
      </c>
      <c r="E3221">
        <v>7.2</v>
      </c>
      <c r="F3221">
        <v>7.2</v>
      </c>
      <c r="G3221" s="2" t="s">
        <v>67</v>
      </c>
      <c r="H3221" s="2">
        <v>39.0</v>
      </c>
      <c r="I3221" s="2">
        <v>181.0</v>
      </c>
      <c r="J3221" s="37">
        <v>1111.24</v>
      </c>
      <c r="K3221" s="2">
        <v>45.0</v>
      </c>
      <c r="L3221" s="2">
        <v>305.0</v>
      </c>
      <c r="M3221" s="37">
        <v>1407.2</v>
      </c>
    </row>
    <row r="3222" ht="14.25" customHeight="1">
      <c r="A3222" t="s">
        <v>3283</v>
      </c>
      <c r="B3222" t="s">
        <v>3284</v>
      </c>
      <c r="C3222" t="s">
        <v>62</v>
      </c>
      <c r="D3222" t="s">
        <v>63</v>
      </c>
      <c r="E3222">
        <v>2.5</v>
      </c>
      <c r="F3222">
        <v>2.5</v>
      </c>
      <c r="G3222" s="2" t="s">
        <v>67</v>
      </c>
      <c r="H3222" s="2">
        <v>11.0</v>
      </c>
      <c r="I3222" s="2">
        <v>88.0</v>
      </c>
      <c r="J3222" s="37">
        <v>361.46000000000004</v>
      </c>
      <c r="K3222" s="2">
        <v>13.0</v>
      </c>
      <c r="L3222" s="2">
        <v>126.0</v>
      </c>
      <c r="M3222" s="37">
        <v>455.78000000000003</v>
      </c>
    </row>
    <row r="3223" ht="14.25" customHeight="1">
      <c r="A3223" t="s">
        <v>3285</v>
      </c>
      <c r="B3223" t="s">
        <v>3284</v>
      </c>
      <c r="C3223" t="s">
        <v>62</v>
      </c>
      <c r="D3223" t="s">
        <v>63</v>
      </c>
      <c r="E3223">
        <v>3.4</v>
      </c>
      <c r="F3223">
        <v>3.5</v>
      </c>
      <c r="G3223" s="2" t="s">
        <v>67</v>
      </c>
      <c r="H3223" s="2">
        <v>15.0</v>
      </c>
      <c r="I3223" s="2">
        <v>105.0</v>
      </c>
      <c r="J3223" s="37">
        <v>473.40000000000003</v>
      </c>
      <c r="K3223" s="2">
        <v>18.0</v>
      </c>
      <c r="L3223" s="2">
        <v>157.0</v>
      </c>
      <c r="M3223" s="37">
        <v>608.38</v>
      </c>
    </row>
    <row r="3224" ht="14.25" customHeight="1">
      <c r="A3224" t="s">
        <v>3286</v>
      </c>
      <c r="B3224" t="s">
        <v>3284</v>
      </c>
      <c r="C3224" t="s">
        <v>62</v>
      </c>
      <c r="D3224" t="s">
        <v>63</v>
      </c>
      <c r="E3224">
        <v>5.2</v>
      </c>
      <c r="F3224">
        <v>5.2</v>
      </c>
      <c r="G3224" s="2" t="s">
        <v>67</v>
      </c>
      <c r="H3224" s="2">
        <v>26.0</v>
      </c>
      <c r="I3224" s="2">
        <v>232.0</v>
      </c>
      <c r="J3224" s="37">
        <v>885.5600000000001</v>
      </c>
      <c r="K3224" s="2">
        <v>30.0</v>
      </c>
      <c r="L3224" s="2">
        <v>322.0</v>
      </c>
      <c r="M3224" s="37">
        <v>1092.4</v>
      </c>
    </row>
    <row r="3225" ht="14.25" customHeight="1">
      <c r="A3225" t="s">
        <v>3287</v>
      </c>
      <c r="B3225" t="s">
        <v>3284</v>
      </c>
      <c r="C3225" t="s">
        <v>62</v>
      </c>
      <c r="D3225" t="s">
        <v>63</v>
      </c>
      <c r="E3225">
        <v>7.02999999999999</v>
      </c>
      <c r="F3225">
        <v>7.03</v>
      </c>
      <c r="G3225" s="2" t="s">
        <v>67</v>
      </c>
      <c r="H3225" s="2">
        <v>30.0</v>
      </c>
      <c r="I3225" s="2">
        <v>178.0</v>
      </c>
      <c r="J3225" s="37">
        <v>905.2</v>
      </c>
      <c r="K3225" s="2">
        <v>36.0</v>
      </c>
      <c r="L3225" s="2">
        <v>299.0</v>
      </c>
      <c r="M3225" s="37">
        <v>1197.26</v>
      </c>
    </row>
    <row r="3226" ht="14.25" customHeight="1">
      <c r="A3226" t="s">
        <v>3288</v>
      </c>
      <c r="B3226" t="s">
        <v>3284</v>
      </c>
      <c r="C3226" t="s">
        <v>62</v>
      </c>
      <c r="D3226" t="s">
        <v>63</v>
      </c>
      <c r="E3226">
        <v>8.0</v>
      </c>
      <c r="F3226">
        <v>8.4</v>
      </c>
      <c r="G3226" s="2" t="s">
        <v>64</v>
      </c>
      <c r="H3226" s="2">
        <v>0.0</v>
      </c>
      <c r="I3226" s="2">
        <v>0.0</v>
      </c>
      <c r="J3226" s="37">
        <v>0.0</v>
      </c>
      <c r="K3226" s="2">
        <v>0.0</v>
      </c>
      <c r="L3226" s="2">
        <v>0.0</v>
      </c>
      <c r="M3226" s="37">
        <v>0.0</v>
      </c>
    </row>
    <row r="3227" ht="14.25" customHeight="1">
      <c r="A3227" t="s">
        <v>3289</v>
      </c>
      <c r="B3227" t="s">
        <v>3284</v>
      </c>
      <c r="C3227" t="s">
        <v>75</v>
      </c>
      <c r="D3227" t="s">
        <v>82</v>
      </c>
      <c r="E3227">
        <v>10.125</v>
      </c>
      <c r="F3227">
        <v>0.0</v>
      </c>
      <c r="G3227" s="2" t="s">
        <v>64</v>
      </c>
      <c r="H3227" s="2">
        <v>0.0</v>
      </c>
      <c r="I3227" s="2">
        <v>0.0</v>
      </c>
      <c r="J3227" s="37">
        <v>0.0</v>
      </c>
      <c r="K3227" s="2">
        <v>0.0</v>
      </c>
      <c r="L3227" s="2">
        <v>0.0</v>
      </c>
      <c r="M3227" s="37">
        <v>0.0</v>
      </c>
    </row>
    <row r="3228" ht="14.25" customHeight="1">
      <c r="A3228" t="s">
        <v>3290</v>
      </c>
      <c r="B3228" t="s">
        <v>3284</v>
      </c>
      <c r="C3228" t="s">
        <v>62</v>
      </c>
      <c r="D3228" t="s">
        <v>63</v>
      </c>
      <c r="E3228">
        <v>4.925</v>
      </c>
      <c r="F3228">
        <v>5.5</v>
      </c>
      <c r="G3228" s="2" t="s">
        <v>64</v>
      </c>
      <c r="H3228" s="2">
        <v>0.0</v>
      </c>
      <c r="I3228" s="2">
        <v>0.0</v>
      </c>
      <c r="J3228" s="37">
        <v>0.0</v>
      </c>
      <c r="K3228" s="2">
        <v>0.0</v>
      </c>
      <c r="L3228" s="2">
        <v>0.0</v>
      </c>
      <c r="M3228" s="37">
        <v>0.0</v>
      </c>
    </row>
    <row r="3229" ht="14.25" customHeight="1">
      <c r="A3229" t="s">
        <v>3291</v>
      </c>
      <c r="B3229" t="s">
        <v>3284</v>
      </c>
      <c r="C3229" t="s">
        <v>75</v>
      </c>
      <c r="D3229" t="s">
        <v>63</v>
      </c>
      <c r="E3229">
        <v>7.0</v>
      </c>
      <c r="F3229">
        <v>7.5</v>
      </c>
      <c r="G3229" s="2" t="s">
        <v>64</v>
      </c>
      <c r="H3229" s="2">
        <v>0.0</v>
      </c>
      <c r="I3229" s="2">
        <v>0.0</v>
      </c>
      <c r="J3229" s="37">
        <v>0.0</v>
      </c>
      <c r="K3229" s="2">
        <v>0.0</v>
      </c>
      <c r="L3229" s="2">
        <v>0.0</v>
      </c>
      <c r="M3229" s="37">
        <v>0.0</v>
      </c>
    </row>
    <row r="3230" ht="14.25" customHeight="1">
      <c r="A3230" t="s">
        <v>3292</v>
      </c>
      <c r="B3230" t="s">
        <v>3284</v>
      </c>
      <c r="C3230" t="s">
        <v>75</v>
      </c>
      <c r="D3230" t="s">
        <v>63</v>
      </c>
      <c r="E3230">
        <v>10.0</v>
      </c>
      <c r="F3230">
        <v>10.5</v>
      </c>
      <c r="G3230" s="2" t="s">
        <v>64</v>
      </c>
      <c r="H3230" s="2">
        <v>0.0</v>
      </c>
      <c r="I3230" s="2">
        <v>0.0</v>
      </c>
      <c r="J3230" s="37">
        <v>0.0</v>
      </c>
      <c r="K3230" s="2">
        <v>0.0</v>
      </c>
      <c r="L3230" s="2">
        <v>0.0</v>
      </c>
      <c r="M3230" s="37">
        <v>0.0</v>
      </c>
    </row>
    <row r="3231" ht="14.25" customHeight="1">
      <c r="A3231" t="s">
        <v>3293</v>
      </c>
      <c r="B3231" t="s">
        <v>3284</v>
      </c>
      <c r="C3231" t="s">
        <v>75</v>
      </c>
      <c r="D3231" t="s">
        <v>63</v>
      </c>
      <c r="E3231">
        <v>13.8</v>
      </c>
      <c r="F3231">
        <v>14.5</v>
      </c>
      <c r="G3231" s="2" t="s">
        <v>64</v>
      </c>
      <c r="H3231" s="2">
        <v>0.0</v>
      </c>
      <c r="I3231" s="2">
        <v>0.0</v>
      </c>
      <c r="J3231" s="37">
        <v>0.0</v>
      </c>
      <c r="K3231" s="2">
        <v>0.0</v>
      </c>
      <c r="L3231" s="2">
        <v>0.0</v>
      </c>
      <c r="M3231" s="37">
        <v>0.0</v>
      </c>
    </row>
    <row r="3232" ht="14.25" customHeight="1">
      <c r="A3232" t="s">
        <v>3294</v>
      </c>
      <c r="B3232" t="s">
        <v>3284</v>
      </c>
      <c r="C3232" t="s">
        <v>62</v>
      </c>
      <c r="D3232" t="s">
        <v>63</v>
      </c>
      <c r="E3232">
        <v>3.5</v>
      </c>
      <c r="F3232">
        <v>4.0</v>
      </c>
      <c r="G3232" s="2" t="s">
        <v>64</v>
      </c>
      <c r="H3232" s="2">
        <v>0.0</v>
      </c>
      <c r="I3232" s="2">
        <v>0.0</v>
      </c>
      <c r="J3232" s="37">
        <v>0.0</v>
      </c>
      <c r="K3232" s="2">
        <v>0.0</v>
      </c>
      <c r="L3232" s="2">
        <v>0.0</v>
      </c>
      <c r="M3232" s="37">
        <v>0.0</v>
      </c>
    </row>
    <row r="3233" ht="14.25" customHeight="1">
      <c r="A3233" t="s">
        <v>3295</v>
      </c>
      <c r="B3233" t="s">
        <v>3284</v>
      </c>
      <c r="C3233" t="s">
        <v>62</v>
      </c>
      <c r="D3233" t="s">
        <v>63</v>
      </c>
      <c r="E3233">
        <v>5.2</v>
      </c>
      <c r="F3233">
        <v>5.2</v>
      </c>
      <c r="G3233" s="2" t="s">
        <v>67</v>
      </c>
      <c r="H3233" s="2">
        <v>29.0</v>
      </c>
      <c r="I3233" s="2">
        <v>187.0</v>
      </c>
      <c r="J3233" s="37">
        <v>894.44</v>
      </c>
      <c r="K3233" s="2">
        <v>33.0</v>
      </c>
      <c r="L3233" s="2">
        <v>277.0</v>
      </c>
      <c r="M3233" s="37">
        <v>1101.2800000000002</v>
      </c>
    </row>
    <row r="3234" ht="14.25" customHeight="1">
      <c r="A3234" t="s">
        <v>3296</v>
      </c>
      <c r="B3234" t="s">
        <v>3284</v>
      </c>
      <c r="C3234" t="s">
        <v>62</v>
      </c>
      <c r="D3234" t="s">
        <v>63</v>
      </c>
      <c r="E3234">
        <v>7.04</v>
      </c>
      <c r="F3234">
        <v>8.2</v>
      </c>
      <c r="G3234" s="2" t="s">
        <v>64</v>
      </c>
      <c r="H3234" s="2">
        <v>0.0</v>
      </c>
      <c r="I3234" s="2">
        <v>0.0</v>
      </c>
      <c r="J3234" s="37">
        <v>0.0</v>
      </c>
      <c r="K3234" s="2">
        <v>0.0</v>
      </c>
      <c r="L3234" s="2">
        <v>0.0</v>
      </c>
      <c r="M3234" s="37">
        <v>0.0</v>
      </c>
    </row>
    <row r="3235" ht="14.25" customHeight="1">
      <c r="A3235" t="s">
        <v>3297</v>
      </c>
      <c r="B3235" t="s">
        <v>3284</v>
      </c>
      <c r="C3235" t="s">
        <v>62</v>
      </c>
      <c r="D3235" t="s">
        <v>63</v>
      </c>
      <c r="E3235">
        <v>2.64</v>
      </c>
      <c r="F3235">
        <v>2.9</v>
      </c>
      <c r="G3235" s="2" t="s">
        <v>67</v>
      </c>
      <c r="H3235" s="2">
        <v>14.0</v>
      </c>
      <c r="I3235" s="2">
        <v>107.0</v>
      </c>
      <c r="J3235" s="37">
        <v>453.53999999999996</v>
      </c>
      <c r="K3235" s="2">
        <v>16.0</v>
      </c>
      <c r="L3235" s="2">
        <v>147.0</v>
      </c>
      <c r="M3235" s="37">
        <v>550.46</v>
      </c>
    </row>
    <row r="3236" ht="14.25" customHeight="1">
      <c r="A3236" t="s">
        <v>3298</v>
      </c>
      <c r="B3236" t="s">
        <v>3299</v>
      </c>
      <c r="C3236" t="s">
        <v>62</v>
      </c>
      <c r="D3236" t="s">
        <v>63</v>
      </c>
      <c r="E3236">
        <v>2.0</v>
      </c>
      <c r="F3236">
        <v>2.25</v>
      </c>
      <c r="G3236" s="2" t="s">
        <v>67</v>
      </c>
      <c r="H3236" s="2">
        <v>12.0</v>
      </c>
      <c r="I3236" s="2">
        <v>65.0</v>
      </c>
      <c r="J3236" s="37">
        <v>354.02</v>
      </c>
      <c r="K3236" s="2">
        <v>13.0</v>
      </c>
      <c r="L3236" s="2">
        <v>95.0</v>
      </c>
      <c r="M3236" s="37">
        <v>415.48</v>
      </c>
    </row>
    <row r="3237" ht="14.25" customHeight="1">
      <c r="A3237" t="s">
        <v>3300</v>
      </c>
      <c r="B3237" t="s">
        <v>3299</v>
      </c>
      <c r="C3237" t="s">
        <v>62</v>
      </c>
      <c r="D3237" t="s">
        <v>63</v>
      </c>
      <c r="E3237">
        <v>8.0</v>
      </c>
      <c r="F3237">
        <v>8.5</v>
      </c>
      <c r="G3237" s="2" t="s">
        <v>64</v>
      </c>
      <c r="H3237" s="2">
        <v>0.0</v>
      </c>
      <c r="I3237" s="2">
        <v>0.0</v>
      </c>
      <c r="J3237" s="37">
        <v>0.0</v>
      </c>
      <c r="K3237" s="2">
        <v>0.0</v>
      </c>
      <c r="L3237" s="2">
        <v>0.0</v>
      </c>
      <c r="M3237" s="37">
        <v>0.0</v>
      </c>
    </row>
    <row r="3238" ht="14.25" customHeight="1">
      <c r="A3238" t="s">
        <v>3301</v>
      </c>
      <c r="B3238" t="s">
        <v>3299</v>
      </c>
      <c r="C3238" t="s">
        <v>62</v>
      </c>
      <c r="D3238" t="s">
        <v>63</v>
      </c>
      <c r="E3238">
        <v>3.55</v>
      </c>
      <c r="F3238">
        <v>4.0</v>
      </c>
      <c r="G3238" s="2" t="s">
        <v>67</v>
      </c>
      <c r="H3238" s="2">
        <v>19.0</v>
      </c>
      <c r="I3238" s="2">
        <v>84.0</v>
      </c>
      <c r="J3238" s="37">
        <v>535.94</v>
      </c>
      <c r="K3238" s="2">
        <v>21.0</v>
      </c>
      <c r="L3238" s="2">
        <v>137.0</v>
      </c>
      <c r="M3238" s="37">
        <v>649.76</v>
      </c>
    </row>
    <row r="3239" ht="14.25" customHeight="1">
      <c r="A3239" t="s">
        <v>3302</v>
      </c>
      <c r="B3239" t="s">
        <v>3299</v>
      </c>
      <c r="C3239" t="s">
        <v>62</v>
      </c>
      <c r="D3239" t="s">
        <v>63</v>
      </c>
      <c r="E3239">
        <v>5.0</v>
      </c>
      <c r="F3239">
        <v>5.2</v>
      </c>
      <c r="G3239" s="2" t="s">
        <v>67</v>
      </c>
      <c r="H3239" s="2">
        <v>27.0</v>
      </c>
      <c r="I3239" s="2">
        <v>141.0</v>
      </c>
      <c r="J3239" s="37">
        <v>789.72</v>
      </c>
      <c r="K3239" s="2">
        <v>31.0</v>
      </c>
      <c r="L3239" s="2">
        <v>227.0</v>
      </c>
      <c r="M3239" s="37">
        <v>991.36</v>
      </c>
    </row>
    <row r="3240" ht="14.25" customHeight="1">
      <c r="A3240" t="s">
        <v>3303</v>
      </c>
      <c r="B3240" t="s">
        <v>3299</v>
      </c>
      <c r="C3240" t="s">
        <v>62</v>
      </c>
      <c r="D3240" t="s">
        <v>63</v>
      </c>
      <c r="E3240">
        <v>6.0</v>
      </c>
      <c r="F3240">
        <v>6.2</v>
      </c>
      <c r="G3240" s="2" t="s">
        <v>64</v>
      </c>
      <c r="H3240" s="2">
        <v>0.0</v>
      </c>
      <c r="I3240" s="2">
        <v>0.0</v>
      </c>
      <c r="J3240" s="37">
        <v>0.0</v>
      </c>
      <c r="K3240" s="2">
        <v>0.0</v>
      </c>
      <c r="L3240" s="2">
        <v>0.0</v>
      </c>
      <c r="M3240" s="37">
        <v>0.0</v>
      </c>
    </row>
    <row r="3241" ht="14.25" customHeight="1">
      <c r="A3241" t="s">
        <v>3304</v>
      </c>
      <c r="B3241" t="s">
        <v>3299</v>
      </c>
      <c r="C3241" t="s">
        <v>62</v>
      </c>
      <c r="D3241" t="s">
        <v>63</v>
      </c>
      <c r="E3241">
        <v>7.0</v>
      </c>
      <c r="F3241">
        <v>7.5</v>
      </c>
      <c r="G3241" s="2" t="s">
        <v>64</v>
      </c>
      <c r="H3241" s="2">
        <v>0.0</v>
      </c>
      <c r="I3241" s="2">
        <v>0.0</v>
      </c>
      <c r="J3241" s="37">
        <v>0.0</v>
      </c>
      <c r="K3241" s="2">
        <v>0.0</v>
      </c>
      <c r="L3241" s="2">
        <v>0.0</v>
      </c>
      <c r="M3241" s="37">
        <v>0.0</v>
      </c>
    </row>
    <row r="3242" ht="14.25" customHeight="1">
      <c r="A3242" t="s">
        <v>3305</v>
      </c>
      <c r="B3242" t="s">
        <v>3299</v>
      </c>
      <c r="C3242" t="s">
        <v>62</v>
      </c>
      <c r="D3242" t="s">
        <v>63</v>
      </c>
      <c r="E3242">
        <v>2.65</v>
      </c>
      <c r="F3242">
        <v>2.7</v>
      </c>
      <c r="G3242" s="2" t="s">
        <v>67</v>
      </c>
      <c r="H3242" s="2">
        <v>15.0</v>
      </c>
      <c r="I3242" s="2">
        <v>108.0</v>
      </c>
      <c r="J3242" s="37">
        <v>477.30000000000007</v>
      </c>
      <c r="K3242" s="2">
        <v>17.0</v>
      </c>
      <c r="L3242" s="2">
        <v>149.0</v>
      </c>
      <c r="M3242" s="37">
        <v>575.52</v>
      </c>
    </row>
    <row r="3243" ht="14.25" customHeight="1">
      <c r="A3243" t="s">
        <v>3306</v>
      </c>
      <c r="B3243" t="s">
        <v>3284</v>
      </c>
      <c r="C3243" t="s">
        <v>62</v>
      </c>
      <c r="D3243" t="s">
        <v>63</v>
      </c>
      <c r="E3243">
        <v>2.64</v>
      </c>
      <c r="F3243">
        <v>2.9</v>
      </c>
      <c r="G3243" s="2" t="s">
        <v>67</v>
      </c>
      <c r="H3243" s="2">
        <v>14.0</v>
      </c>
      <c r="I3243" s="2">
        <v>107.0</v>
      </c>
      <c r="J3243" s="37">
        <v>453.53999999999996</v>
      </c>
      <c r="K3243" s="2">
        <v>16.0</v>
      </c>
      <c r="L3243" s="2">
        <v>147.0</v>
      </c>
      <c r="M3243" s="37">
        <v>550.46</v>
      </c>
    </row>
    <row r="3244" ht="14.25" customHeight="1">
      <c r="A3244" t="s">
        <v>3307</v>
      </c>
      <c r="B3244" t="s">
        <v>3284</v>
      </c>
      <c r="C3244" t="s">
        <v>62</v>
      </c>
      <c r="D3244" t="s">
        <v>63</v>
      </c>
      <c r="E3244">
        <v>3.5</v>
      </c>
      <c r="F3244">
        <v>4.0</v>
      </c>
      <c r="G3244" s="2" t="s">
        <v>64</v>
      </c>
      <c r="H3244" s="2">
        <v>0.0</v>
      </c>
      <c r="I3244" s="2">
        <v>0.0</v>
      </c>
      <c r="J3244" s="37">
        <v>0.0</v>
      </c>
      <c r="K3244" s="2">
        <v>0.0</v>
      </c>
      <c r="L3244" s="2">
        <v>0.0</v>
      </c>
      <c r="M3244" s="37">
        <v>0.0</v>
      </c>
    </row>
    <row r="3245" ht="14.25" customHeight="1">
      <c r="A3245" t="s">
        <v>3308</v>
      </c>
      <c r="B3245" t="s">
        <v>3284</v>
      </c>
      <c r="C3245" t="s">
        <v>62</v>
      </c>
      <c r="D3245" t="s">
        <v>63</v>
      </c>
      <c r="E3245">
        <v>5.2</v>
      </c>
      <c r="F3245">
        <v>5.2</v>
      </c>
      <c r="G3245" s="2" t="s">
        <v>67</v>
      </c>
      <c r="H3245" s="2">
        <v>29.0</v>
      </c>
      <c r="I3245" s="2">
        <v>187.0</v>
      </c>
      <c r="J3245" s="37">
        <v>894.44</v>
      </c>
      <c r="K3245" s="2">
        <v>33.0</v>
      </c>
      <c r="L3245" s="2">
        <v>277.0</v>
      </c>
      <c r="M3245" s="37">
        <v>1101.2800000000002</v>
      </c>
    </row>
    <row r="3246" ht="14.25" customHeight="1">
      <c r="A3246" t="s">
        <v>3309</v>
      </c>
      <c r="B3246" t="s">
        <v>3284</v>
      </c>
      <c r="C3246" t="s">
        <v>62</v>
      </c>
      <c r="D3246" t="s">
        <v>63</v>
      </c>
      <c r="E3246">
        <v>7.04</v>
      </c>
      <c r="F3246">
        <v>8.2</v>
      </c>
      <c r="G3246" s="2" t="s">
        <v>64</v>
      </c>
      <c r="H3246" s="2">
        <v>0.0</v>
      </c>
      <c r="I3246" s="2">
        <v>0.0</v>
      </c>
      <c r="J3246" s="37">
        <v>0.0</v>
      </c>
      <c r="K3246" s="2">
        <v>0.0</v>
      </c>
      <c r="L3246" s="2">
        <v>0.0</v>
      </c>
      <c r="M3246" s="37">
        <v>0.0</v>
      </c>
    </row>
    <row r="3247" ht="14.25" customHeight="1">
      <c r="A3247" t="s">
        <v>3310</v>
      </c>
      <c r="B3247" t="s">
        <v>3284</v>
      </c>
      <c r="C3247" t="s">
        <v>62</v>
      </c>
      <c r="D3247" t="s">
        <v>63</v>
      </c>
      <c r="E3247">
        <v>8.0</v>
      </c>
      <c r="F3247">
        <v>8.4</v>
      </c>
      <c r="G3247" s="2" t="s">
        <v>64</v>
      </c>
      <c r="H3247" s="2">
        <v>0.0</v>
      </c>
      <c r="I3247" s="2">
        <v>0.0</v>
      </c>
      <c r="J3247" s="37">
        <v>0.0</v>
      </c>
      <c r="K3247" s="2">
        <v>0.0</v>
      </c>
      <c r="L3247" s="2">
        <v>0.0</v>
      </c>
      <c r="M3247" s="37">
        <v>0.0</v>
      </c>
    </row>
    <row r="3248" ht="14.25" customHeight="1">
      <c r="A3248" t="s">
        <v>3311</v>
      </c>
      <c r="B3248" t="s">
        <v>3299</v>
      </c>
      <c r="C3248" t="s">
        <v>75</v>
      </c>
      <c r="D3248" t="s">
        <v>63</v>
      </c>
      <c r="E3248">
        <v>17.0</v>
      </c>
      <c r="F3248">
        <v>17.5</v>
      </c>
      <c r="G3248" s="2" t="s">
        <v>67</v>
      </c>
      <c r="H3248" s="2">
        <v>90.0</v>
      </c>
      <c r="I3248" s="2">
        <v>184.0</v>
      </c>
      <c r="J3248" s="37">
        <v>2260.6</v>
      </c>
      <c r="K3248" s="2">
        <v>106.0</v>
      </c>
      <c r="L3248" s="2">
        <v>513.0</v>
      </c>
      <c r="M3248" s="37">
        <v>3047.6600000000003</v>
      </c>
    </row>
    <row r="3249" ht="14.25" customHeight="1">
      <c r="A3249" t="s">
        <v>3312</v>
      </c>
      <c r="B3249" t="s">
        <v>3299</v>
      </c>
      <c r="C3249" t="s">
        <v>75</v>
      </c>
      <c r="D3249" t="s">
        <v>63</v>
      </c>
      <c r="E3249">
        <v>17.0</v>
      </c>
      <c r="F3249">
        <v>17.5</v>
      </c>
      <c r="G3249" s="2" t="s">
        <v>67</v>
      </c>
      <c r="H3249" s="2">
        <v>90.0</v>
      </c>
      <c r="I3249" s="2">
        <v>184.0</v>
      </c>
      <c r="J3249" s="37">
        <v>2260.6</v>
      </c>
      <c r="K3249" s="2">
        <v>106.0</v>
      </c>
      <c r="L3249" s="2">
        <v>513.0</v>
      </c>
      <c r="M3249" s="37">
        <v>3047.6600000000003</v>
      </c>
    </row>
    <row r="3250" ht="14.25" customHeight="1">
      <c r="A3250" t="s">
        <v>3313</v>
      </c>
      <c r="B3250" t="s">
        <v>3299</v>
      </c>
      <c r="C3250" t="s">
        <v>75</v>
      </c>
      <c r="D3250" t="s">
        <v>63</v>
      </c>
      <c r="E3250">
        <v>17.0</v>
      </c>
      <c r="F3250">
        <v>17.5</v>
      </c>
      <c r="G3250" s="2" t="s">
        <v>67</v>
      </c>
      <c r="H3250" s="2">
        <v>90.0</v>
      </c>
      <c r="I3250" s="2">
        <v>184.0</v>
      </c>
      <c r="J3250" s="37">
        <v>2260.6</v>
      </c>
      <c r="K3250" s="2">
        <v>106.0</v>
      </c>
      <c r="L3250" s="2">
        <v>513.0</v>
      </c>
      <c r="M3250" s="37">
        <v>3047.6600000000003</v>
      </c>
    </row>
    <row r="3251" ht="14.25" customHeight="1">
      <c r="A3251" t="s">
        <v>3314</v>
      </c>
      <c r="B3251" t="s">
        <v>3299</v>
      </c>
      <c r="C3251" t="s">
        <v>75</v>
      </c>
      <c r="D3251" t="s">
        <v>63</v>
      </c>
      <c r="E3251">
        <v>7.3</v>
      </c>
      <c r="F3251">
        <v>7.5</v>
      </c>
      <c r="G3251" s="2" t="s">
        <v>67</v>
      </c>
      <c r="H3251" s="2">
        <v>46.0</v>
      </c>
      <c r="I3251" s="2">
        <v>142.0</v>
      </c>
      <c r="J3251" s="37">
        <v>1217.76</v>
      </c>
      <c r="K3251" s="2">
        <v>53.0</v>
      </c>
      <c r="L3251" s="2">
        <v>284.0</v>
      </c>
      <c r="M3251" s="37">
        <v>1559.5800000000002</v>
      </c>
    </row>
    <row r="3252" ht="14.25" customHeight="1">
      <c r="A3252" t="s">
        <v>3315</v>
      </c>
      <c r="B3252" t="s">
        <v>3299</v>
      </c>
      <c r="C3252" t="s">
        <v>75</v>
      </c>
      <c r="D3252" t="s">
        <v>63</v>
      </c>
      <c r="E3252">
        <v>9.0</v>
      </c>
      <c r="F3252">
        <v>10.0</v>
      </c>
      <c r="G3252" s="2" t="s">
        <v>67</v>
      </c>
      <c r="H3252" s="2">
        <v>60.0</v>
      </c>
      <c r="I3252" s="2">
        <v>198.0</v>
      </c>
      <c r="J3252" s="37">
        <v>1605.0000000000002</v>
      </c>
      <c r="K3252" s="2">
        <v>69.0</v>
      </c>
      <c r="L3252" s="2">
        <v>372.0</v>
      </c>
      <c r="M3252" s="37">
        <v>2033.3400000000001</v>
      </c>
    </row>
    <row r="3253" ht="14.25" customHeight="1">
      <c r="A3253" t="s">
        <v>3316</v>
      </c>
      <c r="B3253" t="s">
        <v>3299</v>
      </c>
      <c r="C3253" t="s">
        <v>75</v>
      </c>
      <c r="D3253" t="s">
        <v>63</v>
      </c>
      <c r="E3253">
        <v>10.5</v>
      </c>
      <c r="F3253">
        <v>11.5</v>
      </c>
      <c r="G3253" s="2" t="s">
        <v>67</v>
      </c>
      <c r="H3253" s="2">
        <v>67.0</v>
      </c>
      <c r="I3253" s="2">
        <v>160.0</v>
      </c>
      <c r="J3253" s="37">
        <v>1712.8200000000002</v>
      </c>
      <c r="K3253" s="2">
        <v>77.0</v>
      </c>
      <c r="L3253" s="2">
        <v>364.0</v>
      </c>
      <c r="M3253" s="37">
        <v>2202.62</v>
      </c>
    </row>
    <row r="3254" ht="14.25" customHeight="1">
      <c r="A3254" t="s">
        <v>3317</v>
      </c>
      <c r="B3254" t="s">
        <v>3299</v>
      </c>
      <c r="C3254" t="s">
        <v>75</v>
      </c>
      <c r="D3254" t="s">
        <v>63</v>
      </c>
      <c r="E3254">
        <v>12.5</v>
      </c>
      <c r="F3254">
        <v>13.0</v>
      </c>
      <c r="G3254" s="2" t="s">
        <v>67</v>
      </c>
      <c r="H3254" s="2">
        <v>79.0</v>
      </c>
      <c r="I3254" s="2">
        <v>298.0</v>
      </c>
      <c r="J3254" s="37">
        <v>2161.7400000000002</v>
      </c>
      <c r="K3254" s="2">
        <v>90.0</v>
      </c>
      <c r="L3254" s="2">
        <v>540.0</v>
      </c>
      <c r="M3254" s="37">
        <v>2723.4</v>
      </c>
    </row>
    <row r="3255" ht="14.25" customHeight="1">
      <c r="A3255" t="s">
        <v>3318</v>
      </c>
      <c r="B3255" t="s">
        <v>3299</v>
      </c>
      <c r="C3255" t="s">
        <v>75</v>
      </c>
      <c r="D3255" t="s">
        <v>63</v>
      </c>
      <c r="E3255">
        <v>14.0</v>
      </c>
      <c r="F3255">
        <v>14.5</v>
      </c>
      <c r="G3255" s="2" t="s">
        <v>67</v>
      </c>
      <c r="H3255" s="2">
        <v>85.0</v>
      </c>
      <c r="I3255" s="2">
        <v>177.0</v>
      </c>
      <c r="J3255" s="37">
        <v>2139.2000000000003</v>
      </c>
      <c r="K3255" s="2">
        <v>98.0</v>
      </c>
      <c r="L3255" s="2">
        <v>448.0</v>
      </c>
      <c r="M3255" s="37">
        <v>2783.48</v>
      </c>
    </row>
    <row r="3256" ht="14.25" customHeight="1">
      <c r="A3256" t="s">
        <v>3319</v>
      </c>
      <c r="B3256" t="s">
        <v>3299</v>
      </c>
      <c r="C3256" t="s">
        <v>75</v>
      </c>
      <c r="D3256" t="s">
        <v>63</v>
      </c>
      <c r="E3256">
        <v>17.0</v>
      </c>
      <c r="F3256">
        <v>18.0</v>
      </c>
      <c r="G3256" s="2" t="s">
        <v>67</v>
      </c>
      <c r="H3256" s="2">
        <v>101.0</v>
      </c>
      <c r="I3256" s="2">
        <v>131.0</v>
      </c>
      <c r="J3256" s="37">
        <v>2438.76</v>
      </c>
      <c r="K3256" s="2">
        <v>117.0</v>
      </c>
      <c r="L3256" s="2">
        <v>460.0</v>
      </c>
      <c r="M3256" s="37">
        <v>3225.82</v>
      </c>
    </row>
    <row r="3257" ht="14.25" customHeight="1">
      <c r="A3257" t="s">
        <v>3320</v>
      </c>
      <c r="B3257" t="s">
        <v>3299</v>
      </c>
      <c r="C3257" t="s">
        <v>62</v>
      </c>
      <c r="D3257" t="s">
        <v>63</v>
      </c>
      <c r="E3257">
        <v>2.65</v>
      </c>
      <c r="F3257">
        <v>2.7</v>
      </c>
      <c r="G3257" s="2" t="s">
        <v>67</v>
      </c>
      <c r="H3257" s="2">
        <v>15.0</v>
      </c>
      <c r="I3257" s="2">
        <v>108.0</v>
      </c>
      <c r="J3257" s="37">
        <v>477.30000000000007</v>
      </c>
      <c r="K3257" s="2">
        <v>17.0</v>
      </c>
      <c r="L3257" s="2">
        <v>149.0</v>
      </c>
      <c r="M3257" s="37">
        <v>575.52</v>
      </c>
    </row>
    <row r="3258" ht="14.25" customHeight="1">
      <c r="A3258" t="s">
        <v>3321</v>
      </c>
      <c r="B3258" t="s">
        <v>3299</v>
      </c>
      <c r="C3258" t="s">
        <v>62</v>
      </c>
      <c r="D3258" t="s">
        <v>63</v>
      </c>
      <c r="E3258">
        <v>3.5</v>
      </c>
      <c r="F3258">
        <v>3.8</v>
      </c>
      <c r="G3258" s="2" t="s">
        <v>67</v>
      </c>
      <c r="H3258" s="2">
        <v>20.0</v>
      </c>
      <c r="I3258" s="2">
        <v>93.0</v>
      </c>
      <c r="J3258" s="37">
        <v>570.1</v>
      </c>
      <c r="K3258" s="2">
        <v>22.0</v>
      </c>
      <c r="L3258" s="2">
        <v>146.0</v>
      </c>
      <c r="M3258" s="37">
        <v>683.9200000000001</v>
      </c>
    </row>
    <row r="3259" ht="14.25" customHeight="1">
      <c r="A3259" t="s">
        <v>3322</v>
      </c>
      <c r="B3259" t="s">
        <v>3299</v>
      </c>
      <c r="C3259" t="s">
        <v>62</v>
      </c>
      <c r="D3259" t="s">
        <v>63</v>
      </c>
      <c r="E3259">
        <v>5.0</v>
      </c>
      <c r="F3259">
        <v>5.4</v>
      </c>
      <c r="G3259" s="2" t="s">
        <v>67</v>
      </c>
      <c r="H3259" s="2">
        <v>29.0</v>
      </c>
      <c r="I3259" s="2">
        <v>152.0</v>
      </c>
      <c r="J3259" s="37">
        <v>848.94</v>
      </c>
      <c r="K3259" s="2">
        <v>33.0</v>
      </c>
      <c r="L3259" s="2">
        <v>239.0</v>
      </c>
      <c r="M3259" s="37">
        <v>1051.88</v>
      </c>
    </row>
    <row r="3260" ht="14.25" customHeight="1">
      <c r="A3260" t="s">
        <v>3323</v>
      </c>
      <c r="B3260" t="s">
        <v>3299</v>
      </c>
      <c r="C3260" t="s">
        <v>62</v>
      </c>
      <c r="D3260" t="s">
        <v>63</v>
      </c>
      <c r="E3260">
        <v>6.0</v>
      </c>
      <c r="F3260">
        <v>6.5</v>
      </c>
      <c r="G3260" s="2" t="s">
        <v>64</v>
      </c>
      <c r="H3260" s="2">
        <v>0.0</v>
      </c>
      <c r="I3260" s="2">
        <v>0.0</v>
      </c>
      <c r="J3260" s="37">
        <v>0.0</v>
      </c>
      <c r="K3260" s="2">
        <v>0.0</v>
      </c>
      <c r="L3260" s="2">
        <v>0.0</v>
      </c>
      <c r="M3260" s="37">
        <v>0.0</v>
      </c>
    </row>
    <row r="3261" ht="14.25" customHeight="1">
      <c r="A3261" t="s">
        <v>3324</v>
      </c>
      <c r="B3261" t="s">
        <v>3299</v>
      </c>
      <c r="C3261" t="s">
        <v>62</v>
      </c>
      <c r="D3261" t="s">
        <v>63</v>
      </c>
      <c r="E3261">
        <v>7.15</v>
      </c>
      <c r="F3261">
        <v>7.8</v>
      </c>
      <c r="G3261" s="2" t="s">
        <v>67</v>
      </c>
      <c r="H3261" s="2">
        <v>42.0</v>
      </c>
      <c r="I3261" s="2">
        <v>168.0</v>
      </c>
      <c r="J3261" s="37">
        <v>1161.72</v>
      </c>
      <c r="K3261" s="2">
        <v>48.0</v>
      </c>
      <c r="L3261" s="2">
        <v>291.0</v>
      </c>
      <c r="M3261" s="37">
        <v>1456.3799999999999</v>
      </c>
    </row>
    <row r="3262" ht="14.25" customHeight="1">
      <c r="A3262" t="s">
        <v>3325</v>
      </c>
      <c r="B3262" t="s">
        <v>3299</v>
      </c>
      <c r="C3262" t="s">
        <v>62</v>
      </c>
      <c r="D3262" t="s">
        <v>63</v>
      </c>
      <c r="E3262">
        <v>7.8</v>
      </c>
      <c r="F3262">
        <v>8.3</v>
      </c>
      <c r="G3262" s="2" t="s">
        <v>67</v>
      </c>
      <c r="H3262" s="2">
        <v>44.0</v>
      </c>
      <c r="I3262" s="2">
        <v>124.0</v>
      </c>
      <c r="J3262" s="37">
        <v>1149.44</v>
      </c>
      <c r="K3262" s="2">
        <v>50.0</v>
      </c>
      <c r="L3262" s="2">
        <v>259.0</v>
      </c>
      <c r="M3262" s="37">
        <v>1459.7</v>
      </c>
    </row>
    <row r="3263" ht="14.25" customHeight="1">
      <c r="A3263" t="s">
        <v>3326</v>
      </c>
      <c r="B3263" t="s">
        <v>3284</v>
      </c>
      <c r="C3263" t="s">
        <v>75</v>
      </c>
      <c r="D3263" t="s">
        <v>63</v>
      </c>
      <c r="E3263">
        <v>7.0</v>
      </c>
      <c r="F3263">
        <v>8.0</v>
      </c>
      <c r="G3263" s="2" t="s">
        <v>64</v>
      </c>
      <c r="H3263" s="2">
        <v>0.0</v>
      </c>
      <c r="I3263" s="2">
        <v>0.0</v>
      </c>
      <c r="J3263" s="37">
        <v>0.0</v>
      </c>
      <c r="K3263" s="2">
        <v>0.0</v>
      </c>
      <c r="L3263" s="2">
        <v>0.0</v>
      </c>
      <c r="M3263" s="37">
        <v>0.0</v>
      </c>
    </row>
    <row r="3264" ht="14.25" customHeight="1">
      <c r="A3264" t="s">
        <v>3327</v>
      </c>
      <c r="B3264" t="s">
        <v>3284</v>
      </c>
      <c r="C3264" t="s">
        <v>75</v>
      </c>
      <c r="D3264" t="s">
        <v>63</v>
      </c>
      <c r="E3264">
        <v>10.5</v>
      </c>
      <c r="F3264">
        <v>10.5</v>
      </c>
      <c r="G3264" s="2" t="s">
        <v>67</v>
      </c>
      <c r="H3264" s="2">
        <v>58.0</v>
      </c>
      <c r="I3264" s="2">
        <v>116.0</v>
      </c>
      <c r="J3264" s="37">
        <v>1453.48</v>
      </c>
      <c r="K3264" s="2">
        <v>67.0</v>
      </c>
      <c r="L3264" s="2">
        <v>319.0</v>
      </c>
      <c r="M3264" s="37">
        <v>1919.5200000000002</v>
      </c>
    </row>
    <row r="3265" ht="14.25" customHeight="1">
      <c r="A3265" t="s">
        <v>3328</v>
      </c>
      <c r="B3265" t="s">
        <v>3284</v>
      </c>
      <c r="C3265" t="s">
        <v>75</v>
      </c>
      <c r="D3265" t="s">
        <v>63</v>
      </c>
      <c r="E3265">
        <v>13.0</v>
      </c>
      <c r="F3265">
        <v>15.0</v>
      </c>
      <c r="G3265" s="2" t="s">
        <v>67</v>
      </c>
      <c r="H3265" s="2">
        <v>85.0</v>
      </c>
      <c r="I3265" s="2">
        <v>229.0</v>
      </c>
      <c r="J3265" s="37">
        <v>2206.8</v>
      </c>
      <c r="K3265" s="2">
        <v>98.0</v>
      </c>
      <c r="L3265" s="2">
        <v>480.0</v>
      </c>
      <c r="M3265" s="37">
        <v>2825.08</v>
      </c>
    </row>
    <row r="3266" ht="14.25" customHeight="1">
      <c r="A3266" t="s">
        <v>3329</v>
      </c>
      <c r="B3266" t="s">
        <v>3284</v>
      </c>
      <c r="C3266" t="s">
        <v>75</v>
      </c>
      <c r="D3266" t="s">
        <v>63</v>
      </c>
      <c r="E3266">
        <v>14.5</v>
      </c>
      <c r="F3266">
        <v>17.0</v>
      </c>
      <c r="G3266" s="2" t="s">
        <v>64</v>
      </c>
      <c r="H3266" s="2">
        <v>0.0</v>
      </c>
      <c r="I3266" s="2">
        <v>0.0</v>
      </c>
      <c r="J3266" s="37">
        <v>0.0</v>
      </c>
      <c r="K3266" s="2">
        <v>0.0</v>
      </c>
      <c r="L3266" s="2">
        <v>0.0</v>
      </c>
      <c r="M3266" s="37">
        <v>0.0</v>
      </c>
    </row>
    <row r="3267" ht="14.25" customHeight="1">
      <c r="A3267" t="s">
        <v>3316</v>
      </c>
      <c r="B3267" t="s">
        <v>3299</v>
      </c>
      <c r="C3267" t="s">
        <v>75</v>
      </c>
      <c r="D3267" t="s">
        <v>63</v>
      </c>
      <c r="E3267">
        <v>10.5</v>
      </c>
      <c r="F3267">
        <v>11.5</v>
      </c>
      <c r="G3267" s="2" t="s">
        <v>67</v>
      </c>
      <c r="H3267" s="2">
        <v>67.0</v>
      </c>
      <c r="I3267" s="2">
        <v>160.0</v>
      </c>
      <c r="J3267" s="37">
        <v>1712.8200000000002</v>
      </c>
      <c r="K3267" s="2">
        <v>77.0</v>
      </c>
      <c r="L3267" s="2">
        <v>364.0</v>
      </c>
      <c r="M3267" s="37">
        <v>2202.62</v>
      </c>
    </row>
    <row r="3268" ht="14.25" customHeight="1">
      <c r="A3268" t="s">
        <v>3319</v>
      </c>
      <c r="B3268" t="s">
        <v>3299</v>
      </c>
      <c r="C3268" t="s">
        <v>75</v>
      </c>
      <c r="D3268" t="s">
        <v>63</v>
      </c>
      <c r="E3268">
        <v>17.0</v>
      </c>
      <c r="F3268">
        <v>18.0</v>
      </c>
      <c r="G3268" s="2" t="s">
        <v>67</v>
      </c>
      <c r="H3268" s="2">
        <v>101.0</v>
      </c>
      <c r="I3268" s="2">
        <v>131.0</v>
      </c>
      <c r="J3268" s="37">
        <v>2438.76</v>
      </c>
      <c r="K3268" s="2">
        <v>117.0</v>
      </c>
      <c r="L3268" s="2">
        <v>460.0</v>
      </c>
      <c r="M3268" s="37">
        <v>3225.82</v>
      </c>
    </row>
    <row r="3269" ht="14.25" customHeight="1">
      <c r="A3269" t="s">
        <v>3314</v>
      </c>
      <c r="B3269" t="s">
        <v>3299</v>
      </c>
      <c r="C3269" t="s">
        <v>75</v>
      </c>
      <c r="D3269" t="s">
        <v>63</v>
      </c>
      <c r="E3269">
        <v>7.3</v>
      </c>
      <c r="F3269">
        <v>7.5</v>
      </c>
      <c r="G3269" s="2" t="s">
        <v>67</v>
      </c>
      <c r="H3269" s="2">
        <v>46.0</v>
      </c>
      <c r="I3269" s="2">
        <v>142.0</v>
      </c>
      <c r="J3269" s="37">
        <v>1217.76</v>
      </c>
      <c r="K3269" s="2">
        <v>53.0</v>
      </c>
      <c r="L3269" s="2">
        <v>284.0</v>
      </c>
      <c r="M3269" s="37">
        <v>1559.5800000000002</v>
      </c>
    </row>
    <row r="3270" ht="14.25" customHeight="1">
      <c r="A3270" t="s">
        <v>3315</v>
      </c>
      <c r="B3270" t="s">
        <v>3299</v>
      </c>
      <c r="C3270" t="s">
        <v>75</v>
      </c>
      <c r="D3270" t="s">
        <v>63</v>
      </c>
      <c r="E3270">
        <v>9.0</v>
      </c>
      <c r="F3270">
        <v>10.0</v>
      </c>
      <c r="G3270" s="2" t="s">
        <v>67</v>
      </c>
      <c r="H3270" s="2">
        <v>60.0</v>
      </c>
      <c r="I3270" s="2">
        <v>198.0</v>
      </c>
      <c r="J3270" s="37">
        <v>1605.0000000000002</v>
      </c>
      <c r="K3270" s="2">
        <v>69.0</v>
      </c>
      <c r="L3270" s="2">
        <v>372.0</v>
      </c>
      <c r="M3270" s="37">
        <v>2033.3400000000001</v>
      </c>
    </row>
    <row r="3271" ht="14.25" customHeight="1">
      <c r="A3271" t="s">
        <v>3316</v>
      </c>
      <c r="B3271" t="s">
        <v>3299</v>
      </c>
      <c r="C3271" t="s">
        <v>75</v>
      </c>
      <c r="D3271" t="s">
        <v>63</v>
      </c>
      <c r="E3271">
        <v>10.5</v>
      </c>
      <c r="F3271">
        <v>11.5</v>
      </c>
      <c r="G3271" s="2" t="s">
        <v>67</v>
      </c>
      <c r="H3271" s="2">
        <v>67.0</v>
      </c>
      <c r="I3271" s="2">
        <v>160.0</v>
      </c>
      <c r="J3271" s="37">
        <v>1712.8200000000002</v>
      </c>
      <c r="K3271" s="2">
        <v>77.0</v>
      </c>
      <c r="L3271" s="2">
        <v>364.0</v>
      </c>
      <c r="M3271" s="37">
        <v>2202.62</v>
      </c>
    </row>
    <row r="3272" ht="14.25" customHeight="1">
      <c r="A3272" t="s">
        <v>3319</v>
      </c>
      <c r="B3272" t="s">
        <v>3299</v>
      </c>
      <c r="C3272" t="s">
        <v>75</v>
      </c>
      <c r="D3272" t="s">
        <v>63</v>
      </c>
      <c r="E3272">
        <v>17.0</v>
      </c>
      <c r="F3272">
        <v>18.0</v>
      </c>
      <c r="G3272" s="2" t="s">
        <v>67</v>
      </c>
      <c r="H3272" s="2">
        <v>101.0</v>
      </c>
      <c r="I3272" s="2">
        <v>131.0</v>
      </c>
      <c r="J3272" s="37">
        <v>2438.76</v>
      </c>
      <c r="K3272" s="2">
        <v>117.0</v>
      </c>
      <c r="L3272" s="2">
        <v>460.0</v>
      </c>
      <c r="M3272" s="37">
        <v>3225.82</v>
      </c>
    </row>
    <row r="3273" ht="14.25" customHeight="1">
      <c r="A3273" t="s">
        <v>3330</v>
      </c>
      <c r="B3273" t="s">
        <v>3284</v>
      </c>
      <c r="C3273" t="s">
        <v>62</v>
      </c>
      <c r="D3273" t="s">
        <v>268</v>
      </c>
      <c r="E3273">
        <v>3.5</v>
      </c>
      <c r="F3273">
        <v>3.0</v>
      </c>
      <c r="G3273" s="2" t="s">
        <v>64</v>
      </c>
      <c r="H3273" s="2">
        <v>0.0</v>
      </c>
      <c r="I3273" s="2">
        <v>0.0</v>
      </c>
      <c r="J3273" s="37">
        <v>0.0</v>
      </c>
      <c r="K3273" s="2">
        <v>0.0</v>
      </c>
      <c r="L3273" s="2">
        <v>0.0</v>
      </c>
      <c r="M3273" s="37">
        <v>0.0</v>
      </c>
    </row>
    <row r="3274" ht="14.25" customHeight="1">
      <c r="A3274" t="s">
        <v>3331</v>
      </c>
      <c r="B3274" t="s">
        <v>3299</v>
      </c>
      <c r="C3274" t="s">
        <v>62</v>
      </c>
      <c r="D3274" t="s">
        <v>63</v>
      </c>
      <c r="E3274">
        <v>4.9</v>
      </c>
      <c r="F3274">
        <v>5.5</v>
      </c>
      <c r="G3274" s="2" t="s">
        <v>67</v>
      </c>
      <c r="H3274" s="2">
        <v>30.0</v>
      </c>
      <c r="I3274" s="2">
        <v>101.0</v>
      </c>
      <c r="J3274" s="37">
        <v>805.1000000000001</v>
      </c>
      <c r="K3274" s="2">
        <v>34.0</v>
      </c>
      <c r="L3274" s="2">
        <v>186.0</v>
      </c>
      <c r="M3274" s="37">
        <v>1005.44</v>
      </c>
    </row>
    <row r="3275" ht="14.25" customHeight="1">
      <c r="A3275" t="s">
        <v>3332</v>
      </c>
      <c r="B3275" t="s">
        <v>3284</v>
      </c>
      <c r="C3275" t="s">
        <v>62</v>
      </c>
      <c r="D3275" t="s">
        <v>63</v>
      </c>
      <c r="E3275">
        <v>4.7</v>
      </c>
      <c r="F3275">
        <v>5.2</v>
      </c>
      <c r="G3275" s="2" t="s">
        <v>67</v>
      </c>
      <c r="H3275" s="2">
        <v>28.0</v>
      </c>
      <c r="I3275" s="2">
        <v>11.0</v>
      </c>
      <c r="J3275" s="37">
        <v>643.18</v>
      </c>
      <c r="K3275" s="2">
        <v>32.0</v>
      </c>
      <c r="L3275" s="2">
        <v>92.0</v>
      </c>
      <c r="M3275" s="37">
        <v>838.32</v>
      </c>
    </row>
    <row r="3276" ht="14.25" customHeight="1">
      <c r="A3276" t="s">
        <v>3333</v>
      </c>
      <c r="B3276" t="s">
        <v>3284</v>
      </c>
      <c r="C3276" t="s">
        <v>62</v>
      </c>
      <c r="D3276" t="s">
        <v>63</v>
      </c>
      <c r="E3276">
        <v>8.0</v>
      </c>
      <c r="F3276">
        <v>8.4</v>
      </c>
      <c r="G3276" s="2" t="s">
        <v>64</v>
      </c>
      <c r="H3276" s="2">
        <v>0.0</v>
      </c>
      <c r="I3276" s="2">
        <v>0.0</v>
      </c>
      <c r="J3276" s="37">
        <v>0.0</v>
      </c>
      <c r="K3276" s="2">
        <v>0.0</v>
      </c>
      <c r="L3276" s="2">
        <v>0.0</v>
      </c>
      <c r="M3276" s="37">
        <v>0.0</v>
      </c>
    </row>
    <row r="3277" ht="14.25" customHeight="1">
      <c r="A3277" t="s">
        <v>3334</v>
      </c>
      <c r="B3277" t="s">
        <v>3284</v>
      </c>
      <c r="C3277" t="s">
        <v>62</v>
      </c>
      <c r="D3277" t="s">
        <v>63</v>
      </c>
      <c r="E3277">
        <v>2.65</v>
      </c>
      <c r="F3277">
        <v>2.7</v>
      </c>
      <c r="G3277" s="2" t="s">
        <v>67</v>
      </c>
      <c r="H3277" s="2">
        <v>15.0</v>
      </c>
      <c r="I3277" s="2">
        <v>114.0</v>
      </c>
      <c r="J3277" s="37">
        <v>485.1</v>
      </c>
      <c r="K3277" s="2">
        <v>17.0</v>
      </c>
      <c r="L3277" s="2">
        <v>155.0</v>
      </c>
      <c r="M3277" s="37">
        <v>583.3199999999999</v>
      </c>
    </row>
    <row r="3278" ht="14.25" customHeight="1">
      <c r="A3278" t="s">
        <v>3335</v>
      </c>
      <c r="B3278" t="s">
        <v>3284</v>
      </c>
      <c r="C3278" t="s">
        <v>62</v>
      </c>
      <c r="D3278" t="s">
        <v>63</v>
      </c>
      <c r="E3278">
        <v>3.55</v>
      </c>
      <c r="F3278">
        <v>3.8</v>
      </c>
      <c r="G3278" s="2" t="s">
        <v>67</v>
      </c>
      <c r="H3278" s="2">
        <v>19.0</v>
      </c>
      <c r="I3278" s="2">
        <v>100.0</v>
      </c>
      <c r="J3278" s="37">
        <v>556.74</v>
      </c>
      <c r="K3278" s="2">
        <v>22.0</v>
      </c>
      <c r="L3278" s="2">
        <v>154.0</v>
      </c>
      <c r="M3278" s="37">
        <v>694.32</v>
      </c>
    </row>
    <row r="3279" ht="14.25" customHeight="1">
      <c r="A3279" t="s">
        <v>3336</v>
      </c>
      <c r="B3279" t="s">
        <v>3284</v>
      </c>
      <c r="C3279" t="s">
        <v>62</v>
      </c>
      <c r="D3279" t="s">
        <v>63</v>
      </c>
      <c r="E3279">
        <v>7.04</v>
      </c>
      <c r="F3279">
        <v>7.5</v>
      </c>
      <c r="G3279" s="2" t="s">
        <v>67</v>
      </c>
      <c r="H3279" s="2">
        <v>40.0</v>
      </c>
      <c r="I3279" s="2">
        <v>188.0</v>
      </c>
      <c r="J3279" s="37">
        <v>1142.8000000000002</v>
      </c>
      <c r="K3279" s="2">
        <v>46.0</v>
      </c>
      <c r="L3279" s="2">
        <v>309.0</v>
      </c>
      <c r="M3279" s="37">
        <v>1434.8600000000001</v>
      </c>
    </row>
    <row r="3280" ht="14.25" customHeight="1">
      <c r="A3280" t="s">
        <v>3337</v>
      </c>
      <c r="B3280" t="s">
        <v>3284</v>
      </c>
      <c r="C3280" t="s">
        <v>62</v>
      </c>
      <c r="D3280" t="s">
        <v>63</v>
      </c>
      <c r="E3280">
        <v>8.0</v>
      </c>
      <c r="F3280">
        <v>8.5</v>
      </c>
      <c r="G3280" s="2" t="s">
        <v>64</v>
      </c>
      <c r="H3280" s="2">
        <v>0.0</v>
      </c>
      <c r="I3280" s="2">
        <v>0.0</v>
      </c>
      <c r="J3280" s="37">
        <v>0.0</v>
      </c>
      <c r="K3280" s="2">
        <v>0.0</v>
      </c>
      <c r="L3280" s="2">
        <v>0.0</v>
      </c>
      <c r="M3280" s="37">
        <v>0.0</v>
      </c>
    </row>
    <row r="3281" ht="14.25" customHeight="1">
      <c r="A3281" t="s">
        <v>3338</v>
      </c>
      <c r="B3281" t="s">
        <v>3284</v>
      </c>
      <c r="C3281" t="s">
        <v>62</v>
      </c>
      <c r="D3281" t="s">
        <v>63</v>
      </c>
      <c r="E3281">
        <v>2.05</v>
      </c>
      <c r="F3281">
        <v>2.37</v>
      </c>
      <c r="G3281" s="2" t="s">
        <v>67</v>
      </c>
      <c r="H3281" s="2">
        <v>12.0</v>
      </c>
      <c r="I3281" s="2">
        <v>66.0</v>
      </c>
      <c r="J3281" s="37">
        <v>355.32</v>
      </c>
      <c r="K3281" s="2">
        <v>14.0</v>
      </c>
      <c r="L3281" s="2">
        <v>97.0</v>
      </c>
      <c r="M3281" s="37">
        <v>440.54</v>
      </c>
    </row>
    <row r="3282" ht="14.25" customHeight="1">
      <c r="A3282" t="s">
        <v>3339</v>
      </c>
      <c r="B3282" t="s">
        <v>3284</v>
      </c>
      <c r="C3282" t="s">
        <v>62</v>
      </c>
      <c r="D3282" t="s">
        <v>63</v>
      </c>
      <c r="E3282">
        <v>2.5</v>
      </c>
      <c r="F3282">
        <v>2.795</v>
      </c>
      <c r="G3282" s="2" t="s">
        <v>67</v>
      </c>
      <c r="H3282" s="2">
        <v>14.0</v>
      </c>
      <c r="I3282" s="2">
        <v>80.0</v>
      </c>
      <c r="J3282" s="37">
        <v>418.44</v>
      </c>
      <c r="K3282" s="2">
        <v>16.0</v>
      </c>
      <c r="L3282" s="2">
        <v>118.0</v>
      </c>
      <c r="M3282" s="37">
        <v>512.76</v>
      </c>
    </row>
    <row r="3283" ht="14.25" customHeight="1">
      <c r="A3283" t="s">
        <v>3340</v>
      </c>
      <c r="B3283" t="s">
        <v>3284</v>
      </c>
      <c r="C3283" t="s">
        <v>62</v>
      </c>
      <c r="D3283" t="s">
        <v>63</v>
      </c>
      <c r="E3283">
        <v>3.5</v>
      </c>
      <c r="F3283">
        <v>4.0</v>
      </c>
      <c r="G3283" s="2" t="s">
        <v>67</v>
      </c>
      <c r="H3283" s="2">
        <v>19.0</v>
      </c>
      <c r="I3283" s="2">
        <v>59.0</v>
      </c>
      <c r="J3283" s="37">
        <v>503.44</v>
      </c>
      <c r="K3283" s="2">
        <v>22.0</v>
      </c>
      <c r="L3283" s="2">
        <v>112.0</v>
      </c>
      <c r="M3283" s="37">
        <v>639.72</v>
      </c>
    </row>
    <row r="3284" ht="14.25" customHeight="1">
      <c r="A3284" t="s">
        <v>3341</v>
      </c>
      <c r="B3284" t="s">
        <v>3284</v>
      </c>
      <c r="C3284" t="s">
        <v>62</v>
      </c>
      <c r="D3284" t="s">
        <v>63</v>
      </c>
      <c r="E3284">
        <v>5.0</v>
      </c>
      <c r="F3284">
        <v>5.54</v>
      </c>
      <c r="G3284" s="2" t="s">
        <v>67</v>
      </c>
      <c r="H3284" s="2">
        <v>30.0</v>
      </c>
      <c r="I3284" s="2">
        <v>120.0</v>
      </c>
      <c r="J3284" s="37">
        <v>829.8000000000001</v>
      </c>
      <c r="K3284" s="2">
        <v>34.0</v>
      </c>
      <c r="L3284" s="2">
        <v>206.0</v>
      </c>
      <c r="M3284" s="37">
        <v>1031.44</v>
      </c>
    </row>
    <row r="3285" ht="14.25" customHeight="1">
      <c r="A3285" t="s">
        <v>3342</v>
      </c>
      <c r="B3285" t="s">
        <v>3284</v>
      </c>
      <c r="C3285" t="s">
        <v>62</v>
      </c>
      <c r="D3285" t="s">
        <v>63</v>
      </c>
      <c r="E3285">
        <v>6.0</v>
      </c>
      <c r="F3285">
        <v>6.5</v>
      </c>
      <c r="G3285" s="2" t="s">
        <v>64</v>
      </c>
      <c r="H3285" s="2">
        <v>0.0</v>
      </c>
      <c r="I3285" s="2">
        <v>0.0</v>
      </c>
      <c r="J3285" s="37">
        <v>0.0</v>
      </c>
      <c r="K3285" s="2">
        <v>0.0</v>
      </c>
      <c r="L3285" s="2">
        <v>0.0</v>
      </c>
      <c r="M3285" s="37">
        <v>0.0</v>
      </c>
    </row>
    <row r="3286" ht="14.25" customHeight="1">
      <c r="A3286" t="s">
        <v>3343</v>
      </c>
      <c r="B3286" t="s">
        <v>3284</v>
      </c>
      <c r="C3286" t="s">
        <v>62</v>
      </c>
      <c r="D3286" t="s">
        <v>63</v>
      </c>
      <c r="E3286">
        <v>7.0</v>
      </c>
      <c r="F3286">
        <v>7.5</v>
      </c>
      <c r="G3286" s="2" t="s">
        <v>67</v>
      </c>
      <c r="H3286" s="2">
        <v>40.0</v>
      </c>
      <c r="I3286" s="2">
        <v>91.0</v>
      </c>
      <c r="J3286" s="37">
        <v>1016.7</v>
      </c>
      <c r="K3286" s="2">
        <v>46.0</v>
      </c>
      <c r="L3286" s="2">
        <v>212.0</v>
      </c>
      <c r="M3286" s="37">
        <v>1308.7600000000002</v>
      </c>
    </row>
    <row r="3287" ht="14.25" customHeight="1">
      <c r="A3287" t="s">
        <v>3344</v>
      </c>
      <c r="B3287" t="s">
        <v>3284</v>
      </c>
      <c r="C3287" t="s">
        <v>62</v>
      </c>
      <c r="D3287" t="s">
        <v>63</v>
      </c>
      <c r="E3287">
        <v>7.65</v>
      </c>
      <c r="F3287">
        <v>8.2</v>
      </c>
      <c r="G3287" s="2" t="s">
        <v>67</v>
      </c>
      <c r="H3287" s="2">
        <v>42.0</v>
      </c>
      <c r="I3287" s="2">
        <v>57.0</v>
      </c>
      <c r="J3287" s="37">
        <v>1017.4200000000001</v>
      </c>
      <c r="K3287" s="2">
        <v>49.0</v>
      </c>
      <c r="L3287" s="2">
        <v>188.0</v>
      </c>
      <c r="M3287" s="37">
        <v>1344.94</v>
      </c>
    </row>
    <row r="3288" ht="14.25" customHeight="1">
      <c r="A3288" t="s">
        <v>3345</v>
      </c>
      <c r="B3288" t="s">
        <v>3284</v>
      </c>
      <c r="C3288" t="s">
        <v>62</v>
      </c>
      <c r="D3288" t="s">
        <v>63</v>
      </c>
      <c r="E3288">
        <v>9.0</v>
      </c>
      <c r="F3288">
        <v>9.5</v>
      </c>
      <c r="G3288" s="2" t="s">
        <v>67</v>
      </c>
      <c r="H3288" s="2">
        <v>50.0</v>
      </c>
      <c r="I3288" s="2">
        <v>117.0</v>
      </c>
      <c r="J3288" s="37">
        <v>1275.1</v>
      </c>
      <c r="K3288" s="2">
        <v>57.0</v>
      </c>
      <c r="L3288" s="2">
        <v>272.0</v>
      </c>
      <c r="M3288" s="37">
        <v>1633.8200000000002</v>
      </c>
    </row>
    <row r="3289" ht="14.25" customHeight="1">
      <c r="A3289" t="s">
        <v>3346</v>
      </c>
      <c r="B3289" t="s">
        <v>3284</v>
      </c>
      <c r="C3289" t="s">
        <v>75</v>
      </c>
      <c r="D3289" t="s">
        <v>63</v>
      </c>
      <c r="E3289">
        <v>7.3</v>
      </c>
      <c r="F3289">
        <v>7.5</v>
      </c>
      <c r="G3289" s="2" t="s">
        <v>67</v>
      </c>
      <c r="H3289" s="2">
        <v>46.0</v>
      </c>
      <c r="I3289" s="2">
        <v>121.0</v>
      </c>
      <c r="J3289" s="37">
        <v>1190.46</v>
      </c>
      <c r="K3289" s="2">
        <v>52.0</v>
      </c>
      <c r="L3289" s="2">
        <v>262.0</v>
      </c>
      <c r="M3289" s="37">
        <v>1508.52</v>
      </c>
    </row>
    <row r="3290" ht="14.25" customHeight="1">
      <c r="A3290" t="s">
        <v>3347</v>
      </c>
      <c r="B3290" t="s">
        <v>3284</v>
      </c>
      <c r="C3290" t="s">
        <v>75</v>
      </c>
      <c r="D3290" t="s">
        <v>63</v>
      </c>
      <c r="E3290">
        <v>9.0</v>
      </c>
      <c r="F3290">
        <v>10.5</v>
      </c>
      <c r="G3290" s="2" t="s">
        <v>67</v>
      </c>
      <c r="H3290" s="2">
        <v>63.0</v>
      </c>
      <c r="I3290" s="2">
        <v>164.0</v>
      </c>
      <c r="J3290" s="37">
        <v>1628.18</v>
      </c>
      <c r="K3290" s="2">
        <v>72.0</v>
      </c>
      <c r="L3290" s="2">
        <v>338.0</v>
      </c>
      <c r="M3290" s="37">
        <v>2056.52</v>
      </c>
    </row>
    <row r="3291" ht="14.25" customHeight="1">
      <c r="A3291" t="s">
        <v>3348</v>
      </c>
      <c r="B3291" t="s">
        <v>3284</v>
      </c>
      <c r="C3291" t="s">
        <v>75</v>
      </c>
      <c r="D3291" t="s">
        <v>63</v>
      </c>
      <c r="E3291">
        <v>10.5</v>
      </c>
      <c r="F3291">
        <v>12.5</v>
      </c>
      <c r="G3291" s="2" t="s">
        <v>67</v>
      </c>
      <c r="H3291" s="2">
        <v>72.0</v>
      </c>
      <c r="I3291" s="2">
        <v>135.0</v>
      </c>
      <c r="J3291" s="37">
        <v>1792.6200000000001</v>
      </c>
      <c r="K3291" s="2">
        <v>83.0</v>
      </c>
      <c r="L3291" s="2">
        <v>339.0</v>
      </c>
      <c r="M3291" s="37">
        <v>2304.88</v>
      </c>
    </row>
    <row r="3292" ht="14.25" customHeight="1">
      <c r="A3292" t="s">
        <v>3349</v>
      </c>
      <c r="B3292" t="s">
        <v>3284</v>
      </c>
      <c r="C3292" t="s">
        <v>62</v>
      </c>
      <c r="D3292" t="s">
        <v>63</v>
      </c>
      <c r="E3292">
        <v>2.6</v>
      </c>
      <c r="F3292">
        <v>3.25</v>
      </c>
      <c r="G3292" s="2" t="s">
        <v>67</v>
      </c>
      <c r="H3292" s="2">
        <v>17.0</v>
      </c>
      <c r="I3292" s="2">
        <v>122.0</v>
      </c>
      <c r="J3292" s="37">
        <v>540.42</v>
      </c>
      <c r="K3292" s="2">
        <v>19.0</v>
      </c>
      <c r="L3292" s="2">
        <v>162.0</v>
      </c>
      <c r="M3292" s="37">
        <v>637.34</v>
      </c>
    </row>
    <row r="3293" ht="14.25" customHeight="1">
      <c r="A3293" t="s">
        <v>3350</v>
      </c>
      <c r="B3293" t="s">
        <v>3284</v>
      </c>
      <c r="C3293" t="s">
        <v>62</v>
      </c>
      <c r="D3293" t="s">
        <v>63</v>
      </c>
      <c r="E3293">
        <v>3.5</v>
      </c>
      <c r="F3293">
        <v>3.8</v>
      </c>
      <c r="G3293" s="2" t="s">
        <v>67</v>
      </c>
      <c r="H3293" s="2">
        <v>20.0</v>
      </c>
      <c r="I3293" s="2">
        <v>86.0</v>
      </c>
      <c r="J3293" s="37">
        <v>561.0</v>
      </c>
      <c r="K3293" s="2">
        <v>23.0</v>
      </c>
      <c r="L3293" s="2">
        <v>139.0</v>
      </c>
      <c r="M3293" s="37">
        <v>697.2800000000001</v>
      </c>
    </row>
    <row r="3294" ht="14.25" customHeight="1">
      <c r="A3294" t="s">
        <v>3351</v>
      </c>
      <c r="B3294" t="s">
        <v>3284</v>
      </c>
      <c r="C3294" t="s">
        <v>62</v>
      </c>
      <c r="D3294" t="s">
        <v>63</v>
      </c>
      <c r="E3294">
        <v>5.0</v>
      </c>
      <c r="F3294">
        <v>6.0</v>
      </c>
      <c r="G3294" s="2" t="s">
        <v>67</v>
      </c>
      <c r="H3294" s="2">
        <v>35.0</v>
      </c>
      <c r="I3294" s="2">
        <v>226.0</v>
      </c>
      <c r="J3294" s="37">
        <v>1079.9</v>
      </c>
      <c r="K3294" s="2">
        <v>40.0</v>
      </c>
      <c r="L3294" s="2">
        <v>312.0</v>
      </c>
      <c r="M3294" s="37">
        <v>1304.0</v>
      </c>
    </row>
    <row r="3295" ht="14.25" customHeight="1">
      <c r="A3295" t="s">
        <v>3352</v>
      </c>
      <c r="B3295" t="s">
        <v>3284</v>
      </c>
      <c r="C3295" t="s">
        <v>62</v>
      </c>
      <c r="D3295" t="s">
        <v>63</v>
      </c>
      <c r="E3295">
        <v>6.0</v>
      </c>
      <c r="F3295">
        <v>6.55</v>
      </c>
      <c r="G3295" s="2" t="s">
        <v>67</v>
      </c>
      <c r="H3295" s="2">
        <v>37.0</v>
      </c>
      <c r="I3295" s="2">
        <v>165.0</v>
      </c>
      <c r="J3295" s="37">
        <v>1045.52</v>
      </c>
      <c r="K3295" s="2">
        <v>42.0</v>
      </c>
      <c r="L3295" s="2">
        <v>268.0</v>
      </c>
      <c r="M3295" s="37">
        <v>1291.72</v>
      </c>
    </row>
    <row r="3296" ht="14.25" customHeight="1">
      <c r="A3296" t="s">
        <v>3353</v>
      </c>
      <c r="B3296" t="s">
        <v>3284</v>
      </c>
      <c r="C3296" t="s">
        <v>62</v>
      </c>
      <c r="D3296" t="s">
        <v>63</v>
      </c>
      <c r="E3296">
        <v>7.0</v>
      </c>
      <c r="F3296">
        <v>7.7</v>
      </c>
      <c r="G3296" s="2" t="s">
        <v>67</v>
      </c>
      <c r="H3296" s="2">
        <v>42.0</v>
      </c>
      <c r="I3296" s="2">
        <v>113.0</v>
      </c>
      <c r="J3296" s="37">
        <v>1090.22</v>
      </c>
      <c r="K3296" s="2">
        <v>48.0</v>
      </c>
      <c r="L3296" s="2">
        <v>234.0</v>
      </c>
      <c r="M3296" s="37">
        <v>1382.28</v>
      </c>
    </row>
    <row r="3297" ht="14.25" customHeight="1">
      <c r="A3297" t="s">
        <v>3354</v>
      </c>
      <c r="B3297" t="s">
        <v>3284</v>
      </c>
      <c r="C3297" t="s">
        <v>62</v>
      </c>
      <c r="D3297" t="s">
        <v>63</v>
      </c>
      <c r="E3297">
        <v>7.95</v>
      </c>
      <c r="F3297">
        <v>8.7</v>
      </c>
      <c r="G3297" s="2" t="s">
        <v>67</v>
      </c>
      <c r="H3297" s="2">
        <v>45.0</v>
      </c>
      <c r="I3297" s="2">
        <v>80.0</v>
      </c>
      <c r="J3297" s="37">
        <v>1114.7</v>
      </c>
      <c r="K3297" s="2">
        <v>52.0</v>
      </c>
      <c r="L3297" s="2">
        <v>217.0</v>
      </c>
      <c r="M3297" s="37">
        <v>1450.02</v>
      </c>
    </row>
    <row r="3298" ht="14.25" customHeight="1">
      <c r="A3298" t="s">
        <v>3355</v>
      </c>
      <c r="B3298" t="s">
        <v>3284</v>
      </c>
      <c r="C3298" t="s">
        <v>75</v>
      </c>
      <c r="D3298" t="s">
        <v>63</v>
      </c>
      <c r="E3298">
        <v>12.6</v>
      </c>
      <c r="F3298">
        <v>14.5</v>
      </c>
      <c r="G3298" s="2" t="s">
        <v>67</v>
      </c>
      <c r="H3298" s="2">
        <v>87.0</v>
      </c>
      <c r="I3298" s="2">
        <v>167.0</v>
      </c>
      <c r="J3298" s="37">
        <v>2171.12</v>
      </c>
      <c r="K3298" s="2">
        <v>100.0</v>
      </c>
      <c r="L3298" s="2">
        <v>412.0</v>
      </c>
      <c r="M3298" s="37">
        <v>2781.6</v>
      </c>
    </row>
    <row r="3299" ht="14.25" customHeight="1">
      <c r="A3299" t="s">
        <v>3356</v>
      </c>
      <c r="B3299" t="s">
        <v>3284</v>
      </c>
      <c r="C3299" t="s">
        <v>75</v>
      </c>
      <c r="D3299" t="s">
        <v>63</v>
      </c>
      <c r="E3299">
        <v>14.0</v>
      </c>
      <c r="F3299">
        <v>16.8</v>
      </c>
      <c r="G3299" s="2" t="s">
        <v>67</v>
      </c>
      <c r="H3299" s="2">
        <v>94.0</v>
      </c>
      <c r="I3299" s="2">
        <v>188.0</v>
      </c>
      <c r="J3299" s="37">
        <v>2355.6400000000003</v>
      </c>
      <c r="K3299" s="2">
        <v>109.0</v>
      </c>
      <c r="L3299" s="2">
        <v>459.0</v>
      </c>
      <c r="M3299" s="37">
        <v>3044.84</v>
      </c>
    </row>
    <row r="3300" ht="14.25" customHeight="1">
      <c r="A3300" t="s">
        <v>3357</v>
      </c>
      <c r="B3300" t="s">
        <v>3284</v>
      </c>
      <c r="C3300" t="s">
        <v>75</v>
      </c>
      <c r="D3300" t="s">
        <v>63</v>
      </c>
      <c r="E3300">
        <v>14.0</v>
      </c>
      <c r="F3300">
        <v>17.0</v>
      </c>
      <c r="G3300" s="2" t="s">
        <v>67</v>
      </c>
      <c r="H3300" s="2">
        <v>100.0</v>
      </c>
      <c r="I3300" s="2">
        <v>345.0</v>
      </c>
      <c r="J3300" s="37">
        <v>2694.5</v>
      </c>
      <c r="K3300" s="2">
        <v>115.0</v>
      </c>
      <c r="L3300" s="2">
        <v>616.0</v>
      </c>
      <c r="M3300" s="37">
        <v>3383.7000000000003</v>
      </c>
    </row>
    <row r="3301" ht="14.25" customHeight="1">
      <c r="A3301" t="s">
        <v>3358</v>
      </c>
      <c r="B3301" t="s">
        <v>3284</v>
      </c>
      <c r="C3301" t="s">
        <v>75</v>
      </c>
      <c r="D3301" t="s">
        <v>63</v>
      </c>
      <c r="E3301">
        <v>17.0</v>
      </c>
      <c r="F3301">
        <v>18.0</v>
      </c>
      <c r="G3301" s="2" t="s">
        <v>67</v>
      </c>
      <c r="H3301" s="2">
        <v>102.0</v>
      </c>
      <c r="I3301" s="2">
        <v>215.0</v>
      </c>
      <c r="J3301" s="37">
        <v>2570.42</v>
      </c>
      <c r="K3301" s="2">
        <v>118.0</v>
      </c>
      <c r="L3301" s="2">
        <v>544.0</v>
      </c>
      <c r="M3301" s="37">
        <v>3357.4800000000005</v>
      </c>
    </row>
    <row r="3302" ht="14.25" customHeight="1">
      <c r="A3302" t="s">
        <v>3359</v>
      </c>
      <c r="B3302" t="s">
        <v>3284</v>
      </c>
      <c r="C3302" t="s">
        <v>62</v>
      </c>
      <c r="D3302" t="s">
        <v>63</v>
      </c>
      <c r="E3302">
        <v>2.5</v>
      </c>
      <c r="F3302">
        <v>2.795</v>
      </c>
      <c r="G3302" s="2" t="s">
        <v>67</v>
      </c>
      <c r="H3302" s="2">
        <v>14.0</v>
      </c>
      <c r="I3302" s="2">
        <v>80.0</v>
      </c>
      <c r="J3302" s="37">
        <v>418.44</v>
      </c>
      <c r="K3302" s="2">
        <v>16.0</v>
      </c>
      <c r="L3302" s="2">
        <v>118.0</v>
      </c>
      <c r="M3302" s="37">
        <v>512.76</v>
      </c>
    </row>
    <row r="3303" ht="14.25" customHeight="1">
      <c r="A3303" t="s">
        <v>3360</v>
      </c>
      <c r="B3303" t="s">
        <v>3284</v>
      </c>
      <c r="C3303" t="s">
        <v>62</v>
      </c>
      <c r="D3303" t="s">
        <v>63</v>
      </c>
      <c r="E3303">
        <v>3.5</v>
      </c>
      <c r="F3303">
        <v>4.0</v>
      </c>
      <c r="G3303" s="2" t="s">
        <v>67</v>
      </c>
      <c r="H3303" s="2">
        <v>19.0</v>
      </c>
      <c r="I3303" s="2">
        <v>59.0</v>
      </c>
      <c r="J3303" s="37">
        <v>503.44</v>
      </c>
      <c r="K3303" s="2">
        <v>22.0</v>
      </c>
      <c r="L3303" s="2">
        <v>112.0</v>
      </c>
      <c r="M3303" s="37">
        <v>639.72</v>
      </c>
    </row>
    <row r="3304" ht="14.25" customHeight="1">
      <c r="A3304" t="s">
        <v>3361</v>
      </c>
      <c r="B3304" t="s">
        <v>3284</v>
      </c>
      <c r="C3304" t="s">
        <v>62</v>
      </c>
      <c r="D3304" t="s">
        <v>63</v>
      </c>
      <c r="E3304">
        <v>5.0</v>
      </c>
      <c r="F3304">
        <v>5.54</v>
      </c>
      <c r="G3304" s="2" t="s">
        <v>67</v>
      </c>
      <c r="H3304" s="2">
        <v>30.0</v>
      </c>
      <c r="I3304" s="2">
        <v>120.0</v>
      </c>
      <c r="J3304" s="37">
        <v>829.8000000000001</v>
      </c>
      <c r="K3304" s="2">
        <v>34.0</v>
      </c>
      <c r="L3304" s="2">
        <v>206.0</v>
      </c>
      <c r="M3304" s="37">
        <v>1031.44</v>
      </c>
    </row>
    <row r="3305" ht="14.25" customHeight="1">
      <c r="A3305" t="s">
        <v>3362</v>
      </c>
      <c r="B3305" t="s">
        <v>3284</v>
      </c>
      <c r="C3305" t="s">
        <v>62</v>
      </c>
      <c r="D3305" t="s">
        <v>63</v>
      </c>
      <c r="E3305">
        <v>6.0</v>
      </c>
      <c r="F3305">
        <v>6.5</v>
      </c>
      <c r="G3305" s="2" t="s">
        <v>64</v>
      </c>
      <c r="H3305" s="2">
        <v>0.0</v>
      </c>
      <c r="I3305" s="2">
        <v>0.0</v>
      </c>
      <c r="J3305" s="37">
        <v>0.0</v>
      </c>
      <c r="K3305" s="2">
        <v>0.0</v>
      </c>
      <c r="L3305" s="2">
        <v>0.0</v>
      </c>
      <c r="M3305" s="37">
        <v>0.0</v>
      </c>
    </row>
    <row r="3306" ht="14.25" customHeight="1">
      <c r="A3306" t="s">
        <v>3363</v>
      </c>
      <c r="B3306" t="s">
        <v>3284</v>
      </c>
      <c r="C3306" t="s">
        <v>62</v>
      </c>
      <c r="D3306" t="s">
        <v>63</v>
      </c>
      <c r="E3306">
        <v>7.0</v>
      </c>
      <c r="F3306">
        <v>7.5</v>
      </c>
      <c r="G3306" s="2" t="s">
        <v>67</v>
      </c>
      <c r="H3306" s="2">
        <v>40.0</v>
      </c>
      <c r="I3306" s="2">
        <v>91.0</v>
      </c>
      <c r="J3306" s="37">
        <v>1016.7</v>
      </c>
      <c r="K3306" s="2">
        <v>46.0</v>
      </c>
      <c r="L3306" s="2">
        <v>212.0</v>
      </c>
      <c r="M3306" s="37">
        <v>1308.7600000000002</v>
      </c>
    </row>
    <row r="3307" ht="14.25" customHeight="1">
      <c r="A3307" t="s">
        <v>3364</v>
      </c>
      <c r="B3307" t="s">
        <v>3284</v>
      </c>
      <c r="C3307" t="s">
        <v>62</v>
      </c>
      <c r="D3307" t="s">
        <v>63</v>
      </c>
      <c r="E3307">
        <v>7.65</v>
      </c>
      <c r="F3307">
        <v>8.2</v>
      </c>
      <c r="G3307" s="2" t="s">
        <v>67</v>
      </c>
      <c r="H3307" s="2">
        <v>42.0</v>
      </c>
      <c r="I3307" s="2">
        <v>57.0</v>
      </c>
      <c r="J3307" s="37">
        <v>1017.4200000000001</v>
      </c>
      <c r="K3307" s="2">
        <v>49.0</v>
      </c>
      <c r="L3307" s="2">
        <v>188.0</v>
      </c>
      <c r="M3307" s="37">
        <v>1344.94</v>
      </c>
    </row>
    <row r="3308" ht="14.25" customHeight="1">
      <c r="A3308" t="s">
        <v>3365</v>
      </c>
      <c r="B3308" t="s">
        <v>3284</v>
      </c>
      <c r="C3308" t="s">
        <v>62</v>
      </c>
      <c r="D3308" t="s">
        <v>63</v>
      </c>
      <c r="E3308">
        <v>9.0</v>
      </c>
      <c r="F3308">
        <v>9.5</v>
      </c>
      <c r="G3308" s="2" t="s">
        <v>67</v>
      </c>
      <c r="H3308" s="2">
        <v>50.0</v>
      </c>
      <c r="I3308" s="2">
        <v>117.0</v>
      </c>
      <c r="J3308" s="37">
        <v>1275.1</v>
      </c>
      <c r="K3308" s="2">
        <v>57.0</v>
      </c>
      <c r="L3308" s="2">
        <v>272.0</v>
      </c>
      <c r="M3308" s="37">
        <v>1633.8200000000002</v>
      </c>
    </row>
    <row r="3309" ht="14.25" customHeight="1">
      <c r="A3309" t="s">
        <v>3366</v>
      </c>
      <c r="B3309" t="s">
        <v>3284</v>
      </c>
      <c r="C3309" t="s">
        <v>62</v>
      </c>
      <c r="D3309" t="s">
        <v>63</v>
      </c>
      <c r="E3309">
        <v>5.2</v>
      </c>
      <c r="F3309">
        <v>5.2</v>
      </c>
      <c r="G3309" s="2" t="s">
        <v>67</v>
      </c>
      <c r="H3309" s="2">
        <v>28.0</v>
      </c>
      <c r="I3309" s="2">
        <v>204.0</v>
      </c>
      <c r="J3309" s="37">
        <v>894.0799999999999</v>
      </c>
      <c r="K3309" s="2">
        <v>32.0</v>
      </c>
      <c r="L3309" s="2">
        <v>294.0</v>
      </c>
      <c r="M3309" s="37">
        <v>1100.92</v>
      </c>
    </row>
    <row r="3310" ht="14.25" customHeight="1">
      <c r="A3310" t="s">
        <v>3367</v>
      </c>
      <c r="B3310" t="s">
        <v>3368</v>
      </c>
      <c r="C3310" t="s">
        <v>75</v>
      </c>
      <c r="D3310" t="s">
        <v>63</v>
      </c>
      <c r="E3310">
        <v>20.0</v>
      </c>
      <c r="F3310">
        <v>22.5</v>
      </c>
      <c r="G3310" s="2" t="s">
        <v>64</v>
      </c>
      <c r="H3310" s="2">
        <v>0.0</v>
      </c>
      <c r="I3310" s="2">
        <v>0.0</v>
      </c>
      <c r="J3310" s="37">
        <v>0.0</v>
      </c>
      <c r="K3310" s="2">
        <v>0.0</v>
      </c>
      <c r="L3310" s="2">
        <v>0.0</v>
      </c>
      <c r="M3310" s="37">
        <v>0.0</v>
      </c>
    </row>
    <row r="3311" ht="14.25" customHeight="1">
      <c r="A3311" t="s">
        <v>3369</v>
      </c>
      <c r="B3311" t="s">
        <v>3370</v>
      </c>
      <c r="C3311" t="s">
        <v>62</v>
      </c>
      <c r="D3311" t="s">
        <v>63</v>
      </c>
      <c r="E3311">
        <v>3.5</v>
      </c>
      <c r="F3311">
        <v>4.0</v>
      </c>
      <c r="G3311" s="2" t="s">
        <v>64</v>
      </c>
      <c r="H3311" s="2">
        <v>0.0</v>
      </c>
      <c r="I3311" s="2">
        <v>0.0</v>
      </c>
      <c r="J3311" s="37">
        <v>0.0</v>
      </c>
      <c r="K3311" s="2">
        <v>0.0</v>
      </c>
      <c r="L3311" s="2">
        <v>0.0</v>
      </c>
      <c r="M3311" s="37">
        <v>0.0</v>
      </c>
    </row>
    <row r="3312" ht="14.25" customHeight="1">
      <c r="A3312" t="s">
        <v>3371</v>
      </c>
      <c r="B3312" t="s">
        <v>3370</v>
      </c>
      <c r="C3312" t="s">
        <v>62</v>
      </c>
      <c r="D3312" t="s">
        <v>63</v>
      </c>
      <c r="E3312">
        <v>8.0</v>
      </c>
      <c r="F3312">
        <v>9.0</v>
      </c>
      <c r="G3312" s="2" t="s">
        <v>64</v>
      </c>
      <c r="H3312" s="2">
        <v>0.0</v>
      </c>
      <c r="I3312" s="2">
        <v>0.0</v>
      </c>
      <c r="J3312" s="37">
        <v>0.0</v>
      </c>
      <c r="K3312" s="2">
        <v>0.0</v>
      </c>
      <c r="L3312" s="2">
        <v>0.0</v>
      </c>
      <c r="M3312" s="37">
        <v>0.0</v>
      </c>
    </row>
    <row r="3313" ht="14.25" customHeight="1">
      <c r="A3313" t="s">
        <v>3372</v>
      </c>
      <c r="B3313" t="s">
        <v>3370</v>
      </c>
      <c r="C3313" t="s">
        <v>62</v>
      </c>
      <c r="D3313" t="s">
        <v>63</v>
      </c>
      <c r="E3313">
        <v>2.5</v>
      </c>
      <c r="F3313">
        <v>3.2</v>
      </c>
      <c r="G3313" s="2" t="s">
        <v>67</v>
      </c>
      <c r="H3313" s="2">
        <v>15.0</v>
      </c>
      <c r="I3313" s="2">
        <v>74.0</v>
      </c>
      <c r="J3313" s="37">
        <v>433.1</v>
      </c>
      <c r="K3313" s="2">
        <v>17.0</v>
      </c>
      <c r="L3313" s="2">
        <v>112.0</v>
      </c>
      <c r="M3313" s="37">
        <v>527.42</v>
      </c>
    </row>
    <row r="3314" ht="14.25" customHeight="1">
      <c r="A3314" t="s">
        <v>3373</v>
      </c>
      <c r="B3314" t="s">
        <v>3374</v>
      </c>
      <c r="C3314" t="s">
        <v>62</v>
      </c>
      <c r="D3314" t="s">
        <v>63</v>
      </c>
      <c r="E3314">
        <v>2.5</v>
      </c>
      <c r="F3314">
        <v>3.2</v>
      </c>
      <c r="G3314" s="2" t="s">
        <v>64</v>
      </c>
      <c r="H3314" s="2">
        <v>0.0</v>
      </c>
      <c r="I3314" s="2">
        <v>0.0</v>
      </c>
      <c r="J3314" s="37">
        <v>0.0</v>
      </c>
      <c r="K3314" s="2">
        <v>0.0</v>
      </c>
      <c r="L3314" s="2">
        <v>0.0</v>
      </c>
      <c r="M3314" s="37">
        <v>0.0</v>
      </c>
    </row>
    <row r="3315" ht="14.25" customHeight="1">
      <c r="A3315" t="s">
        <v>3375</v>
      </c>
      <c r="B3315" t="s">
        <v>3374</v>
      </c>
      <c r="C3315" t="s">
        <v>62</v>
      </c>
      <c r="D3315" t="s">
        <v>63</v>
      </c>
      <c r="E3315">
        <v>3.5</v>
      </c>
      <c r="F3315">
        <v>4.0</v>
      </c>
      <c r="G3315" s="2" t="s">
        <v>64</v>
      </c>
      <c r="H3315" s="2">
        <v>0.0</v>
      </c>
      <c r="I3315" s="2">
        <v>0.0</v>
      </c>
      <c r="J3315" s="37">
        <v>0.0</v>
      </c>
      <c r="K3315" s="2">
        <v>0.0</v>
      </c>
      <c r="L3315" s="2">
        <v>0.0</v>
      </c>
      <c r="M3315" s="37">
        <v>0.0</v>
      </c>
    </row>
    <row r="3316" ht="14.25" customHeight="1">
      <c r="A3316" t="s">
        <v>3376</v>
      </c>
      <c r="B3316" t="s">
        <v>3374</v>
      </c>
      <c r="C3316" t="s">
        <v>62</v>
      </c>
      <c r="D3316" t="s">
        <v>63</v>
      </c>
      <c r="E3316">
        <v>5.0</v>
      </c>
      <c r="F3316">
        <v>6.0</v>
      </c>
      <c r="G3316" s="2" t="s">
        <v>64</v>
      </c>
      <c r="H3316" s="2">
        <v>0.0</v>
      </c>
      <c r="I3316" s="2">
        <v>0.0</v>
      </c>
      <c r="J3316" s="37">
        <v>0.0</v>
      </c>
      <c r="K3316" s="2">
        <v>0.0</v>
      </c>
      <c r="L3316" s="2">
        <v>0.0</v>
      </c>
      <c r="M3316" s="37">
        <v>0.0</v>
      </c>
    </row>
    <row r="3317" ht="14.25" customHeight="1">
      <c r="A3317" t="s">
        <v>3377</v>
      </c>
      <c r="B3317" t="s">
        <v>3374</v>
      </c>
      <c r="C3317" t="s">
        <v>62</v>
      </c>
      <c r="D3317" t="s">
        <v>63</v>
      </c>
      <c r="E3317">
        <v>2.48</v>
      </c>
      <c r="F3317">
        <v>3.24</v>
      </c>
      <c r="G3317" s="2" t="s">
        <v>64</v>
      </c>
      <c r="H3317" s="2">
        <v>0.0</v>
      </c>
      <c r="I3317" s="2">
        <v>0.0</v>
      </c>
      <c r="J3317" s="37">
        <v>0.0</v>
      </c>
      <c r="K3317" s="2">
        <v>0.0</v>
      </c>
      <c r="L3317" s="2">
        <v>0.0</v>
      </c>
      <c r="M3317" s="37">
        <v>0.0</v>
      </c>
    </row>
    <row r="3318" ht="14.25" customHeight="1">
      <c r="A3318" t="s">
        <v>3378</v>
      </c>
      <c r="B3318" t="s">
        <v>3374</v>
      </c>
      <c r="C3318" t="s">
        <v>62</v>
      </c>
      <c r="D3318" t="s">
        <v>63</v>
      </c>
      <c r="E3318">
        <v>3.45</v>
      </c>
      <c r="F3318">
        <v>4.02</v>
      </c>
      <c r="G3318" s="2" t="s">
        <v>64</v>
      </c>
      <c r="H3318" s="2">
        <v>0.0</v>
      </c>
      <c r="I3318" s="2">
        <v>0.0</v>
      </c>
      <c r="J3318" s="37">
        <v>0.0</v>
      </c>
      <c r="K3318" s="2">
        <v>0.0</v>
      </c>
      <c r="L3318" s="2">
        <v>0.0</v>
      </c>
      <c r="M3318" s="37">
        <v>0.0</v>
      </c>
    </row>
    <row r="3319" ht="14.25" customHeight="1">
      <c r="A3319" t="s">
        <v>3379</v>
      </c>
      <c r="B3319" t="s">
        <v>3374</v>
      </c>
      <c r="C3319" t="s">
        <v>62</v>
      </c>
      <c r="D3319" t="s">
        <v>63</v>
      </c>
      <c r="E3319">
        <v>5.14</v>
      </c>
      <c r="F3319">
        <v>5.95</v>
      </c>
      <c r="G3319" s="2" t="s">
        <v>67</v>
      </c>
      <c r="H3319" s="2">
        <v>32.0</v>
      </c>
      <c r="I3319" s="2">
        <v>210.0</v>
      </c>
      <c r="J3319" s="37">
        <v>991.72</v>
      </c>
      <c r="K3319" s="2">
        <v>37.0</v>
      </c>
      <c r="L3319" s="2">
        <v>299.0</v>
      </c>
      <c r="M3319" s="37">
        <v>1219.72</v>
      </c>
    </row>
    <row r="3320" ht="14.25" customHeight="1">
      <c r="A3320" t="s">
        <v>3380</v>
      </c>
      <c r="B3320" t="s">
        <v>3374</v>
      </c>
      <c r="C3320" t="s">
        <v>62</v>
      </c>
      <c r="D3320" t="s">
        <v>63</v>
      </c>
      <c r="E3320">
        <v>7.07</v>
      </c>
      <c r="F3320">
        <v>7.94</v>
      </c>
      <c r="G3320" s="2" t="s">
        <v>64</v>
      </c>
      <c r="H3320" s="2">
        <v>0.0</v>
      </c>
      <c r="I3320" s="2">
        <v>0.0</v>
      </c>
      <c r="J3320" s="37">
        <v>0.0</v>
      </c>
      <c r="K3320" s="2">
        <v>0.0</v>
      </c>
      <c r="L3320" s="2">
        <v>0.0</v>
      </c>
      <c r="M3320" s="37">
        <v>0.0</v>
      </c>
    </row>
    <row r="3321" ht="14.25" customHeight="1">
      <c r="A3321" t="s">
        <v>3381</v>
      </c>
      <c r="B3321" t="s">
        <v>3374</v>
      </c>
      <c r="C3321" t="s">
        <v>62</v>
      </c>
      <c r="D3321" t="s">
        <v>63</v>
      </c>
      <c r="E3321">
        <v>2.5</v>
      </c>
      <c r="F3321">
        <v>3.2</v>
      </c>
      <c r="G3321" s="2" t="s">
        <v>67</v>
      </c>
      <c r="H3321" s="2">
        <v>16.0</v>
      </c>
      <c r="I3321" s="2">
        <v>121.0</v>
      </c>
      <c r="J3321" s="37">
        <v>516.6600000000001</v>
      </c>
      <c r="K3321" s="2">
        <v>19.0</v>
      </c>
      <c r="L3321" s="2">
        <v>159.0</v>
      </c>
      <c r="M3321" s="37">
        <v>633.44</v>
      </c>
    </row>
    <row r="3322" ht="14.25" customHeight="1">
      <c r="A3322" t="s">
        <v>3382</v>
      </c>
      <c r="B3322" t="s">
        <v>3374</v>
      </c>
      <c r="C3322" t="s">
        <v>62</v>
      </c>
      <c r="D3322" t="s">
        <v>63</v>
      </c>
      <c r="E3322">
        <v>3.5</v>
      </c>
      <c r="F3322">
        <v>4.0</v>
      </c>
      <c r="G3322" s="2" t="s">
        <v>67</v>
      </c>
      <c r="H3322" s="2">
        <v>20.0</v>
      </c>
      <c r="I3322" s="2">
        <v>97.0</v>
      </c>
      <c r="J3322" s="37">
        <v>575.3000000000001</v>
      </c>
      <c r="K3322" s="2">
        <v>22.0</v>
      </c>
      <c r="L3322" s="2">
        <v>150.0</v>
      </c>
      <c r="M3322" s="37">
        <v>689.12</v>
      </c>
    </row>
    <row r="3323" ht="14.25" customHeight="1">
      <c r="A3323" t="s">
        <v>3383</v>
      </c>
      <c r="B3323" t="s">
        <v>3374</v>
      </c>
      <c r="C3323" t="s">
        <v>62</v>
      </c>
      <c r="D3323" t="s">
        <v>63</v>
      </c>
      <c r="E3323">
        <v>3.5</v>
      </c>
      <c r="F3323">
        <v>4.0</v>
      </c>
      <c r="G3323" s="2" t="s">
        <v>64</v>
      </c>
      <c r="H3323" s="2">
        <v>0.0</v>
      </c>
      <c r="I3323" s="2">
        <v>0.0</v>
      </c>
      <c r="J3323" s="37">
        <v>0.0</v>
      </c>
      <c r="K3323" s="2">
        <v>0.0</v>
      </c>
      <c r="L3323" s="2">
        <v>0.0</v>
      </c>
      <c r="M3323" s="37">
        <v>0.0</v>
      </c>
    </row>
    <row r="3324" ht="14.25" customHeight="1">
      <c r="A3324" t="s">
        <v>3384</v>
      </c>
      <c r="B3324" t="s">
        <v>3374</v>
      </c>
      <c r="C3324" t="s">
        <v>62</v>
      </c>
      <c r="D3324" t="s">
        <v>63</v>
      </c>
      <c r="E3324">
        <v>5.0</v>
      </c>
      <c r="F3324">
        <v>6.0</v>
      </c>
      <c r="G3324" s="2" t="s">
        <v>67</v>
      </c>
      <c r="H3324" s="2">
        <v>34.0</v>
      </c>
      <c r="I3324" s="2">
        <v>180.0</v>
      </c>
      <c r="J3324" s="37">
        <v>997.64</v>
      </c>
      <c r="K3324" s="2">
        <v>38.0</v>
      </c>
      <c r="L3324" s="2">
        <v>267.0</v>
      </c>
      <c r="M3324" s="37">
        <v>1200.58</v>
      </c>
    </row>
    <row r="3325" ht="14.25" customHeight="1">
      <c r="A3325" t="s">
        <v>3385</v>
      </c>
      <c r="B3325" t="s">
        <v>3374</v>
      </c>
      <c r="C3325" t="s">
        <v>62</v>
      </c>
      <c r="D3325" t="s">
        <v>63</v>
      </c>
      <c r="E3325">
        <v>7.0</v>
      </c>
      <c r="F3325">
        <v>8.0</v>
      </c>
      <c r="G3325" s="2" t="s">
        <v>64</v>
      </c>
      <c r="H3325" s="2">
        <v>0.0</v>
      </c>
      <c r="I3325" s="2">
        <v>0.0</v>
      </c>
      <c r="J3325" s="37">
        <v>0.0</v>
      </c>
      <c r="K3325" s="2">
        <v>0.0</v>
      </c>
      <c r="L3325" s="2">
        <v>0.0</v>
      </c>
      <c r="M3325" s="37">
        <v>0.0</v>
      </c>
    </row>
    <row r="3326" ht="14.25" customHeight="1">
      <c r="A3326" t="s">
        <v>3386</v>
      </c>
      <c r="B3326" t="s">
        <v>3374</v>
      </c>
      <c r="C3326" t="s">
        <v>62</v>
      </c>
      <c r="D3326" t="s">
        <v>63</v>
      </c>
      <c r="E3326">
        <v>8.0</v>
      </c>
      <c r="F3326">
        <v>9.0</v>
      </c>
      <c r="G3326" s="2" t="s">
        <v>64</v>
      </c>
      <c r="H3326" s="2">
        <v>0.0</v>
      </c>
      <c r="I3326" s="2">
        <v>0.0</v>
      </c>
      <c r="J3326" s="37">
        <v>0.0</v>
      </c>
      <c r="K3326" s="2">
        <v>0.0</v>
      </c>
      <c r="L3326" s="2">
        <v>0.0</v>
      </c>
      <c r="M3326" s="37">
        <v>0.0</v>
      </c>
    </row>
    <row r="3327" ht="14.25" customHeight="1">
      <c r="A3327" t="s">
        <v>3387</v>
      </c>
      <c r="B3327" t="s">
        <v>3374</v>
      </c>
      <c r="C3327" t="s">
        <v>62</v>
      </c>
      <c r="D3327" t="s">
        <v>63</v>
      </c>
      <c r="E3327">
        <v>2.5</v>
      </c>
      <c r="F3327">
        <v>3.2</v>
      </c>
      <c r="G3327" s="2" t="s">
        <v>67</v>
      </c>
      <c r="H3327" s="2">
        <v>15.0</v>
      </c>
      <c r="I3327" s="2">
        <v>63.0</v>
      </c>
      <c r="J3327" s="37">
        <v>418.80000000000007</v>
      </c>
      <c r="K3327" s="2">
        <v>17.0</v>
      </c>
      <c r="L3327" s="2">
        <v>101.0</v>
      </c>
      <c r="M3327" s="37">
        <v>513.12</v>
      </c>
    </row>
    <row r="3328" ht="14.25" customHeight="1">
      <c r="A3328" t="s">
        <v>3388</v>
      </c>
      <c r="B3328" t="s">
        <v>3374</v>
      </c>
      <c r="C3328" t="s">
        <v>62</v>
      </c>
      <c r="D3328" t="s">
        <v>63</v>
      </c>
      <c r="E3328">
        <v>5.0</v>
      </c>
      <c r="F3328">
        <v>6.0</v>
      </c>
      <c r="G3328" s="2" t="s">
        <v>64</v>
      </c>
      <c r="H3328" s="2">
        <v>0.0</v>
      </c>
      <c r="I3328" s="2">
        <v>0.0</v>
      </c>
      <c r="J3328" s="37">
        <v>0.0</v>
      </c>
      <c r="K3328" s="2">
        <v>0.0</v>
      </c>
      <c r="L3328" s="2">
        <v>0.0</v>
      </c>
      <c r="M3328" s="37">
        <v>0.0</v>
      </c>
    </row>
    <row r="3329" ht="14.25" customHeight="1">
      <c r="A3329" t="s">
        <v>3389</v>
      </c>
      <c r="B3329" t="s">
        <v>3374</v>
      </c>
      <c r="C3329" t="s">
        <v>62</v>
      </c>
      <c r="D3329" t="s">
        <v>63</v>
      </c>
      <c r="E3329">
        <v>6.8</v>
      </c>
      <c r="F3329">
        <v>7.2</v>
      </c>
      <c r="G3329" s="2" t="s">
        <v>64</v>
      </c>
      <c r="H3329" s="2">
        <v>0.0</v>
      </c>
      <c r="I3329" s="2">
        <v>0.0</v>
      </c>
      <c r="J3329" s="37">
        <v>0.0</v>
      </c>
      <c r="K3329" s="2">
        <v>0.0</v>
      </c>
      <c r="L3329" s="2">
        <v>0.0</v>
      </c>
      <c r="M3329" s="37">
        <v>0.0</v>
      </c>
    </row>
    <row r="3330" ht="14.25" customHeight="1">
      <c r="A3330" t="s">
        <v>3390</v>
      </c>
      <c r="B3330" t="s">
        <v>3374</v>
      </c>
      <c r="C3330" t="s">
        <v>62</v>
      </c>
      <c r="D3330" t="s">
        <v>63</v>
      </c>
      <c r="E3330">
        <v>8.0</v>
      </c>
      <c r="F3330">
        <v>9.0</v>
      </c>
      <c r="G3330" s="2" t="s">
        <v>64</v>
      </c>
      <c r="H3330" s="2">
        <v>0.0</v>
      </c>
      <c r="I3330" s="2">
        <v>0.0</v>
      </c>
      <c r="J3330" s="37">
        <v>0.0</v>
      </c>
      <c r="K3330" s="2">
        <v>0.0</v>
      </c>
      <c r="L3330" s="2">
        <v>0.0</v>
      </c>
      <c r="M3330" s="37">
        <v>0.0</v>
      </c>
    </row>
    <row r="3331" ht="14.25" customHeight="1">
      <c r="A3331" t="s">
        <v>3391</v>
      </c>
      <c r="B3331" t="s">
        <v>3374</v>
      </c>
      <c r="C3331" t="s">
        <v>62</v>
      </c>
      <c r="D3331" t="s">
        <v>63</v>
      </c>
      <c r="E3331">
        <v>2.5</v>
      </c>
      <c r="F3331">
        <v>3.2</v>
      </c>
      <c r="G3331" s="2" t="s">
        <v>67</v>
      </c>
      <c r="H3331" s="2">
        <v>15.0</v>
      </c>
      <c r="I3331" s="2">
        <v>63.0</v>
      </c>
      <c r="J3331" s="37">
        <v>418.80000000000007</v>
      </c>
      <c r="K3331" s="2">
        <v>17.0</v>
      </c>
      <c r="L3331" s="2">
        <v>101.0</v>
      </c>
      <c r="M3331" s="37">
        <v>513.12</v>
      </c>
    </row>
    <row r="3332" ht="14.25" customHeight="1">
      <c r="A3332" t="s">
        <v>3392</v>
      </c>
      <c r="B3332" t="s">
        <v>3374</v>
      </c>
      <c r="C3332" t="s">
        <v>62</v>
      </c>
      <c r="D3332" t="s">
        <v>63</v>
      </c>
      <c r="E3332">
        <v>3.5</v>
      </c>
      <c r="F3332">
        <v>4.0</v>
      </c>
      <c r="G3332" s="2" t="s">
        <v>64</v>
      </c>
      <c r="H3332" s="2">
        <v>0.0</v>
      </c>
      <c r="I3332" s="2">
        <v>0.0</v>
      </c>
      <c r="J3332" s="37">
        <v>0.0</v>
      </c>
      <c r="K3332" s="2">
        <v>0.0</v>
      </c>
      <c r="L3332" s="2">
        <v>0.0</v>
      </c>
      <c r="M3332" s="37">
        <v>0.0</v>
      </c>
    </row>
    <row r="3333" ht="14.25" customHeight="1">
      <c r="A3333" t="s">
        <v>3393</v>
      </c>
      <c r="B3333" t="s">
        <v>3374</v>
      </c>
      <c r="C3333" t="s">
        <v>62</v>
      </c>
      <c r="D3333" t="s">
        <v>63</v>
      </c>
      <c r="E3333">
        <v>5.0</v>
      </c>
      <c r="F3333">
        <v>6.0</v>
      </c>
      <c r="G3333" s="2" t="s">
        <v>64</v>
      </c>
      <c r="H3333" s="2">
        <v>0.0</v>
      </c>
      <c r="I3333" s="2">
        <v>0.0</v>
      </c>
      <c r="J3333" s="37">
        <v>0.0</v>
      </c>
      <c r="K3333" s="2">
        <v>0.0</v>
      </c>
      <c r="L3333" s="2">
        <v>0.0</v>
      </c>
      <c r="M3333" s="37">
        <v>0.0</v>
      </c>
    </row>
    <row r="3334" ht="14.25" customHeight="1">
      <c r="A3334" t="s">
        <v>3394</v>
      </c>
      <c r="B3334" t="s">
        <v>3374</v>
      </c>
      <c r="C3334" t="s">
        <v>62</v>
      </c>
      <c r="D3334" t="s">
        <v>63</v>
      </c>
      <c r="E3334">
        <v>6.8</v>
      </c>
      <c r="F3334">
        <v>7.2</v>
      </c>
      <c r="G3334" s="2" t="s">
        <v>64</v>
      </c>
      <c r="H3334" s="2">
        <v>0.0</v>
      </c>
      <c r="I3334" s="2">
        <v>0.0</v>
      </c>
      <c r="J3334" s="37">
        <v>0.0</v>
      </c>
      <c r="K3334" s="2">
        <v>0.0</v>
      </c>
      <c r="L3334" s="2">
        <v>0.0</v>
      </c>
      <c r="M3334" s="37">
        <v>0.0</v>
      </c>
    </row>
    <row r="3335" ht="14.25" customHeight="1">
      <c r="A3335" t="s">
        <v>3395</v>
      </c>
      <c r="B3335" t="s">
        <v>3374</v>
      </c>
      <c r="C3335" t="s">
        <v>62</v>
      </c>
      <c r="D3335" t="s">
        <v>63</v>
      </c>
      <c r="E3335">
        <v>8.0</v>
      </c>
      <c r="F3335">
        <v>9.0</v>
      </c>
      <c r="G3335" s="2" t="s">
        <v>64</v>
      </c>
      <c r="H3335" s="2">
        <v>0.0</v>
      </c>
      <c r="I3335" s="2">
        <v>0.0</v>
      </c>
      <c r="J3335" s="37">
        <v>0.0</v>
      </c>
      <c r="K3335" s="2">
        <v>0.0</v>
      </c>
      <c r="L3335" s="2">
        <v>0.0</v>
      </c>
      <c r="M3335" s="37">
        <v>0.0</v>
      </c>
    </row>
    <row r="3336" ht="14.25" customHeight="1">
      <c r="A3336" t="s">
        <v>3396</v>
      </c>
      <c r="B3336" t="s">
        <v>3374</v>
      </c>
      <c r="C3336" t="s">
        <v>62</v>
      </c>
      <c r="D3336" t="s">
        <v>63</v>
      </c>
      <c r="E3336">
        <v>2.5</v>
      </c>
      <c r="F3336">
        <v>3.2</v>
      </c>
      <c r="G3336" s="2" t="s">
        <v>67</v>
      </c>
      <c r="H3336" s="2">
        <v>15.0</v>
      </c>
      <c r="I3336" s="2">
        <v>63.0</v>
      </c>
      <c r="J3336" s="37">
        <v>418.80000000000007</v>
      </c>
      <c r="K3336" s="2">
        <v>17.0</v>
      </c>
      <c r="L3336" s="2">
        <v>101.0</v>
      </c>
      <c r="M3336" s="37">
        <v>513.12</v>
      </c>
    </row>
    <row r="3337" ht="14.25" customHeight="1">
      <c r="A3337" t="s">
        <v>3397</v>
      </c>
      <c r="B3337" t="s">
        <v>3374</v>
      </c>
      <c r="C3337" t="s">
        <v>62</v>
      </c>
      <c r="D3337" t="s">
        <v>63</v>
      </c>
      <c r="E3337">
        <v>2.5</v>
      </c>
      <c r="F3337">
        <v>3.2</v>
      </c>
      <c r="G3337" s="2" t="s">
        <v>67</v>
      </c>
      <c r="H3337" s="2">
        <v>15.0</v>
      </c>
      <c r="I3337" s="2">
        <v>63.0</v>
      </c>
      <c r="J3337" s="37">
        <v>418.80000000000007</v>
      </c>
      <c r="K3337" s="2">
        <v>17.0</v>
      </c>
      <c r="L3337" s="2">
        <v>101.0</v>
      </c>
      <c r="M3337" s="37">
        <v>513.12</v>
      </c>
    </row>
    <row r="3338" ht="14.25" customHeight="1">
      <c r="A3338" t="s">
        <v>3398</v>
      </c>
      <c r="B3338" t="s">
        <v>3374</v>
      </c>
      <c r="C3338" t="s">
        <v>62</v>
      </c>
      <c r="D3338" t="s">
        <v>63</v>
      </c>
      <c r="E3338">
        <v>3.5</v>
      </c>
      <c r="F3338">
        <v>4.0</v>
      </c>
      <c r="G3338" s="2" t="s">
        <v>64</v>
      </c>
      <c r="H3338" s="2">
        <v>0.0</v>
      </c>
      <c r="I3338" s="2">
        <v>0.0</v>
      </c>
      <c r="J3338" s="37">
        <v>0.0</v>
      </c>
      <c r="K3338" s="2">
        <v>0.0</v>
      </c>
      <c r="L3338" s="2">
        <v>0.0</v>
      </c>
      <c r="M3338" s="37">
        <v>0.0</v>
      </c>
    </row>
    <row r="3339" ht="14.25" customHeight="1">
      <c r="A3339" t="s">
        <v>3399</v>
      </c>
      <c r="B3339" t="s">
        <v>3374</v>
      </c>
      <c r="C3339" t="s">
        <v>62</v>
      </c>
      <c r="D3339" t="s">
        <v>63</v>
      </c>
      <c r="E3339">
        <v>3.5</v>
      </c>
      <c r="F3339">
        <v>4.0</v>
      </c>
      <c r="G3339" s="2" t="s">
        <v>64</v>
      </c>
      <c r="H3339" s="2">
        <v>0.0</v>
      </c>
      <c r="I3339" s="2">
        <v>0.0</v>
      </c>
      <c r="J3339" s="37">
        <v>0.0</v>
      </c>
      <c r="K3339" s="2">
        <v>0.0</v>
      </c>
      <c r="L3339" s="2">
        <v>0.0</v>
      </c>
      <c r="M3339" s="37">
        <v>0.0</v>
      </c>
    </row>
    <row r="3340" ht="14.25" customHeight="1">
      <c r="A3340" t="s">
        <v>3400</v>
      </c>
      <c r="B3340" t="s">
        <v>3374</v>
      </c>
      <c r="C3340" t="s">
        <v>62</v>
      </c>
      <c r="D3340" t="s">
        <v>63</v>
      </c>
      <c r="E3340">
        <v>5.0</v>
      </c>
      <c r="F3340">
        <v>6.0</v>
      </c>
      <c r="G3340" s="2" t="s">
        <v>64</v>
      </c>
      <c r="H3340" s="2">
        <v>0.0</v>
      </c>
      <c r="I3340" s="2">
        <v>0.0</v>
      </c>
      <c r="J3340" s="37">
        <v>0.0</v>
      </c>
      <c r="K3340" s="2">
        <v>0.0</v>
      </c>
      <c r="L3340" s="2">
        <v>0.0</v>
      </c>
      <c r="M3340" s="37">
        <v>0.0</v>
      </c>
    </row>
    <row r="3341" ht="14.25" customHeight="1">
      <c r="A3341" t="s">
        <v>3401</v>
      </c>
      <c r="B3341" t="s">
        <v>3374</v>
      </c>
      <c r="C3341" t="s">
        <v>62</v>
      </c>
      <c r="D3341" t="s">
        <v>63</v>
      </c>
      <c r="E3341">
        <v>5.0</v>
      </c>
      <c r="F3341">
        <v>6.0</v>
      </c>
      <c r="G3341" s="2" t="s">
        <v>64</v>
      </c>
      <c r="H3341" s="2">
        <v>0.0</v>
      </c>
      <c r="I3341" s="2">
        <v>0.0</v>
      </c>
      <c r="J3341" s="37">
        <v>0.0</v>
      </c>
      <c r="K3341" s="2">
        <v>0.0</v>
      </c>
      <c r="L3341" s="2">
        <v>0.0</v>
      </c>
      <c r="M3341" s="37">
        <v>0.0</v>
      </c>
    </row>
    <row r="3342" ht="14.25" customHeight="1">
      <c r="A3342" t="s">
        <v>3402</v>
      </c>
      <c r="B3342" t="s">
        <v>3374</v>
      </c>
      <c r="C3342" t="s">
        <v>62</v>
      </c>
      <c r="D3342" t="s">
        <v>63</v>
      </c>
      <c r="E3342">
        <v>6.8</v>
      </c>
      <c r="F3342">
        <v>7.2</v>
      </c>
      <c r="G3342" s="2" t="s">
        <v>64</v>
      </c>
      <c r="H3342" s="2">
        <v>0.0</v>
      </c>
      <c r="I3342" s="2">
        <v>0.0</v>
      </c>
      <c r="J3342" s="37">
        <v>0.0</v>
      </c>
      <c r="K3342" s="2">
        <v>0.0</v>
      </c>
      <c r="L3342" s="2">
        <v>0.0</v>
      </c>
      <c r="M3342" s="37">
        <v>0.0</v>
      </c>
    </row>
    <row r="3343" ht="14.25" customHeight="1">
      <c r="A3343" t="s">
        <v>3403</v>
      </c>
      <c r="B3343" t="s">
        <v>3374</v>
      </c>
      <c r="C3343" t="s">
        <v>62</v>
      </c>
      <c r="D3343" t="s">
        <v>63</v>
      </c>
      <c r="E3343">
        <v>8.0</v>
      </c>
      <c r="F3343">
        <v>9.0</v>
      </c>
      <c r="G3343" s="2" t="s">
        <v>64</v>
      </c>
      <c r="H3343" s="2">
        <v>0.0</v>
      </c>
      <c r="I3343" s="2">
        <v>0.0</v>
      </c>
      <c r="J3343" s="37">
        <v>0.0</v>
      </c>
      <c r="K3343" s="2">
        <v>0.0</v>
      </c>
      <c r="L3343" s="2">
        <v>0.0</v>
      </c>
      <c r="M3343" s="37">
        <v>0.0</v>
      </c>
    </row>
    <row r="3344" ht="14.25" customHeight="1">
      <c r="A3344" t="s">
        <v>3404</v>
      </c>
      <c r="B3344" t="s">
        <v>3374</v>
      </c>
      <c r="C3344" t="s">
        <v>62</v>
      </c>
      <c r="D3344" t="s">
        <v>63</v>
      </c>
      <c r="E3344">
        <v>8.0</v>
      </c>
      <c r="F3344">
        <v>9.0</v>
      </c>
      <c r="G3344" s="2" t="s">
        <v>64</v>
      </c>
      <c r="H3344" s="2">
        <v>0.0</v>
      </c>
      <c r="I3344" s="2">
        <v>0.0</v>
      </c>
      <c r="J3344" s="37">
        <v>0.0</v>
      </c>
      <c r="K3344" s="2">
        <v>0.0</v>
      </c>
      <c r="L3344" s="2">
        <v>0.0</v>
      </c>
      <c r="M3344" s="37">
        <v>0.0</v>
      </c>
    </row>
    <row r="3345" ht="14.25" customHeight="1">
      <c r="A3345" t="s">
        <v>3405</v>
      </c>
      <c r="B3345" t="s">
        <v>3374</v>
      </c>
      <c r="C3345" t="s">
        <v>62</v>
      </c>
      <c r="D3345" t="s">
        <v>63</v>
      </c>
      <c r="E3345">
        <v>6.8</v>
      </c>
      <c r="F3345">
        <v>7.2</v>
      </c>
      <c r="G3345" s="2" t="s">
        <v>64</v>
      </c>
      <c r="H3345" s="2">
        <v>0.0</v>
      </c>
      <c r="I3345" s="2">
        <v>0.0</v>
      </c>
      <c r="J3345" s="37">
        <v>0.0</v>
      </c>
      <c r="K3345" s="2">
        <v>0.0</v>
      </c>
      <c r="L3345" s="2">
        <v>0.0</v>
      </c>
      <c r="M3345" s="37">
        <v>0.0</v>
      </c>
    </row>
    <row r="3346" ht="14.25" customHeight="1">
      <c r="A3346" t="s">
        <v>3406</v>
      </c>
      <c r="B3346" t="s">
        <v>3374</v>
      </c>
      <c r="C3346" t="s">
        <v>75</v>
      </c>
      <c r="D3346" t="s">
        <v>63</v>
      </c>
      <c r="E3346">
        <v>16.0</v>
      </c>
      <c r="F3346">
        <v>18.0</v>
      </c>
      <c r="G3346" s="2" t="s">
        <v>67</v>
      </c>
      <c r="H3346" s="2">
        <v>92.0</v>
      </c>
      <c r="I3346" s="2">
        <v>404.0</v>
      </c>
      <c r="J3346" s="37">
        <v>2591.5200000000004</v>
      </c>
      <c r="K3346" s="2">
        <v>108.0</v>
      </c>
      <c r="L3346" s="2">
        <v>714.0</v>
      </c>
      <c r="M3346" s="37">
        <v>3353.88</v>
      </c>
    </row>
    <row r="3347" ht="14.25" customHeight="1">
      <c r="A3347" t="s">
        <v>3407</v>
      </c>
      <c r="B3347" t="s">
        <v>3374</v>
      </c>
      <c r="C3347" t="s">
        <v>75</v>
      </c>
      <c r="D3347" t="s">
        <v>63</v>
      </c>
      <c r="E3347">
        <v>16.0</v>
      </c>
      <c r="F3347">
        <v>18.0</v>
      </c>
      <c r="G3347" s="2" t="s">
        <v>67</v>
      </c>
      <c r="H3347" s="2">
        <v>92.0</v>
      </c>
      <c r="I3347" s="2">
        <v>404.0</v>
      </c>
      <c r="J3347" s="37">
        <v>2591.5200000000004</v>
      </c>
      <c r="K3347" s="2">
        <v>108.0</v>
      </c>
      <c r="L3347" s="2">
        <v>714.0</v>
      </c>
      <c r="M3347" s="37">
        <v>3353.88</v>
      </c>
    </row>
    <row r="3348" ht="14.25" customHeight="1">
      <c r="A3348" t="s">
        <v>3408</v>
      </c>
      <c r="B3348" t="s">
        <v>3374</v>
      </c>
      <c r="C3348" t="s">
        <v>75</v>
      </c>
      <c r="D3348" t="s">
        <v>63</v>
      </c>
      <c r="E3348">
        <v>12.0</v>
      </c>
      <c r="F3348">
        <v>14.0</v>
      </c>
      <c r="G3348" s="2" t="s">
        <v>67</v>
      </c>
      <c r="H3348" s="2">
        <v>73.0</v>
      </c>
      <c r="I3348" s="2">
        <v>219.0</v>
      </c>
      <c r="J3348" s="37">
        <v>1924.2800000000002</v>
      </c>
      <c r="K3348" s="2">
        <v>86.0</v>
      </c>
      <c r="L3348" s="2">
        <v>451.0</v>
      </c>
      <c r="M3348" s="37">
        <v>2517.86</v>
      </c>
    </row>
    <row r="3349" ht="14.25" customHeight="1">
      <c r="A3349" t="s">
        <v>3409</v>
      </c>
      <c r="B3349" t="s">
        <v>3374</v>
      </c>
      <c r="C3349" t="s">
        <v>75</v>
      </c>
      <c r="D3349" t="s">
        <v>63</v>
      </c>
      <c r="E3349">
        <v>12.0</v>
      </c>
      <c r="F3349">
        <v>14.0</v>
      </c>
      <c r="G3349" s="2" t="s">
        <v>67</v>
      </c>
      <c r="H3349" s="2">
        <v>73.0</v>
      </c>
      <c r="I3349" s="2">
        <v>219.0</v>
      </c>
      <c r="J3349" s="37">
        <v>1924.2800000000002</v>
      </c>
      <c r="K3349" s="2">
        <v>86.0</v>
      </c>
      <c r="L3349" s="2">
        <v>451.0</v>
      </c>
      <c r="M3349" s="37">
        <v>2517.86</v>
      </c>
    </row>
    <row r="3350" ht="14.25" customHeight="1">
      <c r="A3350" t="s">
        <v>3410</v>
      </c>
      <c r="B3350" t="s">
        <v>3374</v>
      </c>
      <c r="C3350" t="s">
        <v>75</v>
      </c>
      <c r="D3350" t="s">
        <v>63</v>
      </c>
      <c r="E3350">
        <v>5.2</v>
      </c>
      <c r="F3350">
        <v>6.0</v>
      </c>
      <c r="G3350" s="2" t="s">
        <v>67</v>
      </c>
      <c r="H3350" s="2">
        <v>32.0</v>
      </c>
      <c r="I3350" s="2">
        <v>149.0</v>
      </c>
      <c r="J3350" s="37">
        <v>912.4200000000001</v>
      </c>
      <c r="K3350" s="2">
        <v>37.0</v>
      </c>
      <c r="L3350" s="2">
        <v>250.0</v>
      </c>
      <c r="M3350" s="37">
        <v>1156.02</v>
      </c>
    </row>
    <row r="3351" ht="14.25" customHeight="1">
      <c r="A3351" t="s">
        <v>3411</v>
      </c>
      <c r="B3351" t="s">
        <v>3374</v>
      </c>
      <c r="C3351" t="s">
        <v>75</v>
      </c>
      <c r="D3351" t="s">
        <v>63</v>
      </c>
      <c r="E3351">
        <v>10.0</v>
      </c>
      <c r="F3351">
        <v>11.2</v>
      </c>
      <c r="G3351" s="2" t="s">
        <v>67</v>
      </c>
      <c r="H3351" s="2">
        <v>60.0</v>
      </c>
      <c r="I3351" s="2">
        <v>294.0</v>
      </c>
      <c r="J3351" s="37">
        <v>1729.8000000000002</v>
      </c>
      <c r="K3351" s="2">
        <v>70.0</v>
      </c>
      <c r="L3351" s="2">
        <v>488.0</v>
      </c>
      <c r="M3351" s="37">
        <v>2206.6</v>
      </c>
    </row>
    <row r="3352" ht="14.25" customHeight="1">
      <c r="A3352" t="s">
        <v>3412</v>
      </c>
      <c r="B3352" t="s">
        <v>3374</v>
      </c>
      <c r="C3352" t="s">
        <v>75</v>
      </c>
      <c r="D3352" t="s">
        <v>63</v>
      </c>
      <c r="E3352">
        <v>10.0</v>
      </c>
      <c r="F3352">
        <v>11.2</v>
      </c>
      <c r="G3352" s="2" t="s">
        <v>67</v>
      </c>
      <c r="H3352" s="2">
        <v>60.0</v>
      </c>
      <c r="I3352" s="2">
        <v>294.0</v>
      </c>
      <c r="J3352" s="37">
        <v>1729.8000000000002</v>
      </c>
      <c r="K3352" s="2">
        <v>70.0</v>
      </c>
      <c r="L3352" s="2">
        <v>488.0</v>
      </c>
      <c r="M3352" s="37">
        <v>2206.6</v>
      </c>
    </row>
    <row r="3353" ht="14.25" customHeight="1">
      <c r="A3353" t="s">
        <v>3413</v>
      </c>
      <c r="B3353" t="s">
        <v>3374</v>
      </c>
      <c r="C3353" t="s">
        <v>75</v>
      </c>
      <c r="D3353" t="s">
        <v>63</v>
      </c>
      <c r="E3353">
        <v>7.1</v>
      </c>
      <c r="F3353">
        <v>8.0</v>
      </c>
      <c r="G3353" s="2" t="s">
        <v>67</v>
      </c>
      <c r="H3353" s="2">
        <v>43.0</v>
      </c>
      <c r="I3353" s="2">
        <v>45.0</v>
      </c>
      <c r="J3353" s="37">
        <v>1024.2800000000002</v>
      </c>
      <c r="K3353" s="2">
        <v>50.0</v>
      </c>
      <c r="L3353" s="2">
        <v>182.0</v>
      </c>
      <c r="M3353" s="37">
        <v>1359.6</v>
      </c>
    </row>
    <row r="3354" ht="14.25" customHeight="1">
      <c r="A3354" t="s">
        <v>3414</v>
      </c>
      <c r="B3354" t="s">
        <v>3374</v>
      </c>
      <c r="C3354" t="s">
        <v>75</v>
      </c>
      <c r="D3354" t="s">
        <v>63</v>
      </c>
      <c r="E3354">
        <v>8.5</v>
      </c>
      <c r="F3354">
        <v>10.0</v>
      </c>
      <c r="G3354" s="2" t="s">
        <v>64</v>
      </c>
      <c r="H3354" s="2">
        <v>0.0</v>
      </c>
      <c r="I3354" s="2">
        <v>0.0</v>
      </c>
      <c r="J3354" s="37">
        <v>0.0</v>
      </c>
      <c r="K3354" s="2">
        <v>0.0</v>
      </c>
      <c r="L3354" s="2">
        <v>0.0</v>
      </c>
      <c r="M3354" s="37">
        <v>0.0</v>
      </c>
    </row>
    <row r="3355" ht="14.25" customHeight="1">
      <c r="A3355" t="s">
        <v>3415</v>
      </c>
      <c r="B3355" t="s">
        <v>3374</v>
      </c>
      <c r="C3355" t="s">
        <v>75</v>
      </c>
      <c r="D3355" t="s">
        <v>63</v>
      </c>
      <c r="E3355">
        <v>14.0</v>
      </c>
      <c r="F3355">
        <v>16.0</v>
      </c>
      <c r="G3355" s="2" t="s">
        <v>67</v>
      </c>
      <c r="H3355" s="2">
        <v>76.0</v>
      </c>
      <c r="I3355" s="2">
        <v>48.0</v>
      </c>
      <c r="J3355" s="37">
        <v>1769.3600000000001</v>
      </c>
      <c r="K3355" s="2">
        <v>90.0</v>
      </c>
      <c r="L3355" s="2">
        <v>319.0</v>
      </c>
      <c r="M3355" s="37">
        <v>2436.1</v>
      </c>
    </row>
    <row r="3356" ht="14.25" customHeight="1">
      <c r="A3356" t="s">
        <v>3416</v>
      </c>
      <c r="B3356" t="s">
        <v>3374</v>
      </c>
      <c r="C3356" t="s">
        <v>75</v>
      </c>
      <c r="D3356" t="s">
        <v>63</v>
      </c>
      <c r="E3356">
        <v>14.0</v>
      </c>
      <c r="F3356">
        <v>16.0</v>
      </c>
      <c r="G3356" s="2" t="s">
        <v>67</v>
      </c>
      <c r="H3356" s="2">
        <v>75.0</v>
      </c>
      <c r="I3356" s="2">
        <v>48.0</v>
      </c>
      <c r="J3356" s="37">
        <v>1746.9</v>
      </c>
      <c r="K3356" s="2">
        <v>90.0</v>
      </c>
      <c r="L3356" s="2">
        <v>319.0</v>
      </c>
      <c r="M3356" s="37">
        <v>2436.1</v>
      </c>
    </row>
    <row r="3357" ht="14.25" customHeight="1">
      <c r="A3357" t="s">
        <v>3417</v>
      </c>
      <c r="B3357" t="s">
        <v>3374</v>
      </c>
      <c r="C3357" t="s">
        <v>62</v>
      </c>
      <c r="D3357" t="s">
        <v>63</v>
      </c>
      <c r="E3357">
        <v>7.1</v>
      </c>
      <c r="F3357">
        <v>8.0</v>
      </c>
      <c r="G3357" s="2" t="s">
        <v>67</v>
      </c>
      <c r="H3357" s="2">
        <v>41.0</v>
      </c>
      <c r="I3357" s="2">
        <v>159.0</v>
      </c>
      <c r="J3357" s="37">
        <v>1127.56</v>
      </c>
      <c r="K3357" s="2">
        <v>48.0</v>
      </c>
      <c r="L3357" s="2">
        <v>282.0</v>
      </c>
      <c r="M3357" s="37">
        <v>1444.6799999999998</v>
      </c>
    </row>
    <row r="3358" ht="14.25" customHeight="1">
      <c r="A3358" t="s">
        <v>3418</v>
      </c>
      <c r="B3358" t="s">
        <v>3374</v>
      </c>
      <c r="C3358" t="s">
        <v>62</v>
      </c>
      <c r="D3358" t="s">
        <v>63</v>
      </c>
      <c r="E3358">
        <v>10.0</v>
      </c>
      <c r="F3358">
        <v>11.2</v>
      </c>
      <c r="G3358" s="2" t="s">
        <v>64</v>
      </c>
      <c r="H3358" s="2">
        <v>0.0</v>
      </c>
      <c r="I3358" s="2">
        <v>0.0</v>
      </c>
      <c r="J3358" s="37">
        <v>0.0</v>
      </c>
      <c r="K3358" s="2">
        <v>0.0</v>
      </c>
      <c r="L3358" s="2">
        <v>0.0</v>
      </c>
      <c r="M3358" s="37">
        <v>0.0</v>
      </c>
    </row>
    <row r="3359" ht="14.25" customHeight="1">
      <c r="A3359" t="s">
        <v>3419</v>
      </c>
      <c r="B3359" t="s">
        <v>3374</v>
      </c>
      <c r="C3359" t="s">
        <v>62</v>
      </c>
      <c r="D3359" t="s">
        <v>63</v>
      </c>
      <c r="E3359">
        <v>12.5</v>
      </c>
      <c r="F3359">
        <v>14.0</v>
      </c>
      <c r="G3359" s="2" t="s">
        <v>64</v>
      </c>
      <c r="H3359" s="2">
        <v>0.0</v>
      </c>
      <c r="I3359" s="2">
        <v>0.0</v>
      </c>
      <c r="J3359" s="37">
        <v>0.0</v>
      </c>
      <c r="K3359" s="2">
        <v>0.0</v>
      </c>
      <c r="L3359" s="2">
        <v>0.0</v>
      </c>
      <c r="M3359" s="37">
        <v>0.0</v>
      </c>
    </row>
    <row r="3360" ht="14.25" customHeight="1">
      <c r="A3360" t="s">
        <v>3420</v>
      </c>
      <c r="B3360" t="s">
        <v>3374</v>
      </c>
      <c r="C3360" t="s">
        <v>62</v>
      </c>
      <c r="D3360" t="s">
        <v>63</v>
      </c>
      <c r="E3360">
        <v>14.0</v>
      </c>
      <c r="F3360">
        <v>16.0</v>
      </c>
      <c r="G3360" s="2" t="s">
        <v>67</v>
      </c>
      <c r="H3360" s="2">
        <v>74.0</v>
      </c>
      <c r="I3360" s="2">
        <v>76.0</v>
      </c>
      <c r="J3360" s="37">
        <v>1760.84</v>
      </c>
      <c r="K3360" s="2">
        <v>88.0</v>
      </c>
      <c r="L3360" s="2">
        <v>347.0</v>
      </c>
      <c r="M3360" s="37">
        <v>2427.58</v>
      </c>
    </row>
    <row r="3361" ht="14.25" customHeight="1">
      <c r="A3361" t="s">
        <v>3421</v>
      </c>
      <c r="B3361" t="s">
        <v>3374</v>
      </c>
      <c r="C3361" t="s">
        <v>62</v>
      </c>
      <c r="D3361" t="s">
        <v>63</v>
      </c>
      <c r="E3361">
        <v>7.1</v>
      </c>
      <c r="F3361">
        <v>8.0</v>
      </c>
      <c r="G3361" s="2" t="s">
        <v>67</v>
      </c>
      <c r="H3361" s="2">
        <v>41.0</v>
      </c>
      <c r="I3361" s="2">
        <v>159.0</v>
      </c>
      <c r="J3361" s="37">
        <v>1127.56</v>
      </c>
      <c r="K3361" s="2">
        <v>47.0</v>
      </c>
      <c r="L3361" s="2">
        <v>282.0</v>
      </c>
      <c r="M3361" s="37">
        <v>1422.2200000000003</v>
      </c>
    </row>
    <row r="3362" ht="14.25" customHeight="1">
      <c r="A3362" t="s">
        <v>3422</v>
      </c>
      <c r="B3362" t="s">
        <v>3374</v>
      </c>
      <c r="C3362" t="s">
        <v>62</v>
      </c>
      <c r="D3362" t="s">
        <v>63</v>
      </c>
      <c r="E3362">
        <v>10.0</v>
      </c>
      <c r="F3362">
        <v>11.2</v>
      </c>
      <c r="G3362" s="2" t="s">
        <v>64</v>
      </c>
      <c r="H3362" s="2">
        <v>0.0</v>
      </c>
      <c r="I3362" s="2">
        <v>0.0</v>
      </c>
      <c r="J3362" s="37">
        <v>0.0</v>
      </c>
      <c r="K3362" s="2">
        <v>0.0</v>
      </c>
      <c r="L3362" s="2">
        <v>0.0</v>
      </c>
      <c r="M3362" s="37">
        <v>0.0</v>
      </c>
    </row>
    <row r="3363" ht="14.25" customHeight="1">
      <c r="A3363" t="s">
        <v>3423</v>
      </c>
      <c r="B3363" t="s">
        <v>3374</v>
      </c>
      <c r="C3363" t="s">
        <v>62</v>
      </c>
      <c r="D3363" t="s">
        <v>63</v>
      </c>
      <c r="E3363">
        <v>12.5</v>
      </c>
      <c r="F3363">
        <v>14.0</v>
      </c>
      <c r="G3363" s="2" t="s">
        <v>64</v>
      </c>
      <c r="H3363" s="2">
        <v>0.0</v>
      </c>
      <c r="I3363" s="2">
        <v>0.0</v>
      </c>
      <c r="J3363" s="37">
        <v>0.0</v>
      </c>
      <c r="K3363" s="2">
        <v>0.0</v>
      </c>
      <c r="L3363" s="2">
        <v>0.0</v>
      </c>
      <c r="M3363" s="37">
        <v>0.0</v>
      </c>
    </row>
    <row r="3364" ht="14.25" customHeight="1">
      <c r="A3364" t="s">
        <v>3424</v>
      </c>
      <c r="B3364" t="s">
        <v>3374</v>
      </c>
      <c r="C3364" t="s">
        <v>62</v>
      </c>
      <c r="D3364" t="s">
        <v>63</v>
      </c>
      <c r="E3364">
        <v>13.6</v>
      </c>
      <c r="F3364">
        <v>16.0</v>
      </c>
      <c r="G3364" s="2" t="s">
        <v>67</v>
      </c>
      <c r="H3364" s="2">
        <v>71.0</v>
      </c>
      <c r="I3364" s="2">
        <v>76.0</v>
      </c>
      <c r="J3364" s="37">
        <v>1693.46</v>
      </c>
      <c r="K3364" s="2">
        <v>85.0</v>
      </c>
      <c r="L3364" s="2">
        <v>340.0</v>
      </c>
      <c r="M3364" s="37">
        <v>2351.1000000000004</v>
      </c>
    </row>
    <row r="3365" ht="14.25" customHeight="1">
      <c r="A3365" t="s">
        <v>3425</v>
      </c>
      <c r="B3365" t="s">
        <v>3374</v>
      </c>
      <c r="C3365" t="s">
        <v>75</v>
      </c>
      <c r="D3365" t="s">
        <v>63</v>
      </c>
      <c r="E3365">
        <v>10.0</v>
      </c>
      <c r="F3365">
        <v>12.5</v>
      </c>
      <c r="G3365" s="2" t="s">
        <v>64</v>
      </c>
      <c r="H3365" s="2">
        <v>0.0</v>
      </c>
      <c r="I3365" s="2">
        <v>0.0</v>
      </c>
      <c r="J3365" s="37">
        <v>0.0</v>
      </c>
      <c r="K3365" s="2">
        <v>0.0</v>
      </c>
      <c r="L3365" s="2">
        <v>0.0</v>
      </c>
      <c r="M3365" s="37">
        <v>0.0</v>
      </c>
    </row>
    <row r="3366" ht="14.25" customHeight="1">
      <c r="A3366" t="s">
        <v>3426</v>
      </c>
      <c r="B3366" t="s">
        <v>3374</v>
      </c>
      <c r="C3366" t="s">
        <v>75</v>
      </c>
      <c r="D3366" t="s">
        <v>63</v>
      </c>
      <c r="E3366">
        <v>12.5</v>
      </c>
      <c r="F3366">
        <v>15.0</v>
      </c>
      <c r="G3366" s="2" t="s">
        <v>64</v>
      </c>
      <c r="H3366" s="2">
        <v>0.0</v>
      </c>
      <c r="I3366" s="2">
        <v>0.0</v>
      </c>
      <c r="J3366" s="37">
        <v>0.0</v>
      </c>
      <c r="K3366" s="2">
        <v>0.0</v>
      </c>
      <c r="L3366" s="2">
        <v>0.0</v>
      </c>
      <c r="M3366" s="37">
        <v>0.0</v>
      </c>
    </row>
    <row r="3367" ht="14.25" customHeight="1">
      <c r="A3367" t="s">
        <v>3427</v>
      </c>
      <c r="B3367" t="s">
        <v>3374</v>
      </c>
      <c r="C3367" t="s">
        <v>75</v>
      </c>
      <c r="D3367" t="s">
        <v>63</v>
      </c>
      <c r="E3367">
        <v>14.0</v>
      </c>
      <c r="F3367">
        <v>16.5</v>
      </c>
      <c r="G3367" s="2" t="s">
        <v>64</v>
      </c>
      <c r="H3367" s="2">
        <v>0.0</v>
      </c>
      <c r="I3367" s="2">
        <v>0.0</v>
      </c>
      <c r="J3367" s="37">
        <v>0.0</v>
      </c>
      <c r="K3367" s="2">
        <v>0.0</v>
      </c>
      <c r="L3367" s="2">
        <v>0.0</v>
      </c>
      <c r="M3367" s="37">
        <v>0.0</v>
      </c>
    </row>
    <row r="3368" ht="14.25" customHeight="1">
      <c r="A3368" t="s">
        <v>3428</v>
      </c>
      <c r="B3368" t="s">
        <v>3374</v>
      </c>
      <c r="C3368" t="s">
        <v>75</v>
      </c>
      <c r="D3368" t="s">
        <v>63</v>
      </c>
      <c r="E3368">
        <v>15.5</v>
      </c>
      <c r="F3368">
        <v>18.0</v>
      </c>
      <c r="G3368" s="2" t="s">
        <v>64</v>
      </c>
      <c r="H3368" s="2">
        <v>0.0</v>
      </c>
      <c r="I3368" s="2">
        <v>0.0</v>
      </c>
      <c r="J3368" s="37">
        <v>0.0</v>
      </c>
      <c r="K3368" s="2">
        <v>0.0</v>
      </c>
      <c r="L3368" s="2">
        <v>0.0</v>
      </c>
      <c r="M3368" s="37">
        <v>0.0</v>
      </c>
    </row>
    <row r="3369" ht="14.25" customHeight="1">
      <c r="A3369" t="s">
        <v>3429</v>
      </c>
      <c r="B3369" t="s">
        <v>3374</v>
      </c>
      <c r="C3369" t="s">
        <v>75</v>
      </c>
      <c r="D3369" t="s">
        <v>63</v>
      </c>
      <c r="E3369">
        <v>10.0</v>
      </c>
      <c r="F3369">
        <v>12.5</v>
      </c>
      <c r="G3369" s="2" t="s">
        <v>64</v>
      </c>
      <c r="H3369" s="2">
        <v>0.0</v>
      </c>
      <c r="I3369" s="2">
        <v>0.0</v>
      </c>
      <c r="J3369" s="37">
        <v>0.0</v>
      </c>
      <c r="K3369" s="2">
        <v>0.0</v>
      </c>
      <c r="L3369" s="2">
        <v>0.0</v>
      </c>
      <c r="M3369" s="37">
        <v>0.0</v>
      </c>
    </row>
    <row r="3370" ht="14.25" customHeight="1">
      <c r="A3370" t="s">
        <v>3430</v>
      </c>
      <c r="B3370" t="s">
        <v>3374</v>
      </c>
      <c r="C3370" t="s">
        <v>75</v>
      </c>
      <c r="D3370" t="s">
        <v>63</v>
      </c>
      <c r="E3370">
        <v>12.5</v>
      </c>
      <c r="F3370">
        <v>15.0</v>
      </c>
      <c r="G3370" s="2" t="s">
        <v>64</v>
      </c>
      <c r="H3370" s="2">
        <v>0.0</v>
      </c>
      <c r="I3370" s="2">
        <v>0.0</v>
      </c>
      <c r="J3370" s="37">
        <v>0.0</v>
      </c>
      <c r="K3370" s="2">
        <v>0.0</v>
      </c>
      <c r="L3370" s="2">
        <v>0.0</v>
      </c>
      <c r="M3370" s="37">
        <v>0.0</v>
      </c>
    </row>
    <row r="3371" ht="14.25" customHeight="1">
      <c r="A3371" t="s">
        <v>3431</v>
      </c>
      <c r="B3371" t="s">
        <v>3374</v>
      </c>
      <c r="C3371" t="s">
        <v>75</v>
      </c>
      <c r="D3371" t="s">
        <v>63</v>
      </c>
      <c r="E3371">
        <v>14.0</v>
      </c>
      <c r="F3371">
        <v>16.5</v>
      </c>
      <c r="G3371" s="2" t="s">
        <v>64</v>
      </c>
      <c r="H3371" s="2">
        <v>0.0</v>
      </c>
      <c r="I3371" s="2">
        <v>0.0</v>
      </c>
      <c r="J3371" s="37">
        <v>0.0</v>
      </c>
      <c r="K3371" s="2">
        <v>0.0</v>
      </c>
      <c r="L3371" s="2">
        <v>0.0</v>
      </c>
      <c r="M3371" s="37">
        <v>0.0</v>
      </c>
    </row>
    <row r="3372" ht="14.25" customHeight="1">
      <c r="A3372" t="s">
        <v>3432</v>
      </c>
      <c r="B3372" t="s">
        <v>3374</v>
      </c>
      <c r="C3372" t="s">
        <v>75</v>
      </c>
      <c r="D3372" t="s">
        <v>63</v>
      </c>
      <c r="E3372">
        <v>15.5</v>
      </c>
      <c r="F3372">
        <v>18.0</v>
      </c>
      <c r="G3372" s="2" t="s">
        <v>64</v>
      </c>
      <c r="H3372" s="2">
        <v>0.0</v>
      </c>
      <c r="I3372" s="2">
        <v>0.0</v>
      </c>
      <c r="J3372" s="37">
        <v>0.0</v>
      </c>
      <c r="K3372" s="2">
        <v>0.0</v>
      </c>
      <c r="L3372" s="2">
        <v>0.0</v>
      </c>
      <c r="M3372" s="37">
        <v>0.0</v>
      </c>
    </row>
    <row r="3373" ht="14.25" customHeight="1">
      <c r="A3373" t="s">
        <v>3433</v>
      </c>
      <c r="B3373" t="s">
        <v>3374</v>
      </c>
      <c r="C3373" t="s">
        <v>75</v>
      </c>
      <c r="D3373" t="s">
        <v>63</v>
      </c>
      <c r="E3373">
        <v>18.0</v>
      </c>
      <c r="F3373">
        <v>20.0</v>
      </c>
      <c r="G3373" s="2" t="s">
        <v>64</v>
      </c>
      <c r="H3373" s="2">
        <v>0.0</v>
      </c>
      <c r="I3373" s="2">
        <v>0.0</v>
      </c>
      <c r="J3373" s="37">
        <v>0.0</v>
      </c>
      <c r="K3373" s="2">
        <v>0.0</v>
      </c>
      <c r="L3373" s="2">
        <v>0.0</v>
      </c>
      <c r="M3373" s="37">
        <v>0.0</v>
      </c>
    </row>
    <row r="3374" ht="14.25" customHeight="1">
      <c r="A3374" t="s">
        <v>3434</v>
      </c>
      <c r="B3374" t="s">
        <v>3435</v>
      </c>
      <c r="C3374" t="s">
        <v>62</v>
      </c>
      <c r="D3374" t="s">
        <v>268</v>
      </c>
      <c r="E3374">
        <v>2.93</v>
      </c>
      <c r="F3374">
        <v>2.49</v>
      </c>
      <c r="G3374" s="2" t="s">
        <v>64</v>
      </c>
      <c r="H3374" s="2">
        <v>0.0</v>
      </c>
      <c r="I3374" s="2">
        <v>0.0</v>
      </c>
      <c r="J3374" s="37">
        <v>0.0</v>
      </c>
      <c r="K3374" s="2">
        <v>0.0</v>
      </c>
      <c r="L3374" s="2">
        <v>0.0</v>
      </c>
      <c r="M3374" s="37">
        <v>0.0</v>
      </c>
    </row>
    <row r="3375" ht="14.25" customHeight="1">
      <c r="A3375" t="s">
        <v>3436</v>
      </c>
      <c r="B3375" t="s">
        <v>3435</v>
      </c>
      <c r="C3375" t="s">
        <v>62</v>
      </c>
      <c r="D3375" t="s">
        <v>268</v>
      </c>
      <c r="E3375">
        <v>2.93</v>
      </c>
      <c r="F3375">
        <v>2.49</v>
      </c>
      <c r="G3375" s="2" t="s">
        <v>64</v>
      </c>
      <c r="H3375" s="2">
        <v>0.0</v>
      </c>
      <c r="I3375" s="2">
        <v>0.0</v>
      </c>
      <c r="J3375" s="37">
        <v>0.0</v>
      </c>
      <c r="K3375" s="2">
        <v>0.0</v>
      </c>
      <c r="L3375" s="2">
        <v>0.0</v>
      </c>
      <c r="M3375" s="37">
        <v>0.0</v>
      </c>
    </row>
    <row r="3376" ht="14.25" customHeight="1">
      <c r="A3376" t="s">
        <v>3436</v>
      </c>
      <c r="B3376" t="s">
        <v>3435</v>
      </c>
      <c r="C3376" t="s">
        <v>62</v>
      </c>
      <c r="D3376" t="s">
        <v>268</v>
      </c>
      <c r="E3376">
        <v>2.93</v>
      </c>
      <c r="F3376">
        <v>2.49</v>
      </c>
      <c r="G3376" s="2" t="s">
        <v>64</v>
      </c>
      <c r="H3376" s="2">
        <v>0.0</v>
      </c>
      <c r="I3376" s="2">
        <v>0.0</v>
      </c>
      <c r="J3376" s="37">
        <v>0.0</v>
      </c>
      <c r="K3376" s="2">
        <v>0.0</v>
      </c>
      <c r="L3376" s="2">
        <v>0.0</v>
      </c>
      <c r="M3376" s="37">
        <v>0.0</v>
      </c>
    </row>
    <row r="3377" ht="14.25" customHeight="1">
      <c r="A3377" t="s">
        <v>3437</v>
      </c>
      <c r="B3377" t="s">
        <v>3438</v>
      </c>
      <c r="C3377" t="s">
        <v>62</v>
      </c>
      <c r="D3377" t="s">
        <v>63</v>
      </c>
      <c r="E3377">
        <v>5.1</v>
      </c>
      <c r="F3377">
        <v>5.2</v>
      </c>
      <c r="G3377" s="2" t="s">
        <v>64</v>
      </c>
      <c r="H3377" s="2">
        <v>0.0</v>
      </c>
      <c r="I3377" s="2">
        <v>0.0</v>
      </c>
      <c r="J3377" s="37">
        <v>0.0</v>
      </c>
      <c r="K3377" s="2">
        <v>0.0</v>
      </c>
      <c r="L3377" s="2">
        <v>0.0</v>
      </c>
      <c r="M3377" s="37">
        <v>0.0</v>
      </c>
    </row>
    <row r="3378" ht="14.25" customHeight="1">
      <c r="A3378" t="s">
        <v>3439</v>
      </c>
      <c r="B3378" t="s">
        <v>3438</v>
      </c>
      <c r="C3378" t="s">
        <v>62</v>
      </c>
      <c r="D3378" t="s">
        <v>63</v>
      </c>
      <c r="E3378">
        <v>3.5</v>
      </c>
      <c r="F3378">
        <v>3.5</v>
      </c>
      <c r="G3378" s="2" t="s">
        <v>64</v>
      </c>
      <c r="H3378" s="2">
        <v>0.0</v>
      </c>
      <c r="I3378" s="2">
        <v>0.0</v>
      </c>
      <c r="J3378" s="37">
        <v>0.0</v>
      </c>
      <c r="K3378" s="2">
        <v>0.0</v>
      </c>
      <c r="L3378" s="2">
        <v>0.0</v>
      </c>
      <c r="M3378" s="37">
        <v>0.0</v>
      </c>
    </row>
    <row r="3379" ht="14.25" customHeight="1">
      <c r="A3379" t="s">
        <v>3440</v>
      </c>
      <c r="B3379" t="s">
        <v>3441</v>
      </c>
      <c r="C3379" t="s">
        <v>62</v>
      </c>
      <c r="D3379" t="s">
        <v>63</v>
      </c>
      <c r="E3379">
        <v>2.8</v>
      </c>
      <c r="F3379">
        <v>2.65</v>
      </c>
      <c r="G3379" s="2" t="s">
        <v>67</v>
      </c>
      <c r="H3379" s="2">
        <v>14.0</v>
      </c>
      <c r="I3379" s="2">
        <v>128.0</v>
      </c>
      <c r="J3379" s="37">
        <v>480.84000000000003</v>
      </c>
      <c r="K3379" s="2">
        <v>16.0</v>
      </c>
      <c r="L3379" s="2">
        <v>171.0</v>
      </c>
      <c r="M3379" s="37">
        <v>581.6600000000001</v>
      </c>
    </row>
    <row r="3380" ht="14.25" customHeight="1">
      <c r="A3380" t="s">
        <v>3442</v>
      </c>
      <c r="B3380" t="s">
        <v>3441</v>
      </c>
      <c r="C3380" t="s">
        <v>62</v>
      </c>
      <c r="D3380" t="s">
        <v>63</v>
      </c>
      <c r="E3380">
        <v>5.2</v>
      </c>
      <c r="F3380">
        <v>5.2</v>
      </c>
      <c r="G3380" s="2" t="s">
        <v>67</v>
      </c>
      <c r="H3380" s="2">
        <v>28.0</v>
      </c>
      <c r="I3380" s="2">
        <v>120.0</v>
      </c>
      <c r="J3380" s="37">
        <v>784.88</v>
      </c>
      <c r="K3380" s="2">
        <v>32.0</v>
      </c>
      <c r="L3380" s="2">
        <v>210.0</v>
      </c>
      <c r="M3380" s="37">
        <v>991.72</v>
      </c>
    </row>
    <row r="3381" ht="14.25" customHeight="1">
      <c r="A3381" t="s">
        <v>3443</v>
      </c>
      <c r="B3381" t="s">
        <v>3441</v>
      </c>
      <c r="C3381" t="s">
        <v>62</v>
      </c>
      <c r="D3381" t="s">
        <v>63</v>
      </c>
      <c r="E3381">
        <v>7.2</v>
      </c>
      <c r="F3381">
        <v>7.2</v>
      </c>
      <c r="G3381" s="2" t="s">
        <v>67</v>
      </c>
      <c r="H3381" s="2">
        <v>38.0</v>
      </c>
      <c r="I3381" s="2">
        <v>188.0</v>
      </c>
      <c r="J3381" s="37">
        <v>1097.88</v>
      </c>
      <c r="K3381" s="2">
        <v>44.0</v>
      </c>
      <c r="L3381" s="2">
        <v>312.0</v>
      </c>
      <c r="M3381" s="37">
        <v>1393.8400000000001</v>
      </c>
    </row>
    <row r="3382" ht="14.25" customHeight="1">
      <c r="A3382" t="s">
        <v>3444</v>
      </c>
      <c r="B3382" t="s">
        <v>3441</v>
      </c>
      <c r="C3382" t="s">
        <v>62</v>
      </c>
      <c r="D3382" t="s">
        <v>63</v>
      </c>
      <c r="E3382">
        <v>8.2</v>
      </c>
      <c r="F3382">
        <v>8.5</v>
      </c>
      <c r="G3382" s="2" t="s">
        <v>67</v>
      </c>
      <c r="H3382" s="2">
        <v>45.0</v>
      </c>
      <c r="I3382" s="2">
        <v>138.0</v>
      </c>
      <c r="J3382" s="37">
        <v>1190.1000000000001</v>
      </c>
      <c r="K3382" s="2">
        <v>52.0</v>
      </c>
      <c r="L3382" s="2">
        <v>279.0</v>
      </c>
      <c r="M3382" s="37">
        <v>1530.6200000000001</v>
      </c>
    </row>
    <row r="3383" ht="14.25" customHeight="1">
      <c r="A3383" t="s">
        <v>3445</v>
      </c>
      <c r="B3383" t="s">
        <v>3441</v>
      </c>
      <c r="C3383" t="s">
        <v>62</v>
      </c>
      <c r="D3383" t="s">
        <v>63</v>
      </c>
      <c r="E3383">
        <v>2.65</v>
      </c>
      <c r="F3383">
        <v>2.72</v>
      </c>
      <c r="G3383" s="2" t="s">
        <v>67</v>
      </c>
      <c r="H3383" s="2">
        <v>15.0</v>
      </c>
      <c r="I3383" s="2">
        <v>108.0</v>
      </c>
      <c r="J3383" s="37">
        <v>477.30000000000007</v>
      </c>
      <c r="K3383" s="2">
        <v>17.0</v>
      </c>
      <c r="L3383" s="2">
        <v>149.0</v>
      </c>
      <c r="M3383" s="37">
        <v>575.52</v>
      </c>
    </row>
    <row r="3384" ht="14.25" customHeight="1">
      <c r="A3384" t="s">
        <v>3446</v>
      </c>
      <c r="B3384" t="s">
        <v>3441</v>
      </c>
      <c r="C3384" t="s">
        <v>62</v>
      </c>
      <c r="D3384" t="s">
        <v>63</v>
      </c>
      <c r="E3384">
        <v>3.5</v>
      </c>
      <c r="F3384">
        <v>3.8</v>
      </c>
      <c r="G3384" s="2" t="s">
        <v>67</v>
      </c>
      <c r="H3384" s="2">
        <v>20.0</v>
      </c>
      <c r="I3384" s="2">
        <v>93.0</v>
      </c>
      <c r="J3384" s="37">
        <v>570.1</v>
      </c>
      <c r="K3384" s="2">
        <v>22.0</v>
      </c>
      <c r="L3384" s="2">
        <v>146.0</v>
      </c>
      <c r="M3384" s="37">
        <v>683.9200000000001</v>
      </c>
    </row>
    <row r="3385" ht="14.25" customHeight="1">
      <c r="A3385" t="s">
        <v>3447</v>
      </c>
      <c r="B3385" t="s">
        <v>3448</v>
      </c>
      <c r="C3385" t="s">
        <v>62</v>
      </c>
      <c r="D3385" t="s">
        <v>63</v>
      </c>
      <c r="E3385">
        <v>2.8</v>
      </c>
      <c r="F3385">
        <v>2.65</v>
      </c>
      <c r="G3385" s="2" t="s">
        <v>67</v>
      </c>
      <c r="H3385" s="2">
        <v>14.0</v>
      </c>
      <c r="I3385" s="2">
        <v>128.0</v>
      </c>
      <c r="J3385" s="37">
        <v>480.84000000000003</v>
      </c>
      <c r="K3385" s="2">
        <v>16.0</v>
      </c>
      <c r="L3385" s="2">
        <v>171.0</v>
      </c>
      <c r="M3385" s="37">
        <v>581.6600000000001</v>
      </c>
    </row>
    <row r="3386" ht="14.25" customHeight="1">
      <c r="A3386" t="s">
        <v>3449</v>
      </c>
      <c r="B3386" t="s">
        <v>3450</v>
      </c>
      <c r="C3386" t="s">
        <v>62</v>
      </c>
      <c r="D3386" t="s">
        <v>63</v>
      </c>
      <c r="E3386">
        <v>3.51</v>
      </c>
      <c r="F3386">
        <v>3.6</v>
      </c>
      <c r="G3386" s="2" t="s">
        <v>64</v>
      </c>
      <c r="H3386" s="2">
        <v>0.0</v>
      </c>
      <c r="I3386" s="2">
        <v>0.0</v>
      </c>
      <c r="J3386" s="37">
        <v>0.0</v>
      </c>
      <c r="K3386" s="2">
        <v>0.0</v>
      </c>
      <c r="L3386" s="2">
        <v>0.0</v>
      </c>
      <c r="M3386" s="37">
        <v>0.0</v>
      </c>
    </row>
    <row r="3387" ht="14.25" customHeight="1">
      <c r="A3387" t="s">
        <v>3451</v>
      </c>
      <c r="B3387" t="s">
        <v>3450</v>
      </c>
      <c r="C3387" t="s">
        <v>62</v>
      </c>
      <c r="D3387" t="s">
        <v>63</v>
      </c>
      <c r="E3387">
        <v>5.01</v>
      </c>
      <c r="F3387">
        <v>5.27</v>
      </c>
      <c r="G3387" s="2" t="s">
        <v>64</v>
      </c>
      <c r="H3387" s="2">
        <v>0.0</v>
      </c>
      <c r="I3387" s="2">
        <v>0.0</v>
      </c>
      <c r="J3387" s="37">
        <v>0.0</v>
      </c>
      <c r="K3387" s="2">
        <v>0.0</v>
      </c>
      <c r="L3387" s="2">
        <v>0.0</v>
      </c>
      <c r="M3387" s="37">
        <v>0.0</v>
      </c>
    </row>
    <row r="3388" ht="14.25" customHeight="1">
      <c r="A3388" t="s">
        <v>3452</v>
      </c>
      <c r="B3388" t="s">
        <v>3450</v>
      </c>
      <c r="C3388" t="s">
        <v>62</v>
      </c>
      <c r="D3388" t="s">
        <v>63</v>
      </c>
      <c r="E3388">
        <v>6.44</v>
      </c>
      <c r="F3388">
        <v>7.0</v>
      </c>
      <c r="G3388" s="2" t="s">
        <v>67</v>
      </c>
      <c r="H3388" s="2">
        <v>37.0</v>
      </c>
      <c r="I3388" s="2">
        <v>117.0</v>
      </c>
      <c r="J3388" s="37">
        <v>983.12</v>
      </c>
      <c r="K3388" s="2">
        <v>42.0</v>
      </c>
      <c r="L3388" s="2">
        <v>228.0</v>
      </c>
      <c r="M3388" s="37">
        <v>1239.72</v>
      </c>
    </row>
    <row r="3389" ht="14.25" customHeight="1">
      <c r="A3389" t="s">
        <v>3453</v>
      </c>
      <c r="B3389" t="s">
        <v>3450</v>
      </c>
      <c r="C3389" t="s">
        <v>75</v>
      </c>
      <c r="D3389" t="s">
        <v>63</v>
      </c>
      <c r="E3389">
        <v>5.15</v>
      </c>
      <c r="F3389">
        <v>5.2</v>
      </c>
      <c r="G3389" s="2" t="s">
        <v>67</v>
      </c>
      <c r="H3389" s="2">
        <v>28.0</v>
      </c>
      <c r="I3389" s="2">
        <v>146.0</v>
      </c>
      <c r="J3389" s="37">
        <v>818.6800000000001</v>
      </c>
      <c r="K3389" s="2">
        <v>33.0</v>
      </c>
      <c r="L3389" s="2">
        <v>246.0</v>
      </c>
      <c r="M3389" s="37">
        <v>1060.98</v>
      </c>
    </row>
    <row r="3390" ht="14.25" customHeight="1">
      <c r="A3390" t="s">
        <v>3454</v>
      </c>
      <c r="B3390" t="s">
        <v>3450</v>
      </c>
      <c r="C3390" t="s">
        <v>75</v>
      </c>
      <c r="D3390" t="s">
        <v>63</v>
      </c>
      <c r="E3390">
        <v>6.75</v>
      </c>
      <c r="F3390">
        <v>7.4</v>
      </c>
      <c r="G3390" s="2" t="s">
        <v>67</v>
      </c>
      <c r="H3390" s="2">
        <v>39.0</v>
      </c>
      <c r="I3390" s="2">
        <v>183.0</v>
      </c>
      <c r="J3390" s="37">
        <v>1113.8400000000001</v>
      </c>
      <c r="K3390" s="2">
        <v>45.0</v>
      </c>
      <c r="L3390" s="2">
        <v>314.0</v>
      </c>
      <c r="M3390" s="37">
        <v>1418.9</v>
      </c>
    </row>
    <row r="3391" ht="14.25" customHeight="1">
      <c r="A3391" t="s">
        <v>3455</v>
      </c>
      <c r="B3391" t="s">
        <v>3450</v>
      </c>
      <c r="C3391" t="s">
        <v>62</v>
      </c>
      <c r="D3391" t="s">
        <v>63</v>
      </c>
      <c r="E3391">
        <v>3.5</v>
      </c>
      <c r="F3391">
        <v>3.5</v>
      </c>
      <c r="G3391" s="2" t="s">
        <v>64</v>
      </c>
      <c r="H3391" s="2">
        <v>0.0</v>
      </c>
      <c r="I3391" s="2">
        <v>0.0</v>
      </c>
      <c r="J3391" s="37">
        <v>0.0</v>
      </c>
      <c r="K3391" s="2">
        <v>0.0</v>
      </c>
      <c r="L3391" s="2">
        <v>0.0</v>
      </c>
      <c r="M3391" s="37">
        <v>0.0</v>
      </c>
    </row>
    <row r="3392" ht="14.25" customHeight="1">
      <c r="A3392" t="s">
        <v>3456</v>
      </c>
      <c r="B3392" t="s">
        <v>3450</v>
      </c>
      <c r="C3392" t="s">
        <v>62</v>
      </c>
      <c r="D3392" t="s">
        <v>63</v>
      </c>
      <c r="E3392">
        <v>5.01</v>
      </c>
      <c r="F3392">
        <v>5.01</v>
      </c>
      <c r="G3392" s="2" t="s">
        <v>64</v>
      </c>
      <c r="H3392" s="2">
        <v>0.0</v>
      </c>
      <c r="I3392" s="2">
        <v>0.0</v>
      </c>
      <c r="J3392" s="37">
        <v>0.0</v>
      </c>
      <c r="K3392" s="2">
        <v>0.0</v>
      </c>
      <c r="L3392" s="2">
        <v>0.0</v>
      </c>
      <c r="M3392" s="37">
        <v>0.0</v>
      </c>
    </row>
    <row r="3393" ht="14.25" customHeight="1">
      <c r="A3393" t="s">
        <v>3457</v>
      </c>
      <c r="B3393" t="s">
        <v>3450</v>
      </c>
      <c r="C3393" t="s">
        <v>62</v>
      </c>
      <c r="D3393" t="s">
        <v>63</v>
      </c>
      <c r="E3393">
        <v>6.4</v>
      </c>
      <c r="F3393">
        <v>7.03</v>
      </c>
      <c r="G3393" s="2" t="s">
        <v>67</v>
      </c>
      <c r="H3393" s="2">
        <v>38.0</v>
      </c>
      <c r="I3393" s="2">
        <v>166.0</v>
      </c>
      <c r="J3393" s="37">
        <v>1069.28</v>
      </c>
      <c r="K3393" s="2">
        <v>43.0</v>
      </c>
      <c r="L3393" s="2">
        <v>277.0</v>
      </c>
      <c r="M3393" s="37">
        <v>1325.88</v>
      </c>
    </row>
    <row r="3394" ht="14.25" customHeight="1">
      <c r="A3394" t="s">
        <v>3458</v>
      </c>
      <c r="B3394" t="s">
        <v>3459</v>
      </c>
      <c r="C3394" t="s">
        <v>62</v>
      </c>
      <c r="D3394" t="s">
        <v>63</v>
      </c>
      <c r="E3394">
        <v>2.8</v>
      </c>
      <c r="F3394">
        <v>2.85</v>
      </c>
      <c r="G3394" s="2" t="s">
        <v>67</v>
      </c>
      <c r="H3394" s="2">
        <v>16.0</v>
      </c>
      <c r="I3394" s="2">
        <v>142.0</v>
      </c>
      <c r="J3394" s="37">
        <v>543.96</v>
      </c>
      <c r="K3394" s="2">
        <v>18.0</v>
      </c>
      <c r="L3394" s="2">
        <v>185.0</v>
      </c>
      <c r="M3394" s="37">
        <v>644.78</v>
      </c>
    </row>
    <row r="3395" ht="14.25" customHeight="1">
      <c r="A3395" t="s">
        <v>3460</v>
      </c>
      <c r="B3395" t="s">
        <v>3459</v>
      </c>
      <c r="C3395" t="s">
        <v>62</v>
      </c>
      <c r="D3395" t="s">
        <v>63</v>
      </c>
      <c r="E3395">
        <v>5.2</v>
      </c>
      <c r="F3395">
        <v>5.6</v>
      </c>
      <c r="G3395" s="2" t="s">
        <v>67</v>
      </c>
      <c r="H3395" s="2">
        <v>31.0</v>
      </c>
      <c r="I3395" s="2">
        <v>227.0</v>
      </c>
      <c r="J3395" s="37">
        <v>991.36</v>
      </c>
      <c r="K3395" s="2">
        <v>36.0</v>
      </c>
      <c r="L3395" s="2">
        <v>316.0</v>
      </c>
      <c r="M3395" s="37">
        <v>1219.3600000000001</v>
      </c>
    </row>
    <row r="3396" ht="14.25" customHeight="1">
      <c r="A3396" t="s">
        <v>3461</v>
      </c>
      <c r="B3396" t="s">
        <v>3459</v>
      </c>
      <c r="C3396" t="s">
        <v>62</v>
      </c>
      <c r="D3396" t="s">
        <v>63</v>
      </c>
      <c r="E3396">
        <v>7.3</v>
      </c>
      <c r="F3396">
        <v>8.1</v>
      </c>
      <c r="G3396" s="2" t="s">
        <v>67</v>
      </c>
      <c r="H3396" s="2">
        <v>45.0</v>
      </c>
      <c r="I3396" s="2">
        <v>217.0</v>
      </c>
      <c r="J3396" s="37">
        <v>1292.8000000000002</v>
      </c>
      <c r="K3396" s="2">
        <v>52.0</v>
      </c>
      <c r="L3396" s="2">
        <v>342.0</v>
      </c>
      <c r="M3396" s="37">
        <v>1612.52</v>
      </c>
    </row>
    <row r="3397" ht="14.25" customHeight="1">
      <c r="A3397" t="s">
        <v>3462</v>
      </c>
      <c r="B3397" t="s">
        <v>3459</v>
      </c>
      <c r="C3397" t="s">
        <v>62</v>
      </c>
      <c r="D3397" t="s">
        <v>63</v>
      </c>
      <c r="E3397">
        <v>3.6</v>
      </c>
      <c r="F3397">
        <v>3.9</v>
      </c>
      <c r="G3397" s="2" t="s">
        <v>67</v>
      </c>
      <c r="H3397" s="2">
        <v>20.0</v>
      </c>
      <c r="I3397" s="2">
        <v>125.0</v>
      </c>
      <c r="J3397" s="37">
        <v>611.7</v>
      </c>
      <c r="K3397" s="2">
        <v>23.0</v>
      </c>
      <c r="L3397" s="2">
        <v>180.0</v>
      </c>
      <c r="M3397" s="37">
        <v>750.58</v>
      </c>
    </row>
    <row r="3398" ht="14.25" customHeight="1">
      <c r="A3398" t="s">
        <v>3463</v>
      </c>
      <c r="B3398" t="s">
        <v>3464</v>
      </c>
      <c r="C3398" t="s">
        <v>62</v>
      </c>
      <c r="D3398" t="s">
        <v>268</v>
      </c>
      <c r="E3398">
        <v>2.6</v>
      </c>
      <c r="F3398">
        <v>2.3</v>
      </c>
      <c r="G3398" s="2" t="s">
        <v>64</v>
      </c>
      <c r="H3398" s="2">
        <v>0.0</v>
      </c>
      <c r="I3398" s="2">
        <v>0.0</v>
      </c>
      <c r="J3398" s="37">
        <v>0.0</v>
      </c>
      <c r="K3398" s="2">
        <v>0.0</v>
      </c>
      <c r="L3398" s="2">
        <v>0.0</v>
      </c>
      <c r="M3398" s="37">
        <v>0.0</v>
      </c>
    </row>
    <row r="3399" ht="14.25" customHeight="1">
      <c r="A3399" t="s">
        <v>3465</v>
      </c>
      <c r="B3399" t="s">
        <v>3464</v>
      </c>
      <c r="C3399" t="s">
        <v>62</v>
      </c>
      <c r="D3399" t="s">
        <v>268</v>
      </c>
      <c r="E3399">
        <v>2.6</v>
      </c>
      <c r="F3399">
        <v>2.3</v>
      </c>
      <c r="G3399" s="2" t="s">
        <v>64</v>
      </c>
      <c r="H3399" s="2">
        <v>0.0</v>
      </c>
      <c r="I3399" s="2">
        <v>0.0</v>
      </c>
      <c r="J3399" s="37">
        <v>0.0</v>
      </c>
      <c r="K3399" s="2">
        <v>0.0</v>
      </c>
      <c r="L3399" s="2">
        <v>0.0</v>
      </c>
      <c r="M3399" s="37">
        <v>0.0</v>
      </c>
    </row>
    <row r="3400" ht="14.25" customHeight="1">
      <c r="A3400" t="s">
        <v>3466</v>
      </c>
      <c r="B3400" t="s">
        <v>3464</v>
      </c>
      <c r="C3400" t="s">
        <v>62</v>
      </c>
      <c r="D3400" t="s">
        <v>268</v>
      </c>
      <c r="E3400">
        <v>2.6</v>
      </c>
      <c r="F3400">
        <v>2.3</v>
      </c>
      <c r="G3400" s="2" t="s">
        <v>64</v>
      </c>
      <c r="H3400" s="2">
        <v>0.0</v>
      </c>
      <c r="I3400" s="2">
        <v>0.0</v>
      </c>
      <c r="J3400" s="37">
        <v>0.0</v>
      </c>
      <c r="K3400" s="2">
        <v>0.0</v>
      </c>
      <c r="L3400" s="2">
        <v>0.0</v>
      </c>
      <c r="M3400" s="37">
        <v>0.0</v>
      </c>
    </row>
    <row r="3401" ht="14.25" customHeight="1">
      <c r="A3401" t="s">
        <v>3467</v>
      </c>
      <c r="B3401" t="s">
        <v>3464</v>
      </c>
      <c r="C3401" t="s">
        <v>62</v>
      </c>
      <c r="D3401" t="s">
        <v>268</v>
      </c>
      <c r="E3401">
        <v>2.6</v>
      </c>
      <c r="F3401">
        <v>2.3</v>
      </c>
      <c r="G3401" s="2" t="s">
        <v>64</v>
      </c>
      <c r="H3401" s="2">
        <v>0.0</v>
      </c>
      <c r="I3401" s="2">
        <v>0.0</v>
      </c>
      <c r="J3401" s="37">
        <v>0.0</v>
      </c>
      <c r="K3401" s="2">
        <v>0.0</v>
      </c>
      <c r="L3401" s="2">
        <v>0.0</v>
      </c>
      <c r="M3401" s="37">
        <v>0.0</v>
      </c>
    </row>
    <row r="3402" ht="14.25" customHeight="1">
      <c r="A3402" t="s">
        <v>3468</v>
      </c>
      <c r="B3402" t="s">
        <v>3464</v>
      </c>
      <c r="C3402" t="s">
        <v>62</v>
      </c>
      <c r="D3402" t="s">
        <v>268</v>
      </c>
      <c r="E3402">
        <v>2.6</v>
      </c>
      <c r="F3402">
        <v>2.3</v>
      </c>
      <c r="G3402" s="2" t="s">
        <v>64</v>
      </c>
      <c r="H3402" s="2">
        <v>0.0</v>
      </c>
      <c r="I3402" s="2">
        <v>0.0</v>
      </c>
      <c r="J3402" s="37">
        <v>0.0</v>
      </c>
      <c r="K3402" s="2">
        <v>0.0</v>
      </c>
      <c r="L3402" s="2">
        <v>0.0</v>
      </c>
      <c r="M3402" s="37">
        <v>0.0</v>
      </c>
    </row>
    <row r="3403" ht="14.25" customHeight="1">
      <c r="A3403" t="s">
        <v>3469</v>
      </c>
      <c r="B3403" t="s">
        <v>3464</v>
      </c>
      <c r="C3403" t="s">
        <v>62</v>
      </c>
      <c r="D3403" t="s">
        <v>268</v>
      </c>
      <c r="E3403">
        <v>2.6</v>
      </c>
      <c r="F3403">
        <v>2.3</v>
      </c>
      <c r="G3403" s="2" t="s">
        <v>64</v>
      </c>
      <c r="H3403" s="2">
        <v>0.0</v>
      </c>
      <c r="I3403" s="2">
        <v>0.0</v>
      </c>
      <c r="J3403" s="37">
        <v>0.0</v>
      </c>
      <c r="K3403" s="2">
        <v>0.0</v>
      </c>
      <c r="L3403" s="2">
        <v>0.0</v>
      </c>
      <c r="M3403" s="37">
        <v>0.0</v>
      </c>
    </row>
    <row r="3404" ht="14.25" customHeight="1">
      <c r="A3404" t="s">
        <v>3470</v>
      </c>
      <c r="B3404" t="s">
        <v>3464</v>
      </c>
      <c r="C3404" t="s">
        <v>62</v>
      </c>
      <c r="D3404" t="s">
        <v>268</v>
      </c>
      <c r="E3404">
        <v>2.6</v>
      </c>
      <c r="F3404">
        <v>2.3</v>
      </c>
      <c r="G3404" s="2" t="s">
        <v>64</v>
      </c>
      <c r="H3404" s="2">
        <v>0.0</v>
      </c>
      <c r="I3404" s="2">
        <v>0.0</v>
      </c>
      <c r="J3404" s="37">
        <v>0.0</v>
      </c>
      <c r="K3404" s="2">
        <v>0.0</v>
      </c>
      <c r="L3404" s="2">
        <v>0.0</v>
      </c>
      <c r="M3404" s="37">
        <v>0.0</v>
      </c>
    </row>
    <row r="3405" ht="14.25" customHeight="1">
      <c r="A3405" t="s">
        <v>3471</v>
      </c>
      <c r="B3405" t="s">
        <v>3464</v>
      </c>
      <c r="C3405" t="s">
        <v>62</v>
      </c>
      <c r="D3405" t="s">
        <v>268</v>
      </c>
      <c r="E3405">
        <v>2.6</v>
      </c>
      <c r="F3405">
        <v>2.3</v>
      </c>
      <c r="G3405" s="2" t="s">
        <v>64</v>
      </c>
      <c r="H3405" s="2">
        <v>0.0</v>
      </c>
      <c r="I3405" s="2">
        <v>0.0</v>
      </c>
      <c r="J3405" s="37">
        <v>0.0</v>
      </c>
      <c r="K3405" s="2">
        <v>0.0</v>
      </c>
      <c r="L3405" s="2">
        <v>0.0</v>
      </c>
      <c r="M3405" s="37">
        <v>0.0</v>
      </c>
    </row>
    <row r="3406" ht="14.25" customHeight="1">
      <c r="A3406" t="s">
        <v>3472</v>
      </c>
      <c r="B3406" t="s">
        <v>3464</v>
      </c>
      <c r="C3406" t="s">
        <v>62</v>
      </c>
      <c r="D3406" t="s">
        <v>268</v>
      </c>
      <c r="E3406">
        <v>2.6</v>
      </c>
      <c r="F3406">
        <v>2.3</v>
      </c>
      <c r="G3406" s="2" t="s">
        <v>64</v>
      </c>
      <c r="H3406" s="2">
        <v>0.0</v>
      </c>
      <c r="I3406" s="2">
        <v>0.0</v>
      </c>
      <c r="J3406" s="37">
        <v>0.0</v>
      </c>
      <c r="K3406" s="2">
        <v>0.0</v>
      </c>
      <c r="L3406" s="2">
        <v>0.0</v>
      </c>
      <c r="M3406" s="37">
        <v>0.0</v>
      </c>
    </row>
    <row r="3407" ht="14.25" customHeight="1">
      <c r="A3407" t="s">
        <v>3473</v>
      </c>
      <c r="B3407" t="s">
        <v>3464</v>
      </c>
      <c r="C3407" t="s">
        <v>62</v>
      </c>
      <c r="D3407" t="s">
        <v>268</v>
      </c>
      <c r="E3407">
        <v>2.81</v>
      </c>
      <c r="F3407">
        <v>2.5</v>
      </c>
      <c r="G3407" s="2" t="s">
        <v>64</v>
      </c>
      <c r="H3407" s="2">
        <v>0.0</v>
      </c>
      <c r="I3407" s="2">
        <v>0.0</v>
      </c>
      <c r="J3407" s="37">
        <v>0.0</v>
      </c>
      <c r="K3407" s="2">
        <v>0.0</v>
      </c>
      <c r="L3407" s="2">
        <v>0.0</v>
      </c>
      <c r="M3407" s="37">
        <v>0.0</v>
      </c>
    </row>
    <row r="3408" ht="14.25" customHeight="1">
      <c r="A3408" t="s">
        <v>3474</v>
      </c>
      <c r="B3408" t="s">
        <v>3464</v>
      </c>
      <c r="C3408" t="s">
        <v>62</v>
      </c>
      <c r="D3408" t="s">
        <v>268</v>
      </c>
      <c r="E3408">
        <v>2.81</v>
      </c>
      <c r="F3408">
        <v>2.5</v>
      </c>
      <c r="G3408" s="2" t="s">
        <v>64</v>
      </c>
      <c r="H3408" s="2">
        <v>0.0</v>
      </c>
      <c r="I3408" s="2">
        <v>0.0</v>
      </c>
      <c r="J3408" s="37">
        <v>0.0</v>
      </c>
      <c r="K3408" s="2">
        <v>0.0</v>
      </c>
      <c r="L3408" s="2">
        <v>0.0</v>
      </c>
      <c r="M3408" s="37">
        <v>0.0</v>
      </c>
    </row>
    <row r="3409" ht="14.25" customHeight="1">
      <c r="A3409" t="s">
        <v>3475</v>
      </c>
      <c r="B3409" t="s">
        <v>3464</v>
      </c>
      <c r="C3409" t="s">
        <v>62</v>
      </c>
      <c r="D3409" t="s">
        <v>268</v>
      </c>
      <c r="E3409">
        <v>2.81</v>
      </c>
      <c r="F3409">
        <v>2.5</v>
      </c>
      <c r="G3409" s="2" t="s">
        <v>64</v>
      </c>
      <c r="H3409" s="2">
        <v>0.0</v>
      </c>
      <c r="I3409" s="2">
        <v>0.0</v>
      </c>
      <c r="J3409" s="37">
        <v>0.0</v>
      </c>
      <c r="K3409" s="2">
        <v>0.0</v>
      </c>
      <c r="L3409" s="2">
        <v>0.0</v>
      </c>
      <c r="M3409" s="37">
        <v>0.0</v>
      </c>
    </row>
    <row r="3410" ht="14.25" customHeight="1">
      <c r="A3410" t="s">
        <v>3476</v>
      </c>
      <c r="B3410" t="s">
        <v>3464</v>
      </c>
      <c r="C3410" t="s">
        <v>62</v>
      </c>
      <c r="D3410" t="s">
        <v>268</v>
      </c>
      <c r="E3410">
        <v>2.81</v>
      </c>
      <c r="F3410">
        <v>2.5</v>
      </c>
      <c r="G3410" s="2" t="s">
        <v>64</v>
      </c>
      <c r="H3410" s="2">
        <v>0.0</v>
      </c>
      <c r="I3410" s="2">
        <v>0.0</v>
      </c>
      <c r="J3410" s="37">
        <v>0.0</v>
      </c>
      <c r="K3410" s="2">
        <v>0.0</v>
      </c>
      <c r="L3410" s="2">
        <v>0.0</v>
      </c>
      <c r="M3410" s="37">
        <v>0.0</v>
      </c>
    </row>
    <row r="3411" ht="14.25" customHeight="1">
      <c r="A3411" t="s">
        <v>3477</v>
      </c>
      <c r="B3411" t="s">
        <v>3464</v>
      </c>
      <c r="C3411" t="s">
        <v>62</v>
      </c>
      <c r="D3411" t="s">
        <v>268</v>
      </c>
      <c r="E3411">
        <v>2.81</v>
      </c>
      <c r="F3411">
        <v>2.5</v>
      </c>
      <c r="G3411" s="2" t="s">
        <v>64</v>
      </c>
      <c r="H3411" s="2">
        <v>0.0</v>
      </c>
      <c r="I3411" s="2">
        <v>0.0</v>
      </c>
      <c r="J3411" s="37">
        <v>0.0</v>
      </c>
      <c r="K3411" s="2">
        <v>0.0</v>
      </c>
      <c r="L3411" s="2">
        <v>0.0</v>
      </c>
      <c r="M3411" s="37">
        <v>0.0</v>
      </c>
    </row>
    <row r="3412" ht="14.25" customHeight="1">
      <c r="A3412" t="s">
        <v>3478</v>
      </c>
      <c r="B3412" t="s">
        <v>3464</v>
      </c>
      <c r="C3412" t="s">
        <v>62</v>
      </c>
      <c r="D3412" t="s">
        <v>268</v>
      </c>
      <c r="E3412">
        <v>2.81</v>
      </c>
      <c r="F3412">
        <v>2.5</v>
      </c>
      <c r="G3412" s="2" t="s">
        <v>64</v>
      </c>
      <c r="H3412" s="2">
        <v>0.0</v>
      </c>
      <c r="I3412" s="2">
        <v>0.0</v>
      </c>
      <c r="J3412" s="37">
        <v>0.0</v>
      </c>
      <c r="K3412" s="2">
        <v>0.0</v>
      </c>
      <c r="L3412" s="2">
        <v>0.0</v>
      </c>
      <c r="M3412" s="37">
        <v>0.0</v>
      </c>
    </row>
    <row r="3413" ht="14.25" customHeight="1">
      <c r="A3413" t="s">
        <v>3479</v>
      </c>
      <c r="B3413" t="s">
        <v>3464</v>
      </c>
      <c r="C3413" t="s">
        <v>62</v>
      </c>
      <c r="D3413" t="s">
        <v>63</v>
      </c>
      <c r="E3413">
        <v>2.64</v>
      </c>
      <c r="F3413">
        <v>4.05</v>
      </c>
      <c r="G3413" s="2" t="s">
        <v>64</v>
      </c>
      <c r="H3413" s="2">
        <v>0.0</v>
      </c>
      <c r="I3413" s="2">
        <v>0.0</v>
      </c>
      <c r="J3413" s="37">
        <v>0.0</v>
      </c>
      <c r="K3413" s="2">
        <v>0.0</v>
      </c>
      <c r="L3413" s="2">
        <v>0.0</v>
      </c>
      <c r="M3413" s="37">
        <v>0.0</v>
      </c>
    </row>
    <row r="3414" ht="14.25" customHeight="1">
      <c r="A3414" t="s">
        <v>3480</v>
      </c>
      <c r="B3414" t="s">
        <v>3464</v>
      </c>
      <c r="C3414" t="s">
        <v>62</v>
      </c>
      <c r="D3414" t="s">
        <v>63</v>
      </c>
      <c r="E3414">
        <v>2.64</v>
      </c>
      <c r="F3414">
        <v>4.05</v>
      </c>
      <c r="G3414" s="2" t="s">
        <v>64</v>
      </c>
      <c r="H3414" s="2">
        <v>0.0</v>
      </c>
      <c r="I3414" s="2">
        <v>0.0</v>
      </c>
      <c r="J3414" s="37">
        <v>0.0</v>
      </c>
      <c r="K3414" s="2">
        <v>0.0</v>
      </c>
      <c r="L3414" s="2">
        <v>0.0</v>
      </c>
      <c r="M3414" s="37">
        <v>0.0</v>
      </c>
    </row>
    <row r="3415" ht="14.25" customHeight="1">
      <c r="A3415" t="s">
        <v>3481</v>
      </c>
      <c r="B3415" t="s">
        <v>3464</v>
      </c>
      <c r="C3415" t="s">
        <v>62</v>
      </c>
      <c r="D3415" t="s">
        <v>63</v>
      </c>
      <c r="E3415">
        <v>2.64</v>
      </c>
      <c r="F3415">
        <v>4.05</v>
      </c>
      <c r="G3415" s="2" t="s">
        <v>64</v>
      </c>
      <c r="H3415" s="2">
        <v>0.0</v>
      </c>
      <c r="I3415" s="2">
        <v>0.0</v>
      </c>
      <c r="J3415" s="37">
        <v>0.0</v>
      </c>
      <c r="K3415" s="2">
        <v>0.0</v>
      </c>
      <c r="L3415" s="2">
        <v>0.0</v>
      </c>
      <c r="M3415" s="37">
        <v>0.0</v>
      </c>
    </row>
    <row r="3416" ht="14.25" customHeight="1">
      <c r="A3416" t="s">
        <v>3482</v>
      </c>
      <c r="B3416" t="s">
        <v>3464</v>
      </c>
      <c r="C3416" t="s">
        <v>62</v>
      </c>
      <c r="D3416" t="s">
        <v>63</v>
      </c>
      <c r="E3416">
        <v>2.64</v>
      </c>
      <c r="F3416">
        <v>4.05</v>
      </c>
      <c r="G3416" s="2" t="s">
        <v>64</v>
      </c>
      <c r="H3416" s="2">
        <v>0.0</v>
      </c>
      <c r="I3416" s="2">
        <v>0.0</v>
      </c>
      <c r="J3416" s="37">
        <v>0.0</v>
      </c>
      <c r="K3416" s="2">
        <v>0.0</v>
      </c>
      <c r="L3416" s="2">
        <v>0.0</v>
      </c>
      <c r="M3416" s="37">
        <v>0.0</v>
      </c>
    </row>
    <row r="3417" ht="14.25" customHeight="1">
      <c r="A3417" t="s">
        <v>3483</v>
      </c>
      <c r="B3417" t="s">
        <v>3464</v>
      </c>
      <c r="C3417" t="s">
        <v>62</v>
      </c>
      <c r="D3417" t="s">
        <v>63</v>
      </c>
      <c r="E3417">
        <v>2.64</v>
      </c>
      <c r="F3417">
        <v>4.05</v>
      </c>
      <c r="G3417" s="2" t="s">
        <v>64</v>
      </c>
      <c r="H3417" s="2">
        <v>0.0</v>
      </c>
      <c r="I3417" s="2">
        <v>0.0</v>
      </c>
      <c r="J3417" s="37">
        <v>0.0</v>
      </c>
      <c r="K3417" s="2">
        <v>0.0</v>
      </c>
      <c r="L3417" s="2">
        <v>0.0</v>
      </c>
      <c r="M3417" s="37">
        <v>0.0</v>
      </c>
    </row>
    <row r="3418" ht="14.25" customHeight="1">
      <c r="A3418" t="s">
        <v>3484</v>
      </c>
      <c r="B3418" t="s">
        <v>3464</v>
      </c>
      <c r="C3418" t="s">
        <v>62</v>
      </c>
      <c r="D3418" t="s">
        <v>63</v>
      </c>
      <c r="E3418">
        <v>3.5</v>
      </c>
      <c r="F3418">
        <v>4.5</v>
      </c>
      <c r="G3418" s="2" t="s">
        <v>64</v>
      </c>
      <c r="H3418" s="2">
        <v>0.0</v>
      </c>
      <c r="I3418" s="2">
        <v>0.0</v>
      </c>
      <c r="J3418" s="37">
        <v>0.0</v>
      </c>
      <c r="K3418" s="2">
        <v>0.0</v>
      </c>
      <c r="L3418" s="2">
        <v>0.0</v>
      </c>
      <c r="M3418" s="37">
        <v>0.0</v>
      </c>
    </row>
    <row r="3419" ht="14.25" customHeight="1">
      <c r="A3419" t="s">
        <v>3485</v>
      </c>
      <c r="B3419" t="s">
        <v>3464</v>
      </c>
      <c r="C3419" t="s">
        <v>62</v>
      </c>
      <c r="D3419" t="s">
        <v>63</v>
      </c>
      <c r="E3419">
        <v>3.5</v>
      </c>
      <c r="F3419">
        <v>4.5</v>
      </c>
      <c r="G3419" s="2" t="s">
        <v>64</v>
      </c>
      <c r="H3419" s="2">
        <v>0.0</v>
      </c>
      <c r="I3419" s="2">
        <v>0.0</v>
      </c>
      <c r="J3419" s="37">
        <v>0.0</v>
      </c>
      <c r="K3419" s="2">
        <v>0.0</v>
      </c>
      <c r="L3419" s="2">
        <v>0.0</v>
      </c>
      <c r="M3419" s="37">
        <v>0.0</v>
      </c>
    </row>
    <row r="3420" ht="14.25" customHeight="1">
      <c r="A3420" t="s">
        <v>3486</v>
      </c>
      <c r="B3420" t="s">
        <v>3464</v>
      </c>
      <c r="C3420" t="s">
        <v>62</v>
      </c>
      <c r="D3420" t="s">
        <v>63</v>
      </c>
      <c r="E3420">
        <v>3.5</v>
      </c>
      <c r="F3420">
        <v>4.5</v>
      </c>
      <c r="G3420" s="2" t="s">
        <v>64</v>
      </c>
      <c r="H3420" s="2">
        <v>0.0</v>
      </c>
      <c r="I3420" s="2">
        <v>0.0</v>
      </c>
      <c r="J3420" s="37">
        <v>0.0</v>
      </c>
      <c r="K3420" s="2">
        <v>0.0</v>
      </c>
      <c r="L3420" s="2">
        <v>0.0</v>
      </c>
      <c r="M3420" s="37">
        <v>0.0</v>
      </c>
    </row>
    <row r="3421" ht="14.25" customHeight="1">
      <c r="A3421" t="s">
        <v>3487</v>
      </c>
      <c r="B3421" t="s">
        <v>3464</v>
      </c>
      <c r="C3421" t="s">
        <v>62</v>
      </c>
      <c r="D3421" t="s">
        <v>63</v>
      </c>
      <c r="E3421">
        <v>3.5</v>
      </c>
      <c r="F3421">
        <v>4.5</v>
      </c>
      <c r="G3421" s="2" t="s">
        <v>64</v>
      </c>
      <c r="H3421" s="2">
        <v>0.0</v>
      </c>
      <c r="I3421" s="2">
        <v>0.0</v>
      </c>
      <c r="J3421" s="37">
        <v>0.0</v>
      </c>
      <c r="K3421" s="2">
        <v>0.0</v>
      </c>
      <c r="L3421" s="2">
        <v>0.0</v>
      </c>
      <c r="M3421" s="37">
        <v>0.0</v>
      </c>
    </row>
    <row r="3422" ht="14.25" customHeight="1">
      <c r="A3422" t="s">
        <v>3488</v>
      </c>
      <c r="B3422" t="s">
        <v>3464</v>
      </c>
      <c r="C3422" t="s">
        <v>62</v>
      </c>
      <c r="D3422" t="s">
        <v>63</v>
      </c>
      <c r="E3422">
        <v>3.5</v>
      </c>
      <c r="F3422">
        <v>4.5</v>
      </c>
      <c r="G3422" s="2" t="s">
        <v>64</v>
      </c>
      <c r="H3422" s="2">
        <v>0.0</v>
      </c>
      <c r="I3422" s="2">
        <v>0.0</v>
      </c>
      <c r="J3422" s="37">
        <v>0.0</v>
      </c>
      <c r="K3422" s="2">
        <v>0.0</v>
      </c>
      <c r="L3422" s="2">
        <v>0.0</v>
      </c>
      <c r="M3422" s="37">
        <v>0.0</v>
      </c>
    </row>
    <row r="3423" ht="14.25" customHeight="1">
      <c r="A3423" t="s">
        <v>3489</v>
      </c>
      <c r="B3423" t="s">
        <v>3464</v>
      </c>
      <c r="C3423" t="s">
        <v>62</v>
      </c>
      <c r="D3423" t="s">
        <v>63</v>
      </c>
      <c r="E3423">
        <v>5.2</v>
      </c>
      <c r="F3423">
        <v>5.2</v>
      </c>
      <c r="G3423" s="2" t="s">
        <v>67</v>
      </c>
      <c r="H3423" s="2">
        <v>28.0</v>
      </c>
      <c r="I3423" s="2">
        <v>120.0</v>
      </c>
      <c r="J3423" s="37">
        <v>784.88</v>
      </c>
      <c r="K3423" s="2">
        <v>32.0</v>
      </c>
      <c r="L3423" s="2">
        <v>210.0</v>
      </c>
      <c r="M3423" s="37">
        <v>991.72</v>
      </c>
    </row>
    <row r="3424" ht="14.25" customHeight="1">
      <c r="A3424" t="s">
        <v>3490</v>
      </c>
      <c r="B3424" t="s">
        <v>3464</v>
      </c>
      <c r="C3424" t="s">
        <v>62</v>
      </c>
      <c r="D3424" t="s">
        <v>63</v>
      </c>
      <c r="E3424">
        <v>5.2</v>
      </c>
      <c r="F3424">
        <v>5.2</v>
      </c>
      <c r="G3424" s="2" t="s">
        <v>67</v>
      </c>
      <c r="H3424" s="2">
        <v>28.0</v>
      </c>
      <c r="I3424" s="2">
        <v>120.0</v>
      </c>
      <c r="J3424" s="37">
        <v>784.88</v>
      </c>
      <c r="K3424" s="2">
        <v>32.0</v>
      </c>
      <c r="L3424" s="2">
        <v>210.0</v>
      </c>
      <c r="M3424" s="37">
        <v>991.72</v>
      </c>
    </row>
    <row r="3425" ht="14.25" customHeight="1">
      <c r="A3425" t="s">
        <v>3491</v>
      </c>
      <c r="B3425" t="s">
        <v>3464</v>
      </c>
      <c r="C3425" t="s">
        <v>62</v>
      </c>
      <c r="D3425" t="s">
        <v>63</v>
      </c>
      <c r="E3425">
        <v>5.2</v>
      </c>
      <c r="F3425">
        <v>5.2</v>
      </c>
      <c r="G3425" s="2" t="s">
        <v>67</v>
      </c>
      <c r="H3425" s="2">
        <v>28.0</v>
      </c>
      <c r="I3425" s="2">
        <v>120.0</v>
      </c>
      <c r="J3425" s="37">
        <v>784.88</v>
      </c>
      <c r="K3425" s="2">
        <v>32.0</v>
      </c>
      <c r="L3425" s="2">
        <v>210.0</v>
      </c>
      <c r="M3425" s="37">
        <v>991.72</v>
      </c>
    </row>
    <row r="3426" ht="14.25" customHeight="1">
      <c r="A3426" t="s">
        <v>3492</v>
      </c>
      <c r="B3426" t="s">
        <v>3464</v>
      </c>
      <c r="C3426" t="s">
        <v>62</v>
      </c>
      <c r="D3426" t="s">
        <v>63</v>
      </c>
      <c r="E3426">
        <v>5.2</v>
      </c>
      <c r="F3426">
        <v>5.2</v>
      </c>
      <c r="G3426" s="2" t="s">
        <v>67</v>
      </c>
      <c r="H3426" s="2">
        <v>28.0</v>
      </c>
      <c r="I3426" s="2">
        <v>120.0</v>
      </c>
      <c r="J3426" s="37">
        <v>784.88</v>
      </c>
      <c r="K3426" s="2">
        <v>32.0</v>
      </c>
      <c r="L3426" s="2">
        <v>210.0</v>
      </c>
      <c r="M3426" s="37">
        <v>991.72</v>
      </c>
    </row>
    <row r="3427" ht="14.25" customHeight="1">
      <c r="A3427" t="s">
        <v>3493</v>
      </c>
      <c r="B3427" t="s">
        <v>3464</v>
      </c>
      <c r="C3427" t="s">
        <v>62</v>
      </c>
      <c r="D3427" t="s">
        <v>63</v>
      </c>
      <c r="E3427">
        <v>5.2</v>
      </c>
      <c r="F3427">
        <v>5.2</v>
      </c>
      <c r="G3427" s="2" t="s">
        <v>67</v>
      </c>
      <c r="H3427" s="2">
        <v>28.0</v>
      </c>
      <c r="I3427" s="2">
        <v>120.0</v>
      </c>
      <c r="J3427" s="37">
        <v>784.88</v>
      </c>
      <c r="K3427" s="2">
        <v>32.0</v>
      </c>
      <c r="L3427" s="2">
        <v>210.0</v>
      </c>
      <c r="M3427" s="37">
        <v>991.72</v>
      </c>
    </row>
    <row r="3428" ht="14.25" customHeight="1">
      <c r="A3428" t="s">
        <v>3494</v>
      </c>
      <c r="B3428" t="s">
        <v>3464</v>
      </c>
      <c r="C3428" t="s">
        <v>62</v>
      </c>
      <c r="D3428" t="s">
        <v>63</v>
      </c>
      <c r="E3428">
        <v>7.2</v>
      </c>
      <c r="F3428">
        <v>7.2</v>
      </c>
      <c r="G3428" s="2" t="s">
        <v>67</v>
      </c>
      <c r="H3428" s="2">
        <v>38.0</v>
      </c>
      <c r="I3428" s="2">
        <v>188.0</v>
      </c>
      <c r="J3428" s="37">
        <v>1097.88</v>
      </c>
      <c r="K3428" s="2">
        <v>44.0</v>
      </c>
      <c r="L3428" s="2">
        <v>312.0</v>
      </c>
      <c r="M3428" s="37">
        <v>1393.8400000000001</v>
      </c>
    </row>
    <row r="3429" ht="14.25" customHeight="1">
      <c r="A3429" t="s">
        <v>3495</v>
      </c>
      <c r="B3429" t="s">
        <v>3464</v>
      </c>
      <c r="C3429" t="s">
        <v>62</v>
      </c>
      <c r="D3429" t="s">
        <v>63</v>
      </c>
      <c r="E3429">
        <v>7.2</v>
      </c>
      <c r="F3429">
        <v>7.2</v>
      </c>
      <c r="G3429" s="2" t="s">
        <v>67</v>
      </c>
      <c r="H3429" s="2">
        <v>38.0</v>
      </c>
      <c r="I3429" s="2">
        <v>188.0</v>
      </c>
      <c r="J3429" s="37">
        <v>1097.88</v>
      </c>
      <c r="K3429" s="2">
        <v>44.0</v>
      </c>
      <c r="L3429" s="2">
        <v>312.0</v>
      </c>
      <c r="M3429" s="37">
        <v>1393.8400000000001</v>
      </c>
    </row>
    <row r="3430" ht="14.25" customHeight="1">
      <c r="A3430" t="s">
        <v>3496</v>
      </c>
      <c r="B3430" t="s">
        <v>3464</v>
      </c>
      <c r="C3430" t="s">
        <v>62</v>
      </c>
      <c r="D3430" t="s">
        <v>63</v>
      </c>
      <c r="E3430">
        <v>7.2</v>
      </c>
      <c r="F3430">
        <v>7.2</v>
      </c>
      <c r="G3430" s="2" t="s">
        <v>67</v>
      </c>
      <c r="H3430" s="2">
        <v>38.0</v>
      </c>
      <c r="I3430" s="2">
        <v>188.0</v>
      </c>
      <c r="J3430" s="37">
        <v>1097.88</v>
      </c>
      <c r="K3430" s="2">
        <v>44.0</v>
      </c>
      <c r="L3430" s="2">
        <v>312.0</v>
      </c>
      <c r="M3430" s="37">
        <v>1393.8400000000001</v>
      </c>
    </row>
    <row r="3431" ht="14.25" customHeight="1">
      <c r="A3431" t="s">
        <v>3497</v>
      </c>
      <c r="B3431" t="s">
        <v>3464</v>
      </c>
      <c r="C3431" t="s">
        <v>62</v>
      </c>
      <c r="D3431" t="s">
        <v>63</v>
      </c>
      <c r="E3431">
        <v>7.2</v>
      </c>
      <c r="F3431">
        <v>7.2</v>
      </c>
      <c r="G3431" s="2" t="s">
        <v>67</v>
      </c>
      <c r="H3431" s="2">
        <v>38.0</v>
      </c>
      <c r="I3431" s="2">
        <v>188.0</v>
      </c>
      <c r="J3431" s="37">
        <v>1097.88</v>
      </c>
      <c r="K3431" s="2">
        <v>44.0</v>
      </c>
      <c r="L3431" s="2">
        <v>312.0</v>
      </c>
      <c r="M3431" s="37">
        <v>1393.8400000000001</v>
      </c>
    </row>
    <row r="3432" ht="14.25" customHeight="1">
      <c r="A3432" t="s">
        <v>3498</v>
      </c>
      <c r="B3432" t="s">
        <v>3464</v>
      </c>
      <c r="C3432" t="s">
        <v>62</v>
      </c>
      <c r="D3432" t="s">
        <v>63</v>
      </c>
      <c r="E3432">
        <v>7.2</v>
      </c>
      <c r="F3432">
        <v>7.2</v>
      </c>
      <c r="G3432" s="2" t="s">
        <v>67</v>
      </c>
      <c r="H3432" s="2">
        <v>38.0</v>
      </c>
      <c r="I3432" s="2">
        <v>188.0</v>
      </c>
      <c r="J3432" s="37">
        <v>1097.88</v>
      </c>
      <c r="K3432" s="2">
        <v>44.0</v>
      </c>
      <c r="L3432" s="2">
        <v>312.0</v>
      </c>
      <c r="M3432" s="37">
        <v>1393.8400000000001</v>
      </c>
    </row>
    <row r="3433" ht="14.25" customHeight="1">
      <c r="A3433" t="s">
        <v>3499</v>
      </c>
      <c r="B3433" t="s">
        <v>3464</v>
      </c>
      <c r="C3433" t="s">
        <v>62</v>
      </c>
      <c r="D3433" t="s">
        <v>268</v>
      </c>
      <c r="E3433">
        <v>2.64</v>
      </c>
      <c r="F3433">
        <v>2.56</v>
      </c>
      <c r="G3433" s="2" t="s">
        <v>64</v>
      </c>
      <c r="H3433" s="2">
        <v>0.0</v>
      </c>
      <c r="I3433" s="2">
        <v>0.0</v>
      </c>
      <c r="J3433" s="37">
        <v>0.0</v>
      </c>
      <c r="K3433" s="2">
        <v>0.0</v>
      </c>
      <c r="L3433" s="2">
        <v>0.0</v>
      </c>
      <c r="M3433" s="37">
        <v>0.0</v>
      </c>
    </row>
    <row r="3434" ht="14.25" customHeight="1">
      <c r="A3434" t="s">
        <v>3500</v>
      </c>
      <c r="B3434" t="s">
        <v>3464</v>
      </c>
      <c r="C3434" t="s">
        <v>62</v>
      </c>
      <c r="D3434" t="s">
        <v>268</v>
      </c>
      <c r="E3434">
        <v>2.64</v>
      </c>
      <c r="F3434">
        <v>2.56</v>
      </c>
      <c r="G3434" s="2" t="s">
        <v>64</v>
      </c>
      <c r="H3434" s="2">
        <v>0.0</v>
      </c>
      <c r="I3434" s="2">
        <v>0.0</v>
      </c>
      <c r="J3434" s="37">
        <v>0.0</v>
      </c>
      <c r="K3434" s="2">
        <v>0.0</v>
      </c>
      <c r="L3434" s="2">
        <v>0.0</v>
      </c>
      <c r="M3434" s="37">
        <v>0.0</v>
      </c>
    </row>
    <row r="3435" ht="14.25" customHeight="1">
      <c r="A3435" t="s">
        <v>3501</v>
      </c>
      <c r="B3435" t="s">
        <v>3464</v>
      </c>
      <c r="C3435" t="s">
        <v>62</v>
      </c>
      <c r="D3435" t="s">
        <v>268</v>
      </c>
      <c r="E3435">
        <v>2.64</v>
      </c>
      <c r="F3435">
        <v>2.56</v>
      </c>
      <c r="G3435" s="2" t="s">
        <v>64</v>
      </c>
      <c r="H3435" s="2">
        <v>0.0</v>
      </c>
      <c r="I3435" s="2">
        <v>0.0</v>
      </c>
      <c r="J3435" s="37">
        <v>0.0</v>
      </c>
      <c r="K3435" s="2">
        <v>0.0</v>
      </c>
      <c r="L3435" s="2">
        <v>0.0</v>
      </c>
      <c r="M3435" s="37">
        <v>0.0</v>
      </c>
    </row>
    <row r="3436" ht="14.25" customHeight="1">
      <c r="A3436" t="s">
        <v>3502</v>
      </c>
      <c r="B3436" t="s">
        <v>3464</v>
      </c>
      <c r="C3436" t="s">
        <v>62</v>
      </c>
      <c r="D3436" t="s">
        <v>268</v>
      </c>
      <c r="E3436">
        <v>2.64</v>
      </c>
      <c r="F3436">
        <v>2.56</v>
      </c>
      <c r="G3436" s="2" t="s">
        <v>64</v>
      </c>
      <c r="H3436" s="2">
        <v>0.0</v>
      </c>
      <c r="I3436" s="2">
        <v>0.0</v>
      </c>
      <c r="J3436" s="37">
        <v>0.0</v>
      </c>
      <c r="K3436" s="2">
        <v>0.0</v>
      </c>
      <c r="L3436" s="2">
        <v>0.0</v>
      </c>
      <c r="M3436" s="37">
        <v>0.0</v>
      </c>
    </row>
    <row r="3437" ht="14.25" customHeight="1">
      <c r="A3437" t="s">
        <v>3503</v>
      </c>
      <c r="B3437" t="s">
        <v>3464</v>
      </c>
      <c r="C3437" t="s">
        <v>62</v>
      </c>
      <c r="D3437" t="s">
        <v>268</v>
      </c>
      <c r="E3437">
        <v>2.64</v>
      </c>
      <c r="F3437">
        <v>2.56</v>
      </c>
      <c r="G3437" s="2" t="s">
        <v>64</v>
      </c>
      <c r="H3437" s="2">
        <v>0.0</v>
      </c>
      <c r="I3437" s="2">
        <v>0.0</v>
      </c>
      <c r="J3437" s="37">
        <v>0.0</v>
      </c>
      <c r="K3437" s="2">
        <v>0.0</v>
      </c>
      <c r="L3437" s="2">
        <v>0.0</v>
      </c>
      <c r="M3437" s="37">
        <v>0.0</v>
      </c>
    </row>
    <row r="3438" ht="14.25" customHeight="1">
      <c r="A3438" t="s">
        <v>3504</v>
      </c>
      <c r="B3438" t="s">
        <v>3464</v>
      </c>
      <c r="C3438" t="s">
        <v>62</v>
      </c>
      <c r="D3438" t="s">
        <v>268</v>
      </c>
      <c r="E3438">
        <v>2.64</v>
      </c>
      <c r="F3438">
        <v>2.56</v>
      </c>
      <c r="G3438" s="2" t="s">
        <v>64</v>
      </c>
      <c r="H3438" s="2">
        <v>0.0</v>
      </c>
      <c r="I3438" s="2">
        <v>0.0</v>
      </c>
      <c r="J3438" s="37">
        <v>0.0</v>
      </c>
      <c r="K3438" s="2">
        <v>0.0</v>
      </c>
      <c r="L3438" s="2">
        <v>0.0</v>
      </c>
      <c r="M3438" s="37">
        <v>0.0</v>
      </c>
    </row>
    <row r="3439" ht="14.25" customHeight="1">
      <c r="A3439" t="s">
        <v>3505</v>
      </c>
      <c r="B3439" t="s">
        <v>3464</v>
      </c>
      <c r="C3439" t="s">
        <v>62</v>
      </c>
      <c r="D3439" t="s">
        <v>268</v>
      </c>
      <c r="E3439">
        <v>2.64</v>
      </c>
      <c r="F3439">
        <v>2.56</v>
      </c>
      <c r="G3439" s="2" t="s">
        <v>64</v>
      </c>
      <c r="H3439" s="2">
        <v>0.0</v>
      </c>
      <c r="I3439" s="2">
        <v>0.0</v>
      </c>
      <c r="J3439" s="37">
        <v>0.0</v>
      </c>
      <c r="K3439" s="2">
        <v>0.0</v>
      </c>
      <c r="L3439" s="2">
        <v>0.0</v>
      </c>
      <c r="M3439" s="37">
        <v>0.0</v>
      </c>
    </row>
    <row r="3440" ht="14.25" customHeight="1">
      <c r="A3440" t="s">
        <v>3506</v>
      </c>
      <c r="B3440" t="s">
        <v>3464</v>
      </c>
      <c r="C3440" t="s">
        <v>62</v>
      </c>
      <c r="D3440" t="s">
        <v>268</v>
      </c>
      <c r="E3440">
        <v>3.5</v>
      </c>
      <c r="F3440">
        <v>3.2</v>
      </c>
      <c r="G3440" s="2" t="s">
        <v>64</v>
      </c>
      <c r="H3440" s="2">
        <v>0.0</v>
      </c>
      <c r="I3440" s="2">
        <v>0.0</v>
      </c>
      <c r="J3440" s="37">
        <v>0.0</v>
      </c>
      <c r="K3440" s="2">
        <v>0.0</v>
      </c>
      <c r="L3440" s="2">
        <v>0.0</v>
      </c>
      <c r="M3440" s="37">
        <v>0.0</v>
      </c>
    </row>
    <row r="3441" ht="14.25" customHeight="1">
      <c r="A3441" t="s">
        <v>3507</v>
      </c>
      <c r="B3441" t="s">
        <v>3464</v>
      </c>
      <c r="C3441" t="s">
        <v>62</v>
      </c>
      <c r="D3441" t="s">
        <v>268</v>
      </c>
      <c r="E3441">
        <v>3.5</v>
      </c>
      <c r="F3441">
        <v>3.2</v>
      </c>
      <c r="G3441" s="2" t="s">
        <v>64</v>
      </c>
      <c r="H3441" s="2">
        <v>0.0</v>
      </c>
      <c r="I3441" s="2">
        <v>0.0</v>
      </c>
      <c r="J3441" s="37">
        <v>0.0</v>
      </c>
      <c r="K3441" s="2">
        <v>0.0</v>
      </c>
      <c r="L3441" s="2">
        <v>0.0</v>
      </c>
      <c r="M3441" s="37">
        <v>0.0</v>
      </c>
    </row>
    <row r="3442" ht="14.25" customHeight="1">
      <c r="A3442" t="s">
        <v>3508</v>
      </c>
      <c r="B3442" t="s">
        <v>3464</v>
      </c>
      <c r="C3442" t="s">
        <v>62</v>
      </c>
      <c r="D3442" t="s">
        <v>268</v>
      </c>
      <c r="E3442">
        <v>3.5</v>
      </c>
      <c r="F3442">
        <v>3.2</v>
      </c>
      <c r="G3442" s="2" t="s">
        <v>64</v>
      </c>
      <c r="H3442" s="2">
        <v>0.0</v>
      </c>
      <c r="I3442" s="2">
        <v>0.0</v>
      </c>
      <c r="J3442" s="37">
        <v>0.0</v>
      </c>
      <c r="K3442" s="2">
        <v>0.0</v>
      </c>
      <c r="L3442" s="2">
        <v>0.0</v>
      </c>
      <c r="M3442" s="37">
        <v>0.0</v>
      </c>
    </row>
    <row r="3443" ht="14.25" customHeight="1">
      <c r="A3443" t="s">
        <v>3509</v>
      </c>
      <c r="B3443" t="s">
        <v>3464</v>
      </c>
      <c r="C3443" t="s">
        <v>62</v>
      </c>
      <c r="D3443" t="s">
        <v>268</v>
      </c>
      <c r="E3443">
        <v>3.5</v>
      </c>
      <c r="F3443">
        <v>3.2</v>
      </c>
      <c r="G3443" s="2" t="s">
        <v>64</v>
      </c>
      <c r="H3443" s="2">
        <v>0.0</v>
      </c>
      <c r="I3443" s="2">
        <v>0.0</v>
      </c>
      <c r="J3443" s="37">
        <v>0.0</v>
      </c>
      <c r="K3443" s="2">
        <v>0.0</v>
      </c>
      <c r="L3443" s="2">
        <v>0.0</v>
      </c>
      <c r="M3443" s="37">
        <v>0.0</v>
      </c>
    </row>
    <row r="3444" ht="14.25" customHeight="1">
      <c r="A3444" t="s">
        <v>3510</v>
      </c>
      <c r="B3444" t="s">
        <v>3464</v>
      </c>
      <c r="C3444" t="s">
        <v>62</v>
      </c>
      <c r="D3444" t="s">
        <v>268</v>
      </c>
      <c r="E3444">
        <v>3.5</v>
      </c>
      <c r="F3444">
        <v>3.2</v>
      </c>
      <c r="G3444" s="2" t="s">
        <v>64</v>
      </c>
      <c r="H3444" s="2">
        <v>0.0</v>
      </c>
      <c r="I3444" s="2">
        <v>0.0</v>
      </c>
      <c r="J3444" s="37">
        <v>0.0</v>
      </c>
      <c r="K3444" s="2">
        <v>0.0</v>
      </c>
      <c r="L3444" s="2">
        <v>0.0</v>
      </c>
      <c r="M3444" s="37">
        <v>0.0</v>
      </c>
    </row>
    <row r="3445" ht="14.25" customHeight="1">
      <c r="A3445" t="s">
        <v>3511</v>
      </c>
      <c r="B3445" t="s">
        <v>3464</v>
      </c>
      <c r="C3445" t="s">
        <v>62</v>
      </c>
      <c r="D3445" t="s">
        <v>268</v>
      </c>
      <c r="E3445">
        <v>3.5</v>
      </c>
      <c r="F3445">
        <v>3.2</v>
      </c>
      <c r="G3445" s="2" t="s">
        <v>64</v>
      </c>
      <c r="H3445" s="2">
        <v>0.0</v>
      </c>
      <c r="I3445" s="2">
        <v>0.0</v>
      </c>
      <c r="J3445" s="37">
        <v>0.0</v>
      </c>
      <c r="K3445" s="2">
        <v>0.0</v>
      </c>
      <c r="L3445" s="2">
        <v>0.0</v>
      </c>
      <c r="M3445" s="37">
        <v>0.0</v>
      </c>
    </row>
    <row r="3446" ht="14.25" customHeight="1">
      <c r="A3446" t="s">
        <v>3512</v>
      </c>
      <c r="B3446" t="s">
        <v>3464</v>
      </c>
      <c r="C3446" t="s">
        <v>62</v>
      </c>
      <c r="D3446" t="s">
        <v>268</v>
      </c>
      <c r="E3446">
        <v>3.5</v>
      </c>
      <c r="F3446">
        <v>3.2</v>
      </c>
      <c r="G3446" s="2" t="s">
        <v>64</v>
      </c>
      <c r="H3446" s="2">
        <v>0.0</v>
      </c>
      <c r="I3446" s="2">
        <v>0.0</v>
      </c>
      <c r="J3446" s="37">
        <v>0.0</v>
      </c>
      <c r="K3446" s="2">
        <v>0.0</v>
      </c>
      <c r="L3446" s="2">
        <v>0.0</v>
      </c>
      <c r="M3446" s="37">
        <v>0.0</v>
      </c>
    </row>
    <row r="3447" ht="14.25" customHeight="1">
      <c r="A3447" t="s">
        <v>3513</v>
      </c>
      <c r="B3447" t="s">
        <v>3464</v>
      </c>
      <c r="C3447" t="s">
        <v>62</v>
      </c>
      <c r="D3447" t="s">
        <v>63</v>
      </c>
      <c r="E3447">
        <v>8.2</v>
      </c>
      <c r="F3447">
        <v>8.5</v>
      </c>
      <c r="G3447" s="2" t="s">
        <v>67</v>
      </c>
      <c r="H3447" s="2">
        <v>45.0</v>
      </c>
      <c r="I3447" s="2">
        <v>138.0</v>
      </c>
      <c r="J3447" s="37">
        <v>1190.1000000000001</v>
      </c>
      <c r="K3447" s="2">
        <v>52.0</v>
      </c>
      <c r="L3447" s="2">
        <v>279.0</v>
      </c>
      <c r="M3447" s="37">
        <v>1530.6200000000001</v>
      </c>
    </row>
    <row r="3448" ht="14.25" customHeight="1">
      <c r="A3448" t="s">
        <v>3514</v>
      </c>
      <c r="B3448" t="s">
        <v>3464</v>
      </c>
      <c r="C3448" t="s">
        <v>62</v>
      </c>
      <c r="D3448" t="s">
        <v>63</v>
      </c>
      <c r="E3448">
        <v>8.2</v>
      </c>
      <c r="F3448">
        <v>8.5</v>
      </c>
      <c r="G3448" s="2" t="s">
        <v>67</v>
      </c>
      <c r="H3448" s="2">
        <v>45.0</v>
      </c>
      <c r="I3448" s="2">
        <v>138.0</v>
      </c>
      <c r="J3448" s="37">
        <v>1190.1000000000001</v>
      </c>
      <c r="K3448" s="2">
        <v>52.0</v>
      </c>
      <c r="L3448" s="2">
        <v>279.0</v>
      </c>
      <c r="M3448" s="37">
        <v>1530.6200000000001</v>
      </c>
    </row>
    <row r="3449" ht="14.25" customHeight="1">
      <c r="A3449" t="s">
        <v>3515</v>
      </c>
      <c r="B3449" t="s">
        <v>3464</v>
      </c>
      <c r="C3449" t="s">
        <v>62</v>
      </c>
      <c r="D3449" t="s">
        <v>63</v>
      </c>
      <c r="E3449">
        <v>8.2</v>
      </c>
      <c r="F3449">
        <v>8.5</v>
      </c>
      <c r="G3449" s="2" t="s">
        <v>67</v>
      </c>
      <c r="H3449" s="2">
        <v>45.0</v>
      </c>
      <c r="I3449" s="2">
        <v>138.0</v>
      </c>
      <c r="J3449" s="37">
        <v>1190.1000000000001</v>
      </c>
      <c r="K3449" s="2">
        <v>52.0</v>
      </c>
      <c r="L3449" s="2">
        <v>279.0</v>
      </c>
      <c r="M3449" s="37">
        <v>1530.6200000000001</v>
      </c>
    </row>
    <row r="3450" ht="14.25" customHeight="1">
      <c r="A3450" t="s">
        <v>3516</v>
      </c>
      <c r="B3450" t="s">
        <v>3464</v>
      </c>
      <c r="C3450" t="s">
        <v>62</v>
      </c>
      <c r="D3450" t="s">
        <v>63</v>
      </c>
      <c r="E3450">
        <v>8.2</v>
      </c>
      <c r="F3450">
        <v>8.5</v>
      </c>
      <c r="G3450" s="2" t="s">
        <v>67</v>
      </c>
      <c r="H3450" s="2">
        <v>45.0</v>
      </c>
      <c r="I3450" s="2">
        <v>138.0</v>
      </c>
      <c r="J3450" s="37">
        <v>1190.1000000000001</v>
      </c>
      <c r="K3450" s="2">
        <v>52.0</v>
      </c>
      <c r="L3450" s="2">
        <v>279.0</v>
      </c>
      <c r="M3450" s="37">
        <v>1530.6200000000001</v>
      </c>
    </row>
    <row r="3451" ht="14.25" customHeight="1">
      <c r="A3451" t="s">
        <v>3517</v>
      </c>
      <c r="B3451" t="s">
        <v>3464</v>
      </c>
      <c r="C3451" t="s">
        <v>62</v>
      </c>
      <c r="D3451" t="s">
        <v>63</v>
      </c>
      <c r="E3451">
        <v>2.64</v>
      </c>
      <c r="F3451">
        <v>4.05</v>
      </c>
      <c r="G3451" s="2" t="s">
        <v>64</v>
      </c>
      <c r="H3451" s="2">
        <v>0.0</v>
      </c>
      <c r="I3451" s="2">
        <v>0.0</v>
      </c>
      <c r="J3451" s="37">
        <v>0.0</v>
      </c>
      <c r="K3451" s="2">
        <v>0.0</v>
      </c>
      <c r="L3451" s="2">
        <v>0.0</v>
      </c>
      <c r="M3451" s="37">
        <v>0.0</v>
      </c>
    </row>
    <row r="3452" ht="14.25" customHeight="1">
      <c r="A3452" t="s">
        <v>3518</v>
      </c>
      <c r="B3452" t="s">
        <v>3464</v>
      </c>
      <c r="C3452" t="s">
        <v>62</v>
      </c>
      <c r="D3452" t="s">
        <v>63</v>
      </c>
      <c r="E3452">
        <v>3.5</v>
      </c>
      <c r="F3452">
        <v>4.5</v>
      </c>
      <c r="G3452" s="2" t="s">
        <v>64</v>
      </c>
      <c r="H3452" s="2">
        <v>0.0</v>
      </c>
      <c r="I3452" s="2">
        <v>0.0</v>
      </c>
      <c r="J3452" s="37">
        <v>0.0</v>
      </c>
      <c r="K3452" s="2">
        <v>0.0</v>
      </c>
      <c r="L3452" s="2">
        <v>0.0</v>
      </c>
      <c r="M3452" s="37">
        <v>0.0</v>
      </c>
    </row>
    <row r="3453" ht="14.25" customHeight="1">
      <c r="A3453" t="s">
        <v>3519</v>
      </c>
      <c r="B3453" t="s">
        <v>3464</v>
      </c>
      <c r="C3453" t="s">
        <v>62</v>
      </c>
      <c r="D3453" t="s">
        <v>63</v>
      </c>
      <c r="E3453">
        <v>5.2</v>
      </c>
      <c r="F3453">
        <v>5.2</v>
      </c>
      <c r="G3453" s="2" t="s">
        <v>67</v>
      </c>
      <c r="H3453" s="2">
        <v>28.0</v>
      </c>
      <c r="I3453" s="2">
        <v>120.0</v>
      </c>
      <c r="J3453" s="37">
        <v>784.88</v>
      </c>
      <c r="K3453" s="2">
        <v>32.0</v>
      </c>
      <c r="L3453" s="2">
        <v>210.0</v>
      </c>
      <c r="M3453" s="37">
        <v>991.72</v>
      </c>
    </row>
    <row r="3454" ht="14.25" customHeight="1">
      <c r="A3454" t="s">
        <v>3520</v>
      </c>
      <c r="B3454" t="s">
        <v>3464</v>
      </c>
      <c r="C3454" t="s">
        <v>62</v>
      </c>
      <c r="D3454" t="s">
        <v>63</v>
      </c>
      <c r="E3454">
        <v>7.2</v>
      </c>
      <c r="F3454">
        <v>7.2</v>
      </c>
      <c r="G3454" s="2" t="s">
        <v>67</v>
      </c>
      <c r="H3454" s="2">
        <v>38.0</v>
      </c>
      <c r="I3454" s="2">
        <v>188.0</v>
      </c>
      <c r="J3454" s="37">
        <v>1097.88</v>
      </c>
      <c r="K3454" s="2">
        <v>44.0</v>
      </c>
      <c r="L3454" s="2">
        <v>312.0</v>
      </c>
      <c r="M3454" s="37">
        <v>1393.8400000000001</v>
      </c>
    </row>
    <row r="3455" ht="14.25" customHeight="1">
      <c r="A3455" t="s">
        <v>3521</v>
      </c>
      <c r="B3455" t="s">
        <v>3464</v>
      </c>
      <c r="C3455" t="s">
        <v>62</v>
      </c>
      <c r="D3455" t="s">
        <v>63</v>
      </c>
      <c r="E3455">
        <v>8.2</v>
      </c>
      <c r="F3455">
        <v>8.5</v>
      </c>
      <c r="G3455" s="2" t="s">
        <v>67</v>
      </c>
      <c r="H3455" s="2">
        <v>45.0</v>
      </c>
      <c r="I3455" s="2">
        <v>138.0</v>
      </c>
      <c r="J3455" s="37">
        <v>1190.1000000000001</v>
      </c>
      <c r="K3455" s="2">
        <v>52.0</v>
      </c>
      <c r="L3455" s="2">
        <v>279.0</v>
      </c>
      <c r="M3455" s="37">
        <v>1530.6200000000001</v>
      </c>
    </row>
    <row r="3456" ht="14.25" customHeight="1">
      <c r="A3456" t="s">
        <v>3522</v>
      </c>
      <c r="B3456" t="s">
        <v>3464</v>
      </c>
      <c r="C3456" t="s">
        <v>62</v>
      </c>
      <c r="D3456" t="s">
        <v>63</v>
      </c>
      <c r="E3456">
        <v>2.8</v>
      </c>
      <c r="F3456">
        <v>2.65</v>
      </c>
      <c r="G3456" s="2" t="s">
        <v>67</v>
      </c>
      <c r="H3456" s="2">
        <v>14.0</v>
      </c>
      <c r="I3456" s="2">
        <v>128.0</v>
      </c>
      <c r="J3456" s="37">
        <v>480.84000000000003</v>
      </c>
      <c r="K3456" s="2">
        <v>16.0</v>
      </c>
      <c r="L3456" s="2">
        <v>171.0</v>
      </c>
      <c r="M3456" s="37">
        <v>581.6600000000001</v>
      </c>
    </row>
    <row r="3457" ht="14.25" customHeight="1">
      <c r="A3457" t="s">
        <v>3523</v>
      </c>
      <c r="B3457" t="s">
        <v>3464</v>
      </c>
      <c r="C3457" t="s">
        <v>62</v>
      </c>
      <c r="D3457" t="s">
        <v>63</v>
      </c>
      <c r="E3457">
        <v>2.8</v>
      </c>
      <c r="F3457">
        <v>2.65</v>
      </c>
      <c r="G3457" s="2" t="s">
        <v>67</v>
      </c>
      <c r="H3457" s="2">
        <v>14.0</v>
      </c>
      <c r="I3457" s="2">
        <v>128.0</v>
      </c>
      <c r="J3457" s="37">
        <v>480.84000000000003</v>
      </c>
      <c r="K3457" s="2">
        <v>16.0</v>
      </c>
      <c r="L3457" s="2">
        <v>171.0</v>
      </c>
      <c r="M3457" s="37">
        <v>581.6600000000001</v>
      </c>
    </row>
    <row r="3458" ht="14.25" customHeight="1">
      <c r="A3458" t="s">
        <v>3524</v>
      </c>
      <c r="B3458" t="s">
        <v>3464</v>
      </c>
      <c r="C3458" t="s">
        <v>62</v>
      </c>
      <c r="D3458" t="s">
        <v>63</v>
      </c>
      <c r="E3458">
        <v>2.8</v>
      </c>
      <c r="F3458">
        <v>2.65</v>
      </c>
      <c r="G3458" s="2" t="s">
        <v>67</v>
      </c>
      <c r="H3458" s="2">
        <v>14.0</v>
      </c>
      <c r="I3458" s="2">
        <v>128.0</v>
      </c>
      <c r="J3458" s="37">
        <v>480.84000000000003</v>
      </c>
      <c r="K3458" s="2">
        <v>16.0</v>
      </c>
      <c r="L3458" s="2">
        <v>171.0</v>
      </c>
      <c r="M3458" s="37">
        <v>581.6600000000001</v>
      </c>
    </row>
    <row r="3459" ht="14.25" customHeight="1">
      <c r="A3459" t="s">
        <v>3525</v>
      </c>
      <c r="B3459" t="s">
        <v>3464</v>
      </c>
      <c r="C3459" t="s">
        <v>62</v>
      </c>
      <c r="D3459" t="s">
        <v>63</v>
      </c>
      <c r="E3459">
        <v>2.8</v>
      </c>
      <c r="F3459">
        <v>2.65</v>
      </c>
      <c r="G3459" s="2" t="s">
        <v>67</v>
      </c>
      <c r="H3459" s="2">
        <v>14.0</v>
      </c>
      <c r="I3459" s="2">
        <v>128.0</v>
      </c>
      <c r="J3459" s="37">
        <v>480.84000000000003</v>
      </c>
      <c r="K3459" s="2">
        <v>16.0</v>
      </c>
      <c r="L3459" s="2">
        <v>171.0</v>
      </c>
      <c r="M3459" s="37">
        <v>581.6600000000001</v>
      </c>
    </row>
    <row r="3460" ht="14.25" customHeight="1">
      <c r="A3460" t="s">
        <v>3526</v>
      </c>
      <c r="B3460" t="s">
        <v>3464</v>
      </c>
      <c r="C3460" t="s">
        <v>62</v>
      </c>
      <c r="D3460" t="s">
        <v>268</v>
      </c>
      <c r="E3460">
        <v>3.5</v>
      </c>
      <c r="F3460">
        <v>2.93</v>
      </c>
      <c r="G3460" s="2" t="s">
        <v>64</v>
      </c>
      <c r="H3460" s="2">
        <v>0.0</v>
      </c>
      <c r="I3460" s="2">
        <v>0.0</v>
      </c>
      <c r="J3460" s="37">
        <v>0.0</v>
      </c>
      <c r="K3460" s="2">
        <v>0.0</v>
      </c>
      <c r="L3460" s="2">
        <v>0.0</v>
      </c>
      <c r="M3460" s="37">
        <v>0.0</v>
      </c>
    </row>
    <row r="3461" ht="14.25" customHeight="1">
      <c r="A3461" t="s">
        <v>3527</v>
      </c>
      <c r="B3461" t="s">
        <v>3464</v>
      </c>
      <c r="C3461" t="s">
        <v>62</v>
      </c>
      <c r="D3461" t="s">
        <v>268</v>
      </c>
      <c r="E3461">
        <v>3.5</v>
      </c>
      <c r="F3461">
        <v>2.93</v>
      </c>
      <c r="G3461" s="2" t="s">
        <v>64</v>
      </c>
      <c r="H3461" s="2">
        <v>0.0</v>
      </c>
      <c r="I3461" s="2">
        <v>0.0</v>
      </c>
      <c r="J3461" s="37">
        <v>0.0</v>
      </c>
      <c r="K3461" s="2">
        <v>0.0</v>
      </c>
      <c r="L3461" s="2">
        <v>0.0</v>
      </c>
      <c r="M3461" s="37">
        <v>0.0</v>
      </c>
    </row>
    <row r="3462" ht="14.25" customHeight="1">
      <c r="A3462" t="s">
        <v>3528</v>
      </c>
      <c r="B3462" t="s">
        <v>3464</v>
      </c>
      <c r="C3462" t="s">
        <v>62</v>
      </c>
      <c r="D3462" t="s">
        <v>268</v>
      </c>
      <c r="E3462">
        <v>3.5</v>
      </c>
      <c r="F3462">
        <v>2.93</v>
      </c>
      <c r="G3462" s="2" t="s">
        <v>64</v>
      </c>
      <c r="H3462" s="2">
        <v>0.0</v>
      </c>
      <c r="I3462" s="2">
        <v>0.0</v>
      </c>
      <c r="J3462" s="37">
        <v>0.0</v>
      </c>
      <c r="K3462" s="2">
        <v>0.0</v>
      </c>
      <c r="L3462" s="2">
        <v>0.0</v>
      </c>
      <c r="M3462" s="37">
        <v>0.0</v>
      </c>
    </row>
    <row r="3463" ht="14.25" customHeight="1">
      <c r="A3463" t="s">
        <v>3529</v>
      </c>
      <c r="B3463" t="s">
        <v>3464</v>
      </c>
      <c r="C3463" t="s">
        <v>62</v>
      </c>
      <c r="D3463" t="s">
        <v>268</v>
      </c>
      <c r="E3463">
        <v>3.5</v>
      </c>
      <c r="F3463">
        <v>2.93</v>
      </c>
      <c r="G3463" s="2" t="s">
        <v>64</v>
      </c>
      <c r="H3463" s="2">
        <v>0.0</v>
      </c>
      <c r="I3463" s="2">
        <v>0.0</v>
      </c>
      <c r="J3463" s="37">
        <v>0.0</v>
      </c>
      <c r="K3463" s="2">
        <v>0.0</v>
      </c>
      <c r="L3463" s="2">
        <v>0.0</v>
      </c>
      <c r="M3463" s="37">
        <v>0.0</v>
      </c>
    </row>
    <row r="3464" ht="14.25" customHeight="1">
      <c r="A3464" t="s">
        <v>3530</v>
      </c>
      <c r="B3464" t="s">
        <v>3464</v>
      </c>
      <c r="C3464" t="s">
        <v>62</v>
      </c>
      <c r="D3464" t="s">
        <v>268</v>
      </c>
      <c r="E3464">
        <v>3.5</v>
      </c>
      <c r="F3464">
        <v>2.93</v>
      </c>
      <c r="G3464" s="2" t="s">
        <v>64</v>
      </c>
      <c r="H3464" s="2">
        <v>0.0</v>
      </c>
      <c r="I3464" s="2">
        <v>0.0</v>
      </c>
      <c r="J3464" s="37">
        <v>0.0</v>
      </c>
      <c r="K3464" s="2">
        <v>0.0</v>
      </c>
      <c r="L3464" s="2">
        <v>0.0</v>
      </c>
      <c r="M3464" s="37">
        <v>0.0</v>
      </c>
    </row>
    <row r="3465" ht="14.25" customHeight="1">
      <c r="A3465" t="s">
        <v>3531</v>
      </c>
      <c r="B3465" t="s">
        <v>3464</v>
      </c>
      <c r="C3465" t="s">
        <v>62</v>
      </c>
      <c r="D3465" t="s">
        <v>268</v>
      </c>
      <c r="E3465">
        <v>3.5</v>
      </c>
      <c r="F3465">
        <v>2.93</v>
      </c>
      <c r="G3465" s="2" t="s">
        <v>64</v>
      </c>
      <c r="H3465" s="2">
        <v>0.0</v>
      </c>
      <c r="I3465" s="2">
        <v>0.0</v>
      </c>
      <c r="J3465" s="37">
        <v>0.0</v>
      </c>
      <c r="K3465" s="2">
        <v>0.0</v>
      </c>
      <c r="L3465" s="2">
        <v>0.0</v>
      </c>
      <c r="M3465" s="37">
        <v>0.0</v>
      </c>
    </row>
    <row r="3466" ht="14.25" customHeight="1">
      <c r="A3466" t="s">
        <v>3532</v>
      </c>
      <c r="B3466" t="s">
        <v>3464</v>
      </c>
      <c r="C3466" t="s">
        <v>62</v>
      </c>
      <c r="D3466" t="s">
        <v>268</v>
      </c>
      <c r="E3466">
        <v>3.5</v>
      </c>
      <c r="F3466">
        <v>2.93</v>
      </c>
      <c r="G3466" s="2" t="s">
        <v>64</v>
      </c>
      <c r="H3466" s="2">
        <v>0.0</v>
      </c>
      <c r="I3466" s="2">
        <v>0.0</v>
      </c>
      <c r="J3466" s="37">
        <v>0.0</v>
      </c>
      <c r="K3466" s="2">
        <v>0.0</v>
      </c>
      <c r="L3466" s="2">
        <v>0.0</v>
      </c>
      <c r="M3466" s="37">
        <v>0.0</v>
      </c>
    </row>
    <row r="3467" ht="14.25" customHeight="1">
      <c r="A3467" t="s">
        <v>3533</v>
      </c>
      <c r="B3467" t="s">
        <v>3464</v>
      </c>
      <c r="C3467" t="s">
        <v>62</v>
      </c>
      <c r="D3467" t="s">
        <v>63</v>
      </c>
      <c r="E3467">
        <v>2.8</v>
      </c>
      <c r="F3467">
        <v>2.65</v>
      </c>
      <c r="G3467" s="2" t="s">
        <v>67</v>
      </c>
      <c r="H3467" s="2">
        <v>14.0</v>
      </c>
      <c r="I3467" s="2">
        <v>128.0</v>
      </c>
      <c r="J3467" s="37">
        <v>480.84000000000003</v>
      </c>
      <c r="K3467" s="2">
        <v>16.0</v>
      </c>
      <c r="L3467" s="2">
        <v>171.0</v>
      </c>
      <c r="M3467" s="37">
        <v>581.6600000000001</v>
      </c>
    </row>
    <row r="3468" ht="14.25" customHeight="1">
      <c r="A3468" t="s">
        <v>3534</v>
      </c>
      <c r="B3468" t="s">
        <v>3464</v>
      </c>
      <c r="C3468" t="s">
        <v>62</v>
      </c>
      <c r="D3468" t="s">
        <v>63</v>
      </c>
      <c r="E3468">
        <v>2.8</v>
      </c>
      <c r="F3468">
        <v>2.65</v>
      </c>
      <c r="G3468" s="2" t="s">
        <v>67</v>
      </c>
      <c r="H3468" s="2">
        <v>14.0</v>
      </c>
      <c r="I3468" s="2">
        <v>128.0</v>
      </c>
      <c r="J3468" s="37">
        <v>480.84000000000003</v>
      </c>
      <c r="K3468" s="2">
        <v>16.0</v>
      </c>
      <c r="L3468" s="2">
        <v>171.0</v>
      </c>
      <c r="M3468" s="37">
        <v>581.6600000000001</v>
      </c>
    </row>
    <row r="3469" ht="14.25" customHeight="1">
      <c r="A3469" t="s">
        <v>3535</v>
      </c>
      <c r="B3469" t="s">
        <v>3464</v>
      </c>
      <c r="C3469" t="s">
        <v>62</v>
      </c>
      <c r="D3469" t="s">
        <v>63</v>
      </c>
      <c r="E3469">
        <v>2.8</v>
      </c>
      <c r="F3469">
        <v>2.65</v>
      </c>
      <c r="G3469" s="2" t="s">
        <v>67</v>
      </c>
      <c r="H3469" s="2">
        <v>14.0</v>
      </c>
      <c r="I3469" s="2">
        <v>128.0</v>
      </c>
      <c r="J3469" s="37">
        <v>480.84000000000003</v>
      </c>
      <c r="K3469" s="2">
        <v>16.0</v>
      </c>
      <c r="L3469" s="2">
        <v>171.0</v>
      </c>
      <c r="M3469" s="37">
        <v>581.6600000000001</v>
      </c>
    </row>
    <row r="3470" ht="14.25" customHeight="1">
      <c r="A3470" t="s">
        <v>3536</v>
      </c>
      <c r="B3470" t="s">
        <v>3464</v>
      </c>
      <c r="C3470" t="s">
        <v>62</v>
      </c>
      <c r="D3470" t="s">
        <v>63</v>
      </c>
      <c r="E3470">
        <v>2.8</v>
      </c>
      <c r="F3470">
        <v>2.65</v>
      </c>
      <c r="G3470" s="2" t="s">
        <v>67</v>
      </c>
      <c r="H3470" s="2">
        <v>14.0</v>
      </c>
      <c r="I3470" s="2">
        <v>128.0</v>
      </c>
      <c r="J3470" s="37">
        <v>480.84000000000003</v>
      </c>
      <c r="K3470" s="2">
        <v>16.0</v>
      </c>
      <c r="L3470" s="2">
        <v>171.0</v>
      </c>
      <c r="M3470" s="37">
        <v>581.6600000000001</v>
      </c>
    </row>
    <row r="3471" ht="14.25" customHeight="1">
      <c r="A3471" t="s">
        <v>3537</v>
      </c>
      <c r="B3471" t="s">
        <v>3464</v>
      </c>
      <c r="C3471" t="s">
        <v>62</v>
      </c>
      <c r="D3471" t="s">
        <v>63</v>
      </c>
      <c r="E3471">
        <v>2.8</v>
      </c>
      <c r="F3471">
        <v>2.65</v>
      </c>
      <c r="G3471" s="2" t="s">
        <v>67</v>
      </c>
      <c r="H3471" s="2">
        <v>14.0</v>
      </c>
      <c r="I3471" s="2">
        <v>128.0</v>
      </c>
      <c r="J3471" s="37">
        <v>480.84000000000003</v>
      </c>
      <c r="K3471" s="2">
        <v>16.0</v>
      </c>
      <c r="L3471" s="2">
        <v>171.0</v>
      </c>
      <c r="M3471" s="37">
        <v>581.6600000000001</v>
      </c>
    </row>
    <row r="3472" ht="14.25" customHeight="1">
      <c r="A3472" t="s">
        <v>3538</v>
      </c>
      <c r="B3472" t="s">
        <v>3464</v>
      </c>
      <c r="C3472" t="s">
        <v>62</v>
      </c>
      <c r="D3472" t="s">
        <v>63</v>
      </c>
      <c r="E3472">
        <v>2.8</v>
      </c>
      <c r="F3472">
        <v>2.65</v>
      </c>
      <c r="G3472" s="2" t="s">
        <v>67</v>
      </c>
      <c r="H3472" s="2">
        <v>14.0</v>
      </c>
      <c r="I3472" s="2">
        <v>128.0</v>
      </c>
      <c r="J3472" s="37">
        <v>480.84000000000003</v>
      </c>
      <c r="K3472" s="2">
        <v>16.0</v>
      </c>
      <c r="L3472" s="2">
        <v>171.0</v>
      </c>
      <c r="M3472" s="37">
        <v>581.6600000000001</v>
      </c>
    </row>
    <row r="3473" ht="14.25" customHeight="1">
      <c r="A3473" t="s">
        <v>3522</v>
      </c>
      <c r="B3473" t="s">
        <v>3464</v>
      </c>
      <c r="C3473" t="s">
        <v>62</v>
      </c>
      <c r="D3473" t="s">
        <v>63</v>
      </c>
      <c r="E3473">
        <v>2.8</v>
      </c>
      <c r="F3473">
        <v>2.65</v>
      </c>
      <c r="G3473" s="2" t="s">
        <v>67</v>
      </c>
      <c r="H3473" s="2">
        <v>14.0</v>
      </c>
      <c r="I3473" s="2">
        <v>128.0</v>
      </c>
      <c r="J3473" s="37">
        <v>480.84000000000003</v>
      </c>
      <c r="K3473" s="2">
        <v>16.0</v>
      </c>
      <c r="L3473" s="2">
        <v>171.0</v>
      </c>
      <c r="M3473" s="37">
        <v>581.6600000000001</v>
      </c>
    </row>
    <row r="3474" ht="14.25" customHeight="1">
      <c r="A3474" t="s">
        <v>3539</v>
      </c>
      <c r="B3474" t="s">
        <v>3464</v>
      </c>
      <c r="C3474" t="s">
        <v>62</v>
      </c>
      <c r="D3474" t="s">
        <v>63</v>
      </c>
      <c r="E3474">
        <v>3.53</v>
      </c>
      <c r="F3474">
        <v>3.65</v>
      </c>
      <c r="G3474" s="2" t="s">
        <v>67</v>
      </c>
      <c r="H3474" s="2">
        <v>18.0</v>
      </c>
      <c r="I3474" s="2">
        <v>52.0</v>
      </c>
      <c r="J3474" s="37">
        <v>471.88000000000005</v>
      </c>
      <c r="K3474" s="2">
        <v>20.0</v>
      </c>
      <c r="L3474" s="2">
        <v>106.0</v>
      </c>
      <c r="M3474" s="37">
        <v>587.0</v>
      </c>
    </row>
    <row r="3475" ht="14.25" customHeight="1">
      <c r="A3475" t="s">
        <v>3540</v>
      </c>
      <c r="B3475" t="s">
        <v>3464</v>
      </c>
      <c r="C3475" t="s">
        <v>62</v>
      </c>
      <c r="D3475" t="s">
        <v>63</v>
      </c>
      <c r="E3475">
        <v>2.64</v>
      </c>
      <c r="F3475">
        <v>3.3</v>
      </c>
      <c r="G3475" s="2" t="s">
        <v>67</v>
      </c>
      <c r="H3475" s="2">
        <v>16.0</v>
      </c>
      <c r="I3475" s="2">
        <v>90.0</v>
      </c>
      <c r="J3475" s="37">
        <v>476.36</v>
      </c>
      <c r="K3475" s="2">
        <v>19.0</v>
      </c>
      <c r="L3475" s="2">
        <v>130.0</v>
      </c>
      <c r="M3475" s="37">
        <v>595.74</v>
      </c>
    </row>
    <row r="3476" ht="14.25" customHeight="1">
      <c r="A3476" t="s">
        <v>3541</v>
      </c>
      <c r="B3476" t="s">
        <v>3464</v>
      </c>
      <c r="C3476" t="s">
        <v>62</v>
      </c>
      <c r="D3476" t="s">
        <v>63</v>
      </c>
      <c r="E3476">
        <v>5.3</v>
      </c>
      <c r="F3476">
        <v>5.3</v>
      </c>
      <c r="G3476" s="2" t="s">
        <v>67</v>
      </c>
      <c r="H3476" s="2">
        <v>31.0</v>
      </c>
      <c r="I3476" s="2">
        <v>193.0</v>
      </c>
      <c r="J3476" s="37">
        <v>947.16</v>
      </c>
      <c r="K3476" s="2">
        <v>35.0</v>
      </c>
      <c r="L3476" s="2">
        <v>285.0</v>
      </c>
      <c r="M3476" s="37">
        <v>1156.6</v>
      </c>
    </row>
    <row r="3477" ht="14.25" customHeight="1">
      <c r="A3477" t="s">
        <v>3542</v>
      </c>
      <c r="B3477" t="s">
        <v>3464</v>
      </c>
      <c r="C3477" t="s">
        <v>62</v>
      </c>
      <c r="D3477" t="s">
        <v>63</v>
      </c>
      <c r="E3477">
        <v>1.78</v>
      </c>
      <c r="F3477">
        <v>1.82</v>
      </c>
      <c r="G3477" s="2" t="s">
        <v>67</v>
      </c>
      <c r="H3477" s="2">
        <v>9.0</v>
      </c>
      <c r="I3477" s="2">
        <v>56.0</v>
      </c>
      <c r="J3477" s="37">
        <v>274.94</v>
      </c>
      <c r="K3477" s="2">
        <v>10.0</v>
      </c>
      <c r="L3477" s="2">
        <v>83.0</v>
      </c>
      <c r="M3477" s="37">
        <v>332.5</v>
      </c>
    </row>
    <row r="3478" ht="14.25" customHeight="1">
      <c r="A3478" t="s">
        <v>3543</v>
      </c>
      <c r="B3478" t="s">
        <v>3464</v>
      </c>
      <c r="C3478" t="s">
        <v>62</v>
      </c>
      <c r="D3478" t="s">
        <v>63</v>
      </c>
      <c r="E3478">
        <v>1.78</v>
      </c>
      <c r="F3478">
        <v>1.82</v>
      </c>
      <c r="G3478" s="2" t="s">
        <v>67</v>
      </c>
      <c r="H3478" s="2">
        <v>9.0</v>
      </c>
      <c r="I3478" s="2">
        <v>56.0</v>
      </c>
      <c r="J3478" s="37">
        <v>274.94</v>
      </c>
      <c r="K3478" s="2">
        <v>10.0</v>
      </c>
      <c r="L3478" s="2">
        <v>83.0</v>
      </c>
      <c r="M3478" s="37">
        <v>332.5</v>
      </c>
    </row>
    <row r="3479" ht="14.25" customHeight="1">
      <c r="A3479" t="s">
        <v>3544</v>
      </c>
      <c r="B3479" t="s">
        <v>3464</v>
      </c>
      <c r="C3479" t="s">
        <v>62</v>
      </c>
      <c r="D3479" t="s">
        <v>63</v>
      </c>
      <c r="E3479">
        <v>1.78</v>
      </c>
      <c r="F3479">
        <v>1.82</v>
      </c>
      <c r="G3479" s="2" t="s">
        <v>67</v>
      </c>
      <c r="H3479" s="2">
        <v>9.0</v>
      </c>
      <c r="I3479" s="2">
        <v>56.0</v>
      </c>
      <c r="J3479" s="37">
        <v>274.94</v>
      </c>
      <c r="K3479" s="2">
        <v>10.0</v>
      </c>
      <c r="L3479" s="2">
        <v>83.0</v>
      </c>
      <c r="M3479" s="37">
        <v>332.5</v>
      </c>
    </row>
    <row r="3480" ht="14.25" customHeight="1">
      <c r="A3480" t="s">
        <v>3545</v>
      </c>
      <c r="B3480" t="s">
        <v>3464</v>
      </c>
      <c r="C3480" t="s">
        <v>62</v>
      </c>
      <c r="D3480" t="s">
        <v>63</v>
      </c>
      <c r="E3480">
        <v>1.78</v>
      </c>
      <c r="F3480">
        <v>1.82</v>
      </c>
      <c r="G3480" s="2" t="s">
        <v>67</v>
      </c>
      <c r="H3480" s="2">
        <v>9.0</v>
      </c>
      <c r="I3480" s="2">
        <v>56.0</v>
      </c>
      <c r="J3480" s="37">
        <v>274.94</v>
      </c>
      <c r="K3480" s="2">
        <v>10.0</v>
      </c>
      <c r="L3480" s="2">
        <v>83.0</v>
      </c>
      <c r="M3480" s="37">
        <v>332.5</v>
      </c>
    </row>
    <row r="3481" ht="14.25" customHeight="1">
      <c r="A3481" t="s">
        <v>3546</v>
      </c>
      <c r="B3481" t="s">
        <v>3464</v>
      </c>
      <c r="C3481" t="s">
        <v>62</v>
      </c>
      <c r="D3481" t="s">
        <v>63</v>
      </c>
      <c r="E3481">
        <v>1.78</v>
      </c>
      <c r="F3481">
        <v>1.82</v>
      </c>
      <c r="G3481" s="2" t="s">
        <v>67</v>
      </c>
      <c r="H3481" s="2">
        <v>9.0</v>
      </c>
      <c r="I3481" s="2">
        <v>56.0</v>
      </c>
      <c r="J3481" s="37">
        <v>274.94</v>
      </c>
      <c r="K3481" s="2">
        <v>10.0</v>
      </c>
      <c r="L3481" s="2">
        <v>83.0</v>
      </c>
      <c r="M3481" s="37">
        <v>332.5</v>
      </c>
    </row>
    <row r="3482" ht="14.25" customHeight="1">
      <c r="A3482" t="s">
        <v>3547</v>
      </c>
      <c r="B3482" t="s">
        <v>3464</v>
      </c>
      <c r="C3482" t="s">
        <v>62</v>
      </c>
      <c r="D3482" t="s">
        <v>63</v>
      </c>
      <c r="E3482">
        <v>1.78</v>
      </c>
      <c r="F3482">
        <v>1.82</v>
      </c>
      <c r="G3482" s="2" t="s">
        <v>67</v>
      </c>
      <c r="H3482" s="2">
        <v>9.0</v>
      </c>
      <c r="I3482" s="2">
        <v>56.0</v>
      </c>
      <c r="J3482" s="37">
        <v>274.94</v>
      </c>
      <c r="K3482" s="2">
        <v>10.0</v>
      </c>
      <c r="L3482" s="2">
        <v>83.0</v>
      </c>
      <c r="M3482" s="37">
        <v>332.5</v>
      </c>
    </row>
    <row r="3483" ht="14.25" customHeight="1">
      <c r="A3483" t="s">
        <v>3548</v>
      </c>
      <c r="B3483" t="s">
        <v>3464</v>
      </c>
      <c r="C3483" t="s">
        <v>62</v>
      </c>
      <c r="D3483" t="s">
        <v>63</v>
      </c>
      <c r="E3483">
        <v>1.78</v>
      </c>
      <c r="F3483">
        <v>1.82</v>
      </c>
      <c r="G3483" s="2" t="s">
        <v>67</v>
      </c>
      <c r="H3483" s="2">
        <v>9.0</v>
      </c>
      <c r="I3483" s="2">
        <v>56.0</v>
      </c>
      <c r="J3483" s="37">
        <v>274.94</v>
      </c>
      <c r="K3483" s="2">
        <v>10.0</v>
      </c>
      <c r="L3483" s="2">
        <v>83.0</v>
      </c>
      <c r="M3483" s="37">
        <v>332.5</v>
      </c>
    </row>
    <row r="3484" ht="14.25" customHeight="1">
      <c r="A3484" t="s">
        <v>3549</v>
      </c>
      <c r="B3484" t="s">
        <v>3464</v>
      </c>
      <c r="C3484" t="s">
        <v>62</v>
      </c>
      <c r="D3484" t="s">
        <v>63</v>
      </c>
      <c r="E3484">
        <v>1.78</v>
      </c>
      <c r="F3484">
        <v>1.82</v>
      </c>
      <c r="G3484" s="2" t="s">
        <v>67</v>
      </c>
      <c r="H3484" s="2">
        <v>9.0</v>
      </c>
      <c r="I3484" s="2">
        <v>56.0</v>
      </c>
      <c r="J3484" s="37">
        <v>274.94</v>
      </c>
      <c r="K3484" s="2">
        <v>10.0</v>
      </c>
      <c r="L3484" s="2">
        <v>83.0</v>
      </c>
      <c r="M3484" s="37">
        <v>332.5</v>
      </c>
    </row>
    <row r="3485" ht="14.25" customHeight="1">
      <c r="A3485" t="s">
        <v>3550</v>
      </c>
      <c r="B3485" t="s">
        <v>3464</v>
      </c>
      <c r="C3485" t="s">
        <v>62</v>
      </c>
      <c r="D3485" t="s">
        <v>63</v>
      </c>
      <c r="E3485">
        <v>1.78</v>
      </c>
      <c r="F3485">
        <v>1.82</v>
      </c>
      <c r="G3485" s="2" t="s">
        <v>67</v>
      </c>
      <c r="H3485" s="2">
        <v>9.0</v>
      </c>
      <c r="I3485" s="2">
        <v>56.0</v>
      </c>
      <c r="J3485" s="37">
        <v>274.94</v>
      </c>
      <c r="K3485" s="2">
        <v>10.0</v>
      </c>
      <c r="L3485" s="2">
        <v>83.0</v>
      </c>
      <c r="M3485" s="37">
        <v>332.5</v>
      </c>
    </row>
    <row r="3486" ht="14.25" customHeight="1">
      <c r="A3486" t="s">
        <v>3551</v>
      </c>
      <c r="B3486" t="s">
        <v>3464</v>
      </c>
      <c r="C3486" t="s">
        <v>62</v>
      </c>
      <c r="D3486" t="s">
        <v>63</v>
      </c>
      <c r="E3486">
        <v>1.78</v>
      </c>
      <c r="F3486">
        <v>1.82</v>
      </c>
      <c r="G3486" s="2" t="s">
        <v>67</v>
      </c>
      <c r="H3486" s="2">
        <v>9.0</v>
      </c>
      <c r="I3486" s="2">
        <v>56.0</v>
      </c>
      <c r="J3486" s="37">
        <v>274.94</v>
      </c>
      <c r="K3486" s="2">
        <v>10.0</v>
      </c>
      <c r="L3486" s="2">
        <v>83.0</v>
      </c>
      <c r="M3486" s="37">
        <v>332.5</v>
      </c>
    </row>
    <row r="3487" ht="14.25" customHeight="1">
      <c r="A3487" t="s">
        <v>3552</v>
      </c>
      <c r="B3487" t="s">
        <v>3464</v>
      </c>
      <c r="C3487" t="s">
        <v>62</v>
      </c>
      <c r="D3487" t="s">
        <v>63</v>
      </c>
      <c r="E3487">
        <v>1.78</v>
      </c>
      <c r="F3487">
        <v>1.82</v>
      </c>
      <c r="G3487" s="2" t="s">
        <v>67</v>
      </c>
      <c r="H3487" s="2">
        <v>9.0</v>
      </c>
      <c r="I3487" s="2">
        <v>56.0</v>
      </c>
      <c r="J3487" s="37">
        <v>274.94</v>
      </c>
      <c r="K3487" s="2">
        <v>10.0</v>
      </c>
      <c r="L3487" s="2">
        <v>83.0</v>
      </c>
      <c r="M3487" s="37">
        <v>332.5</v>
      </c>
    </row>
    <row r="3488" ht="14.25" customHeight="1">
      <c r="A3488" t="s">
        <v>3553</v>
      </c>
      <c r="B3488" t="s">
        <v>3464</v>
      </c>
      <c r="C3488" t="s">
        <v>75</v>
      </c>
      <c r="D3488" t="s">
        <v>63</v>
      </c>
      <c r="E3488">
        <v>16.0</v>
      </c>
      <c r="F3488">
        <v>19.0</v>
      </c>
      <c r="G3488" s="2" t="s">
        <v>67</v>
      </c>
      <c r="H3488" s="2">
        <v>100.0</v>
      </c>
      <c r="I3488" s="2">
        <v>174.0</v>
      </c>
      <c r="J3488" s="37">
        <v>2472.2</v>
      </c>
      <c r="K3488" s="2">
        <v>117.0</v>
      </c>
      <c r="L3488" s="2">
        <v>484.0</v>
      </c>
      <c r="M3488" s="37">
        <v>3257.0200000000004</v>
      </c>
    </row>
    <row r="3489" ht="14.25" customHeight="1">
      <c r="A3489" t="s">
        <v>3554</v>
      </c>
      <c r="B3489" t="s">
        <v>3464</v>
      </c>
      <c r="C3489" t="s">
        <v>75</v>
      </c>
      <c r="D3489" t="s">
        <v>63</v>
      </c>
      <c r="E3489">
        <v>14.0</v>
      </c>
      <c r="F3489">
        <v>16.5</v>
      </c>
      <c r="G3489" s="2" t="s">
        <v>67</v>
      </c>
      <c r="H3489" s="2">
        <v>91.0</v>
      </c>
      <c r="I3489" s="2">
        <v>373.0</v>
      </c>
      <c r="J3489" s="37">
        <v>2528.76</v>
      </c>
      <c r="K3489" s="2">
        <v>106.0</v>
      </c>
      <c r="L3489" s="2">
        <v>644.0</v>
      </c>
      <c r="M3489" s="37">
        <v>3217.96</v>
      </c>
    </row>
    <row r="3490" ht="14.25" customHeight="1">
      <c r="A3490" t="s">
        <v>3555</v>
      </c>
      <c r="B3490" t="s">
        <v>3464</v>
      </c>
      <c r="C3490" t="s">
        <v>75</v>
      </c>
      <c r="D3490" t="s">
        <v>63</v>
      </c>
      <c r="E3490">
        <v>7.1</v>
      </c>
      <c r="F3490">
        <v>7.5</v>
      </c>
      <c r="G3490" s="2" t="s">
        <v>67</v>
      </c>
      <c r="H3490" s="2">
        <v>45.0</v>
      </c>
      <c r="I3490" s="2">
        <v>218.0</v>
      </c>
      <c r="J3490" s="37">
        <v>1294.1000000000001</v>
      </c>
      <c r="K3490" s="2">
        <v>52.0</v>
      </c>
      <c r="L3490" s="2">
        <v>356.0</v>
      </c>
      <c r="M3490" s="37">
        <v>1630.72</v>
      </c>
    </row>
    <row r="3491" ht="14.25" customHeight="1">
      <c r="A3491" t="s">
        <v>3556</v>
      </c>
      <c r="B3491" t="s">
        <v>3464</v>
      </c>
      <c r="C3491" t="s">
        <v>75</v>
      </c>
      <c r="D3491" t="s">
        <v>63</v>
      </c>
      <c r="E3491">
        <v>8.5</v>
      </c>
      <c r="F3491">
        <v>10.0</v>
      </c>
      <c r="G3491" s="2" t="s">
        <v>67</v>
      </c>
      <c r="H3491" s="2">
        <v>56.0</v>
      </c>
      <c r="I3491" s="2">
        <v>163.0</v>
      </c>
      <c r="J3491" s="37">
        <v>1469.66</v>
      </c>
      <c r="K3491" s="2">
        <v>65.0</v>
      </c>
      <c r="L3491" s="2">
        <v>328.0</v>
      </c>
      <c r="M3491" s="37">
        <v>1886.3000000000002</v>
      </c>
    </row>
    <row r="3492" ht="14.25" customHeight="1">
      <c r="A3492" t="s">
        <v>3557</v>
      </c>
      <c r="B3492" t="s">
        <v>3464</v>
      </c>
      <c r="C3492" t="s">
        <v>75</v>
      </c>
      <c r="D3492" t="s">
        <v>63</v>
      </c>
      <c r="E3492">
        <v>10.5</v>
      </c>
      <c r="F3492">
        <v>12.5</v>
      </c>
      <c r="G3492" s="2" t="s">
        <v>67</v>
      </c>
      <c r="H3492" s="2">
        <v>72.0</v>
      </c>
      <c r="I3492" s="2">
        <v>508.0</v>
      </c>
      <c r="J3492" s="37">
        <v>2277.52</v>
      </c>
      <c r="K3492" s="2">
        <v>84.0</v>
      </c>
      <c r="L3492" s="2">
        <v>712.0</v>
      </c>
      <c r="M3492" s="37">
        <v>2812.2400000000002</v>
      </c>
    </row>
    <row r="3493" ht="14.25" customHeight="1">
      <c r="A3493" t="s">
        <v>3558</v>
      </c>
      <c r="B3493" t="s">
        <v>3464</v>
      </c>
      <c r="C3493" t="s">
        <v>75</v>
      </c>
      <c r="D3493" t="s">
        <v>63</v>
      </c>
      <c r="E3493">
        <v>12.5</v>
      </c>
      <c r="F3493">
        <v>15.0</v>
      </c>
      <c r="G3493" s="2" t="s">
        <v>67</v>
      </c>
      <c r="H3493" s="2">
        <v>79.0</v>
      </c>
      <c r="I3493" s="2">
        <v>130.0</v>
      </c>
      <c r="J3493" s="37">
        <v>1943.3400000000001</v>
      </c>
      <c r="K3493" s="2">
        <v>92.0</v>
      </c>
      <c r="L3493" s="2">
        <v>372.0</v>
      </c>
      <c r="M3493" s="37">
        <v>2549.92</v>
      </c>
    </row>
    <row r="3494" ht="14.25" customHeight="1">
      <c r="A3494" t="s">
        <v>3559</v>
      </c>
      <c r="B3494" t="s">
        <v>3464</v>
      </c>
      <c r="C3494" t="s">
        <v>62</v>
      </c>
      <c r="D3494" t="s">
        <v>63</v>
      </c>
      <c r="E3494">
        <v>8.2</v>
      </c>
      <c r="F3494">
        <v>8.4</v>
      </c>
      <c r="G3494" s="2" t="s">
        <v>67</v>
      </c>
      <c r="H3494" s="2">
        <v>44.0</v>
      </c>
      <c r="I3494" s="2">
        <v>90.0</v>
      </c>
      <c r="J3494" s="37">
        <v>1105.24</v>
      </c>
      <c r="K3494" s="2">
        <v>51.0</v>
      </c>
      <c r="L3494" s="2">
        <v>231.0</v>
      </c>
      <c r="M3494" s="37">
        <v>1445.76</v>
      </c>
    </row>
    <row r="3495" ht="14.25" customHeight="1">
      <c r="A3495" t="s">
        <v>3560</v>
      </c>
      <c r="B3495" t="s">
        <v>3464</v>
      </c>
      <c r="C3495" t="s">
        <v>62</v>
      </c>
      <c r="D3495" t="s">
        <v>63</v>
      </c>
      <c r="E3495">
        <v>8.2</v>
      </c>
      <c r="F3495">
        <v>8.4</v>
      </c>
      <c r="G3495" s="2" t="s">
        <v>67</v>
      </c>
      <c r="H3495" s="2">
        <v>44.0</v>
      </c>
      <c r="I3495" s="2">
        <v>90.0</v>
      </c>
      <c r="J3495" s="37">
        <v>1105.24</v>
      </c>
      <c r="K3495" s="2">
        <v>51.0</v>
      </c>
      <c r="L3495" s="2">
        <v>231.0</v>
      </c>
      <c r="M3495" s="37">
        <v>1445.76</v>
      </c>
    </row>
    <row r="3496" ht="14.25" customHeight="1">
      <c r="A3496" t="s">
        <v>3561</v>
      </c>
      <c r="B3496" t="s">
        <v>3464</v>
      </c>
      <c r="C3496" t="s">
        <v>62</v>
      </c>
      <c r="D3496" t="s">
        <v>63</v>
      </c>
      <c r="E3496">
        <v>8.2</v>
      </c>
      <c r="F3496">
        <v>8.4</v>
      </c>
      <c r="G3496" s="2" t="s">
        <v>67</v>
      </c>
      <c r="H3496" s="2">
        <v>44.0</v>
      </c>
      <c r="I3496" s="2">
        <v>90.0</v>
      </c>
      <c r="J3496" s="37">
        <v>1105.24</v>
      </c>
      <c r="K3496" s="2">
        <v>51.0</v>
      </c>
      <c r="L3496" s="2">
        <v>231.0</v>
      </c>
      <c r="M3496" s="37">
        <v>1445.76</v>
      </c>
    </row>
    <row r="3497" ht="14.25" customHeight="1">
      <c r="A3497" t="s">
        <v>3562</v>
      </c>
      <c r="B3497" t="s">
        <v>3464</v>
      </c>
      <c r="C3497" t="s">
        <v>62</v>
      </c>
      <c r="D3497" t="s">
        <v>63</v>
      </c>
      <c r="E3497">
        <v>8.2</v>
      </c>
      <c r="F3497">
        <v>8.4</v>
      </c>
      <c r="G3497" s="2" t="s">
        <v>67</v>
      </c>
      <c r="H3497" s="2">
        <v>44.0</v>
      </c>
      <c r="I3497" s="2">
        <v>90.0</v>
      </c>
      <c r="J3497" s="37">
        <v>1105.24</v>
      </c>
      <c r="K3497" s="2">
        <v>51.0</v>
      </c>
      <c r="L3497" s="2">
        <v>231.0</v>
      </c>
      <c r="M3497" s="37">
        <v>1445.76</v>
      </c>
    </row>
    <row r="3498" ht="14.25" customHeight="1">
      <c r="A3498" t="s">
        <v>3563</v>
      </c>
      <c r="B3498" t="s">
        <v>3464</v>
      </c>
      <c r="C3498" t="s">
        <v>62</v>
      </c>
      <c r="D3498" t="s">
        <v>63</v>
      </c>
      <c r="E3498">
        <v>8.2</v>
      </c>
      <c r="F3498">
        <v>8.4</v>
      </c>
      <c r="G3498" s="2" t="s">
        <v>67</v>
      </c>
      <c r="H3498" s="2">
        <v>44.0</v>
      </c>
      <c r="I3498" s="2">
        <v>90.0</v>
      </c>
      <c r="J3498" s="37">
        <v>1105.24</v>
      </c>
      <c r="K3498" s="2">
        <v>51.0</v>
      </c>
      <c r="L3498" s="2">
        <v>231.0</v>
      </c>
      <c r="M3498" s="37">
        <v>1445.76</v>
      </c>
    </row>
    <row r="3499" ht="14.25" customHeight="1">
      <c r="A3499" t="s">
        <v>3564</v>
      </c>
      <c r="B3499" t="s">
        <v>3464</v>
      </c>
      <c r="C3499" t="s">
        <v>62</v>
      </c>
      <c r="D3499" t="s">
        <v>63</v>
      </c>
      <c r="E3499">
        <v>7.2</v>
      </c>
      <c r="F3499">
        <v>7.3</v>
      </c>
      <c r="G3499" s="2" t="s">
        <v>67</v>
      </c>
      <c r="H3499" s="2">
        <v>40.0</v>
      </c>
      <c r="I3499" s="2">
        <v>81.0</v>
      </c>
      <c r="J3499" s="37">
        <v>1003.7</v>
      </c>
      <c r="K3499" s="2">
        <v>46.0</v>
      </c>
      <c r="L3499" s="2">
        <v>205.0</v>
      </c>
      <c r="M3499" s="37">
        <v>1299.66</v>
      </c>
    </row>
    <row r="3500" ht="14.25" customHeight="1">
      <c r="A3500" t="s">
        <v>3565</v>
      </c>
      <c r="B3500" t="s">
        <v>3464</v>
      </c>
      <c r="C3500" t="s">
        <v>62</v>
      </c>
      <c r="D3500" t="s">
        <v>63</v>
      </c>
      <c r="E3500">
        <v>7.2</v>
      </c>
      <c r="F3500">
        <v>7.3</v>
      </c>
      <c r="G3500" s="2" t="s">
        <v>67</v>
      </c>
      <c r="H3500" s="2">
        <v>40.0</v>
      </c>
      <c r="I3500" s="2">
        <v>81.0</v>
      </c>
      <c r="J3500" s="37">
        <v>1003.7</v>
      </c>
      <c r="K3500" s="2">
        <v>46.0</v>
      </c>
      <c r="L3500" s="2">
        <v>205.0</v>
      </c>
      <c r="M3500" s="37">
        <v>1299.66</v>
      </c>
    </row>
    <row r="3501" ht="14.25" customHeight="1">
      <c r="A3501" t="s">
        <v>3566</v>
      </c>
      <c r="B3501" t="s">
        <v>3464</v>
      </c>
      <c r="C3501" t="s">
        <v>62</v>
      </c>
      <c r="D3501" t="s">
        <v>63</v>
      </c>
      <c r="E3501">
        <v>7.2</v>
      </c>
      <c r="F3501">
        <v>7.3</v>
      </c>
      <c r="G3501" s="2" t="s">
        <v>67</v>
      </c>
      <c r="H3501" s="2">
        <v>40.0</v>
      </c>
      <c r="I3501" s="2">
        <v>81.0</v>
      </c>
      <c r="J3501" s="37">
        <v>1003.7</v>
      </c>
      <c r="K3501" s="2">
        <v>46.0</v>
      </c>
      <c r="L3501" s="2">
        <v>205.0</v>
      </c>
      <c r="M3501" s="37">
        <v>1299.66</v>
      </c>
    </row>
    <row r="3502" ht="14.25" customHeight="1">
      <c r="A3502" t="s">
        <v>3567</v>
      </c>
      <c r="B3502" t="s">
        <v>3464</v>
      </c>
      <c r="C3502" t="s">
        <v>62</v>
      </c>
      <c r="D3502" t="s">
        <v>63</v>
      </c>
      <c r="E3502">
        <v>7.2</v>
      </c>
      <c r="F3502">
        <v>7.3</v>
      </c>
      <c r="G3502" s="2" t="s">
        <v>67</v>
      </c>
      <c r="H3502" s="2">
        <v>40.0</v>
      </c>
      <c r="I3502" s="2">
        <v>81.0</v>
      </c>
      <c r="J3502" s="37">
        <v>1003.7</v>
      </c>
      <c r="K3502" s="2">
        <v>46.0</v>
      </c>
      <c r="L3502" s="2">
        <v>205.0</v>
      </c>
      <c r="M3502" s="37">
        <v>1299.66</v>
      </c>
    </row>
    <row r="3503" ht="14.25" customHeight="1">
      <c r="A3503" t="s">
        <v>3568</v>
      </c>
      <c r="B3503" t="s">
        <v>3464</v>
      </c>
      <c r="C3503" t="s">
        <v>62</v>
      </c>
      <c r="D3503" t="s">
        <v>63</v>
      </c>
      <c r="E3503">
        <v>7.2</v>
      </c>
      <c r="F3503">
        <v>7.3</v>
      </c>
      <c r="G3503" s="2" t="s">
        <v>67</v>
      </c>
      <c r="H3503" s="2">
        <v>40.0</v>
      </c>
      <c r="I3503" s="2">
        <v>81.0</v>
      </c>
      <c r="J3503" s="37">
        <v>1003.7</v>
      </c>
      <c r="K3503" s="2">
        <v>46.0</v>
      </c>
      <c r="L3503" s="2">
        <v>205.0</v>
      </c>
      <c r="M3503" s="37">
        <v>1299.66</v>
      </c>
    </row>
    <row r="3504" ht="14.25" customHeight="1">
      <c r="A3504" t="s">
        <v>3540</v>
      </c>
      <c r="B3504" t="s">
        <v>3464</v>
      </c>
      <c r="C3504" t="s">
        <v>62</v>
      </c>
      <c r="D3504" t="s">
        <v>63</v>
      </c>
      <c r="E3504">
        <v>2.64</v>
      </c>
      <c r="F3504">
        <v>3.3</v>
      </c>
      <c r="G3504" s="2" t="s">
        <v>67</v>
      </c>
      <c r="H3504" s="2">
        <v>16.0</v>
      </c>
      <c r="I3504" s="2">
        <v>96.0</v>
      </c>
      <c r="J3504" s="37">
        <v>484.16</v>
      </c>
      <c r="K3504" s="2">
        <v>19.0</v>
      </c>
      <c r="L3504" s="2">
        <v>136.0</v>
      </c>
      <c r="M3504" s="37">
        <v>603.54</v>
      </c>
    </row>
    <row r="3505" ht="14.25" customHeight="1">
      <c r="A3505" t="s">
        <v>3569</v>
      </c>
      <c r="B3505" t="s">
        <v>3464</v>
      </c>
      <c r="C3505" t="s">
        <v>62</v>
      </c>
      <c r="D3505" t="s">
        <v>63</v>
      </c>
      <c r="E3505">
        <v>2.64</v>
      </c>
      <c r="F3505">
        <v>3.3</v>
      </c>
      <c r="G3505" s="2" t="s">
        <v>67</v>
      </c>
      <c r="H3505" s="2">
        <v>16.0</v>
      </c>
      <c r="I3505" s="2">
        <v>96.0</v>
      </c>
      <c r="J3505" s="37">
        <v>484.16</v>
      </c>
      <c r="K3505" s="2">
        <v>18.0</v>
      </c>
      <c r="L3505" s="2">
        <v>136.0</v>
      </c>
      <c r="M3505" s="37">
        <v>581.08</v>
      </c>
    </row>
    <row r="3506" ht="14.25" customHeight="1">
      <c r="A3506" t="s">
        <v>3570</v>
      </c>
      <c r="B3506" t="s">
        <v>3464</v>
      </c>
      <c r="C3506" t="s">
        <v>62</v>
      </c>
      <c r="D3506" t="s">
        <v>63</v>
      </c>
      <c r="E3506">
        <v>2.64</v>
      </c>
      <c r="F3506">
        <v>3.3</v>
      </c>
      <c r="G3506" s="2" t="s">
        <v>67</v>
      </c>
      <c r="H3506" s="2">
        <v>16.0</v>
      </c>
      <c r="I3506" s="2">
        <v>96.0</v>
      </c>
      <c r="J3506" s="37">
        <v>484.16</v>
      </c>
      <c r="K3506" s="2">
        <v>19.0</v>
      </c>
      <c r="L3506" s="2">
        <v>136.0</v>
      </c>
      <c r="M3506" s="37">
        <v>603.54</v>
      </c>
    </row>
    <row r="3507" ht="14.25" customHeight="1">
      <c r="A3507" t="s">
        <v>3539</v>
      </c>
      <c r="B3507" t="s">
        <v>3464</v>
      </c>
      <c r="C3507" t="s">
        <v>62</v>
      </c>
      <c r="D3507" t="s">
        <v>63</v>
      </c>
      <c r="E3507">
        <v>3.53</v>
      </c>
      <c r="F3507">
        <v>3.65</v>
      </c>
      <c r="G3507" s="2" t="s">
        <v>67</v>
      </c>
      <c r="H3507" s="2">
        <v>18.0</v>
      </c>
      <c r="I3507" s="2">
        <v>52.0</v>
      </c>
      <c r="J3507" s="37">
        <v>471.88000000000005</v>
      </c>
      <c r="K3507" s="2">
        <v>20.0</v>
      </c>
      <c r="L3507" s="2">
        <v>106.0</v>
      </c>
      <c r="M3507" s="37">
        <v>587.0</v>
      </c>
    </row>
    <row r="3508" ht="14.25" customHeight="1">
      <c r="A3508" t="s">
        <v>3571</v>
      </c>
      <c r="B3508" t="s">
        <v>3464</v>
      </c>
      <c r="C3508" t="s">
        <v>62</v>
      </c>
      <c r="D3508" t="s">
        <v>63</v>
      </c>
      <c r="E3508">
        <v>3.53</v>
      </c>
      <c r="F3508">
        <v>3.65</v>
      </c>
      <c r="G3508" s="2" t="s">
        <v>67</v>
      </c>
      <c r="H3508" s="2">
        <v>18.0</v>
      </c>
      <c r="I3508" s="2">
        <v>52.0</v>
      </c>
      <c r="J3508" s="37">
        <v>471.88000000000005</v>
      </c>
      <c r="K3508" s="2">
        <v>20.0</v>
      </c>
      <c r="L3508" s="2">
        <v>106.0</v>
      </c>
      <c r="M3508" s="37">
        <v>587.0</v>
      </c>
    </row>
    <row r="3509" ht="14.25" customHeight="1">
      <c r="A3509" t="s">
        <v>3572</v>
      </c>
      <c r="B3509" t="s">
        <v>3464</v>
      </c>
      <c r="C3509" t="s">
        <v>62</v>
      </c>
      <c r="D3509" t="s">
        <v>63</v>
      </c>
      <c r="E3509">
        <v>3.53</v>
      </c>
      <c r="F3509">
        <v>3.65</v>
      </c>
      <c r="G3509" s="2" t="s">
        <v>67</v>
      </c>
      <c r="H3509" s="2">
        <v>18.0</v>
      </c>
      <c r="I3509" s="2">
        <v>52.0</v>
      </c>
      <c r="J3509" s="37">
        <v>471.88000000000005</v>
      </c>
      <c r="K3509" s="2">
        <v>20.0</v>
      </c>
      <c r="L3509" s="2">
        <v>106.0</v>
      </c>
      <c r="M3509" s="37">
        <v>587.0</v>
      </c>
    </row>
    <row r="3510" ht="14.25" customHeight="1">
      <c r="A3510" t="s">
        <v>3573</v>
      </c>
      <c r="B3510" t="s">
        <v>3464</v>
      </c>
      <c r="C3510" t="s">
        <v>62</v>
      </c>
      <c r="D3510" t="s">
        <v>63</v>
      </c>
      <c r="E3510">
        <v>3.53</v>
      </c>
      <c r="F3510">
        <v>3.65</v>
      </c>
      <c r="G3510" s="2" t="s">
        <v>67</v>
      </c>
      <c r="H3510" s="2">
        <v>17.0</v>
      </c>
      <c r="I3510" s="2">
        <v>33.0</v>
      </c>
      <c r="J3510" s="37">
        <v>424.71999999999997</v>
      </c>
      <c r="K3510" s="2">
        <v>20.0</v>
      </c>
      <c r="L3510" s="2">
        <v>86.0</v>
      </c>
      <c r="M3510" s="37">
        <v>561.0</v>
      </c>
    </row>
    <row r="3511" ht="14.25" customHeight="1">
      <c r="A3511" t="s">
        <v>3574</v>
      </c>
      <c r="B3511" t="s">
        <v>3464</v>
      </c>
      <c r="C3511" t="s">
        <v>62</v>
      </c>
      <c r="D3511" t="s">
        <v>63</v>
      </c>
      <c r="E3511">
        <v>2.15</v>
      </c>
      <c r="F3511">
        <v>2.1</v>
      </c>
      <c r="G3511" s="2" t="s">
        <v>64</v>
      </c>
      <c r="H3511" s="2">
        <v>0.0</v>
      </c>
      <c r="I3511" s="2">
        <v>0.0</v>
      </c>
      <c r="J3511" s="37">
        <v>0.0</v>
      </c>
      <c r="K3511" s="2">
        <v>0.0</v>
      </c>
      <c r="L3511" s="2">
        <v>0.0</v>
      </c>
      <c r="M3511" s="37">
        <v>0.0</v>
      </c>
    </row>
    <row r="3512" ht="14.25" customHeight="1">
      <c r="A3512" t="s">
        <v>3575</v>
      </c>
      <c r="B3512" t="s">
        <v>3464</v>
      </c>
      <c r="C3512" t="s">
        <v>62</v>
      </c>
      <c r="D3512" t="s">
        <v>63</v>
      </c>
      <c r="E3512">
        <v>2.15</v>
      </c>
      <c r="F3512">
        <v>2.1</v>
      </c>
      <c r="G3512" s="2" t="s">
        <v>64</v>
      </c>
      <c r="H3512" s="2">
        <v>0.0</v>
      </c>
      <c r="I3512" s="2">
        <v>0.0</v>
      </c>
      <c r="J3512" s="37">
        <v>0.0</v>
      </c>
      <c r="K3512" s="2">
        <v>0.0</v>
      </c>
      <c r="L3512" s="2">
        <v>0.0</v>
      </c>
      <c r="M3512" s="37">
        <v>0.0</v>
      </c>
    </row>
    <row r="3513" ht="14.25" customHeight="1">
      <c r="A3513" t="s">
        <v>3576</v>
      </c>
      <c r="B3513" t="s">
        <v>3464</v>
      </c>
      <c r="C3513" t="s">
        <v>62</v>
      </c>
      <c r="D3513" t="s">
        <v>63</v>
      </c>
      <c r="E3513">
        <v>2.15</v>
      </c>
      <c r="F3513">
        <v>2.1</v>
      </c>
      <c r="G3513" s="2" t="s">
        <v>64</v>
      </c>
      <c r="H3513" s="2">
        <v>0.0</v>
      </c>
      <c r="I3513" s="2">
        <v>0.0</v>
      </c>
      <c r="J3513" s="37">
        <v>0.0</v>
      </c>
      <c r="K3513" s="2">
        <v>0.0</v>
      </c>
      <c r="L3513" s="2">
        <v>0.0</v>
      </c>
      <c r="M3513" s="37">
        <v>0.0</v>
      </c>
    </row>
    <row r="3514" ht="14.25" customHeight="1">
      <c r="A3514" t="s">
        <v>3577</v>
      </c>
      <c r="B3514" t="s">
        <v>3464</v>
      </c>
      <c r="C3514" t="s">
        <v>62</v>
      </c>
      <c r="D3514" t="s">
        <v>63</v>
      </c>
      <c r="E3514">
        <v>2.62</v>
      </c>
      <c r="F3514">
        <v>3.3</v>
      </c>
      <c r="G3514" s="2" t="s">
        <v>67</v>
      </c>
      <c r="H3514" s="2">
        <v>16.0</v>
      </c>
      <c r="I3514" s="2">
        <v>92.0</v>
      </c>
      <c r="J3514" s="37">
        <v>478.96000000000004</v>
      </c>
      <c r="K3514" s="2">
        <v>18.0</v>
      </c>
      <c r="L3514" s="2">
        <v>132.0</v>
      </c>
      <c r="M3514" s="37">
        <v>575.88</v>
      </c>
    </row>
    <row r="3515" ht="14.25" customHeight="1">
      <c r="A3515" t="s">
        <v>3578</v>
      </c>
      <c r="B3515" t="s">
        <v>3464</v>
      </c>
      <c r="C3515" t="s">
        <v>62</v>
      </c>
      <c r="D3515" t="s">
        <v>63</v>
      </c>
      <c r="E3515">
        <v>3.53</v>
      </c>
      <c r="F3515">
        <v>3.65</v>
      </c>
      <c r="G3515" s="2" t="s">
        <v>67</v>
      </c>
      <c r="H3515" s="2">
        <v>18.0</v>
      </c>
      <c r="I3515" s="2">
        <v>33.0</v>
      </c>
      <c r="J3515" s="37">
        <v>447.18</v>
      </c>
      <c r="K3515" s="2">
        <v>20.0</v>
      </c>
      <c r="L3515" s="2">
        <v>86.0</v>
      </c>
      <c r="M3515" s="37">
        <v>561.0</v>
      </c>
    </row>
    <row r="3516" ht="14.25" customHeight="1">
      <c r="A3516" t="s">
        <v>3547</v>
      </c>
      <c r="B3516" t="s">
        <v>3464</v>
      </c>
      <c r="C3516" t="s">
        <v>62</v>
      </c>
      <c r="D3516" t="s">
        <v>63</v>
      </c>
      <c r="E3516">
        <v>1.78</v>
      </c>
      <c r="F3516">
        <v>1.82</v>
      </c>
      <c r="G3516" s="2" t="s">
        <v>64</v>
      </c>
      <c r="H3516" s="2">
        <v>9.0</v>
      </c>
      <c r="I3516" s="2">
        <v>56.0</v>
      </c>
      <c r="J3516" s="37">
        <v>274.94</v>
      </c>
      <c r="K3516" s="2">
        <v>10.0</v>
      </c>
      <c r="L3516" s="2">
        <v>83.0</v>
      </c>
      <c r="M3516" s="37">
        <v>332.5</v>
      </c>
    </row>
    <row r="3517" ht="14.25" customHeight="1">
      <c r="A3517" t="s">
        <v>3548</v>
      </c>
      <c r="B3517" t="s">
        <v>3464</v>
      </c>
      <c r="C3517" t="s">
        <v>62</v>
      </c>
      <c r="D3517" t="s">
        <v>63</v>
      </c>
      <c r="E3517">
        <v>1.78</v>
      </c>
      <c r="F3517">
        <v>1.82</v>
      </c>
      <c r="G3517" s="2" t="s">
        <v>64</v>
      </c>
      <c r="H3517" s="2">
        <v>9.0</v>
      </c>
      <c r="I3517" s="2">
        <v>56.0</v>
      </c>
      <c r="J3517" s="37">
        <v>274.94</v>
      </c>
      <c r="K3517" s="2">
        <v>10.0</v>
      </c>
      <c r="L3517" s="2">
        <v>83.0</v>
      </c>
      <c r="M3517" s="37">
        <v>332.5</v>
      </c>
    </row>
    <row r="3518" ht="14.25" customHeight="1">
      <c r="A3518" t="s">
        <v>3579</v>
      </c>
      <c r="B3518" t="s">
        <v>3464</v>
      </c>
      <c r="C3518" t="s">
        <v>62</v>
      </c>
      <c r="D3518" t="s">
        <v>63</v>
      </c>
      <c r="E3518">
        <v>1.78</v>
      </c>
      <c r="F3518">
        <v>1.82</v>
      </c>
      <c r="G3518" s="2" t="s">
        <v>64</v>
      </c>
      <c r="H3518" s="2">
        <v>0.0</v>
      </c>
      <c r="I3518" s="2">
        <v>0.0</v>
      </c>
      <c r="J3518" s="37">
        <v>0.0</v>
      </c>
      <c r="K3518" s="2">
        <v>0.0</v>
      </c>
      <c r="L3518" s="2">
        <v>0.0</v>
      </c>
      <c r="M3518" s="37">
        <v>0.0</v>
      </c>
    </row>
    <row r="3519" ht="14.25" customHeight="1">
      <c r="A3519" t="s">
        <v>3580</v>
      </c>
      <c r="B3519" t="s">
        <v>3464</v>
      </c>
      <c r="C3519" t="s">
        <v>62</v>
      </c>
      <c r="D3519" t="s">
        <v>63</v>
      </c>
      <c r="E3519">
        <v>2.65</v>
      </c>
      <c r="F3519">
        <v>3.6</v>
      </c>
      <c r="G3519" s="2" t="s">
        <v>67</v>
      </c>
      <c r="H3519" s="2">
        <v>17.0</v>
      </c>
      <c r="I3519" s="2">
        <v>77.0</v>
      </c>
      <c r="J3519" s="37">
        <v>481.92</v>
      </c>
      <c r="K3519" s="2">
        <v>20.0</v>
      </c>
      <c r="L3519" s="2">
        <v>118.0</v>
      </c>
      <c r="M3519" s="37">
        <v>602.6</v>
      </c>
    </row>
    <row r="3520" ht="14.25" customHeight="1">
      <c r="A3520" t="s">
        <v>3581</v>
      </c>
      <c r="B3520" t="s">
        <v>3464</v>
      </c>
      <c r="C3520" t="s">
        <v>62</v>
      </c>
      <c r="D3520" t="s">
        <v>63</v>
      </c>
      <c r="E3520">
        <v>3.5</v>
      </c>
      <c r="F3520">
        <v>3.6</v>
      </c>
      <c r="G3520" s="2" t="s">
        <v>64</v>
      </c>
      <c r="H3520" s="2">
        <v>0.0</v>
      </c>
      <c r="I3520" s="2">
        <v>0.0</v>
      </c>
      <c r="J3520" s="37">
        <v>0.0</v>
      </c>
      <c r="K3520" s="2">
        <v>0.0</v>
      </c>
      <c r="L3520" s="2">
        <v>0.0</v>
      </c>
      <c r="M3520" s="37">
        <v>0.0</v>
      </c>
    </row>
    <row r="3521" ht="14.25" customHeight="1">
      <c r="A3521" t="s">
        <v>3582</v>
      </c>
      <c r="B3521" t="s">
        <v>3583</v>
      </c>
      <c r="C3521" t="s">
        <v>62</v>
      </c>
      <c r="D3521" t="s">
        <v>467</v>
      </c>
      <c r="E3521">
        <v>2.6</v>
      </c>
      <c r="F3521">
        <v>2.9</v>
      </c>
      <c r="G3521" s="2" t="s">
        <v>64</v>
      </c>
      <c r="H3521" s="2">
        <v>0.0</v>
      </c>
      <c r="I3521" s="2">
        <v>0.0</v>
      </c>
      <c r="J3521" s="37">
        <v>0.0</v>
      </c>
      <c r="K3521" s="2">
        <v>0.0</v>
      </c>
      <c r="L3521" s="2">
        <v>0.0</v>
      </c>
      <c r="M3521" s="37">
        <v>0.0</v>
      </c>
    </row>
    <row r="3522" ht="14.25" customHeight="1">
      <c r="A3522" t="s">
        <v>3584</v>
      </c>
      <c r="B3522" t="s">
        <v>3583</v>
      </c>
      <c r="C3522" t="s">
        <v>62</v>
      </c>
      <c r="D3522" t="s">
        <v>467</v>
      </c>
      <c r="E3522">
        <v>2.6</v>
      </c>
      <c r="F3522">
        <v>2.9</v>
      </c>
      <c r="G3522" s="2" t="s">
        <v>64</v>
      </c>
      <c r="H3522" s="2">
        <v>0.0</v>
      </c>
      <c r="I3522" s="2">
        <v>0.0</v>
      </c>
      <c r="J3522" s="37">
        <v>0.0</v>
      </c>
      <c r="K3522" s="2">
        <v>0.0</v>
      </c>
      <c r="L3522" s="2">
        <v>0.0</v>
      </c>
      <c r="M3522" s="37">
        <v>0.0</v>
      </c>
    </row>
    <row r="3523" ht="14.25" customHeight="1">
      <c r="A3523" t="s">
        <v>3585</v>
      </c>
      <c r="B3523" t="s">
        <v>3583</v>
      </c>
      <c r="C3523" t="s">
        <v>62</v>
      </c>
      <c r="D3523" t="s">
        <v>467</v>
      </c>
      <c r="E3523">
        <v>2.6</v>
      </c>
      <c r="F3523">
        <v>2.9</v>
      </c>
      <c r="G3523" s="2" t="s">
        <v>64</v>
      </c>
      <c r="H3523" s="2">
        <v>0.0</v>
      </c>
      <c r="I3523" s="2">
        <v>0.0</v>
      </c>
      <c r="J3523" s="37">
        <v>0.0</v>
      </c>
      <c r="K3523" s="2">
        <v>0.0</v>
      </c>
      <c r="L3523" s="2">
        <v>0.0</v>
      </c>
      <c r="M3523" s="37">
        <v>0.0</v>
      </c>
    </row>
    <row r="3524" ht="14.25" customHeight="1">
      <c r="A3524" t="s">
        <v>3586</v>
      </c>
      <c r="B3524" t="s">
        <v>3583</v>
      </c>
      <c r="C3524" t="s">
        <v>62</v>
      </c>
      <c r="D3524" t="s">
        <v>467</v>
      </c>
      <c r="E3524">
        <v>2.6</v>
      </c>
      <c r="F3524">
        <v>2.9</v>
      </c>
      <c r="G3524" s="2" t="s">
        <v>64</v>
      </c>
      <c r="H3524" s="2">
        <v>0.0</v>
      </c>
      <c r="I3524" s="2">
        <v>0.0</v>
      </c>
      <c r="J3524" s="37">
        <v>0.0</v>
      </c>
      <c r="K3524" s="2">
        <v>0.0</v>
      </c>
      <c r="L3524" s="2">
        <v>0.0</v>
      </c>
      <c r="M3524" s="37">
        <v>0.0</v>
      </c>
    </row>
    <row r="3525" ht="14.25" customHeight="1">
      <c r="A3525" t="s">
        <v>3587</v>
      </c>
      <c r="B3525" t="s">
        <v>3583</v>
      </c>
      <c r="C3525" t="s">
        <v>62</v>
      </c>
      <c r="D3525" t="s">
        <v>63</v>
      </c>
      <c r="E3525">
        <v>2.64</v>
      </c>
      <c r="F3525">
        <v>2.9</v>
      </c>
      <c r="G3525" s="2" t="s">
        <v>67</v>
      </c>
      <c r="H3525" s="2">
        <v>14.0</v>
      </c>
      <c r="I3525" s="2">
        <v>28.0</v>
      </c>
      <c r="J3525" s="37">
        <v>350.84</v>
      </c>
      <c r="K3525" s="2">
        <v>16.0</v>
      </c>
      <c r="L3525" s="2">
        <v>68.0</v>
      </c>
      <c r="M3525" s="37">
        <v>447.76</v>
      </c>
    </row>
    <row r="3526" ht="14.25" customHeight="1">
      <c r="A3526" t="s">
        <v>3588</v>
      </c>
      <c r="B3526" t="s">
        <v>3583</v>
      </c>
      <c r="C3526" t="s">
        <v>62</v>
      </c>
      <c r="D3526" t="s">
        <v>63</v>
      </c>
      <c r="E3526">
        <v>3.5</v>
      </c>
      <c r="F3526">
        <v>4.0</v>
      </c>
      <c r="G3526" s="2" t="s">
        <v>64</v>
      </c>
      <c r="H3526" s="2">
        <v>0.0</v>
      </c>
      <c r="I3526" s="2">
        <v>0.0</v>
      </c>
      <c r="J3526" s="37">
        <v>0.0</v>
      </c>
      <c r="K3526" s="2">
        <v>0.0</v>
      </c>
      <c r="L3526" s="2">
        <v>0.0</v>
      </c>
      <c r="M3526" s="37">
        <v>0.0</v>
      </c>
    </row>
    <row r="3527" ht="14.25" customHeight="1">
      <c r="A3527" t="s">
        <v>3589</v>
      </c>
      <c r="B3527" t="s">
        <v>3583</v>
      </c>
      <c r="C3527" t="s">
        <v>62</v>
      </c>
      <c r="D3527" t="s">
        <v>63</v>
      </c>
      <c r="E3527">
        <v>5.3</v>
      </c>
      <c r="F3527">
        <v>5.3</v>
      </c>
      <c r="G3527" s="2" t="s">
        <v>67</v>
      </c>
      <c r="H3527" s="2">
        <v>29.0</v>
      </c>
      <c r="I3527" s="2">
        <v>8.0</v>
      </c>
      <c r="J3527" s="37">
        <v>661.74</v>
      </c>
      <c r="K3527" s="2">
        <v>33.0</v>
      </c>
      <c r="L3527" s="2">
        <v>100.0</v>
      </c>
      <c r="M3527" s="37">
        <v>871.1800000000001</v>
      </c>
    </row>
    <row r="3528" ht="14.25" customHeight="1">
      <c r="A3528" t="s">
        <v>3590</v>
      </c>
      <c r="B3528" t="s">
        <v>3583</v>
      </c>
      <c r="C3528" t="s">
        <v>62</v>
      </c>
      <c r="D3528" t="s">
        <v>63</v>
      </c>
      <c r="E3528">
        <v>8.0</v>
      </c>
      <c r="F3528">
        <v>8.4</v>
      </c>
      <c r="G3528" s="2" t="s">
        <v>64</v>
      </c>
      <c r="H3528" s="2">
        <v>0.0</v>
      </c>
      <c r="I3528" s="2">
        <v>0.0</v>
      </c>
      <c r="J3528" s="37">
        <v>0.0</v>
      </c>
      <c r="K3528" s="2">
        <v>0.0</v>
      </c>
      <c r="L3528" s="2">
        <v>0.0</v>
      </c>
      <c r="M3528" s="37">
        <v>0.0</v>
      </c>
    </row>
    <row r="3529" ht="14.25" customHeight="1">
      <c r="A3529" t="s">
        <v>3591</v>
      </c>
      <c r="B3529" t="s">
        <v>3583</v>
      </c>
      <c r="C3529" t="s">
        <v>62</v>
      </c>
      <c r="D3529" t="s">
        <v>268</v>
      </c>
      <c r="E3529">
        <v>4.2</v>
      </c>
      <c r="F3529">
        <v>3.9</v>
      </c>
      <c r="G3529" s="2" t="s">
        <v>64</v>
      </c>
      <c r="H3529" s="2">
        <v>0.0</v>
      </c>
      <c r="I3529" s="2">
        <v>0.0</v>
      </c>
      <c r="J3529" s="37">
        <v>0.0</v>
      </c>
      <c r="K3529" s="2">
        <v>0.0</v>
      </c>
      <c r="L3529" s="2">
        <v>0.0</v>
      </c>
      <c r="M3529" s="37">
        <v>0.0</v>
      </c>
    </row>
    <row r="3530" ht="14.25" customHeight="1">
      <c r="A3530" t="s">
        <v>3592</v>
      </c>
      <c r="B3530" t="s">
        <v>3583</v>
      </c>
      <c r="C3530" t="s">
        <v>62</v>
      </c>
      <c r="D3530" t="s">
        <v>63</v>
      </c>
      <c r="E3530">
        <v>2.64</v>
      </c>
      <c r="F3530">
        <v>4.05</v>
      </c>
      <c r="G3530" s="2" t="s">
        <v>64</v>
      </c>
      <c r="H3530" s="2">
        <v>0.0</v>
      </c>
      <c r="I3530" s="2">
        <v>0.0</v>
      </c>
      <c r="J3530" s="37">
        <v>0.0</v>
      </c>
      <c r="K3530" s="2">
        <v>0.0</v>
      </c>
      <c r="L3530" s="2">
        <v>0.0</v>
      </c>
      <c r="M3530" s="37">
        <v>0.0</v>
      </c>
    </row>
    <row r="3531" ht="14.25" customHeight="1">
      <c r="A3531" t="s">
        <v>3593</v>
      </c>
      <c r="B3531" t="s">
        <v>3583</v>
      </c>
      <c r="C3531" t="s">
        <v>62</v>
      </c>
      <c r="D3531" t="s">
        <v>63</v>
      </c>
      <c r="E3531">
        <v>3.5</v>
      </c>
      <c r="F3531">
        <v>4.5</v>
      </c>
      <c r="G3531" s="2" t="s">
        <v>64</v>
      </c>
      <c r="H3531" s="2">
        <v>0.0</v>
      </c>
      <c r="I3531" s="2">
        <v>0.0</v>
      </c>
      <c r="J3531" s="37">
        <v>0.0</v>
      </c>
      <c r="K3531" s="2">
        <v>0.0</v>
      </c>
      <c r="L3531" s="2">
        <v>0.0</v>
      </c>
      <c r="M3531" s="37">
        <v>0.0</v>
      </c>
    </row>
    <row r="3532" ht="14.25" customHeight="1">
      <c r="A3532" t="s">
        <v>3594</v>
      </c>
      <c r="B3532" t="s">
        <v>3583</v>
      </c>
      <c r="C3532" t="s">
        <v>75</v>
      </c>
      <c r="D3532" t="s">
        <v>63</v>
      </c>
      <c r="E3532">
        <v>12.5</v>
      </c>
      <c r="F3532">
        <v>13.5</v>
      </c>
      <c r="G3532" s="2" t="s">
        <v>67</v>
      </c>
      <c r="H3532" s="2">
        <v>80.0</v>
      </c>
      <c r="I3532" s="2">
        <v>186.0</v>
      </c>
      <c r="J3532" s="37">
        <v>2038.6000000000001</v>
      </c>
      <c r="K3532" s="2">
        <v>92.0</v>
      </c>
      <c r="L3532" s="2">
        <v>428.0</v>
      </c>
      <c r="M3532" s="37">
        <v>2622.7200000000003</v>
      </c>
    </row>
    <row r="3533" ht="14.25" customHeight="1">
      <c r="A3533" t="s">
        <v>3595</v>
      </c>
      <c r="B3533" t="s">
        <v>3583</v>
      </c>
      <c r="C3533" t="s">
        <v>62</v>
      </c>
      <c r="D3533" t="s">
        <v>467</v>
      </c>
      <c r="E3533">
        <v>2.2</v>
      </c>
      <c r="F3533">
        <v>2.05</v>
      </c>
      <c r="G3533" s="2" t="s">
        <v>64</v>
      </c>
      <c r="H3533" s="2">
        <v>0.0</v>
      </c>
      <c r="I3533" s="2">
        <v>0.0</v>
      </c>
      <c r="J3533" s="37">
        <v>0.0</v>
      </c>
      <c r="K3533" s="2">
        <v>0.0</v>
      </c>
      <c r="L3533" s="2">
        <v>0.0</v>
      </c>
      <c r="M3533" s="37">
        <v>0.0</v>
      </c>
    </row>
    <row r="3534" ht="14.25" customHeight="1">
      <c r="A3534" t="s">
        <v>3596</v>
      </c>
      <c r="B3534" t="s">
        <v>3583</v>
      </c>
      <c r="C3534" t="s">
        <v>62</v>
      </c>
      <c r="D3534" t="s">
        <v>467</v>
      </c>
      <c r="E3534">
        <v>2.6</v>
      </c>
      <c r="F3534">
        <v>2.4</v>
      </c>
      <c r="G3534" s="2" t="s">
        <v>64</v>
      </c>
      <c r="H3534" s="2">
        <v>0.0</v>
      </c>
      <c r="I3534" s="2">
        <v>0.0</v>
      </c>
      <c r="J3534" s="37">
        <v>0.0</v>
      </c>
      <c r="K3534" s="2">
        <v>0.0</v>
      </c>
      <c r="L3534" s="2">
        <v>0.0</v>
      </c>
      <c r="M3534" s="37">
        <v>0.0</v>
      </c>
    </row>
    <row r="3535" ht="14.25" customHeight="1">
      <c r="A3535" t="s">
        <v>3597</v>
      </c>
      <c r="B3535" t="s">
        <v>3583</v>
      </c>
      <c r="C3535" t="s">
        <v>62</v>
      </c>
      <c r="D3535" t="s">
        <v>63</v>
      </c>
      <c r="E3535">
        <v>5.2</v>
      </c>
      <c r="F3535">
        <v>5.2</v>
      </c>
      <c r="G3535" s="2" t="s">
        <v>64</v>
      </c>
      <c r="H3535" s="2">
        <v>0.0</v>
      </c>
      <c r="I3535" s="2">
        <v>0.0</v>
      </c>
      <c r="J3535" s="37">
        <v>0.0</v>
      </c>
      <c r="K3535" s="2">
        <v>0.0</v>
      </c>
      <c r="L3535" s="2">
        <v>0.0</v>
      </c>
      <c r="M3535" s="37">
        <v>0.0</v>
      </c>
    </row>
    <row r="3536" ht="14.25" customHeight="1">
      <c r="A3536" t="s">
        <v>3598</v>
      </c>
      <c r="B3536" t="s">
        <v>3583</v>
      </c>
      <c r="C3536" t="s">
        <v>62</v>
      </c>
      <c r="D3536" t="s">
        <v>63</v>
      </c>
      <c r="E3536">
        <v>7.0</v>
      </c>
      <c r="F3536">
        <v>7.0</v>
      </c>
      <c r="G3536" s="2" t="s">
        <v>64</v>
      </c>
      <c r="H3536" s="2">
        <v>0.0</v>
      </c>
      <c r="I3536" s="2">
        <v>0.0</v>
      </c>
      <c r="J3536" s="37">
        <v>0.0</v>
      </c>
      <c r="K3536" s="2">
        <v>0.0</v>
      </c>
      <c r="L3536" s="2">
        <v>0.0</v>
      </c>
      <c r="M3536" s="37">
        <v>0.0</v>
      </c>
    </row>
    <row r="3537" ht="14.25" customHeight="1">
      <c r="A3537" t="s">
        <v>3599</v>
      </c>
      <c r="B3537" t="s">
        <v>3583</v>
      </c>
      <c r="C3537" t="s">
        <v>62</v>
      </c>
      <c r="D3537" t="s">
        <v>63</v>
      </c>
      <c r="E3537">
        <v>8.8</v>
      </c>
      <c r="F3537">
        <v>8.8</v>
      </c>
      <c r="G3537" s="2" t="s">
        <v>67</v>
      </c>
      <c r="H3537" s="2">
        <v>44.0</v>
      </c>
      <c r="I3537" s="2">
        <v>130.0</v>
      </c>
      <c r="J3537" s="37">
        <v>1157.24</v>
      </c>
      <c r="K3537" s="2">
        <v>51.0</v>
      </c>
      <c r="L3537" s="2">
        <v>282.0</v>
      </c>
      <c r="M3537" s="37">
        <v>1512.06</v>
      </c>
    </row>
    <row r="3538" ht="14.25" customHeight="1">
      <c r="A3538" t="s">
        <v>3600</v>
      </c>
      <c r="B3538" t="s">
        <v>3583</v>
      </c>
      <c r="C3538" t="s">
        <v>62</v>
      </c>
      <c r="D3538" t="s">
        <v>467</v>
      </c>
      <c r="E3538">
        <v>6.09</v>
      </c>
      <c r="F3538">
        <v>5.65</v>
      </c>
      <c r="G3538" s="2" t="s">
        <v>64</v>
      </c>
      <c r="H3538" s="2">
        <v>0.0</v>
      </c>
      <c r="I3538" s="2">
        <v>0.0</v>
      </c>
      <c r="J3538" s="37">
        <v>0.0</v>
      </c>
      <c r="K3538" s="2">
        <v>0.0</v>
      </c>
      <c r="L3538" s="2">
        <v>0.0</v>
      </c>
      <c r="M3538" s="37">
        <v>0.0</v>
      </c>
    </row>
    <row r="3539" ht="14.25" customHeight="1">
      <c r="A3539" t="s">
        <v>3592</v>
      </c>
      <c r="B3539" t="s">
        <v>3583</v>
      </c>
      <c r="C3539" t="s">
        <v>62</v>
      </c>
      <c r="D3539" t="s">
        <v>63</v>
      </c>
      <c r="E3539">
        <v>2.64</v>
      </c>
      <c r="F3539">
        <v>4.05</v>
      </c>
      <c r="G3539" s="2" t="s">
        <v>64</v>
      </c>
      <c r="H3539" s="2">
        <v>0.0</v>
      </c>
      <c r="I3539" s="2">
        <v>0.0</v>
      </c>
      <c r="J3539" s="37">
        <v>0.0</v>
      </c>
      <c r="K3539" s="2">
        <v>0.0</v>
      </c>
      <c r="L3539" s="2">
        <v>0.0</v>
      </c>
      <c r="M3539" s="37">
        <v>0.0</v>
      </c>
    </row>
    <row r="3540" ht="14.25" customHeight="1">
      <c r="A3540" t="s">
        <v>3601</v>
      </c>
      <c r="B3540" t="s">
        <v>3583</v>
      </c>
      <c r="C3540" t="s">
        <v>75</v>
      </c>
      <c r="D3540" t="s">
        <v>63</v>
      </c>
      <c r="E3540">
        <v>12.5</v>
      </c>
      <c r="F3540">
        <v>14.0</v>
      </c>
      <c r="G3540" s="2" t="s">
        <v>67</v>
      </c>
      <c r="H3540" s="2">
        <v>75.0</v>
      </c>
      <c r="I3540" s="2">
        <v>197.0</v>
      </c>
      <c r="J3540" s="37">
        <v>1940.6</v>
      </c>
      <c r="K3540" s="2">
        <v>88.0</v>
      </c>
      <c r="L3540" s="2">
        <v>439.0</v>
      </c>
      <c r="M3540" s="37">
        <v>2547.1800000000003</v>
      </c>
    </row>
    <row r="3541" ht="14.25" customHeight="1">
      <c r="A3541" t="s">
        <v>3602</v>
      </c>
      <c r="B3541" t="s">
        <v>3583</v>
      </c>
      <c r="C3541" t="s">
        <v>62</v>
      </c>
      <c r="D3541" t="s">
        <v>467</v>
      </c>
      <c r="E3541">
        <v>2.8</v>
      </c>
      <c r="F3541">
        <v>2.43</v>
      </c>
      <c r="G3541" s="2" t="s">
        <v>64</v>
      </c>
      <c r="H3541" s="2">
        <v>0.0</v>
      </c>
      <c r="I3541" s="2">
        <v>0.0</v>
      </c>
      <c r="J3541" s="37">
        <v>0.0</v>
      </c>
      <c r="K3541" s="2">
        <v>0.0</v>
      </c>
      <c r="L3541" s="2">
        <v>0.0</v>
      </c>
      <c r="M3541" s="37">
        <v>0.0</v>
      </c>
    </row>
    <row r="3542" ht="14.25" customHeight="1">
      <c r="A3542" t="s">
        <v>3603</v>
      </c>
      <c r="B3542" t="s">
        <v>3583</v>
      </c>
      <c r="C3542" t="s">
        <v>62</v>
      </c>
      <c r="D3542" t="s">
        <v>467</v>
      </c>
      <c r="E3542">
        <v>3.6</v>
      </c>
      <c r="F3542">
        <v>3.5</v>
      </c>
      <c r="G3542" s="2" t="s">
        <v>64</v>
      </c>
      <c r="H3542" s="2">
        <v>0.0</v>
      </c>
      <c r="I3542" s="2">
        <v>0.0</v>
      </c>
      <c r="J3542" s="37">
        <v>0.0</v>
      </c>
      <c r="K3542" s="2">
        <v>0.0</v>
      </c>
      <c r="L3542" s="2">
        <v>0.0</v>
      </c>
      <c r="M3542" s="37">
        <v>0.0</v>
      </c>
    </row>
    <row r="3543" ht="14.25" customHeight="1">
      <c r="A3543" t="s">
        <v>3604</v>
      </c>
      <c r="B3543" t="s">
        <v>3583</v>
      </c>
      <c r="C3543" t="s">
        <v>62</v>
      </c>
      <c r="D3543" t="s">
        <v>467</v>
      </c>
      <c r="E3543">
        <v>5.3</v>
      </c>
      <c r="F3543">
        <v>4.8</v>
      </c>
      <c r="G3543" s="2" t="s">
        <v>64</v>
      </c>
      <c r="H3543" s="2">
        <v>0.0</v>
      </c>
      <c r="I3543" s="2">
        <v>0.0</v>
      </c>
      <c r="J3543" s="37">
        <v>0.0</v>
      </c>
      <c r="K3543" s="2">
        <v>0.0</v>
      </c>
      <c r="L3543" s="2">
        <v>0.0</v>
      </c>
      <c r="M3543" s="37">
        <v>0.0</v>
      </c>
    </row>
    <row r="3544" ht="14.25" customHeight="1">
      <c r="A3544" t="s">
        <v>3605</v>
      </c>
      <c r="B3544" t="s">
        <v>3583</v>
      </c>
      <c r="C3544" t="s">
        <v>62</v>
      </c>
      <c r="D3544" t="s">
        <v>467</v>
      </c>
      <c r="E3544">
        <v>6.09</v>
      </c>
      <c r="F3544">
        <v>5.8</v>
      </c>
      <c r="G3544" s="2" t="s">
        <v>64</v>
      </c>
      <c r="H3544" s="2">
        <v>0.0</v>
      </c>
      <c r="I3544" s="2">
        <v>0.0</v>
      </c>
      <c r="J3544" s="37">
        <v>0.0</v>
      </c>
      <c r="K3544" s="2">
        <v>0.0</v>
      </c>
      <c r="L3544" s="2">
        <v>0.0</v>
      </c>
      <c r="M3544" s="37">
        <v>0.0</v>
      </c>
    </row>
    <row r="3545" ht="14.25" customHeight="1">
      <c r="A3545" t="s">
        <v>3606</v>
      </c>
      <c r="B3545" t="s">
        <v>3583</v>
      </c>
      <c r="C3545" t="s">
        <v>62</v>
      </c>
      <c r="D3545" t="s">
        <v>268</v>
      </c>
      <c r="E3545">
        <v>3.5</v>
      </c>
      <c r="F3545">
        <v>3.2</v>
      </c>
      <c r="G3545" s="2" t="s">
        <v>64</v>
      </c>
      <c r="H3545" s="2">
        <v>0.0</v>
      </c>
      <c r="I3545" s="2">
        <v>0.0</v>
      </c>
      <c r="J3545" s="37">
        <v>0.0</v>
      </c>
      <c r="K3545" s="2">
        <v>0.0</v>
      </c>
      <c r="L3545" s="2">
        <v>0.0</v>
      </c>
      <c r="M3545" s="37">
        <v>0.0</v>
      </c>
    </row>
    <row r="3546" ht="14.25" customHeight="1">
      <c r="A3546" t="s">
        <v>3607</v>
      </c>
      <c r="B3546" t="s">
        <v>3583</v>
      </c>
      <c r="C3546" t="s">
        <v>75</v>
      </c>
      <c r="D3546" t="s">
        <v>63</v>
      </c>
      <c r="E3546">
        <v>10.0</v>
      </c>
      <c r="F3546">
        <v>12.0</v>
      </c>
      <c r="G3546" s="2" t="s">
        <v>67</v>
      </c>
      <c r="H3546" s="2">
        <v>65.0</v>
      </c>
      <c r="I3546" s="2">
        <v>294.0</v>
      </c>
      <c r="J3546" s="37">
        <v>1842.1000000000001</v>
      </c>
      <c r="K3546" s="2">
        <v>75.0</v>
      </c>
      <c r="L3546" s="2">
        <v>488.0</v>
      </c>
      <c r="M3546" s="37">
        <v>2318.9</v>
      </c>
    </row>
    <row r="3547" ht="14.25" customHeight="1">
      <c r="A3547" t="s">
        <v>3608</v>
      </c>
      <c r="B3547" t="s">
        <v>3583</v>
      </c>
      <c r="C3547" t="s">
        <v>75</v>
      </c>
      <c r="D3547" t="s">
        <v>63</v>
      </c>
      <c r="E3547">
        <v>14.0</v>
      </c>
      <c r="F3547">
        <v>16.0</v>
      </c>
      <c r="G3547" s="2" t="s">
        <v>67</v>
      </c>
      <c r="H3547" s="2">
        <v>85.0</v>
      </c>
      <c r="I3547" s="2">
        <v>334.0</v>
      </c>
      <c r="J3547" s="37">
        <v>2343.3</v>
      </c>
      <c r="K3547" s="2">
        <v>99.0</v>
      </c>
      <c r="L3547" s="2">
        <v>605.0</v>
      </c>
      <c r="M3547" s="37">
        <v>3010.04</v>
      </c>
    </row>
    <row r="3548" ht="14.25" customHeight="1">
      <c r="A3548" t="s">
        <v>3609</v>
      </c>
      <c r="B3548" t="s">
        <v>3583</v>
      </c>
      <c r="C3548" t="s">
        <v>62</v>
      </c>
      <c r="D3548" t="s">
        <v>467</v>
      </c>
      <c r="E3548">
        <v>3.08</v>
      </c>
      <c r="F3548">
        <v>3.22</v>
      </c>
      <c r="G3548" s="2" t="s">
        <v>64</v>
      </c>
      <c r="H3548" s="2">
        <v>0.0</v>
      </c>
      <c r="I3548" s="2">
        <v>0.0</v>
      </c>
      <c r="J3548" s="37">
        <v>0.0</v>
      </c>
      <c r="K3548" s="2">
        <v>0.0</v>
      </c>
      <c r="L3548" s="2">
        <v>0.0</v>
      </c>
      <c r="M3548" s="37">
        <v>0.0</v>
      </c>
    </row>
    <row r="3549" ht="14.25" customHeight="1">
      <c r="A3549" t="s">
        <v>3610</v>
      </c>
      <c r="B3549" t="s">
        <v>3583</v>
      </c>
      <c r="C3549" t="s">
        <v>62</v>
      </c>
      <c r="D3549" t="s">
        <v>467</v>
      </c>
      <c r="E3549">
        <v>3.08</v>
      </c>
      <c r="F3549">
        <v>3.22</v>
      </c>
      <c r="G3549" s="2" t="s">
        <v>64</v>
      </c>
      <c r="H3549" s="2">
        <v>0.0</v>
      </c>
      <c r="I3549" s="2">
        <v>0.0</v>
      </c>
      <c r="J3549" s="37">
        <v>0.0</v>
      </c>
      <c r="K3549" s="2">
        <v>0.0</v>
      </c>
      <c r="L3549" s="2">
        <v>0.0</v>
      </c>
      <c r="M3549" s="37">
        <v>0.0</v>
      </c>
    </row>
    <row r="3550" ht="14.25" customHeight="1">
      <c r="A3550" t="s">
        <v>3611</v>
      </c>
      <c r="B3550" t="s">
        <v>3583</v>
      </c>
      <c r="C3550" t="s">
        <v>62</v>
      </c>
      <c r="D3550" t="s">
        <v>467</v>
      </c>
      <c r="E3550">
        <v>3.08</v>
      </c>
      <c r="F3550">
        <v>3.22</v>
      </c>
      <c r="G3550" s="2" t="s">
        <v>64</v>
      </c>
      <c r="H3550" s="2">
        <v>0.0</v>
      </c>
      <c r="I3550" s="2">
        <v>0.0</v>
      </c>
      <c r="J3550" s="37">
        <v>0.0</v>
      </c>
      <c r="K3550" s="2">
        <v>0.0</v>
      </c>
      <c r="L3550" s="2">
        <v>0.0</v>
      </c>
      <c r="M3550" s="37">
        <v>0.0</v>
      </c>
    </row>
    <row r="3551" ht="14.25" customHeight="1">
      <c r="A3551" t="s">
        <v>3612</v>
      </c>
      <c r="B3551" t="s">
        <v>3583</v>
      </c>
      <c r="C3551" t="s">
        <v>62</v>
      </c>
      <c r="D3551" t="s">
        <v>467</v>
      </c>
      <c r="E3551">
        <v>3.08</v>
      </c>
      <c r="F3551">
        <v>3.22</v>
      </c>
      <c r="G3551" s="2" t="s">
        <v>64</v>
      </c>
      <c r="H3551" s="2">
        <v>0.0</v>
      </c>
      <c r="I3551" s="2">
        <v>0.0</v>
      </c>
      <c r="J3551" s="37">
        <v>0.0</v>
      </c>
      <c r="K3551" s="2">
        <v>0.0</v>
      </c>
      <c r="L3551" s="2">
        <v>0.0</v>
      </c>
      <c r="M3551" s="37">
        <v>0.0</v>
      </c>
    </row>
    <row r="3552" ht="14.25" customHeight="1">
      <c r="A3552" t="s">
        <v>3613</v>
      </c>
      <c r="B3552" t="s">
        <v>3583</v>
      </c>
      <c r="C3552" t="s">
        <v>62</v>
      </c>
      <c r="D3552" t="s">
        <v>467</v>
      </c>
      <c r="E3552">
        <v>3.08</v>
      </c>
      <c r="F3552">
        <v>3.22</v>
      </c>
      <c r="G3552" s="2" t="s">
        <v>64</v>
      </c>
      <c r="H3552" s="2">
        <v>0.0</v>
      </c>
      <c r="I3552" s="2">
        <v>0.0</v>
      </c>
      <c r="J3552" s="37">
        <v>0.0</v>
      </c>
      <c r="K3552" s="2">
        <v>0.0</v>
      </c>
      <c r="L3552" s="2">
        <v>0.0</v>
      </c>
      <c r="M3552" s="37">
        <v>0.0</v>
      </c>
    </row>
    <row r="3553" ht="14.25" customHeight="1">
      <c r="A3553" t="s">
        <v>3614</v>
      </c>
      <c r="B3553" t="s">
        <v>3583</v>
      </c>
      <c r="C3553" t="s">
        <v>75</v>
      </c>
      <c r="D3553" t="s">
        <v>63</v>
      </c>
      <c r="E3553">
        <v>16.0</v>
      </c>
      <c r="F3553">
        <v>18.0</v>
      </c>
      <c r="G3553" s="2" t="s">
        <v>67</v>
      </c>
      <c r="H3553" s="2">
        <v>98.0</v>
      </c>
      <c r="I3553" s="2">
        <v>202.0</v>
      </c>
      <c r="J3553" s="37">
        <v>2463.68</v>
      </c>
      <c r="K3553" s="2">
        <v>114.0</v>
      </c>
      <c r="L3553" s="2">
        <v>512.0</v>
      </c>
      <c r="M3553" s="37">
        <v>3226.04</v>
      </c>
    </row>
    <row r="3554" ht="14.25" customHeight="1">
      <c r="A3554" t="s">
        <v>3615</v>
      </c>
      <c r="B3554" t="s">
        <v>3583</v>
      </c>
      <c r="C3554" t="s">
        <v>62</v>
      </c>
      <c r="D3554" t="s">
        <v>63</v>
      </c>
      <c r="E3554">
        <v>2.62</v>
      </c>
      <c r="F3554">
        <v>3.3</v>
      </c>
      <c r="G3554" s="2" t="s">
        <v>67</v>
      </c>
      <c r="H3554" s="2">
        <v>16.0</v>
      </c>
      <c r="I3554" s="2">
        <v>92.0</v>
      </c>
      <c r="J3554" s="37">
        <v>478.96000000000004</v>
      </c>
      <c r="K3554" s="2">
        <v>18.0</v>
      </c>
      <c r="L3554" s="2">
        <v>132.0</v>
      </c>
      <c r="M3554" s="37">
        <v>575.88</v>
      </c>
    </row>
    <row r="3555" ht="14.25" customHeight="1">
      <c r="A3555" t="s">
        <v>3616</v>
      </c>
      <c r="B3555" t="s">
        <v>3583</v>
      </c>
      <c r="C3555" t="s">
        <v>62</v>
      </c>
      <c r="D3555" t="s">
        <v>63</v>
      </c>
      <c r="E3555">
        <v>3.53</v>
      </c>
      <c r="F3555">
        <v>3.65</v>
      </c>
      <c r="G3555" s="2" t="s">
        <v>67</v>
      </c>
      <c r="H3555" s="2">
        <v>17.0</v>
      </c>
      <c r="I3555" s="2">
        <v>33.0</v>
      </c>
      <c r="J3555" s="37">
        <v>424.71999999999997</v>
      </c>
      <c r="K3555" s="2">
        <v>20.0</v>
      </c>
      <c r="L3555" s="2">
        <v>86.0</v>
      </c>
      <c r="M3555" s="37">
        <v>561.0</v>
      </c>
    </row>
    <row r="3556" ht="14.25" customHeight="1">
      <c r="A3556" t="s">
        <v>3617</v>
      </c>
      <c r="B3556" t="s">
        <v>3583</v>
      </c>
      <c r="C3556" t="s">
        <v>62</v>
      </c>
      <c r="D3556" t="s">
        <v>63</v>
      </c>
      <c r="E3556">
        <v>5.25</v>
      </c>
      <c r="F3556">
        <v>5.2</v>
      </c>
      <c r="G3556" s="2" t="s">
        <v>64</v>
      </c>
      <c r="H3556" s="2">
        <v>0.0</v>
      </c>
      <c r="I3556" s="2">
        <v>0.0</v>
      </c>
      <c r="J3556" s="37">
        <v>0.0</v>
      </c>
      <c r="K3556" s="2">
        <v>0.0</v>
      </c>
      <c r="L3556" s="2">
        <v>0.0</v>
      </c>
      <c r="M3556" s="37">
        <v>0.0</v>
      </c>
    </row>
    <row r="3557" ht="14.25" customHeight="1">
      <c r="A3557" t="s">
        <v>3618</v>
      </c>
      <c r="B3557" t="s">
        <v>3583</v>
      </c>
      <c r="C3557" t="s">
        <v>62</v>
      </c>
      <c r="D3557" t="s">
        <v>63</v>
      </c>
      <c r="E3557">
        <v>7.0</v>
      </c>
      <c r="F3557">
        <v>7.0</v>
      </c>
      <c r="G3557" s="2" t="s">
        <v>64</v>
      </c>
      <c r="H3557" s="2">
        <v>0.0</v>
      </c>
      <c r="I3557" s="2">
        <v>0.0</v>
      </c>
      <c r="J3557" s="37">
        <v>0.0</v>
      </c>
      <c r="K3557" s="2">
        <v>0.0</v>
      </c>
      <c r="L3557" s="2">
        <v>0.0</v>
      </c>
      <c r="M3557" s="37">
        <v>0.0</v>
      </c>
    </row>
    <row r="3558" ht="14.25" customHeight="1">
      <c r="A3558" t="s">
        <v>3619</v>
      </c>
      <c r="B3558" t="s">
        <v>3583</v>
      </c>
      <c r="C3558" t="s">
        <v>62</v>
      </c>
      <c r="D3558" t="s">
        <v>63</v>
      </c>
      <c r="E3558">
        <v>8.8</v>
      </c>
      <c r="F3558">
        <v>8.8</v>
      </c>
      <c r="G3558" s="2" t="s">
        <v>67</v>
      </c>
      <c r="H3558" s="2">
        <v>44.0</v>
      </c>
      <c r="I3558" s="2">
        <v>130.0</v>
      </c>
      <c r="J3558" s="37">
        <v>1157.24</v>
      </c>
      <c r="K3558" s="2">
        <v>51.0</v>
      </c>
      <c r="L3558" s="2">
        <v>282.0</v>
      </c>
      <c r="M3558" s="37">
        <v>1512.06</v>
      </c>
    </row>
    <row r="3559" ht="14.25" customHeight="1">
      <c r="A3559" t="s">
        <v>3620</v>
      </c>
      <c r="B3559" t="s">
        <v>3583</v>
      </c>
      <c r="C3559" t="s">
        <v>62</v>
      </c>
      <c r="D3559" t="s">
        <v>467</v>
      </c>
      <c r="E3559">
        <v>2.2</v>
      </c>
      <c r="F3559">
        <v>1.9</v>
      </c>
      <c r="G3559" s="2" t="s">
        <v>64</v>
      </c>
      <c r="H3559" s="2">
        <v>0.0</v>
      </c>
      <c r="I3559" s="2">
        <v>0.0</v>
      </c>
      <c r="J3559" s="37">
        <v>0.0</v>
      </c>
      <c r="K3559" s="2">
        <v>0.0</v>
      </c>
      <c r="L3559" s="2">
        <v>0.0</v>
      </c>
      <c r="M3559" s="37">
        <v>0.0</v>
      </c>
    </row>
    <row r="3560" ht="14.25" customHeight="1">
      <c r="A3560" t="s">
        <v>3621</v>
      </c>
      <c r="B3560" t="s">
        <v>3583</v>
      </c>
      <c r="C3560" t="s">
        <v>62</v>
      </c>
      <c r="D3560" t="s">
        <v>467</v>
      </c>
      <c r="E3560">
        <v>2.8</v>
      </c>
      <c r="F3560">
        <v>2.45</v>
      </c>
      <c r="G3560" s="2" t="s">
        <v>64</v>
      </c>
      <c r="H3560" s="2">
        <v>0.0</v>
      </c>
      <c r="I3560" s="2">
        <v>0.0</v>
      </c>
      <c r="J3560" s="37">
        <v>0.0</v>
      </c>
      <c r="K3560" s="2">
        <v>0.0</v>
      </c>
      <c r="L3560" s="2">
        <v>0.0</v>
      </c>
      <c r="M3560" s="37">
        <v>0.0</v>
      </c>
    </row>
    <row r="3561" ht="14.25" customHeight="1">
      <c r="A3561" t="s">
        <v>3622</v>
      </c>
      <c r="B3561" t="s">
        <v>3583</v>
      </c>
      <c r="C3561" t="s">
        <v>62</v>
      </c>
      <c r="D3561" t="s">
        <v>467</v>
      </c>
      <c r="E3561">
        <v>3.9</v>
      </c>
      <c r="F3561">
        <v>3.6</v>
      </c>
      <c r="G3561" s="2" t="s">
        <v>64</v>
      </c>
      <c r="H3561" s="2">
        <v>0.0</v>
      </c>
      <c r="I3561" s="2">
        <v>0.0</v>
      </c>
      <c r="J3561" s="37">
        <v>0.0</v>
      </c>
      <c r="K3561" s="2">
        <v>0.0</v>
      </c>
      <c r="L3561" s="2">
        <v>0.0</v>
      </c>
      <c r="M3561" s="37">
        <v>0.0</v>
      </c>
    </row>
    <row r="3562" ht="14.25" customHeight="1">
      <c r="A3562" t="s">
        <v>3623</v>
      </c>
      <c r="B3562" t="s">
        <v>3583</v>
      </c>
      <c r="C3562" t="s">
        <v>62</v>
      </c>
      <c r="D3562" t="s">
        <v>467</v>
      </c>
      <c r="E3562">
        <v>5.3</v>
      </c>
      <c r="F3562">
        <v>4.8</v>
      </c>
      <c r="G3562" s="2" t="s">
        <v>64</v>
      </c>
      <c r="H3562" s="2">
        <v>0.0</v>
      </c>
      <c r="I3562" s="2">
        <v>0.0</v>
      </c>
      <c r="J3562" s="37">
        <v>0.0</v>
      </c>
      <c r="K3562" s="2">
        <v>0.0</v>
      </c>
      <c r="L3562" s="2">
        <v>0.0</v>
      </c>
      <c r="M3562" s="37">
        <v>0.0</v>
      </c>
    </row>
    <row r="3563" ht="14.25" customHeight="1">
      <c r="A3563" t="s">
        <v>3624</v>
      </c>
      <c r="B3563" t="s">
        <v>3625</v>
      </c>
      <c r="C3563" t="s">
        <v>62</v>
      </c>
      <c r="D3563" t="s">
        <v>63</v>
      </c>
      <c r="E3563">
        <v>2.64</v>
      </c>
      <c r="F3563">
        <v>4.05</v>
      </c>
      <c r="G3563" s="2" t="s">
        <v>64</v>
      </c>
      <c r="H3563" s="2">
        <v>0.0</v>
      </c>
      <c r="I3563" s="2">
        <v>0.0</v>
      </c>
      <c r="J3563" s="37">
        <v>0.0</v>
      </c>
      <c r="K3563" s="2">
        <v>0.0</v>
      </c>
      <c r="L3563" s="2">
        <v>0.0</v>
      </c>
      <c r="M3563" s="37">
        <v>0.0</v>
      </c>
    </row>
    <row r="3564" ht="14.25" customHeight="1">
      <c r="A3564" t="s">
        <v>3626</v>
      </c>
      <c r="B3564" t="s">
        <v>3627</v>
      </c>
      <c r="C3564" t="s">
        <v>75</v>
      </c>
      <c r="D3564" t="s">
        <v>82</v>
      </c>
      <c r="E3564">
        <v>43.31</v>
      </c>
      <c r="F3564">
        <v>44.43</v>
      </c>
      <c r="G3564" s="2" t="s">
        <v>64</v>
      </c>
      <c r="H3564" s="2">
        <v>0.0</v>
      </c>
      <c r="I3564" s="2">
        <v>0.0</v>
      </c>
      <c r="J3564" s="37">
        <v>0.0</v>
      </c>
      <c r="K3564" s="2">
        <v>0.0</v>
      </c>
      <c r="L3564" s="2">
        <v>0.0</v>
      </c>
      <c r="M3564" s="37">
        <v>0.0</v>
      </c>
    </row>
    <row r="3565" ht="14.25" customHeight="1">
      <c r="A3565" t="s">
        <v>3628</v>
      </c>
      <c r="B3565" t="s">
        <v>3627</v>
      </c>
      <c r="C3565" t="s">
        <v>75</v>
      </c>
      <c r="D3565" t="s">
        <v>82</v>
      </c>
      <c r="E3565">
        <v>34.82</v>
      </c>
      <c r="F3565">
        <v>36.98</v>
      </c>
      <c r="G3565" s="2" t="s">
        <v>64</v>
      </c>
      <c r="H3565" s="2">
        <v>0.0</v>
      </c>
      <c r="I3565" s="2">
        <v>0.0</v>
      </c>
      <c r="J3565" s="37">
        <v>0.0</v>
      </c>
      <c r="K3565" s="2">
        <v>0.0</v>
      </c>
      <c r="L3565" s="2">
        <v>0.0</v>
      </c>
      <c r="M3565" s="37">
        <v>0.0</v>
      </c>
    </row>
    <row r="3566" ht="14.25" customHeight="1">
      <c r="A3566" t="s">
        <v>3629</v>
      </c>
      <c r="B3566" t="s">
        <v>3627</v>
      </c>
      <c r="C3566" t="s">
        <v>75</v>
      </c>
      <c r="D3566" t="s">
        <v>82</v>
      </c>
      <c r="E3566">
        <v>53.55</v>
      </c>
      <c r="F3566">
        <v>56.96</v>
      </c>
      <c r="G3566" s="2" t="s">
        <v>64</v>
      </c>
      <c r="H3566" s="2">
        <v>0.0</v>
      </c>
      <c r="I3566" s="2">
        <v>0.0</v>
      </c>
      <c r="J3566" s="37">
        <v>0.0</v>
      </c>
      <c r="K3566" s="2">
        <v>0.0</v>
      </c>
      <c r="L3566" s="2">
        <v>0.0</v>
      </c>
      <c r="M3566" s="37">
        <v>0.0</v>
      </c>
    </row>
    <row r="3567" ht="14.25" customHeight="1">
      <c r="A3567" t="s">
        <v>3630</v>
      </c>
      <c r="B3567" t="s">
        <v>3627</v>
      </c>
      <c r="C3567" t="s">
        <v>75</v>
      </c>
      <c r="D3567" t="s">
        <v>82</v>
      </c>
      <c r="E3567">
        <v>24.62</v>
      </c>
      <c r="F3567">
        <v>26.86</v>
      </c>
      <c r="G3567" s="2" t="s">
        <v>67</v>
      </c>
      <c r="H3567" s="2">
        <v>117.0</v>
      </c>
      <c r="I3567" s="2">
        <v>135.0</v>
      </c>
      <c r="J3567" s="37">
        <v>2803.32</v>
      </c>
      <c r="K3567" s="2">
        <v>141.0</v>
      </c>
      <c r="L3567" s="2">
        <v>612.0</v>
      </c>
      <c r="M3567" s="37">
        <v>3962.46</v>
      </c>
    </row>
    <row r="3568" ht="14.25" customHeight="1">
      <c r="A3568" t="s">
        <v>3631</v>
      </c>
      <c r="B3568" t="s">
        <v>3627</v>
      </c>
      <c r="C3568" t="s">
        <v>75</v>
      </c>
      <c r="D3568" t="s">
        <v>82</v>
      </c>
      <c r="E3568">
        <v>17.43</v>
      </c>
      <c r="F3568">
        <v>16.41</v>
      </c>
      <c r="G3568" s="2" t="s">
        <v>64</v>
      </c>
      <c r="H3568" s="2">
        <v>0.0</v>
      </c>
      <c r="I3568" s="2">
        <v>0.0</v>
      </c>
      <c r="J3568" s="37">
        <v>0.0</v>
      </c>
      <c r="K3568" s="2">
        <v>0.0</v>
      </c>
      <c r="L3568" s="2">
        <v>0.0</v>
      </c>
      <c r="M3568" s="37">
        <v>0.0</v>
      </c>
    </row>
    <row r="3569" ht="14.25" customHeight="1">
      <c r="A3569" t="s">
        <v>3632</v>
      </c>
      <c r="B3569" t="s">
        <v>3627</v>
      </c>
      <c r="C3569" t="s">
        <v>75</v>
      </c>
      <c r="D3569" t="s">
        <v>82</v>
      </c>
      <c r="E3569">
        <v>14.06</v>
      </c>
      <c r="F3569">
        <v>14.81</v>
      </c>
      <c r="G3569" s="2" t="s">
        <v>64</v>
      </c>
      <c r="H3569" s="2">
        <v>0.0</v>
      </c>
      <c r="I3569" s="2">
        <v>0.0</v>
      </c>
      <c r="J3569" s="37">
        <v>0.0</v>
      </c>
      <c r="K3569" s="2">
        <v>0.0</v>
      </c>
      <c r="L3569" s="2">
        <v>0.0</v>
      </c>
      <c r="M3569" s="37">
        <v>0.0</v>
      </c>
    </row>
    <row r="3570" ht="14.25" customHeight="1">
      <c r="A3570" t="s">
        <v>3633</v>
      </c>
      <c r="B3570" t="s">
        <v>3627</v>
      </c>
      <c r="C3570" t="s">
        <v>75</v>
      </c>
      <c r="D3570" t="s">
        <v>82</v>
      </c>
      <c r="E3570">
        <v>11.33</v>
      </c>
      <c r="F3570">
        <v>10.81</v>
      </c>
      <c r="G3570" s="2" t="s">
        <v>64</v>
      </c>
      <c r="H3570" s="2">
        <v>0.0</v>
      </c>
      <c r="I3570" s="2">
        <v>0.0</v>
      </c>
      <c r="J3570" s="37">
        <v>0.0</v>
      </c>
      <c r="K3570" s="2">
        <v>0.0</v>
      </c>
      <c r="L3570" s="2">
        <v>0.0</v>
      </c>
      <c r="M3570" s="37">
        <v>0.0</v>
      </c>
    </row>
    <row r="3571" ht="14.25" customHeight="1">
      <c r="A3571" t="s">
        <v>3634</v>
      </c>
      <c r="B3571" t="s">
        <v>3627</v>
      </c>
      <c r="C3571" t="s">
        <v>75</v>
      </c>
      <c r="D3571" t="s">
        <v>82</v>
      </c>
      <c r="E3571">
        <v>19.87</v>
      </c>
      <c r="F3571">
        <v>18.55</v>
      </c>
      <c r="G3571" s="2" t="s">
        <v>64</v>
      </c>
      <c r="H3571" s="2">
        <v>0.0</v>
      </c>
      <c r="I3571" s="2">
        <v>0.0</v>
      </c>
      <c r="J3571" s="37">
        <v>0.0</v>
      </c>
      <c r="K3571" s="2">
        <v>0.0</v>
      </c>
      <c r="L3571" s="2">
        <v>0.0</v>
      </c>
      <c r="M3571" s="37">
        <v>0.0</v>
      </c>
    </row>
    <row r="3572" ht="14.25" customHeight="1">
      <c r="A3572" t="s">
        <v>3635</v>
      </c>
      <c r="B3572" t="s">
        <v>3627</v>
      </c>
      <c r="C3572" t="s">
        <v>75</v>
      </c>
      <c r="D3572" t="s">
        <v>82</v>
      </c>
      <c r="E3572">
        <v>22.39</v>
      </c>
      <c r="F3572">
        <v>22.0</v>
      </c>
      <c r="G3572" s="2" t="s">
        <v>64</v>
      </c>
      <c r="H3572" s="2">
        <v>0.0</v>
      </c>
      <c r="I3572" s="2">
        <v>0.0</v>
      </c>
      <c r="J3572" s="37">
        <v>0.0</v>
      </c>
      <c r="K3572" s="2">
        <v>0.0</v>
      </c>
      <c r="L3572" s="2">
        <v>0.0</v>
      </c>
      <c r="M3572" s="37">
        <v>0.0</v>
      </c>
    </row>
    <row r="3573" ht="14.25" customHeight="1">
      <c r="A3573" t="s">
        <v>3636</v>
      </c>
      <c r="B3573" t="s">
        <v>3627</v>
      </c>
      <c r="C3573" t="s">
        <v>75</v>
      </c>
      <c r="D3573" t="s">
        <v>82</v>
      </c>
      <c r="E3573">
        <v>42.22</v>
      </c>
      <c r="F3573">
        <v>42.2</v>
      </c>
      <c r="G3573" s="2" t="s">
        <v>64</v>
      </c>
      <c r="H3573" s="2">
        <v>0.0</v>
      </c>
      <c r="I3573" s="2">
        <v>0.0</v>
      </c>
      <c r="J3573" s="37">
        <v>0.0</v>
      </c>
      <c r="K3573" s="2">
        <v>0.0</v>
      </c>
      <c r="L3573" s="2">
        <v>0.0</v>
      </c>
      <c r="M3573" s="37">
        <v>0.0</v>
      </c>
    </row>
    <row r="3574" ht="14.25" customHeight="1">
      <c r="A3574" t="s">
        <v>3637</v>
      </c>
      <c r="B3574" t="s">
        <v>3627</v>
      </c>
      <c r="C3574" t="s">
        <v>75</v>
      </c>
      <c r="D3574" t="s">
        <v>82</v>
      </c>
      <c r="E3574">
        <v>28.339</v>
      </c>
      <c r="F3574">
        <v>27.24</v>
      </c>
      <c r="G3574" s="2" t="s">
        <v>64</v>
      </c>
      <c r="H3574" s="2">
        <v>0.0</v>
      </c>
      <c r="I3574" s="2">
        <v>0.0</v>
      </c>
      <c r="J3574" s="37">
        <v>0.0</v>
      </c>
      <c r="K3574" s="2">
        <v>0.0</v>
      </c>
      <c r="L3574" s="2">
        <v>0.0</v>
      </c>
      <c r="M3574" s="37">
        <v>0.0</v>
      </c>
    </row>
    <row r="3575" ht="14.25" customHeight="1">
      <c r="A3575" t="s">
        <v>3638</v>
      </c>
      <c r="B3575" t="s">
        <v>3627</v>
      </c>
      <c r="C3575" t="s">
        <v>75</v>
      </c>
      <c r="D3575" t="s">
        <v>82</v>
      </c>
      <c r="E3575">
        <v>15.895</v>
      </c>
      <c r="F3575">
        <v>14.215</v>
      </c>
      <c r="G3575" s="2" t="s">
        <v>64</v>
      </c>
      <c r="H3575" s="2">
        <v>0.0</v>
      </c>
      <c r="I3575" s="2">
        <v>0.0</v>
      </c>
      <c r="J3575" s="37">
        <v>0.0</v>
      </c>
      <c r="K3575" s="2">
        <v>0.0</v>
      </c>
      <c r="L3575" s="2">
        <v>0.0</v>
      </c>
      <c r="M3575" s="37">
        <v>0.0</v>
      </c>
    </row>
    <row r="3576" ht="14.25" customHeight="1">
      <c r="A3576" t="s">
        <v>3639</v>
      </c>
      <c r="B3576" t="s">
        <v>3627</v>
      </c>
      <c r="C3576" t="s">
        <v>75</v>
      </c>
      <c r="D3576" t="s">
        <v>82</v>
      </c>
      <c r="E3576">
        <v>26.9</v>
      </c>
      <c r="F3576">
        <v>24.56</v>
      </c>
      <c r="G3576" s="2" t="s">
        <v>64</v>
      </c>
      <c r="H3576" s="2">
        <v>0.0</v>
      </c>
      <c r="I3576" s="2">
        <v>0.0</v>
      </c>
      <c r="J3576" s="37">
        <v>0.0</v>
      </c>
      <c r="K3576" s="2">
        <v>0.0</v>
      </c>
      <c r="L3576" s="2">
        <v>0.0</v>
      </c>
      <c r="M3576" s="37">
        <v>0.0</v>
      </c>
    </row>
    <row r="3577" ht="14.25" customHeight="1">
      <c r="A3577" t="s">
        <v>3640</v>
      </c>
      <c r="B3577" t="s">
        <v>3627</v>
      </c>
      <c r="C3577" t="s">
        <v>75</v>
      </c>
      <c r="D3577" t="s">
        <v>82</v>
      </c>
      <c r="E3577">
        <v>24.71</v>
      </c>
      <c r="F3577">
        <v>23.44</v>
      </c>
      <c r="G3577" s="2" t="s">
        <v>64</v>
      </c>
      <c r="H3577" s="2">
        <v>0.0</v>
      </c>
      <c r="I3577" s="2">
        <v>0.0</v>
      </c>
      <c r="J3577" s="37">
        <v>0.0</v>
      </c>
      <c r="K3577" s="2">
        <v>0.0</v>
      </c>
      <c r="L3577" s="2">
        <v>0.0</v>
      </c>
      <c r="M3577" s="37">
        <v>0.0</v>
      </c>
    </row>
    <row r="3578" ht="14.25" customHeight="1">
      <c r="A3578" t="s">
        <v>3641</v>
      </c>
      <c r="B3578" t="s">
        <v>3627</v>
      </c>
      <c r="C3578" t="s">
        <v>75</v>
      </c>
      <c r="D3578" t="s">
        <v>82</v>
      </c>
      <c r="E3578">
        <v>18.156</v>
      </c>
      <c r="F3578">
        <v>16.739</v>
      </c>
      <c r="G3578" s="2" t="s">
        <v>64</v>
      </c>
      <c r="H3578" s="2">
        <v>0.0</v>
      </c>
      <c r="I3578" s="2">
        <v>0.0</v>
      </c>
      <c r="J3578" s="37">
        <v>0.0</v>
      </c>
      <c r="K3578" s="2">
        <v>0.0</v>
      </c>
      <c r="L3578" s="2">
        <v>0.0</v>
      </c>
      <c r="M3578" s="37">
        <v>0.0</v>
      </c>
    </row>
    <row r="3579" ht="14.25" customHeight="1">
      <c r="A3579" t="s">
        <v>3642</v>
      </c>
      <c r="B3579" t="s">
        <v>3627</v>
      </c>
      <c r="C3579" t="s">
        <v>75</v>
      </c>
      <c r="D3579" t="s">
        <v>82</v>
      </c>
      <c r="E3579">
        <v>19.48</v>
      </c>
      <c r="F3579">
        <v>18.97</v>
      </c>
      <c r="G3579" s="2" t="s">
        <v>64</v>
      </c>
      <c r="H3579" s="2">
        <v>0.0</v>
      </c>
      <c r="I3579" s="2">
        <v>0.0</v>
      </c>
      <c r="J3579" s="37">
        <v>0.0</v>
      </c>
      <c r="K3579" s="2">
        <v>0.0</v>
      </c>
      <c r="L3579" s="2">
        <v>0.0</v>
      </c>
      <c r="M3579" s="37">
        <v>0.0</v>
      </c>
    </row>
    <row r="3580" ht="14.25" customHeight="1">
      <c r="A3580" t="s">
        <v>3643</v>
      </c>
      <c r="B3580" t="s">
        <v>3627</v>
      </c>
      <c r="C3580" t="s">
        <v>75</v>
      </c>
      <c r="D3580" t="s">
        <v>82</v>
      </c>
      <c r="E3580">
        <v>6.18</v>
      </c>
      <c r="F3580">
        <v>6.55</v>
      </c>
      <c r="G3580" s="2" t="s">
        <v>64</v>
      </c>
      <c r="H3580" s="2">
        <v>0.0</v>
      </c>
      <c r="I3580" s="2">
        <v>0.0</v>
      </c>
      <c r="J3580" s="37">
        <v>0.0</v>
      </c>
      <c r="K3580" s="2">
        <v>0.0</v>
      </c>
      <c r="L3580" s="2">
        <v>0.0</v>
      </c>
      <c r="M3580" s="37">
        <v>0.0</v>
      </c>
    </row>
    <row r="3581" ht="14.25" customHeight="1">
      <c r="A3581" t="s">
        <v>3644</v>
      </c>
      <c r="B3581" t="s">
        <v>3627</v>
      </c>
      <c r="C3581" t="s">
        <v>75</v>
      </c>
      <c r="D3581" t="s">
        <v>82</v>
      </c>
      <c r="E3581">
        <v>9.49</v>
      </c>
      <c r="F3581">
        <v>9.45</v>
      </c>
      <c r="G3581" s="2" t="s">
        <v>64</v>
      </c>
      <c r="H3581" s="2">
        <v>0.0</v>
      </c>
      <c r="I3581" s="2">
        <v>0.0</v>
      </c>
      <c r="J3581" s="37">
        <v>0.0</v>
      </c>
      <c r="K3581" s="2">
        <v>0.0</v>
      </c>
      <c r="L3581" s="2">
        <v>0.0</v>
      </c>
      <c r="M3581" s="37">
        <v>0.0</v>
      </c>
    </row>
    <row r="3582" ht="14.25" customHeight="1">
      <c r="A3582" t="s">
        <v>3645</v>
      </c>
      <c r="B3582" t="s">
        <v>3627</v>
      </c>
      <c r="C3582" t="s">
        <v>75</v>
      </c>
      <c r="D3582" t="s">
        <v>82</v>
      </c>
      <c r="E3582">
        <v>10.68</v>
      </c>
      <c r="F3582">
        <v>9.88</v>
      </c>
      <c r="G3582" s="2" t="s">
        <v>64</v>
      </c>
      <c r="H3582" s="2">
        <v>0.0</v>
      </c>
      <c r="I3582" s="2">
        <v>0.0</v>
      </c>
      <c r="J3582" s="37">
        <v>0.0</v>
      </c>
      <c r="K3582" s="2">
        <v>0.0</v>
      </c>
      <c r="L3582" s="2">
        <v>0.0</v>
      </c>
      <c r="M3582" s="37">
        <v>0.0</v>
      </c>
    </row>
    <row r="3583" ht="14.25" customHeight="1">
      <c r="A3583" t="s">
        <v>3646</v>
      </c>
      <c r="B3583" t="s">
        <v>3627</v>
      </c>
      <c r="C3583" t="s">
        <v>75</v>
      </c>
      <c r="D3583" t="s">
        <v>82</v>
      </c>
      <c r="E3583">
        <v>10.68</v>
      </c>
      <c r="F3583">
        <v>9.88</v>
      </c>
      <c r="G3583" s="2" t="s">
        <v>64</v>
      </c>
      <c r="H3583" s="2">
        <v>0.0</v>
      </c>
      <c r="I3583" s="2">
        <v>0.0</v>
      </c>
      <c r="J3583" s="37">
        <v>0.0</v>
      </c>
      <c r="K3583" s="2">
        <v>0.0</v>
      </c>
      <c r="L3583" s="2">
        <v>0.0</v>
      </c>
      <c r="M3583" s="37">
        <v>0.0</v>
      </c>
    </row>
    <row r="3584" ht="14.25" customHeight="1">
      <c r="A3584" t="s">
        <v>3647</v>
      </c>
      <c r="B3584" t="s">
        <v>3627</v>
      </c>
      <c r="C3584" t="s">
        <v>75</v>
      </c>
      <c r="D3584" t="s">
        <v>82</v>
      </c>
      <c r="E3584">
        <v>17.43</v>
      </c>
      <c r="F3584">
        <v>16.19</v>
      </c>
      <c r="G3584" s="2" t="s">
        <v>64</v>
      </c>
      <c r="H3584" s="2">
        <v>0.0</v>
      </c>
      <c r="I3584" s="2">
        <v>0.0</v>
      </c>
      <c r="J3584" s="37">
        <v>0.0</v>
      </c>
      <c r="K3584" s="2">
        <v>0.0</v>
      </c>
      <c r="L3584" s="2">
        <v>0.0</v>
      </c>
      <c r="M3584" s="37">
        <v>0.0</v>
      </c>
    </row>
    <row r="3585" ht="14.25" customHeight="1">
      <c r="A3585" t="s">
        <v>3648</v>
      </c>
      <c r="B3585" t="s">
        <v>3627</v>
      </c>
      <c r="C3585" t="s">
        <v>75</v>
      </c>
      <c r="D3585" t="s">
        <v>82</v>
      </c>
      <c r="E3585">
        <v>8.24</v>
      </c>
      <c r="F3585">
        <v>8.2</v>
      </c>
      <c r="G3585" s="2" t="s">
        <v>64</v>
      </c>
      <c r="H3585" s="2">
        <v>0.0</v>
      </c>
      <c r="I3585" s="2">
        <v>0.0</v>
      </c>
      <c r="J3585" s="37">
        <v>0.0</v>
      </c>
      <c r="K3585" s="2">
        <v>0.0</v>
      </c>
      <c r="L3585" s="2">
        <v>0.0</v>
      </c>
      <c r="M3585" s="37">
        <v>0.0</v>
      </c>
    </row>
    <row r="3586" ht="14.25" customHeight="1">
      <c r="A3586" t="s">
        <v>3649</v>
      </c>
      <c r="B3586" t="s">
        <v>3627</v>
      </c>
      <c r="C3586" t="s">
        <v>75</v>
      </c>
      <c r="D3586" t="s">
        <v>82</v>
      </c>
      <c r="E3586">
        <v>15.66</v>
      </c>
      <c r="F3586">
        <v>15.75</v>
      </c>
      <c r="G3586" s="2" t="s">
        <v>64</v>
      </c>
      <c r="H3586" s="2">
        <v>0.0</v>
      </c>
      <c r="I3586" s="2">
        <v>0.0</v>
      </c>
      <c r="J3586" s="37">
        <v>0.0</v>
      </c>
      <c r="K3586" s="2">
        <v>0.0</v>
      </c>
      <c r="L3586" s="2">
        <v>0.0</v>
      </c>
      <c r="M3586" s="37">
        <v>0.0</v>
      </c>
    </row>
    <row r="3587" ht="14.25" customHeight="1">
      <c r="A3587" t="s">
        <v>3650</v>
      </c>
      <c r="B3587" t="s">
        <v>3627</v>
      </c>
      <c r="C3587" t="s">
        <v>75</v>
      </c>
      <c r="D3587" t="s">
        <v>82</v>
      </c>
      <c r="E3587">
        <v>12.924</v>
      </c>
      <c r="F3587">
        <v>11.718</v>
      </c>
      <c r="G3587" s="2" t="s">
        <v>64</v>
      </c>
      <c r="H3587" s="2">
        <v>0.0</v>
      </c>
      <c r="I3587" s="2">
        <v>0.0</v>
      </c>
      <c r="J3587" s="37">
        <v>0.0</v>
      </c>
      <c r="K3587" s="2">
        <v>0.0</v>
      </c>
      <c r="L3587" s="2">
        <v>0.0</v>
      </c>
      <c r="M3587" s="37">
        <v>0.0</v>
      </c>
    </row>
    <row r="3588" ht="14.25" customHeight="1">
      <c r="A3588" t="s">
        <v>3651</v>
      </c>
      <c r="B3588" t="s">
        <v>3627</v>
      </c>
      <c r="C3588" t="s">
        <v>75</v>
      </c>
      <c r="D3588" t="s">
        <v>82</v>
      </c>
      <c r="E3588">
        <v>12.924</v>
      </c>
      <c r="F3588">
        <v>11.718</v>
      </c>
      <c r="G3588" s="2" t="s">
        <v>64</v>
      </c>
      <c r="H3588" s="2">
        <v>0.0</v>
      </c>
      <c r="I3588" s="2">
        <v>0.0</v>
      </c>
      <c r="J3588" s="37">
        <v>0.0</v>
      </c>
      <c r="K3588" s="2">
        <v>0.0</v>
      </c>
      <c r="L3588" s="2">
        <v>0.0</v>
      </c>
      <c r="M3588" s="37">
        <v>0.0</v>
      </c>
    </row>
    <row r="3589" ht="14.25" customHeight="1">
      <c r="A3589" t="s">
        <v>3652</v>
      </c>
      <c r="B3589" t="s">
        <v>3627</v>
      </c>
      <c r="C3589" t="s">
        <v>75</v>
      </c>
      <c r="D3589" t="s">
        <v>82</v>
      </c>
      <c r="E3589">
        <v>43.79</v>
      </c>
      <c r="F3589">
        <v>45.757</v>
      </c>
      <c r="G3589" s="2" t="s">
        <v>64</v>
      </c>
      <c r="H3589" s="2">
        <v>0.0</v>
      </c>
      <c r="I3589" s="2">
        <v>0.0</v>
      </c>
      <c r="J3589" s="37">
        <v>0.0</v>
      </c>
      <c r="K3589" s="2">
        <v>0.0</v>
      </c>
      <c r="L3589" s="2">
        <v>0.0</v>
      </c>
      <c r="M3589" s="37">
        <v>0.0</v>
      </c>
    </row>
    <row r="3590" ht="14.25" customHeight="1">
      <c r="A3590" t="s">
        <v>3653</v>
      </c>
      <c r="B3590" t="s">
        <v>3627</v>
      </c>
      <c r="C3590" t="s">
        <v>75</v>
      </c>
      <c r="D3590" t="s">
        <v>82</v>
      </c>
      <c r="E3590">
        <v>36.717</v>
      </c>
      <c r="F3590">
        <v>34.893</v>
      </c>
      <c r="G3590" s="2" t="s">
        <v>64</v>
      </c>
      <c r="H3590" s="2">
        <v>0.0</v>
      </c>
      <c r="I3590" s="2">
        <v>0.0</v>
      </c>
      <c r="J3590" s="37">
        <v>0.0</v>
      </c>
      <c r="K3590" s="2">
        <v>0.0</v>
      </c>
      <c r="L3590" s="2">
        <v>0.0</v>
      </c>
      <c r="M3590" s="37">
        <v>0.0</v>
      </c>
    </row>
    <row r="3591" ht="14.25" customHeight="1">
      <c r="A3591" t="s">
        <v>3654</v>
      </c>
      <c r="B3591" t="s">
        <v>3627</v>
      </c>
      <c r="C3591" t="s">
        <v>75</v>
      </c>
      <c r="D3591" t="s">
        <v>82</v>
      </c>
      <c r="E3591">
        <v>22.175</v>
      </c>
      <c r="F3591">
        <v>22.694</v>
      </c>
      <c r="G3591" s="2" t="s">
        <v>64</v>
      </c>
      <c r="H3591" s="2">
        <v>0.0</v>
      </c>
      <c r="I3591" s="2">
        <v>0.0</v>
      </c>
      <c r="J3591" s="37">
        <v>0.0</v>
      </c>
      <c r="K3591" s="2">
        <v>0.0</v>
      </c>
      <c r="L3591" s="2">
        <v>0.0</v>
      </c>
      <c r="M3591" s="37">
        <v>0.0</v>
      </c>
    </row>
    <row r="3592" ht="14.25" customHeight="1">
      <c r="A3592" t="s">
        <v>3655</v>
      </c>
      <c r="B3592" t="s">
        <v>3627</v>
      </c>
      <c r="C3592" t="s">
        <v>75</v>
      </c>
      <c r="D3592" t="s">
        <v>82</v>
      </c>
      <c r="E3592">
        <v>19.22</v>
      </c>
      <c r="F3592">
        <v>18.08</v>
      </c>
      <c r="G3592" s="2" t="s">
        <v>64</v>
      </c>
      <c r="H3592" s="2">
        <v>0.0</v>
      </c>
      <c r="I3592" s="2">
        <v>0.0</v>
      </c>
      <c r="J3592" s="37">
        <v>0.0</v>
      </c>
      <c r="K3592" s="2">
        <v>0.0</v>
      </c>
      <c r="L3592" s="2">
        <v>0.0</v>
      </c>
      <c r="M3592" s="37">
        <v>0.0</v>
      </c>
    </row>
    <row r="3593" ht="14.25" customHeight="1">
      <c r="A3593" t="s">
        <v>3656</v>
      </c>
      <c r="B3593" t="s">
        <v>3627</v>
      </c>
      <c r="C3593" t="s">
        <v>75</v>
      </c>
      <c r="D3593" t="s">
        <v>82</v>
      </c>
      <c r="E3593">
        <v>27.564</v>
      </c>
      <c r="F3593">
        <v>25.039</v>
      </c>
      <c r="G3593" s="2" t="s">
        <v>64</v>
      </c>
      <c r="H3593" s="2">
        <v>0.0</v>
      </c>
      <c r="I3593" s="2">
        <v>0.0</v>
      </c>
      <c r="J3593" s="37">
        <v>0.0</v>
      </c>
      <c r="K3593" s="2">
        <v>0.0</v>
      </c>
      <c r="L3593" s="2">
        <v>0.0</v>
      </c>
      <c r="M3593" s="37">
        <v>0.0</v>
      </c>
    </row>
    <row r="3594" ht="14.25" customHeight="1">
      <c r="A3594" t="s">
        <v>3657</v>
      </c>
      <c r="B3594" t="s">
        <v>3627</v>
      </c>
      <c r="C3594" t="s">
        <v>75</v>
      </c>
      <c r="D3594" t="s">
        <v>82</v>
      </c>
      <c r="E3594">
        <v>56.466</v>
      </c>
      <c r="F3594">
        <v>54.13</v>
      </c>
      <c r="G3594" s="2" t="s">
        <v>64</v>
      </c>
      <c r="H3594" s="2">
        <v>0.0</v>
      </c>
      <c r="I3594" s="2">
        <v>0.0</v>
      </c>
      <c r="J3594" s="37">
        <v>0.0</v>
      </c>
      <c r="K3594" s="2">
        <v>0.0</v>
      </c>
      <c r="L3594" s="2">
        <v>0.0</v>
      </c>
      <c r="M3594" s="37">
        <v>0.0</v>
      </c>
    </row>
    <row r="3595" ht="14.25" customHeight="1">
      <c r="A3595" t="s">
        <v>3658</v>
      </c>
      <c r="B3595" t="s">
        <v>3627</v>
      </c>
      <c r="C3595" t="s">
        <v>75</v>
      </c>
      <c r="D3595" t="s">
        <v>82</v>
      </c>
      <c r="E3595">
        <v>17.76</v>
      </c>
      <c r="F3595">
        <v>17.535</v>
      </c>
      <c r="G3595" s="2" t="s">
        <v>64</v>
      </c>
      <c r="H3595" s="2">
        <v>0.0</v>
      </c>
      <c r="I3595" s="2">
        <v>0.0</v>
      </c>
      <c r="J3595" s="37">
        <v>0.0</v>
      </c>
      <c r="K3595" s="2">
        <v>0.0</v>
      </c>
      <c r="L3595" s="2">
        <v>0.0</v>
      </c>
      <c r="M3595" s="37">
        <v>0.0</v>
      </c>
    </row>
    <row r="3596" ht="14.25" customHeight="1">
      <c r="A3596" t="s">
        <v>3659</v>
      </c>
      <c r="B3596" t="s">
        <v>3627</v>
      </c>
      <c r="C3596" t="s">
        <v>75</v>
      </c>
      <c r="D3596" t="s">
        <v>63</v>
      </c>
      <c r="E3596">
        <v>31.48</v>
      </c>
      <c r="F3596">
        <v>31.29</v>
      </c>
      <c r="G3596" s="2" t="s">
        <v>64</v>
      </c>
      <c r="H3596" s="2">
        <v>0.0</v>
      </c>
      <c r="I3596" s="2">
        <v>0.0</v>
      </c>
      <c r="J3596" s="37">
        <v>0.0</v>
      </c>
      <c r="K3596" s="2">
        <v>0.0</v>
      </c>
      <c r="L3596" s="2">
        <v>0.0</v>
      </c>
      <c r="M3596" s="37">
        <v>0.0</v>
      </c>
    </row>
    <row r="3597" ht="14.25" customHeight="1">
      <c r="A3597" t="s">
        <v>3660</v>
      </c>
      <c r="B3597" t="s">
        <v>3627</v>
      </c>
      <c r="C3597" t="s">
        <v>75</v>
      </c>
      <c r="D3597" t="s">
        <v>82</v>
      </c>
      <c r="E3597">
        <v>9.905</v>
      </c>
      <c r="F3597">
        <v>8.991</v>
      </c>
      <c r="G3597" s="2" t="s">
        <v>64</v>
      </c>
      <c r="H3597" s="2">
        <v>0.0</v>
      </c>
      <c r="I3597" s="2">
        <v>0.0</v>
      </c>
      <c r="J3597" s="37">
        <v>0.0</v>
      </c>
      <c r="K3597" s="2">
        <v>0.0</v>
      </c>
      <c r="L3597" s="2">
        <v>0.0</v>
      </c>
      <c r="M3597" s="37">
        <v>0.0</v>
      </c>
    </row>
    <row r="3598" ht="14.25" customHeight="1">
      <c r="A3598" t="s">
        <v>3661</v>
      </c>
      <c r="B3598" t="s">
        <v>3627</v>
      </c>
      <c r="C3598" t="s">
        <v>75</v>
      </c>
      <c r="D3598" t="s">
        <v>82</v>
      </c>
      <c r="E3598">
        <v>19.88</v>
      </c>
      <c r="F3598">
        <v>19.7</v>
      </c>
      <c r="G3598" s="2" t="s">
        <v>67</v>
      </c>
      <c r="H3598" s="2">
        <v>105.0</v>
      </c>
      <c r="I3598" s="2">
        <v>427.0</v>
      </c>
      <c r="J3598" s="37">
        <v>2913.4</v>
      </c>
      <c r="K3598" s="2">
        <v>122.0</v>
      </c>
      <c r="L3598" s="2">
        <v>812.0</v>
      </c>
      <c r="M3598" s="37">
        <v>3795.7200000000003</v>
      </c>
    </row>
    <row r="3599" ht="14.25" customHeight="1">
      <c r="A3599" t="s">
        <v>3662</v>
      </c>
      <c r="B3599" t="s">
        <v>3627</v>
      </c>
      <c r="C3599" t="s">
        <v>75</v>
      </c>
      <c r="D3599" t="s">
        <v>63</v>
      </c>
      <c r="E3599">
        <v>14.947</v>
      </c>
      <c r="F3599">
        <v>14.9</v>
      </c>
      <c r="G3599" s="2" t="s">
        <v>64</v>
      </c>
      <c r="H3599" s="2">
        <v>0.0</v>
      </c>
      <c r="I3599" s="2">
        <v>0.0</v>
      </c>
      <c r="J3599" s="37">
        <v>0.0</v>
      </c>
      <c r="K3599" s="2">
        <v>0.0</v>
      </c>
      <c r="L3599" s="2">
        <v>0.0</v>
      </c>
      <c r="M3599" s="37">
        <v>0.0</v>
      </c>
    </row>
    <row r="3600" ht="14.25" customHeight="1">
      <c r="A3600" t="s">
        <v>3663</v>
      </c>
      <c r="B3600" t="s">
        <v>3627</v>
      </c>
      <c r="C3600" t="s">
        <v>75</v>
      </c>
      <c r="D3600" t="s">
        <v>63</v>
      </c>
      <c r="E3600">
        <v>22.53</v>
      </c>
      <c r="F3600">
        <v>23.28</v>
      </c>
      <c r="G3600" s="2" t="s">
        <v>64</v>
      </c>
      <c r="H3600" s="2">
        <v>0.0</v>
      </c>
      <c r="I3600" s="2">
        <v>0.0</v>
      </c>
      <c r="J3600" s="37">
        <v>0.0</v>
      </c>
      <c r="K3600" s="2">
        <v>0.0</v>
      </c>
      <c r="L3600" s="2">
        <v>0.0</v>
      </c>
      <c r="M3600" s="37">
        <v>0.0</v>
      </c>
    </row>
    <row r="3601" ht="14.25" customHeight="1">
      <c r="A3601" t="s">
        <v>3664</v>
      </c>
      <c r="B3601" t="s">
        <v>3627</v>
      </c>
      <c r="C3601" t="s">
        <v>75</v>
      </c>
      <c r="D3601" t="s">
        <v>63</v>
      </c>
      <c r="E3601">
        <v>14.46</v>
      </c>
      <c r="F3601">
        <v>14.9</v>
      </c>
      <c r="G3601" s="2" t="s">
        <v>64</v>
      </c>
      <c r="H3601" s="2">
        <v>0.0</v>
      </c>
      <c r="I3601" s="2">
        <v>0.0</v>
      </c>
      <c r="J3601" s="37">
        <v>0.0</v>
      </c>
      <c r="K3601" s="2">
        <v>0.0</v>
      </c>
      <c r="L3601" s="2">
        <v>0.0</v>
      </c>
      <c r="M3601" s="37">
        <v>0.0</v>
      </c>
    </row>
    <row r="3602" ht="14.25" customHeight="1">
      <c r="A3602" t="s">
        <v>3665</v>
      </c>
      <c r="B3602" t="s">
        <v>3627</v>
      </c>
      <c r="C3602" t="s">
        <v>75</v>
      </c>
      <c r="D3602" t="s">
        <v>63</v>
      </c>
      <c r="E3602">
        <v>19.0</v>
      </c>
      <c r="F3602">
        <v>20.76</v>
      </c>
      <c r="G3602" s="2" t="s">
        <v>64</v>
      </c>
      <c r="H3602" s="2">
        <v>0.0</v>
      </c>
      <c r="I3602" s="2">
        <v>0.0</v>
      </c>
      <c r="J3602" s="37">
        <v>0.0</v>
      </c>
      <c r="K3602" s="2">
        <v>0.0</v>
      </c>
      <c r="L3602" s="2">
        <v>0.0</v>
      </c>
      <c r="M3602" s="37">
        <v>0.0</v>
      </c>
    </row>
    <row r="3603" ht="14.25" customHeight="1">
      <c r="A3603" t="s">
        <v>3666</v>
      </c>
      <c r="B3603" t="s">
        <v>3627</v>
      </c>
      <c r="C3603" t="s">
        <v>75</v>
      </c>
      <c r="D3603" t="s">
        <v>82</v>
      </c>
      <c r="E3603">
        <v>16.35</v>
      </c>
      <c r="F3603">
        <v>17.3</v>
      </c>
      <c r="G3603" s="2" t="s">
        <v>67</v>
      </c>
      <c r="H3603" s="2">
        <v>83.0</v>
      </c>
      <c r="I3603" s="2">
        <v>215.0</v>
      </c>
      <c r="J3603" s="37">
        <v>2143.6800000000003</v>
      </c>
      <c r="K3603" s="2">
        <v>99.0</v>
      </c>
      <c r="L3603" s="2">
        <v>532.0</v>
      </c>
      <c r="M3603" s="37">
        <v>2915.14</v>
      </c>
    </row>
    <row r="3604" ht="14.25" customHeight="1">
      <c r="A3604" t="s">
        <v>3666</v>
      </c>
      <c r="B3604" t="s">
        <v>3627</v>
      </c>
      <c r="C3604" t="s">
        <v>75</v>
      </c>
      <c r="D3604" t="s">
        <v>82</v>
      </c>
      <c r="E3604">
        <v>16.35</v>
      </c>
      <c r="F3604">
        <v>17.3</v>
      </c>
      <c r="G3604" s="2" t="s">
        <v>67</v>
      </c>
      <c r="H3604" s="2">
        <v>83.0</v>
      </c>
      <c r="I3604" s="2">
        <v>215.0</v>
      </c>
      <c r="J3604" s="37">
        <v>2143.6800000000003</v>
      </c>
      <c r="K3604" s="2">
        <v>99.0</v>
      </c>
      <c r="L3604" s="2">
        <v>532.0</v>
      </c>
      <c r="M3604" s="37">
        <v>2915.14</v>
      </c>
    </row>
    <row r="3605" ht="14.25" customHeight="1">
      <c r="A3605" t="s">
        <v>3661</v>
      </c>
      <c r="B3605" t="s">
        <v>3627</v>
      </c>
      <c r="C3605" t="s">
        <v>75</v>
      </c>
      <c r="D3605" t="s">
        <v>82</v>
      </c>
      <c r="E3605">
        <v>19.88</v>
      </c>
      <c r="F3605">
        <v>19.7</v>
      </c>
      <c r="G3605" s="2" t="s">
        <v>67</v>
      </c>
      <c r="H3605" s="2">
        <v>105.0</v>
      </c>
      <c r="I3605" s="2">
        <v>427.0</v>
      </c>
      <c r="J3605" s="37">
        <v>2913.4</v>
      </c>
      <c r="K3605" s="2">
        <v>122.0</v>
      </c>
      <c r="L3605" s="2">
        <v>812.0</v>
      </c>
      <c r="M3605" s="37">
        <v>3795.7200000000003</v>
      </c>
    </row>
    <row r="3606" ht="14.25" customHeight="1">
      <c r="A3606" t="s">
        <v>3667</v>
      </c>
      <c r="B3606" t="s">
        <v>3627</v>
      </c>
      <c r="C3606" t="s">
        <v>75</v>
      </c>
      <c r="D3606" t="s">
        <v>82</v>
      </c>
      <c r="E3606">
        <v>9.64</v>
      </c>
      <c r="F3606">
        <v>11.12</v>
      </c>
      <c r="G3606" s="2" t="s">
        <v>64</v>
      </c>
      <c r="H3606" s="2">
        <v>0.0</v>
      </c>
      <c r="I3606" s="2">
        <v>0.0</v>
      </c>
      <c r="J3606" s="37">
        <v>0.0</v>
      </c>
      <c r="K3606" s="2">
        <v>0.0</v>
      </c>
      <c r="L3606" s="2">
        <v>0.0</v>
      </c>
      <c r="M3606" s="37">
        <v>0.0</v>
      </c>
    </row>
    <row r="3607" ht="14.25" customHeight="1">
      <c r="A3607" t="s">
        <v>3668</v>
      </c>
      <c r="B3607" t="s">
        <v>3627</v>
      </c>
      <c r="C3607" t="s">
        <v>75</v>
      </c>
      <c r="D3607" t="s">
        <v>82</v>
      </c>
      <c r="E3607">
        <v>7.9</v>
      </c>
      <c r="F3607">
        <v>8.87</v>
      </c>
      <c r="G3607" s="2" t="s">
        <v>64</v>
      </c>
      <c r="H3607" s="2">
        <v>0.0</v>
      </c>
      <c r="I3607" s="2">
        <v>0.0</v>
      </c>
      <c r="J3607" s="37">
        <v>0.0</v>
      </c>
      <c r="K3607" s="2">
        <v>0.0</v>
      </c>
      <c r="L3607" s="2">
        <v>0.0</v>
      </c>
      <c r="M3607" s="37">
        <v>0.0</v>
      </c>
    </row>
    <row r="3608" ht="14.25" customHeight="1">
      <c r="A3608" t="s">
        <v>3669</v>
      </c>
      <c r="B3608" t="s">
        <v>3627</v>
      </c>
      <c r="C3608" t="s">
        <v>75</v>
      </c>
      <c r="D3608" t="s">
        <v>82</v>
      </c>
      <c r="E3608">
        <v>11.9</v>
      </c>
      <c r="F3608">
        <v>11.92</v>
      </c>
      <c r="G3608" s="2" t="s">
        <v>64</v>
      </c>
      <c r="H3608" s="2">
        <v>0.0</v>
      </c>
      <c r="I3608" s="2">
        <v>0.0</v>
      </c>
      <c r="J3608" s="37">
        <v>0.0</v>
      </c>
      <c r="K3608" s="2">
        <v>0.0</v>
      </c>
      <c r="L3608" s="2">
        <v>0.0</v>
      </c>
      <c r="M3608" s="37">
        <v>0.0</v>
      </c>
    </row>
    <row r="3609" ht="14.25" customHeight="1">
      <c r="A3609" t="s">
        <v>3670</v>
      </c>
      <c r="B3609" t="s">
        <v>3627</v>
      </c>
      <c r="C3609" t="s">
        <v>75</v>
      </c>
      <c r="D3609" t="s">
        <v>82</v>
      </c>
      <c r="E3609">
        <v>35.21</v>
      </c>
      <c r="F3609">
        <v>35.43</v>
      </c>
      <c r="G3609" s="2" t="s">
        <v>64</v>
      </c>
      <c r="H3609" s="2">
        <v>0.0</v>
      </c>
      <c r="I3609" s="2">
        <v>0.0</v>
      </c>
      <c r="J3609" s="37">
        <v>0.0</v>
      </c>
      <c r="K3609" s="2">
        <v>0.0</v>
      </c>
      <c r="L3609" s="2">
        <v>0.0</v>
      </c>
      <c r="M3609" s="37">
        <v>0.0</v>
      </c>
    </row>
    <row r="3610" ht="14.25" customHeight="1">
      <c r="A3610" t="s">
        <v>3671</v>
      </c>
      <c r="B3610" t="s">
        <v>3627</v>
      </c>
      <c r="C3610" t="s">
        <v>75</v>
      </c>
      <c r="D3610" t="s">
        <v>82</v>
      </c>
      <c r="E3610">
        <v>5.78</v>
      </c>
      <c r="F3610">
        <v>5.42</v>
      </c>
      <c r="G3610" s="2" t="s">
        <v>64</v>
      </c>
      <c r="H3610" s="2">
        <v>0.0</v>
      </c>
      <c r="I3610" s="2">
        <v>0.0</v>
      </c>
      <c r="J3610" s="37">
        <v>0.0</v>
      </c>
      <c r="K3610" s="2">
        <v>0.0</v>
      </c>
      <c r="L3610" s="2">
        <v>0.0</v>
      </c>
      <c r="M3610" s="37">
        <v>0.0</v>
      </c>
    </row>
    <row r="3611" ht="14.25" customHeight="1">
      <c r="A3611" t="s">
        <v>3672</v>
      </c>
      <c r="B3611" t="s">
        <v>3627</v>
      </c>
      <c r="C3611" t="s">
        <v>75</v>
      </c>
      <c r="D3611" t="s">
        <v>82</v>
      </c>
      <c r="E3611">
        <v>3.37</v>
      </c>
      <c r="F3611">
        <v>3.63</v>
      </c>
      <c r="G3611" s="2" t="s">
        <v>64</v>
      </c>
      <c r="H3611" s="2">
        <v>0.0</v>
      </c>
      <c r="I3611" s="2">
        <v>0.0</v>
      </c>
      <c r="J3611" s="37">
        <v>0.0</v>
      </c>
      <c r="K3611" s="2">
        <v>0.0</v>
      </c>
      <c r="L3611" s="2">
        <v>0.0</v>
      </c>
      <c r="M3611" s="37">
        <v>0.0</v>
      </c>
    </row>
    <row r="3612" ht="14.25" customHeight="1">
      <c r="A3612" t="s">
        <v>3673</v>
      </c>
      <c r="B3612" t="s">
        <v>3627</v>
      </c>
      <c r="C3612" t="s">
        <v>75</v>
      </c>
      <c r="D3612" t="s">
        <v>82</v>
      </c>
      <c r="E3612">
        <v>4.27</v>
      </c>
      <c r="F3612">
        <v>4.58</v>
      </c>
      <c r="G3612" s="2" t="s">
        <v>64</v>
      </c>
      <c r="H3612" s="2">
        <v>0.0</v>
      </c>
      <c r="I3612" s="2">
        <v>0.0</v>
      </c>
      <c r="J3612" s="37">
        <v>0.0</v>
      </c>
      <c r="K3612" s="2">
        <v>0.0</v>
      </c>
      <c r="L3612" s="2">
        <v>0.0</v>
      </c>
      <c r="M3612" s="37">
        <v>0.0</v>
      </c>
    </row>
    <row r="3613" ht="14.25" customHeight="1">
      <c r="A3613" t="s">
        <v>3674</v>
      </c>
      <c r="B3613" t="s">
        <v>3675</v>
      </c>
      <c r="C3613" t="s">
        <v>62</v>
      </c>
      <c r="D3613" t="s">
        <v>63</v>
      </c>
      <c r="E3613">
        <v>4.9</v>
      </c>
      <c r="F3613">
        <v>5.8</v>
      </c>
      <c r="G3613" s="2" t="s">
        <v>64</v>
      </c>
      <c r="H3613" s="2">
        <v>0.0</v>
      </c>
      <c r="I3613" s="2">
        <v>0.0</v>
      </c>
      <c r="J3613" s="37">
        <v>0.0</v>
      </c>
      <c r="K3613" s="2">
        <v>0.0</v>
      </c>
      <c r="L3613" s="2">
        <v>0.0</v>
      </c>
      <c r="M3613" s="37">
        <v>0.0</v>
      </c>
    </row>
    <row r="3614" ht="14.25" customHeight="1">
      <c r="A3614" t="s">
        <v>3676</v>
      </c>
      <c r="B3614" t="s">
        <v>3675</v>
      </c>
      <c r="C3614" t="s">
        <v>62</v>
      </c>
      <c r="D3614" t="s">
        <v>63</v>
      </c>
      <c r="E3614">
        <v>2.4</v>
      </c>
      <c r="F3614">
        <v>3.2</v>
      </c>
      <c r="G3614" s="2" t="s">
        <v>64</v>
      </c>
      <c r="H3614" s="2">
        <v>0.0</v>
      </c>
      <c r="I3614" s="2">
        <v>0.0</v>
      </c>
      <c r="J3614" s="37">
        <v>0.0</v>
      </c>
      <c r="K3614" s="2">
        <v>0.0</v>
      </c>
      <c r="L3614" s="2">
        <v>0.0</v>
      </c>
      <c r="M3614" s="37">
        <v>0.0</v>
      </c>
    </row>
    <row r="3615" ht="14.25" customHeight="1">
      <c r="A3615" t="s">
        <v>3677</v>
      </c>
      <c r="B3615" t="s">
        <v>3675</v>
      </c>
      <c r="C3615" t="s">
        <v>62</v>
      </c>
      <c r="D3615" t="s">
        <v>63</v>
      </c>
      <c r="E3615">
        <v>4.7</v>
      </c>
      <c r="F3615">
        <v>5.6</v>
      </c>
      <c r="G3615" s="2" t="s">
        <v>64</v>
      </c>
      <c r="H3615" s="2">
        <v>0.0</v>
      </c>
      <c r="I3615" s="2">
        <v>0.0</v>
      </c>
      <c r="J3615" s="37">
        <v>0.0</v>
      </c>
      <c r="K3615" s="2">
        <v>0.0</v>
      </c>
      <c r="L3615" s="2">
        <v>0.0</v>
      </c>
      <c r="M3615" s="37">
        <v>0.0</v>
      </c>
    </row>
    <row r="3616" ht="14.25" customHeight="1">
      <c r="A3616" t="s">
        <v>3678</v>
      </c>
      <c r="B3616" t="s">
        <v>3675</v>
      </c>
      <c r="C3616" t="s">
        <v>62</v>
      </c>
      <c r="D3616" t="s">
        <v>63</v>
      </c>
      <c r="E3616">
        <v>2.0</v>
      </c>
      <c r="F3616">
        <v>2.5</v>
      </c>
      <c r="G3616" s="2" t="s">
        <v>64</v>
      </c>
      <c r="H3616" s="2">
        <v>0.0</v>
      </c>
      <c r="I3616" s="2">
        <v>0.0</v>
      </c>
      <c r="J3616" s="37">
        <v>0.0</v>
      </c>
      <c r="K3616" s="2">
        <v>0.0</v>
      </c>
      <c r="L3616" s="2">
        <v>0.0</v>
      </c>
      <c r="M3616" s="37">
        <v>0.0</v>
      </c>
    </row>
    <row r="3617" ht="14.25" customHeight="1">
      <c r="A3617" t="s">
        <v>3679</v>
      </c>
      <c r="B3617" t="s">
        <v>3675</v>
      </c>
      <c r="C3617" t="s">
        <v>62</v>
      </c>
      <c r="D3617" t="s">
        <v>63</v>
      </c>
      <c r="E3617">
        <v>2.5</v>
      </c>
      <c r="F3617">
        <v>3.2</v>
      </c>
      <c r="G3617" s="2" t="s">
        <v>67</v>
      </c>
      <c r="H3617" s="2">
        <v>14.0</v>
      </c>
      <c r="I3617" s="2">
        <v>68.0</v>
      </c>
      <c r="J3617" s="37">
        <v>402.84000000000003</v>
      </c>
      <c r="K3617" s="2">
        <v>16.0</v>
      </c>
      <c r="L3617" s="2">
        <v>106.0</v>
      </c>
      <c r="M3617" s="37">
        <v>497.16</v>
      </c>
    </row>
    <row r="3618" ht="14.25" customHeight="1">
      <c r="A3618" t="s">
        <v>3680</v>
      </c>
      <c r="B3618" t="s">
        <v>3675</v>
      </c>
      <c r="C3618" t="s">
        <v>62</v>
      </c>
      <c r="D3618" t="s">
        <v>63</v>
      </c>
      <c r="E3618">
        <v>3.5</v>
      </c>
      <c r="F3618">
        <v>3.7</v>
      </c>
      <c r="G3618" s="2" t="s">
        <v>64</v>
      </c>
      <c r="H3618" s="2">
        <v>0.0</v>
      </c>
      <c r="I3618" s="2">
        <v>0.0</v>
      </c>
      <c r="J3618" s="37">
        <v>0.0</v>
      </c>
      <c r="K3618" s="2">
        <v>0.0</v>
      </c>
      <c r="L3618" s="2">
        <v>0.0</v>
      </c>
      <c r="M3618" s="37">
        <v>0.0</v>
      </c>
    </row>
    <row r="3619" ht="14.25" customHeight="1">
      <c r="A3619" t="s">
        <v>3681</v>
      </c>
      <c r="B3619" t="s">
        <v>3675</v>
      </c>
      <c r="C3619" t="s">
        <v>62</v>
      </c>
      <c r="D3619" t="s">
        <v>63</v>
      </c>
      <c r="E3619">
        <v>4.2</v>
      </c>
      <c r="F3619">
        <v>5.4</v>
      </c>
      <c r="G3619" s="2" t="s">
        <v>64</v>
      </c>
      <c r="H3619" s="2">
        <v>0.0</v>
      </c>
      <c r="I3619" s="2">
        <v>0.0</v>
      </c>
      <c r="J3619" s="37">
        <v>0.0</v>
      </c>
      <c r="K3619" s="2">
        <v>0.0</v>
      </c>
      <c r="L3619" s="2">
        <v>0.0</v>
      </c>
      <c r="M3619" s="37">
        <v>0.0</v>
      </c>
    </row>
    <row r="3620" ht="14.25" customHeight="1">
      <c r="A3620" t="s">
        <v>3682</v>
      </c>
      <c r="B3620" t="s">
        <v>3675</v>
      </c>
      <c r="C3620" t="s">
        <v>62</v>
      </c>
      <c r="D3620" t="s">
        <v>63</v>
      </c>
      <c r="E3620">
        <v>4.8</v>
      </c>
      <c r="F3620">
        <v>5.8</v>
      </c>
      <c r="G3620" s="2" t="s">
        <v>67</v>
      </c>
      <c r="H3620" s="2">
        <v>29.0</v>
      </c>
      <c r="I3620" s="2">
        <v>185.0</v>
      </c>
      <c r="J3620" s="37">
        <v>891.84</v>
      </c>
      <c r="K3620" s="2">
        <v>33.0</v>
      </c>
      <c r="L3620" s="2">
        <v>268.0</v>
      </c>
      <c r="M3620" s="37">
        <v>1089.5800000000002</v>
      </c>
    </row>
    <row r="3621" ht="14.25" customHeight="1">
      <c r="A3621" t="s">
        <v>3683</v>
      </c>
      <c r="B3621" t="s">
        <v>3675</v>
      </c>
      <c r="C3621" t="s">
        <v>62</v>
      </c>
      <c r="D3621" t="s">
        <v>63</v>
      </c>
      <c r="E3621">
        <v>6.0</v>
      </c>
      <c r="F3621">
        <v>6.9</v>
      </c>
      <c r="G3621" s="2" t="s">
        <v>67</v>
      </c>
      <c r="H3621" s="2">
        <v>34.0</v>
      </c>
      <c r="I3621" s="2">
        <v>186.0</v>
      </c>
      <c r="J3621" s="37">
        <v>1005.44</v>
      </c>
      <c r="K3621" s="2">
        <v>39.0</v>
      </c>
      <c r="L3621" s="2">
        <v>290.0</v>
      </c>
      <c r="M3621" s="37">
        <v>1252.94</v>
      </c>
    </row>
    <row r="3622" ht="14.25" customHeight="1">
      <c r="A3622" t="s">
        <v>3684</v>
      </c>
      <c r="B3622" t="s">
        <v>3675</v>
      </c>
      <c r="C3622" t="s">
        <v>62</v>
      </c>
      <c r="D3622" t="s">
        <v>63</v>
      </c>
      <c r="E3622">
        <v>7.1</v>
      </c>
      <c r="F3622">
        <v>8.0</v>
      </c>
      <c r="G3622" s="2" t="s">
        <v>67</v>
      </c>
      <c r="H3622" s="2">
        <v>35.0</v>
      </c>
      <c r="I3622" s="2">
        <v>154.0</v>
      </c>
      <c r="J3622" s="37">
        <v>986.3000000000001</v>
      </c>
      <c r="K3622" s="2">
        <v>41.0</v>
      </c>
      <c r="L3622" s="2">
        <v>276.0</v>
      </c>
      <c r="M3622" s="37">
        <v>1279.66</v>
      </c>
    </row>
    <row r="3623" ht="14.25" customHeight="1">
      <c r="A3623" t="s">
        <v>3685</v>
      </c>
      <c r="B3623" t="s">
        <v>3675</v>
      </c>
      <c r="C3623" t="s">
        <v>75</v>
      </c>
      <c r="D3623" t="s">
        <v>63</v>
      </c>
      <c r="E3623">
        <v>5.0</v>
      </c>
      <c r="F3623">
        <v>5.3</v>
      </c>
      <c r="G3623" s="2" t="s">
        <v>64</v>
      </c>
      <c r="H3623" s="2">
        <v>0.0</v>
      </c>
      <c r="I3623" s="2">
        <v>0.0</v>
      </c>
      <c r="J3623" s="37">
        <v>0.0</v>
      </c>
      <c r="K3623" s="2">
        <v>0.0</v>
      </c>
      <c r="L3623" s="2">
        <v>0.0</v>
      </c>
      <c r="M3623" s="37">
        <v>0.0</v>
      </c>
    </row>
    <row r="3624" ht="14.25" customHeight="1">
      <c r="A3624" t="s">
        <v>3686</v>
      </c>
      <c r="B3624" t="s">
        <v>3675</v>
      </c>
      <c r="C3624" t="s">
        <v>75</v>
      </c>
      <c r="D3624" t="s">
        <v>63</v>
      </c>
      <c r="E3624">
        <v>6.7</v>
      </c>
      <c r="F3624">
        <v>7.7</v>
      </c>
      <c r="G3624" s="2" t="s">
        <v>64</v>
      </c>
      <c r="H3624" s="2">
        <v>0.0</v>
      </c>
      <c r="I3624" s="2">
        <v>0.0</v>
      </c>
      <c r="J3624" s="37">
        <v>0.0</v>
      </c>
      <c r="K3624" s="2">
        <v>0.0</v>
      </c>
      <c r="L3624" s="2">
        <v>0.0</v>
      </c>
      <c r="M3624" s="37">
        <v>0.0</v>
      </c>
    </row>
    <row r="3625" ht="14.25" customHeight="1">
      <c r="A3625" t="s">
        <v>3687</v>
      </c>
      <c r="B3625" t="s">
        <v>3675</v>
      </c>
      <c r="C3625" t="s">
        <v>75</v>
      </c>
      <c r="D3625" t="s">
        <v>63</v>
      </c>
      <c r="E3625">
        <v>9.5</v>
      </c>
      <c r="F3625">
        <v>11.2</v>
      </c>
      <c r="G3625" s="2" t="s">
        <v>64</v>
      </c>
      <c r="H3625" s="2">
        <v>0.0</v>
      </c>
      <c r="I3625" s="2">
        <v>0.0</v>
      </c>
      <c r="J3625" s="37">
        <v>0.0</v>
      </c>
      <c r="K3625" s="2">
        <v>0.0</v>
      </c>
      <c r="L3625" s="2">
        <v>0.0</v>
      </c>
      <c r="M3625" s="37">
        <v>0.0</v>
      </c>
    </row>
    <row r="3626" ht="14.25" customHeight="1">
      <c r="A3626" t="s">
        <v>3688</v>
      </c>
      <c r="B3626" t="s">
        <v>3675</v>
      </c>
      <c r="C3626" t="s">
        <v>75</v>
      </c>
      <c r="D3626" t="s">
        <v>63</v>
      </c>
      <c r="E3626">
        <v>11.0</v>
      </c>
      <c r="F3626">
        <v>13.0</v>
      </c>
      <c r="G3626" s="2" t="s">
        <v>64</v>
      </c>
      <c r="H3626" s="2">
        <v>0.0</v>
      </c>
      <c r="I3626" s="2">
        <v>0.0</v>
      </c>
      <c r="J3626" s="37">
        <v>0.0</v>
      </c>
      <c r="K3626" s="2">
        <v>0.0</v>
      </c>
      <c r="L3626" s="2">
        <v>0.0</v>
      </c>
      <c r="M3626" s="37">
        <v>0.0</v>
      </c>
    </row>
    <row r="3627" ht="14.25" customHeight="1">
      <c r="A3627" t="s">
        <v>3689</v>
      </c>
      <c r="B3627" t="s">
        <v>3675</v>
      </c>
      <c r="C3627" t="s">
        <v>62</v>
      </c>
      <c r="D3627" t="s">
        <v>63</v>
      </c>
      <c r="E3627">
        <v>5.0</v>
      </c>
      <c r="F3627">
        <v>5.3</v>
      </c>
      <c r="G3627" s="2" t="s">
        <v>64</v>
      </c>
      <c r="H3627" s="2">
        <v>0.0</v>
      </c>
      <c r="I3627" s="2">
        <v>0.0</v>
      </c>
      <c r="J3627" s="37">
        <v>0.0</v>
      </c>
      <c r="K3627" s="2">
        <v>0.0</v>
      </c>
      <c r="L3627" s="2">
        <v>0.0</v>
      </c>
      <c r="M3627" s="37">
        <v>0.0</v>
      </c>
    </row>
    <row r="3628" ht="14.25" customHeight="1">
      <c r="A3628" t="s">
        <v>3690</v>
      </c>
      <c r="B3628" t="s">
        <v>3675</v>
      </c>
      <c r="C3628" t="s">
        <v>62</v>
      </c>
      <c r="D3628" t="s">
        <v>63</v>
      </c>
      <c r="E3628">
        <v>6.7</v>
      </c>
      <c r="F3628">
        <v>7.7</v>
      </c>
      <c r="G3628" s="2" t="s">
        <v>64</v>
      </c>
      <c r="H3628" s="2">
        <v>0.0</v>
      </c>
      <c r="I3628" s="2">
        <v>0.0</v>
      </c>
      <c r="J3628" s="37">
        <v>0.0</v>
      </c>
      <c r="K3628" s="2">
        <v>0.0</v>
      </c>
      <c r="L3628" s="2">
        <v>0.0</v>
      </c>
      <c r="M3628" s="37">
        <v>0.0</v>
      </c>
    </row>
    <row r="3629" ht="14.25" customHeight="1">
      <c r="A3629" t="s">
        <v>3691</v>
      </c>
      <c r="B3629" t="s">
        <v>3675</v>
      </c>
      <c r="C3629" t="s">
        <v>62</v>
      </c>
      <c r="D3629" t="s">
        <v>63</v>
      </c>
      <c r="E3629">
        <v>9.5</v>
      </c>
      <c r="F3629">
        <v>11.2</v>
      </c>
      <c r="G3629" s="2" t="s">
        <v>64</v>
      </c>
      <c r="H3629" s="2">
        <v>0.0</v>
      </c>
      <c r="I3629" s="2">
        <v>0.0</v>
      </c>
      <c r="J3629" s="37">
        <v>0.0</v>
      </c>
      <c r="K3629" s="2">
        <v>0.0</v>
      </c>
      <c r="L3629" s="2">
        <v>0.0</v>
      </c>
      <c r="M3629" s="37">
        <v>0.0</v>
      </c>
    </row>
    <row r="3630" ht="14.25" customHeight="1">
      <c r="A3630" t="s">
        <v>3692</v>
      </c>
      <c r="B3630" t="s">
        <v>3675</v>
      </c>
      <c r="C3630" t="s">
        <v>62</v>
      </c>
      <c r="D3630" t="s">
        <v>63</v>
      </c>
      <c r="E3630">
        <v>11.0</v>
      </c>
      <c r="F3630">
        <v>13.0</v>
      </c>
      <c r="G3630" s="2" t="s">
        <v>64</v>
      </c>
      <c r="H3630" s="2">
        <v>0.0</v>
      </c>
      <c r="I3630" s="2">
        <v>0.0</v>
      </c>
      <c r="J3630" s="37">
        <v>0.0</v>
      </c>
      <c r="K3630" s="2">
        <v>0.0</v>
      </c>
      <c r="L3630" s="2">
        <v>0.0</v>
      </c>
      <c r="M3630" s="37">
        <v>0.0</v>
      </c>
    </row>
    <row r="3631" ht="14.25" customHeight="1">
      <c r="A3631" t="s">
        <v>3693</v>
      </c>
      <c r="B3631" t="s">
        <v>3675</v>
      </c>
      <c r="C3631" t="s">
        <v>62</v>
      </c>
      <c r="D3631" t="s">
        <v>63</v>
      </c>
      <c r="E3631">
        <v>2.5</v>
      </c>
      <c r="F3631">
        <v>3.4</v>
      </c>
      <c r="G3631" s="2" t="s">
        <v>64</v>
      </c>
      <c r="H3631" s="2">
        <v>0.0</v>
      </c>
      <c r="I3631" s="2">
        <v>0.0</v>
      </c>
      <c r="J3631" s="37">
        <v>0.0</v>
      </c>
      <c r="K3631" s="2">
        <v>0.0</v>
      </c>
      <c r="L3631" s="2">
        <v>0.0</v>
      </c>
      <c r="M3631" s="37">
        <v>0.0</v>
      </c>
    </row>
    <row r="3632" ht="14.25" customHeight="1">
      <c r="A3632" t="s">
        <v>3694</v>
      </c>
      <c r="B3632" t="s">
        <v>3675</v>
      </c>
      <c r="C3632" t="s">
        <v>62</v>
      </c>
      <c r="D3632" t="s">
        <v>63</v>
      </c>
      <c r="E3632">
        <v>3.6</v>
      </c>
      <c r="F3632">
        <v>4.0</v>
      </c>
      <c r="G3632" s="2" t="s">
        <v>64</v>
      </c>
      <c r="H3632" s="2">
        <v>0.0</v>
      </c>
      <c r="I3632" s="2">
        <v>0.0</v>
      </c>
      <c r="J3632" s="37">
        <v>0.0</v>
      </c>
      <c r="K3632" s="2">
        <v>0.0</v>
      </c>
      <c r="L3632" s="2">
        <v>0.0</v>
      </c>
      <c r="M3632" s="37">
        <v>0.0</v>
      </c>
    </row>
    <row r="3633" ht="14.25" customHeight="1">
      <c r="A3633" t="s">
        <v>3695</v>
      </c>
      <c r="B3633" t="s">
        <v>3675</v>
      </c>
      <c r="C3633" t="s">
        <v>62</v>
      </c>
      <c r="D3633" t="s">
        <v>63</v>
      </c>
      <c r="E3633">
        <v>5.0</v>
      </c>
      <c r="F3633">
        <v>5.3</v>
      </c>
      <c r="G3633" s="2" t="s">
        <v>64</v>
      </c>
      <c r="H3633" s="2">
        <v>0.0</v>
      </c>
      <c r="I3633" s="2">
        <v>0.0</v>
      </c>
      <c r="J3633" s="37">
        <v>0.0</v>
      </c>
      <c r="K3633" s="2">
        <v>0.0</v>
      </c>
      <c r="L3633" s="2">
        <v>0.0</v>
      </c>
      <c r="M3633" s="37">
        <v>0.0</v>
      </c>
    </row>
    <row r="3634" ht="14.25" customHeight="1">
      <c r="A3634" t="s">
        <v>3696</v>
      </c>
      <c r="B3634" t="s">
        <v>3675</v>
      </c>
      <c r="C3634" t="s">
        <v>62</v>
      </c>
      <c r="D3634" t="s">
        <v>63</v>
      </c>
      <c r="E3634">
        <v>6.7</v>
      </c>
      <c r="F3634">
        <v>7.7</v>
      </c>
      <c r="G3634" s="2" t="s">
        <v>64</v>
      </c>
      <c r="H3634" s="2">
        <v>0.0</v>
      </c>
      <c r="I3634" s="2">
        <v>0.0</v>
      </c>
      <c r="J3634" s="37">
        <v>0.0</v>
      </c>
      <c r="K3634" s="2">
        <v>0.0</v>
      </c>
      <c r="L3634" s="2">
        <v>0.0</v>
      </c>
      <c r="M3634" s="37">
        <v>0.0</v>
      </c>
    </row>
    <row r="3635" ht="14.25" customHeight="1">
      <c r="A3635" t="s">
        <v>3697</v>
      </c>
      <c r="B3635" t="s">
        <v>3675</v>
      </c>
      <c r="C3635" t="s">
        <v>62</v>
      </c>
      <c r="D3635" t="s">
        <v>63</v>
      </c>
      <c r="E3635">
        <v>3.6</v>
      </c>
      <c r="F3635">
        <v>4.0</v>
      </c>
      <c r="G3635" s="2" t="s">
        <v>64</v>
      </c>
      <c r="H3635" s="2">
        <v>0.0</v>
      </c>
      <c r="I3635" s="2">
        <v>0.0</v>
      </c>
      <c r="J3635" s="37">
        <v>0.0</v>
      </c>
      <c r="K3635" s="2">
        <v>0.0</v>
      </c>
      <c r="L3635" s="2">
        <v>0.0</v>
      </c>
      <c r="M3635" s="37">
        <v>0.0</v>
      </c>
    </row>
    <row r="3636" ht="14.25" customHeight="1">
      <c r="A3636" t="s">
        <v>3698</v>
      </c>
      <c r="B3636" t="s">
        <v>3675</v>
      </c>
      <c r="C3636" t="s">
        <v>62</v>
      </c>
      <c r="D3636" t="s">
        <v>63</v>
      </c>
      <c r="E3636">
        <v>5.0</v>
      </c>
      <c r="F3636">
        <v>5.3</v>
      </c>
      <c r="G3636" s="2" t="s">
        <v>64</v>
      </c>
      <c r="H3636" s="2">
        <v>0.0</v>
      </c>
      <c r="I3636" s="2">
        <v>0.0</v>
      </c>
      <c r="J3636" s="37">
        <v>0.0</v>
      </c>
      <c r="K3636" s="2">
        <v>0.0</v>
      </c>
      <c r="L3636" s="2">
        <v>0.0</v>
      </c>
      <c r="M3636" s="37">
        <v>0.0</v>
      </c>
    </row>
    <row r="3637" ht="14.25" customHeight="1">
      <c r="A3637" t="s">
        <v>3699</v>
      </c>
      <c r="B3637" t="s">
        <v>3675</v>
      </c>
      <c r="C3637" t="s">
        <v>62</v>
      </c>
      <c r="D3637" t="s">
        <v>63</v>
      </c>
      <c r="E3637">
        <v>6.7</v>
      </c>
      <c r="F3637">
        <v>7.7</v>
      </c>
      <c r="G3637" s="2" t="s">
        <v>64</v>
      </c>
      <c r="H3637" s="2">
        <v>0.0</v>
      </c>
      <c r="I3637" s="2">
        <v>0.0</v>
      </c>
      <c r="J3637" s="37">
        <v>0.0</v>
      </c>
      <c r="K3637" s="2">
        <v>0.0</v>
      </c>
      <c r="L3637" s="2">
        <v>0.0</v>
      </c>
      <c r="M3637" s="37">
        <v>0.0</v>
      </c>
    </row>
    <row r="3638" ht="14.25" customHeight="1">
      <c r="A3638" t="s">
        <v>3700</v>
      </c>
      <c r="B3638" t="s">
        <v>3675</v>
      </c>
      <c r="C3638" t="s">
        <v>62</v>
      </c>
      <c r="D3638" t="s">
        <v>63</v>
      </c>
      <c r="E3638">
        <v>9.5</v>
      </c>
      <c r="F3638">
        <v>11.2</v>
      </c>
      <c r="G3638" s="2" t="s">
        <v>64</v>
      </c>
      <c r="H3638" s="2">
        <v>0.0</v>
      </c>
      <c r="I3638" s="2">
        <v>0.0</v>
      </c>
      <c r="J3638" s="37">
        <v>0.0</v>
      </c>
      <c r="K3638" s="2">
        <v>0.0</v>
      </c>
      <c r="L3638" s="2">
        <v>0.0</v>
      </c>
      <c r="M3638" s="37">
        <v>0.0</v>
      </c>
    </row>
    <row r="3639" ht="14.25" customHeight="1">
      <c r="A3639" t="s">
        <v>3701</v>
      </c>
      <c r="B3639" t="s">
        <v>3675</v>
      </c>
      <c r="C3639" t="s">
        <v>62</v>
      </c>
      <c r="D3639" t="s">
        <v>63</v>
      </c>
      <c r="E3639">
        <v>11.0</v>
      </c>
      <c r="F3639">
        <v>13.0</v>
      </c>
      <c r="G3639" s="2" t="s">
        <v>64</v>
      </c>
      <c r="H3639" s="2">
        <v>0.0</v>
      </c>
      <c r="I3639" s="2">
        <v>0.0</v>
      </c>
      <c r="J3639" s="37">
        <v>0.0</v>
      </c>
      <c r="K3639" s="2">
        <v>0.0</v>
      </c>
      <c r="L3639" s="2">
        <v>0.0</v>
      </c>
      <c r="M3639" s="37">
        <v>0.0</v>
      </c>
    </row>
    <row r="3640" ht="14.25" customHeight="1">
      <c r="A3640" t="s">
        <v>3702</v>
      </c>
      <c r="B3640" t="s">
        <v>3675</v>
      </c>
      <c r="C3640" t="s">
        <v>62</v>
      </c>
      <c r="D3640" t="s">
        <v>63</v>
      </c>
      <c r="E3640">
        <v>2.5</v>
      </c>
      <c r="F3640">
        <v>3.4</v>
      </c>
      <c r="G3640" s="2" t="s">
        <v>64</v>
      </c>
      <c r="H3640" s="2">
        <v>0.0</v>
      </c>
      <c r="I3640" s="2">
        <v>0.0</v>
      </c>
      <c r="J3640" s="37">
        <v>0.0</v>
      </c>
      <c r="K3640" s="2">
        <v>0.0</v>
      </c>
      <c r="L3640" s="2">
        <v>0.0</v>
      </c>
      <c r="M3640" s="37">
        <v>0.0</v>
      </c>
    </row>
    <row r="3641" ht="14.25" customHeight="1">
      <c r="A3641" t="s">
        <v>3703</v>
      </c>
      <c r="B3641" t="s">
        <v>3675</v>
      </c>
      <c r="C3641" t="s">
        <v>62</v>
      </c>
      <c r="D3641" t="s">
        <v>63</v>
      </c>
      <c r="E3641">
        <v>3.6</v>
      </c>
      <c r="F3641">
        <v>4.0</v>
      </c>
      <c r="G3641" s="2" t="s">
        <v>64</v>
      </c>
      <c r="H3641" s="2">
        <v>0.0</v>
      </c>
      <c r="I3641" s="2">
        <v>0.0</v>
      </c>
      <c r="J3641" s="37">
        <v>0.0</v>
      </c>
      <c r="K3641" s="2">
        <v>0.0</v>
      </c>
      <c r="L3641" s="2">
        <v>0.0</v>
      </c>
      <c r="M3641" s="37">
        <v>0.0</v>
      </c>
    </row>
    <row r="3642" ht="14.25" customHeight="1">
      <c r="A3642" t="s">
        <v>3704</v>
      </c>
      <c r="B3642" t="s">
        <v>3675</v>
      </c>
      <c r="C3642" t="s">
        <v>62</v>
      </c>
      <c r="D3642" t="s">
        <v>63</v>
      </c>
      <c r="E3642">
        <v>5.0</v>
      </c>
      <c r="F3642">
        <v>5.3</v>
      </c>
      <c r="G3642" s="2" t="s">
        <v>64</v>
      </c>
      <c r="H3642" s="2">
        <v>0.0</v>
      </c>
      <c r="I3642" s="2">
        <v>0.0</v>
      </c>
      <c r="J3642" s="37">
        <v>0.0</v>
      </c>
      <c r="K3642" s="2">
        <v>0.0</v>
      </c>
      <c r="L3642" s="2">
        <v>0.0</v>
      </c>
      <c r="M3642" s="37">
        <v>0.0</v>
      </c>
    </row>
    <row r="3643" ht="14.25" customHeight="1">
      <c r="A3643" t="s">
        <v>3705</v>
      </c>
      <c r="B3643" t="s">
        <v>3675</v>
      </c>
      <c r="C3643" t="s">
        <v>75</v>
      </c>
      <c r="D3643" t="s">
        <v>63</v>
      </c>
      <c r="E3643">
        <v>2.5</v>
      </c>
      <c r="F3643">
        <v>3.4</v>
      </c>
      <c r="G3643" s="2" t="s">
        <v>64</v>
      </c>
      <c r="H3643" s="2">
        <v>0.0</v>
      </c>
      <c r="I3643" s="2">
        <v>0.0</v>
      </c>
      <c r="J3643" s="37">
        <v>0.0</v>
      </c>
      <c r="K3643" s="2">
        <v>0.0</v>
      </c>
      <c r="L3643" s="2">
        <v>0.0</v>
      </c>
      <c r="M3643" s="37">
        <v>0.0</v>
      </c>
    </row>
    <row r="3644" ht="14.25" customHeight="1">
      <c r="A3644" t="s">
        <v>3706</v>
      </c>
      <c r="B3644" t="s">
        <v>3675</v>
      </c>
      <c r="C3644" t="s">
        <v>75</v>
      </c>
      <c r="D3644" t="s">
        <v>63</v>
      </c>
      <c r="E3644">
        <v>3.6</v>
      </c>
      <c r="F3644">
        <v>4.0</v>
      </c>
      <c r="G3644" s="2" t="s">
        <v>67</v>
      </c>
      <c r="H3644" s="2">
        <v>19.0</v>
      </c>
      <c r="I3644" s="2">
        <v>129.0</v>
      </c>
      <c r="J3644" s="37">
        <v>594.44</v>
      </c>
      <c r="K3644" s="2">
        <v>23.0</v>
      </c>
      <c r="L3644" s="2">
        <v>199.0</v>
      </c>
      <c r="M3644" s="37">
        <v>775.28</v>
      </c>
    </row>
    <row r="3645" ht="14.25" customHeight="1">
      <c r="A3645" t="s">
        <v>3707</v>
      </c>
      <c r="B3645" t="s">
        <v>3675</v>
      </c>
      <c r="C3645" t="s">
        <v>75</v>
      </c>
      <c r="D3645" t="s">
        <v>63</v>
      </c>
      <c r="E3645">
        <v>5.0</v>
      </c>
      <c r="F3645">
        <v>5.3</v>
      </c>
      <c r="G3645" s="2" t="s">
        <v>64</v>
      </c>
      <c r="H3645" s="2">
        <v>0.0</v>
      </c>
      <c r="I3645" s="2">
        <v>0.0</v>
      </c>
      <c r="J3645" s="37">
        <v>0.0</v>
      </c>
      <c r="K3645" s="2">
        <v>0.0</v>
      </c>
      <c r="L3645" s="2">
        <v>0.0</v>
      </c>
      <c r="M3645" s="37">
        <v>0.0</v>
      </c>
    </row>
    <row r="3646" ht="14.25" customHeight="1">
      <c r="A3646" t="s">
        <v>3708</v>
      </c>
      <c r="B3646" t="s">
        <v>3675</v>
      </c>
      <c r="C3646" t="s">
        <v>62</v>
      </c>
      <c r="D3646" t="s">
        <v>63</v>
      </c>
      <c r="E3646">
        <v>5.0</v>
      </c>
      <c r="F3646">
        <v>5.6</v>
      </c>
      <c r="G3646" s="2" t="s">
        <v>67</v>
      </c>
      <c r="H3646" s="2">
        <v>27.0</v>
      </c>
      <c r="I3646" s="2">
        <v>186.0</v>
      </c>
      <c r="J3646" s="37">
        <v>848.22</v>
      </c>
      <c r="K3646" s="2">
        <v>32.0</v>
      </c>
      <c r="L3646" s="2">
        <v>272.0</v>
      </c>
      <c r="M3646" s="37">
        <v>1072.3200000000002</v>
      </c>
    </row>
    <row r="3647" ht="14.25" customHeight="1">
      <c r="A3647" t="s">
        <v>3709</v>
      </c>
      <c r="B3647" t="s">
        <v>3675</v>
      </c>
      <c r="C3647" t="s">
        <v>62</v>
      </c>
      <c r="D3647" t="s">
        <v>63</v>
      </c>
      <c r="E3647">
        <v>7.1</v>
      </c>
      <c r="F3647">
        <v>8.0</v>
      </c>
      <c r="G3647" s="2" t="s">
        <v>67</v>
      </c>
      <c r="H3647" s="2">
        <v>42.0</v>
      </c>
      <c r="I3647" s="2">
        <v>350.0</v>
      </c>
      <c r="J3647" s="37">
        <v>1398.3200000000002</v>
      </c>
      <c r="K3647" s="2">
        <v>48.0</v>
      </c>
      <c r="L3647" s="2">
        <v>472.0</v>
      </c>
      <c r="M3647" s="37">
        <v>1691.6799999999998</v>
      </c>
    </row>
    <row r="3648" ht="14.25" customHeight="1">
      <c r="A3648" t="s">
        <v>3710</v>
      </c>
      <c r="B3648" t="s">
        <v>3675</v>
      </c>
      <c r="C3648" t="s">
        <v>62</v>
      </c>
      <c r="D3648" t="s">
        <v>63</v>
      </c>
      <c r="E3648">
        <v>10.0</v>
      </c>
      <c r="F3648">
        <v>11.2</v>
      </c>
      <c r="G3648" s="2" t="s">
        <v>67</v>
      </c>
      <c r="H3648" s="2">
        <v>66.0</v>
      </c>
      <c r="I3648" s="2">
        <v>614.0</v>
      </c>
      <c r="J3648" s="37">
        <v>2280.5600000000004</v>
      </c>
      <c r="K3648" s="2">
        <v>76.0</v>
      </c>
      <c r="L3648" s="2">
        <v>808.0</v>
      </c>
      <c r="M3648" s="37">
        <v>2757.36</v>
      </c>
    </row>
    <row r="3649" ht="14.25" customHeight="1">
      <c r="A3649" t="s">
        <v>3711</v>
      </c>
      <c r="B3649" t="s">
        <v>3675</v>
      </c>
      <c r="C3649" t="s">
        <v>62</v>
      </c>
      <c r="D3649" t="s">
        <v>63</v>
      </c>
      <c r="E3649">
        <v>12.5</v>
      </c>
      <c r="F3649">
        <v>14.0</v>
      </c>
      <c r="G3649" s="2" t="s">
        <v>67</v>
      </c>
      <c r="H3649" s="2">
        <v>75.0</v>
      </c>
      <c r="I3649" s="2">
        <v>489.0</v>
      </c>
      <c r="J3649" s="37">
        <v>2320.2</v>
      </c>
      <c r="K3649" s="2">
        <v>87.0</v>
      </c>
      <c r="L3649" s="2">
        <v>731.0</v>
      </c>
      <c r="M3649" s="37">
        <v>2904.32</v>
      </c>
    </row>
    <row r="3650" ht="14.25" customHeight="1">
      <c r="A3650" t="s">
        <v>3712</v>
      </c>
      <c r="B3650" t="s">
        <v>3675</v>
      </c>
      <c r="C3650" t="s">
        <v>62</v>
      </c>
      <c r="D3650" t="s">
        <v>3713</v>
      </c>
      <c r="E3650">
        <v>10.0</v>
      </c>
      <c r="F3650">
        <v>11.2</v>
      </c>
      <c r="G3650" s="2" t="s">
        <v>67</v>
      </c>
      <c r="H3650" s="2">
        <v>66.0</v>
      </c>
      <c r="I3650" s="2">
        <v>614.0</v>
      </c>
      <c r="J3650" s="37">
        <v>2280.5600000000004</v>
      </c>
      <c r="K3650" s="2">
        <v>76.0</v>
      </c>
      <c r="L3650" s="2">
        <v>808.0</v>
      </c>
      <c r="M3650" s="37">
        <v>2757.36</v>
      </c>
    </row>
    <row r="3651" ht="14.25" customHeight="1">
      <c r="A3651" t="s">
        <v>3714</v>
      </c>
      <c r="B3651" t="s">
        <v>3675</v>
      </c>
      <c r="C3651" t="s">
        <v>62</v>
      </c>
      <c r="D3651" t="s">
        <v>3713</v>
      </c>
      <c r="E3651">
        <v>12.5</v>
      </c>
      <c r="F3651">
        <v>14.0</v>
      </c>
      <c r="G3651" s="2" t="s">
        <v>67</v>
      </c>
      <c r="H3651" s="2">
        <v>75.0</v>
      </c>
      <c r="I3651" s="2">
        <v>489.0</v>
      </c>
      <c r="J3651" s="37">
        <v>2320.2</v>
      </c>
      <c r="K3651" s="2">
        <v>87.0</v>
      </c>
      <c r="L3651" s="2">
        <v>731.0</v>
      </c>
      <c r="M3651" s="37">
        <v>2904.32</v>
      </c>
    </row>
    <row r="3652" ht="14.25" customHeight="1">
      <c r="A3652" t="s">
        <v>3715</v>
      </c>
      <c r="B3652" t="s">
        <v>3675</v>
      </c>
      <c r="C3652" t="s">
        <v>62</v>
      </c>
      <c r="D3652" t="s">
        <v>63</v>
      </c>
      <c r="E3652">
        <v>5.0</v>
      </c>
      <c r="F3652">
        <v>5.6</v>
      </c>
      <c r="G3652" s="2" t="s">
        <v>64</v>
      </c>
      <c r="H3652" s="2">
        <v>0.0</v>
      </c>
      <c r="I3652" s="2">
        <v>0.0</v>
      </c>
      <c r="J3652" s="37">
        <v>0.0</v>
      </c>
      <c r="K3652" s="2">
        <v>0.0</v>
      </c>
      <c r="L3652" s="2">
        <v>0.0</v>
      </c>
      <c r="M3652" s="37">
        <v>0.0</v>
      </c>
    </row>
    <row r="3653" ht="14.25" customHeight="1">
      <c r="A3653" t="s">
        <v>3716</v>
      </c>
      <c r="B3653" t="s">
        <v>3675</v>
      </c>
      <c r="C3653" t="s">
        <v>62</v>
      </c>
      <c r="D3653" t="s">
        <v>3713</v>
      </c>
      <c r="E3653">
        <v>7.1</v>
      </c>
      <c r="F3653">
        <v>8.0</v>
      </c>
      <c r="G3653" s="2" t="s">
        <v>67</v>
      </c>
      <c r="H3653" s="2">
        <v>40.0</v>
      </c>
      <c r="I3653" s="2">
        <v>266.0</v>
      </c>
      <c r="J3653" s="37">
        <v>1244.2</v>
      </c>
      <c r="K3653" s="2">
        <v>46.0</v>
      </c>
      <c r="L3653" s="2">
        <v>388.0</v>
      </c>
      <c r="M3653" s="37">
        <v>1537.5600000000002</v>
      </c>
    </row>
    <row r="3654" ht="14.25" customHeight="1">
      <c r="A3654" t="s">
        <v>3717</v>
      </c>
      <c r="B3654" t="s">
        <v>3675</v>
      </c>
      <c r="C3654" t="s">
        <v>62</v>
      </c>
      <c r="D3654" t="s">
        <v>3713</v>
      </c>
      <c r="E3654">
        <v>10.0</v>
      </c>
      <c r="F3654">
        <v>11.2</v>
      </c>
      <c r="G3654" s="2" t="s">
        <v>67</v>
      </c>
      <c r="H3654" s="2">
        <v>58.0</v>
      </c>
      <c r="I3654" s="2">
        <v>468.0</v>
      </c>
      <c r="J3654" s="37">
        <v>1911.08</v>
      </c>
      <c r="K3654" s="2">
        <v>68.0</v>
      </c>
      <c r="L3654" s="2">
        <v>662.0</v>
      </c>
      <c r="M3654" s="37">
        <v>2387.88</v>
      </c>
    </row>
    <row r="3655" ht="14.25" customHeight="1">
      <c r="A3655" t="s">
        <v>3718</v>
      </c>
      <c r="B3655" t="s">
        <v>3675</v>
      </c>
      <c r="C3655" t="s">
        <v>62</v>
      </c>
      <c r="D3655" t="s">
        <v>63</v>
      </c>
      <c r="E3655">
        <v>5.0</v>
      </c>
      <c r="F3655">
        <v>5.6</v>
      </c>
      <c r="G3655" s="2" t="s">
        <v>64</v>
      </c>
      <c r="H3655" s="2">
        <v>0.0</v>
      </c>
      <c r="I3655" s="2">
        <v>0.0</v>
      </c>
      <c r="J3655" s="37">
        <v>0.0</v>
      </c>
      <c r="K3655" s="2">
        <v>0.0</v>
      </c>
      <c r="L3655" s="2">
        <v>0.0</v>
      </c>
      <c r="M3655" s="37">
        <v>0.0</v>
      </c>
    </row>
    <row r="3656" ht="14.25" customHeight="1">
      <c r="A3656" t="s">
        <v>3719</v>
      </c>
      <c r="B3656" t="s">
        <v>3675</v>
      </c>
      <c r="C3656" t="s">
        <v>62</v>
      </c>
      <c r="D3656" t="s">
        <v>63</v>
      </c>
      <c r="E3656">
        <v>7.1</v>
      </c>
      <c r="F3656">
        <v>8.0</v>
      </c>
      <c r="G3656" s="2" t="s">
        <v>67</v>
      </c>
      <c r="H3656" s="2">
        <v>41.0</v>
      </c>
      <c r="I3656" s="2">
        <v>339.0</v>
      </c>
      <c r="J3656" s="37">
        <v>1361.56</v>
      </c>
      <c r="K3656" s="2">
        <v>47.0</v>
      </c>
      <c r="L3656" s="2">
        <v>461.0</v>
      </c>
      <c r="M3656" s="37">
        <v>1654.92</v>
      </c>
    </row>
    <row r="3657" ht="14.25" customHeight="1">
      <c r="A3657" t="s">
        <v>3720</v>
      </c>
      <c r="B3657" t="s">
        <v>3675</v>
      </c>
      <c r="C3657" t="s">
        <v>62</v>
      </c>
      <c r="D3657" t="s">
        <v>63</v>
      </c>
      <c r="E3657">
        <v>10.0</v>
      </c>
      <c r="F3657">
        <v>11.2</v>
      </c>
      <c r="G3657" s="2" t="s">
        <v>67</v>
      </c>
      <c r="H3657" s="2">
        <v>65.0</v>
      </c>
      <c r="I3657" s="2">
        <v>558.0</v>
      </c>
      <c r="J3657" s="37">
        <v>2185.3</v>
      </c>
      <c r="K3657" s="2">
        <v>75.0</v>
      </c>
      <c r="L3657" s="2">
        <v>752.0</v>
      </c>
      <c r="M3657" s="37">
        <v>2662.1</v>
      </c>
    </row>
    <row r="3658" ht="14.25" customHeight="1">
      <c r="A3658" t="s">
        <v>3721</v>
      </c>
      <c r="B3658" t="s">
        <v>3675</v>
      </c>
      <c r="C3658" t="s">
        <v>62</v>
      </c>
      <c r="D3658" t="s">
        <v>63</v>
      </c>
      <c r="E3658">
        <v>12.5</v>
      </c>
      <c r="F3658">
        <v>14.0</v>
      </c>
      <c r="G3658" s="2" t="s">
        <v>64</v>
      </c>
      <c r="H3658" s="2">
        <v>0.0</v>
      </c>
      <c r="I3658" s="2">
        <v>0.0</v>
      </c>
      <c r="J3658" s="37">
        <v>0.0</v>
      </c>
      <c r="K3658" s="2">
        <v>0.0</v>
      </c>
      <c r="L3658" s="2">
        <v>0.0</v>
      </c>
      <c r="M3658" s="37">
        <v>0.0</v>
      </c>
    </row>
    <row r="3659" ht="14.25" customHeight="1">
      <c r="A3659" t="s">
        <v>3722</v>
      </c>
      <c r="B3659" t="s">
        <v>3675</v>
      </c>
      <c r="C3659" t="s">
        <v>62</v>
      </c>
      <c r="D3659" t="s">
        <v>3713</v>
      </c>
      <c r="E3659">
        <v>7.1</v>
      </c>
      <c r="F3659">
        <v>8.0</v>
      </c>
      <c r="G3659" s="2" t="s">
        <v>67</v>
      </c>
      <c r="H3659" s="2">
        <v>41.0</v>
      </c>
      <c r="I3659" s="2">
        <v>339.0</v>
      </c>
      <c r="J3659" s="37">
        <v>1361.56</v>
      </c>
      <c r="K3659" s="2">
        <v>47.0</v>
      </c>
      <c r="L3659" s="2">
        <v>461.0</v>
      </c>
      <c r="M3659" s="37">
        <v>1654.92</v>
      </c>
    </row>
    <row r="3660" ht="14.25" customHeight="1">
      <c r="A3660" t="s">
        <v>3723</v>
      </c>
      <c r="B3660" t="s">
        <v>3675</v>
      </c>
      <c r="C3660" t="s">
        <v>62</v>
      </c>
      <c r="D3660" t="s">
        <v>3713</v>
      </c>
      <c r="E3660">
        <v>10.0</v>
      </c>
      <c r="F3660">
        <v>11.2</v>
      </c>
      <c r="G3660" s="2" t="s">
        <v>67</v>
      </c>
      <c r="H3660" s="2">
        <v>64.0</v>
      </c>
      <c r="I3660" s="2">
        <v>558.0</v>
      </c>
      <c r="J3660" s="37">
        <v>2162.84</v>
      </c>
      <c r="K3660" s="2">
        <v>74.0</v>
      </c>
      <c r="L3660" s="2">
        <v>752.0</v>
      </c>
      <c r="M3660" s="37">
        <v>2639.64</v>
      </c>
    </row>
    <row r="3661" ht="14.25" customHeight="1">
      <c r="A3661" t="s">
        <v>3724</v>
      </c>
      <c r="B3661" t="s">
        <v>3675</v>
      </c>
      <c r="C3661" t="s">
        <v>62</v>
      </c>
      <c r="D3661" t="s">
        <v>3713</v>
      </c>
      <c r="E3661">
        <v>12.5</v>
      </c>
      <c r="F3661">
        <v>14.0</v>
      </c>
      <c r="G3661" s="2" t="s">
        <v>64</v>
      </c>
      <c r="H3661" s="2">
        <v>0.0</v>
      </c>
      <c r="I3661" s="2">
        <v>0.0</v>
      </c>
      <c r="J3661" s="37">
        <v>0.0</v>
      </c>
      <c r="K3661" s="2">
        <v>0.0</v>
      </c>
      <c r="L3661" s="2">
        <v>0.0</v>
      </c>
      <c r="M3661" s="37">
        <v>0.0</v>
      </c>
    </row>
    <row r="3662" ht="14.25" customHeight="1">
      <c r="A3662" t="s">
        <v>3725</v>
      </c>
      <c r="B3662" t="s">
        <v>3675</v>
      </c>
      <c r="C3662" t="s">
        <v>75</v>
      </c>
      <c r="D3662" t="s">
        <v>63</v>
      </c>
      <c r="E3662">
        <v>5.0</v>
      </c>
      <c r="F3662">
        <v>5.6</v>
      </c>
      <c r="G3662" s="2" t="s">
        <v>64</v>
      </c>
      <c r="H3662" s="2">
        <v>0.0</v>
      </c>
      <c r="I3662" s="2">
        <v>0.0</v>
      </c>
      <c r="J3662" s="37">
        <v>0.0</v>
      </c>
      <c r="K3662" s="2">
        <v>0.0</v>
      </c>
      <c r="L3662" s="2">
        <v>0.0</v>
      </c>
      <c r="M3662" s="37">
        <v>0.0</v>
      </c>
    </row>
    <row r="3663" ht="14.25" customHeight="1">
      <c r="A3663" t="s">
        <v>3726</v>
      </c>
      <c r="B3663" t="s">
        <v>3675</v>
      </c>
      <c r="C3663" t="s">
        <v>75</v>
      </c>
      <c r="D3663" t="s">
        <v>63</v>
      </c>
      <c r="E3663">
        <v>7.1</v>
      </c>
      <c r="F3663">
        <v>8.0</v>
      </c>
      <c r="G3663" s="2" t="s">
        <v>67</v>
      </c>
      <c r="H3663" s="2">
        <v>43.0</v>
      </c>
      <c r="I3663" s="2">
        <v>370.0</v>
      </c>
      <c r="J3663" s="37">
        <v>1446.7800000000002</v>
      </c>
      <c r="K3663" s="2">
        <v>50.0</v>
      </c>
      <c r="L3663" s="2">
        <v>507.0</v>
      </c>
      <c r="M3663" s="37">
        <v>1782.1</v>
      </c>
    </row>
    <row r="3664" ht="14.25" customHeight="1">
      <c r="A3664" t="s">
        <v>3727</v>
      </c>
      <c r="B3664" t="s">
        <v>3675</v>
      </c>
      <c r="C3664" t="s">
        <v>75</v>
      </c>
      <c r="D3664" t="s">
        <v>63</v>
      </c>
      <c r="E3664">
        <v>10.0</v>
      </c>
      <c r="F3664">
        <v>11.2</v>
      </c>
      <c r="G3664" s="2" t="s">
        <v>67</v>
      </c>
      <c r="H3664" s="2">
        <v>57.0</v>
      </c>
      <c r="I3664" s="2">
        <v>462.0</v>
      </c>
      <c r="J3664" s="37">
        <v>1880.8200000000002</v>
      </c>
      <c r="K3664" s="2">
        <v>67.0</v>
      </c>
      <c r="L3664" s="2">
        <v>656.0</v>
      </c>
      <c r="M3664" s="37">
        <v>2357.6200000000003</v>
      </c>
    </row>
    <row r="3665" ht="14.25" customHeight="1">
      <c r="A3665" t="s">
        <v>3728</v>
      </c>
      <c r="B3665" t="s">
        <v>3675</v>
      </c>
      <c r="C3665" t="s">
        <v>75</v>
      </c>
      <c r="D3665" t="s">
        <v>63</v>
      </c>
      <c r="E3665">
        <v>12.5</v>
      </c>
      <c r="F3665">
        <v>14.0</v>
      </c>
      <c r="G3665" s="2" t="s">
        <v>64</v>
      </c>
      <c r="H3665" s="2">
        <v>0.0</v>
      </c>
      <c r="I3665" s="2">
        <v>0.0</v>
      </c>
      <c r="J3665" s="37">
        <v>0.0</v>
      </c>
      <c r="K3665" s="2">
        <v>0.0</v>
      </c>
      <c r="L3665" s="2">
        <v>0.0</v>
      </c>
      <c r="M3665" s="37">
        <v>0.0</v>
      </c>
    </row>
    <row r="3666" ht="14.25" customHeight="1">
      <c r="A3666" t="s">
        <v>3729</v>
      </c>
      <c r="B3666" t="s">
        <v>3675</v>
      </c>
      <c r="C3666" t="s">
        <v>62</v>
      </c>
      <c r="D3666" t="s">
        <v>63</v>
      </c>
      <c r="E3666">
        <v>5.0</v>
      </c>
      <c r="F3666">
        <v>5.6</v>
      </c>
      <c r="G3666" s="2" t="s">
        <v>64</v>
      </c>
      <c r="H3666" s="2">
        <v>0.0</v>
      </c>
      <c r="I3666" s="2">
        <v>0.0</v>
      </c>
      <c r="J3666" s="37">
        <v>0.0</v>
      </c>
      <c r="K3666" s="2">
        <v>0.0</v>
      </c>
      <c r="L3666" s="2">
        <v>0.0</v>
      </c>
      <c r="M3666" s="37">
        <v>0.0</v>
      </c>
    </row>
    <row r="3667" ht="14.25" customHeight="1">
      <c r="A3667" t="s">
        <v>3730</v>
      </c>
      <c r="B3667" t="s">
        <v>3675</v>
      </c>
      <c r="C3667" t="s">
        <v>62</v>
      </c>
      <c r="D3667" t="s">
        <v>63</v>
      </c>
      <c r="E3667">
        <v>7.1</v>
      </c>
      <c r="F3667">
        <v>8.0</v>
      </c>
      <c r="G3667" s="2" t="s">
        <v>64</v>
      </c>
      <c r="H3667" s="2">
        <v>0.0</v>
      </c>
      <c r="I3667" s="2">
        <v>0.0</v>
      </c>
      <c r="J3667" s="37">
        <v>0.0</v>
      </c>
      <c r="K3667" s="2">
        <v>0.0</v>
      </c>
      <c r="L3667" s="2">
        <v>0.0</v>
      </c>
      <c r="M3667" s="37">
        <v>0.0</v>
      </c>
    </row>
    <row r="3668" ht="14.25" customHeight="1">
      <c r="A3668" t="s">
        <v>3731</v>
      </c>
      <c r="B3668" t="s">
        <v>3675</v>
      </c>
      <c r="C3668" t="s">
        <v>62</v>
      </c>
      <c r="D3668" t="s">
        <v>3713</v>
      </c>
      <c r="E3668">
        <v>10.0</v>
      </c>
      <c r="F3668">
        <v>11.2</v>
      </c>
      <c r="G3668" s="2" t="s">
        <v>67</v>
      </c>
      <c r="H3668" s="2">
        <v>57.0</v>
      </c>
      <c r="I3668" s="2">
        <v>440.0</v>
      </c>
      <c r="J3668" s="37">
        <v>1852.22</v>
      </c>
      <c r="K3668" s="2">
        <v>67.0</v>
      </c>
      <c r="L3668" s="2">
        <v>634.0</v>
      </c>
      <c r="M3668" s="37">
        <v>2329.0200000000004</v>
      </c>
    </row>
    <row r="3669" ht="14.25" customHeight="1">
      <c r="A3669" t="s">
        <v>3732</v>
      </c>
      <c r="B3669" t="s">
        <v>3675</v>
      </c>
      <c r="C3669" t="s">
        <v>62</v>
      </c>
      <c r="D3669" t="s">
        <v>3713</v>
      </c>
      <c r="E3669">
        <v>12.5</v>
      </c>
      <c r="F3669">
        <v>14.0</v>
      </c>
      <c r="G3669" s="2" t="s">
        <v>64</v>
      </c>
      <c r="H3669" s="2">
        <v>0.0</v>
      </c>
      <c r="I3669" s="2">
        <v>0.0</v>
      </c>
      <c r="J3669" s="37">
        <v>0.0</v>
      </c>
      <c r="K3669" s="2">
        <v>0.0</v>
      </c>
      <c r="L3669" s="2">
        <v>0.0</v>
      </c>
      <c r="M3669" s="37">
        <v>0.0</v>
      </c>
    </row>
    <row r="3670" ht="14.25" customHeight="1">
      <c r="A3670" t="s">
        <v>3733</v>
      </c>
      <c r="B3670" t="s">
        <v>3675</v>
      </c>
      <c r="C3670" t="s">
        <v>62</v>
      </c>
      <c r="D3670" t="s">
        <v>63</v>
      </c>
      <c r="E3670">
        <v>3.6</v>
      </c>
      <c r="F3670">
        <v>4.0</v>
      </c>
      <c r="G3670" s="2" t="s">
        <v>64</v>
      </c>
      <c r="H3670" s="2">
        <v>0.0</v>
      </c>
      <c r="I3670" s="2">
        <v>0.0</v>
      </c>
      <c r="J3670" s="37">
        <v>0.0</v>
      </c>
      <c r="K3670" s="2">
        <v>0.0</v>
      </c>
      <c r="L3670" s="2">
        <v>0.0</v>
      </c>
      <c r="M3670" s="37">
        <v>0.0</v>
      </c>
    </row>
    <row r="3671" ht="14.25" customHeight="1">
      <c r="A3671" t="s">
        <v>3734</v>
      </c>
      <c r="B3671" t="s">
        <v>3675</v>
      </c>
      <c r="C3671" t="s">
        <v>62</v>
      </c>
      <c r="D3671" t="s">
        <v>3713</v>
      </c>
      <c r="E3671">
        <v>12.2999999999999</v>
      </c>
      <c r="F3671">
        <v>14.0</v>
      </c>
      <c r="G3671" s="2" t="s">
        <v>64</v>
      </c>
      <c r="H3671" s="2">
        <v>0.0</v>
      </c>
      <c r="I3671" s="2">
        <v>0.0</v>
      </c>
      <c r="J3671" s="37">
        <v>0.0</v>
      </c>
      <c r="K3671" s="2">
        <v>0.0</v>
      </c>
      <c r="L3671" s="2">
        <v>0.0</v>
      </c>
      <c r="M3671" s="37">
        <v>0.0</v>
      </c>
    </row>
    <row r="3672" ht="14.25" customHeight="1">
      <c r="A3672" t="s">
        <v>3735</v>
      </c>
      <c r="B3672" t="s">
        <v>3675</v>
      </c>
      <c r="C3672" t="s">
        <v>62</v>
      </c>
      <c r="D3672" t="s">
        <v>63</v>
      </c>
      <c r="E3672">
        <v>12.5</v>
      </c>
      <c r="F3672">
        <v>14.0</v>
      </c>
      <c r="G3672" s="2" t="s">
        <v>67</v>
      </c>
      <c r="H3672" s="2">
        <v>69.0</v>
      </c>
      <c r="I3672" s="2">
        <v>343.0</v>
      </c>
      <c r="J3672" s="37">
        <v>1995.64</v>
      </c>
      <c r="K3672" s="2">
        <v>81.0</v>
      </c>
      <c r="L3672" s="2">
        <v>585.0</v>
      </c>
      <c r="M3672" s="37">
        <v>2579.76</v>
      </c>
    </row>
    <row r="3673" ht="14.25" customHeight="1">
      <c r="A3673" t="s">
        <v>3736</v>
      </c>
      <c r="B3673" t="s">
        <v>3675</v>
      </c>
      <c r="C3673" t="s">
        <v>62</v>
      </c>
      <c r="D3673" t="s">
        <v>3713</v>
      </c>
      <c r="E3673">
        <v>14.0</v>
      </c>
      <c r="F3673">
        <v>16.0</v>
      </c>
      <c r="G3673" s="2" t="s">
        <v>64</v>
      </c>
      <c r="H3673" s="2">
        <v>0.0</v>
      </c>
      <c r="I3673" s="2">
        <v>0.0</v>
      </c>
      <c r="J3673" s="37">
        <v>0.0</v>
      </c>
      <c r="K3673" s="2">
        <v>0.0</v>
      </c>
      <c r="L3673" s="2">
        <v>0.0</v>
      </c>
      <c r="M3673" s="37">
        <v>0.0</v>
      </c>
    </row>
    <row r="3674" ht="14.25" customHeight="1">
      <c r="A3674" t="s">
        <v>3737</v>
      </c>
      <c r="B3674" t="s">
        <v>3675</v>
      </c>
      <c r="C3674" t="s">
        <v>62</v>
      </c>
      <c r="D3674" t="s">
        <v>63</v>
      </c>
      <c r="E3674">
        <v>14.0</v>
      </c>
      <c r="F3674">
        <v>16.0</v>
      </c>
      <c r="G3674" s="2" t="s">
        <v>64</v>
      </c>
      <c r="H3674" s="2">
        <v>0.0</v>
      </c>
      <c r="I3674" s="2">
        <v>0.0</v>
      </c>
      <c r="J3674" s="37">
        <v>0.0</v>
      </c>
      <c r="K3674" s="2">
        <v>0.0</v>
      </c>
      <c r="L3674" s="2">
        <v>0.0</v>
      </c>
      <c r="M3674" s="37">
        <v>0.0</v>
      </c>
    </row>
    <row r="3675" ht="14.25" customHeight="1">
      <c r="A3675" t="s">
        <v>3738</v>
      </c>
      <c r="B3675" t="s">
        <v>3675</v>
      </c>
      <c r="C3675" t="s">
        <v>62</v>
      </c>
      <c r="D3675" t="s">
        <v>3713</v>
      </c>
      <c r="E3675">
        <v>12.5</v>
      </c>
      <c r="F3675">
        <v>14.0</v>
      </c>
      <c r="G3675" s="2" t="s">
        <v>67</v>
      </c>
      <c r="H3675" s="2">
        <v>68.0</v>
      </c>
      <c r="I3675" s="2">
        <v>343.0</v>
      </c>
      <c r="J3675" s="37">
        <v>1973.18</v>
      </c>
      <c r="K3675" s="2">
        <v>81.0</v>
      </c>
      <c r="L3675" s="2">
        <v>585.0</v>
      </c>
      <c r="M3675" s="37">
        <v>2579.76</v>
      </c>
    </row>
    <row r="3676" ht="14.25" customHeight="1">
      <c r="A3676" t="s">
        <v>3739</v>
      </c>
      <c r="B3676" t="s">
        <v>3675</v>
      </c>
      <c r="C3676" t="s">
        <v>62</v>
      </c>
      <c r="D3676" t="s">
        <v>3713</v>
      </c>
      <c r="E3676">
        <v>14.0</v>
      </c>
      <c r="F3676">
        <v>16.0</v>
      </c>
      <c r="G3676" s="2" t="s">
        <v>64</v>
      </c>
      <c r="H3676" s="2">
        <v>0.0</v>
      </c>
      <c r="I3676" s="2">
        <v>0.0</v>
      </c>
      <c r="J3676" s="37">
        <v>0.0</v>
      </c>
      <c r="K3676" s="2">
        <v>0.0</v>
      </c>
      <c r="L3676" s="2">
        <v>0.0</v>
      </c>
      <c r="M3676" s="37">
        <v>0.0</v>
      </c>
    </row>
    <row r="3677" ht="14.25" customHeight="1">
      <c r="A3677" t="s">
        <v>3740</v>
      </c>
      <c r="B3677" t="s">
        <v>3675</v>
      </c>
      <c r="C3677" t="s">
        <v>75</v>
      </c>
      <c r="D3677" t="s">
        <v>63</v>
      </c>
      <c r="E3677">
        <v>12.5</v>
      </c>
      <c r="F3677">
        <v>14.0</v>
      </c>
      <c r="G3677" s="2" t="s">
        <v>64</v>
      </c>
      <c r="H3677" s="2">
        <v>0.0</v>
      </c>
      <c r="I3677" s="2">
        <v>0.0</v>
      </c>
      <c r="J3677" s="37">
        <v>0.0</v>
      </c>
      <c r="K3677" s="2">
        <v>0.0</v>
      </c>
      <c r="L3677" s="2">
        <v>0.0</v>
      </c>
      <c r="M3677" s="37">
        <v>0.0</v>
      </c>
    </row>
    <row r="3678" ht="14.25" customHeight="1">
      <c r="A3678" t="s">
        <v>3741</v>
      </c>
      <c r="B3678" t="s">
        <v>3675</v>
      </c>
      <c r="C3678" t="s">
        <v>75</v>
      </c>
      <c r="D3678" t="s">
        <v>63</v>
      </c>
      <c r="E3678">
        <v>14.0</v>
      </c>
      <c r="F3678">
        <v>16.0</v>
      </c>
      <c r="G3678" s="2" t="s">
        <v>64</v>
      </c>
      <c r="H3678" s="2">
        <v>0.0</v>
      </c>
      <c r="I3678" s="2">
        <v>0.0</v>
      </c>
      <c r="J3678" s="37">
        <v>0.0</v>
      </c>
      <c r="K3678" s="2">
        <v>0.0</v>
      </c>
      <c r="L3678" s="2">
        <v>0.0</v>
      </c>
      <c r="M3678" s="37">
        <v>0.0</v>
      </c>
    </row>
    <row r="3679" ht="14.25" customHeight="1">
      <c r="A3679" t="s">
        <v>3742</v>
      </c>
      <c r="B3679" t="s">
        <v>3675</v>
      </c>
      <c r="C3679" t="s">
        <v>62</v>
      </c>
      <c r="D3679" t="s">
        <v>63</v>
      </c>
      <c r="E3679">
        <v>12.5</v>
      </c>
      <c r="F3679">
        <v>14.0</v>
      </c>
      <c r="G3679" s="2" t="s">
        <v>64</v>
      </c>
      <c r="H3679" s="2">
        <v>0.0</v>
      </c>
      <c r="I3679" s="2">
        <v>0.0</v>
      </c>
      <c r="J3679" s="37">
        <v>0.0</v>
      </c>
      <c r="K3679" s="2">
        <v>0.0</v>
      </c>
      <c r="L3679" s="2">
        <v>0.0</v>
      </c>
      <c r="M3679" s="37">
        <v>0.0</v>
      </c>
    </row>
    <row r="3680" ht="14.25" customHeight="1">
      <c r="A3680" t="s">
        <v>3743</v>
      </c>
      <c r="B3680" t="s">
        <v>3675</v>
      </c>
      <c r="C3680" t="s">
        <v>62</v>
      </c>
      <c r="D3680" t="s">
        <v>63</v>
      </c>
      <c r="E3680">
        <v>14.0</v>
      </c>
      <c r="F3680">
        <v>16.0</v>
      </c>
      <c r="G3680" s="2" t="s">
        <v>64</v>
      </c>
      <c r="H3680" s="2">
        <v>0.0</v>
      </c>
      <c r="I3680" s="2">
        <v>0.0</v>
      </c>
      <c r="J3680" s="37">
        <v>0.0</v>
      </c>
      <c r="K3680" s="2">
        <v>0.0</v>
      </c>
      <c r="L3680" s="2">
        <v>0.0</v>
      </c>
      <c r="M3680" s="37">
        <v>0.0</v>
      </c>
    </row>
    <row r="3681" ht="14.25" customHeight="1">
      <c r="A3681" t="s">
        <v>3744</v>
      </c>
      <c r="B3681" t="s">
        <v>3675</v>
      </c>
      <c r="C3681" t="s">
        <v>62</v>
      </c>
      <c r="D3681" t="s">
        <v>3713</v>
      </c>
      <c r="E3681">
        <v>12.5</v>
      </c>
      <c r="F3681">
        <v>14.0</v>
      </c>
      <c r="G3681" s="2" t="s">
        <v>64</v>
      </c>
      <c r="H3681" s="2">
        <v>0.0</v>
      </c>
      <c r="I3681" s="2">
        <v>0.0</v>
      </c>
      <c r="J3681" s="37">
        <v>0.0</v>
      </c>
      <c r="K3681" s="2">
        <v>0.0</v>
      </c>
      <c r="L3681" s="2">
        <v>0.0</v>
      </c>
      <c r="M3681" s="37">
        <v>0.0</v>
      </c>
    </row>
    <row r="3682" ht="14.25" customHeight="1">
      <c r="A3682" t="s">
        <v>3745</v>
      </c>
      <c r="B3682" t="s">
        <v>3675</v>
      </c>
      <c r="C3682" t="s">
        <v>62</v>
      </c>
      <c r="D3682" t="s">
        <v>3713</v>
      </c>
      <c r="E3682">
        <v>14.0</v>
      </c>
      <c r="F3682">
        <v>16.0</v>
      </c>
      <c r="G3682" s="2" t="s">
        <v>64</v>
      </c>
      <c r="H3682" s="2">
        <v>0.0</v>
      </c>
      <c r="I3682" s="2">
        <v>0.0</v>
      </c>
      <c r="J3682" s="37">
        <v>0.0</v>
      </c>
      <c r="K3682" s="2">
        <v>0.0</v>
      </c>
      <c r="L3682" s="2">
        <v>0.0</v>
      </c>
      <c r="M3682" s="37">
        <v>0.0</v>
      </c>
    </row>
    <row r="3683" ht="14.25" customHeight="1">
      <c r="A3683" t="s">
        <v>3746</v>
      </c>
      <c r="B3683" t="s">
        <v>3675</v>
      </c>
      <c r="C3683" t="s">
        <v>62</v>
      </c>
      <c r="D3683" t="s">
        <v>63</v>
      </c>
      <c r="E3683">
        <v>9.5</v>
      </c>
      <c r="F3683">
        <v>11.2</v>
      </c>
      <c r="G3683" s="2" t="s">
        <v>64</v>
      </c>
      <c r="H3683" s="2">
        <v>0.0</v>
      </c>
      <c r="I3683" s="2">
        <v>0.0</v>
      </c>
      <c r="J3683" s="37">
        <v>0.0</v>
      </c>
      <c r="K3683" s="2">
        <v>0.0</v>
      </c>
      <c r="L3683" s="2">
        <v>0.0</v>
      </c>
      <c r="M3683" s="37">
        <v>0.0</v>
      </c>
    </row>
    <row r="3684" ht="14.25" customHeight="1">
      <c r="A3684" t="s">
        <v>3747</v>
      </c>
      <c r="B3684" t="s">
        <v>3675</v>
      </c>
      <c r="C3684" t="s">
        <v>62</v>
      </c>
      <c r="D3684" t="s">
        <v>63</v>
      </c>
      <c r="E3684">
        <v>2.5</v>
      </c>
      <c r="F3684">
        <v>3.2</v>
      </c>
      <c r="G3684" s="2" t="s">
        <v>64</v>
      </c>
      <c r="H3684" s="2">
        <v>0.0</v>
      </c>
      <c r="I3684" s="2">
        <v>0.0</v>
      </c>
      <c r="J3684" s="37">
        <v>0.0</v>
      </c>
      <c r="K3684" s="2">
        <v>0.0</v>
      </c>
      <c r="L3684" s="2">
        <v>0.0</v>
      </c>
      <c r="M3684" s="37">
        <v>0.0</v>
      </c>
    </row>
    <row r="3685" ht="14.25" customHeight="1">
      <c r="A3685" t="s">
        <v>3748</v>
      </c>
      <c r="B3685" t="s">
        <v>3675</v>
      </c>
      <c r="C3685" t="s">
        <v>62</v>
      </c>
      <c r="D3685" t="s">
        <v>63</v>
      </c>
      <c r="E3685">
        <v>4.0</v>
      </c>
      <c r="F3685">
        <v>4.2</v>
      </c>
      <c r="G3685" s="2" t="s">
        <v>67</v>
      </c>
      <c r="H3685" s="2">
        <v>21.0</v>
      </c>
      <c r="I3685" s="2">
        <v>79.0</v>
      </c>
      <c r="J3685" s="37">
        <v>574.36</v>
      </c>
      <c r="K3685" s="2">
        <v>24.0</v>
      </c>
      <c r="L3685" s="2">
        <v>148.0</v>
      </c>
      <c r="M3685" s="37">
        <v>731.4399999999999</v>
      </c>
    </row>
    <row r="3686" ht="14.25" customHeight="1">
      <c r="A3686" t="s">
        <v>3749</v>
      </c>
      <c r="B3686" t="s">
        <v>3675</v>
      </c>
      <c r="C3686" t="s">
        <v>62</v>
      </c>
      <c r="D3686" t="s">
        <v>63</v>
      </c>
      <c r="E3686">
        <v>5.0</v>
      </c>
      <c r="F3686">
        <v>5.8</v>
      </c>
      <c r="G3686" s="2" t="s">
        <v>64</v>
      </c>
      <c r="H3686" s="2">
        <v>0.0</v>
      </c>
      <c r="I3686" s="2">
        <v>0.0</v>
      </c>
      <c r="J3686" s="37">
        <v>0.0</v>
      </c>
      <c r="K3686" s="2">
        <v>0.0</v>
      </c>
      <c r="L3686" s="2">
        <v>0.0</v>
      </c>
      <c r="M3686" s="37">
        <v>0.0</v>
      </c>
    </row>
    <row r="3687" ht="14.25" customHeight="1">
      <c r="A3687" t="s">
        <v>3750</v>
      </c>
      <c r="B3687" t="s">
        <v>3675</v>
      </c>
      <c r="C3687" t="s">
        <v>62</v>
      </c>
      <c r="D3687" t="s">
        <v>63</v>
      </c>
      <c r="E3687">
        <v>8.0</v>
      </c>
      <c r="F3687">
        <v>9.0</v>
      </c>
      <c r="G3687" s="2" t="s">
        <v>64</v>
      </c>
      <c r="H3687" s="2">
        <v>0.0</v>
      </c>
      <c r="I3687" s="2">
        <v>0.0</v>
      </c>
      <c r="J3687" s="37">
        <v>0.0</v>
      </c>
      <c r="K3687" s="2">
        <v>0.0</v>
      </c>
      <c r="L3687" s="2">
        <v>0.0</v>
      </c>
      <c r="M3687" s="37">
        <v>0.0</v>
      </c>
    </row>
    <row r="3688" ht="14.25" customHeight="1">
      <c r="A3688" t="s">
        <v>3751</v>
      </c>
      <c r="B3688" t="s">
        <v>3675</v>
      </c>
      <c r="C3688" t="s">
        <v>62</v>
      </c>
      <c r="D3688" t="s">
        <v>63</v>
      </c>
      <c r="E3688">
        <v>8.0</v>
      </c>
      <c r="F3688">
        <v>9.0</v>
      </c>
      <c r="G3688" s="2" t="s">
        <v>67</v>
      </c>
      <c r="H3688" s="2">
        <v>47.0</v>
      </c>
      <c r="I3688" s="2">
        <v>148.0</v>
      </c>
      <c r="J3688" s="37">
        <v>1248.0200000000002</v>
      </c>
      <c r="K3688" s="2">
        <v>54.0</v>
      </c>
      <c r="L3688" s="2">
        <v>286.0</v>
      </c>
      <c r="M3688" s="37">
        <v>1584.64</v>
      </c>
    </row>
    <row r="3689" ht="14.25" customHeight="1">
      <c r="A3689" t="s">
        <v>3752</v>
      </c>
      <c r="B3689" t="s">
        <v>3675</v>
      </c>
      <c r="C3689" t="s">
        <v>62</v>
      </c>
      <c r="D3689" t="s">
        <v>63</v>
      </c>
      <c r="E3689">
        <v>5.0</v>
      </c>
      <c r="F3689">
        <v>5.3</v>
      </c>
      <c r="G3689" s="2" t="s">
        <v>64</v>
      </c>
      <c r="H3689" s="2">
        <v>0.0</v>
      </c>
      <c r="I3689" s="2">
        <v>0.0</v>
      </c>
      <c r="J3689" s="37">
        <v>0.0</v>
      </c>
      <c r="K3689" s="2">
        <v>0.0</v>
      </c>
      <c r="L3689" s="2">
        <v>0.0</v>
      </c>
      <c r="M3689" s="37">
        <v>0.0</v>
      </c>
    </row>
    <row r="3690" ht="14.25" customHeight="1">
      <c r="A3690" t="s">
        <v>3753</v>
      </c>
      <c r="B3690" t="s">
        <v>3675</v>
      </c>
      <c r="C3690" t="s">
        <v>62</v>
      </c>
      <c r="D3690" t="s">
        <v>63</v>
      </c>
      <c r="E3690">
        <v>6.7</v>
      </c>
      <c r="F3690">
        <v>8.5</v>
      </c>
      <c r="G3690" s="2" t="s">
        <v>64</v>
      </c>
      <c r="H3690" s="2">
        <v>0.0</v>
      </c>
      <c r="I3690" s="2">
        <v>0.0</v>
      </c>
      <c r="J3690" s="37">
        <v>0.0</v>
      </c>
      <c r="K3690" s="2">
        <v>0.0</v>
      </c>
      <c r="L3690" s="2">
        <v>0.0</v>
      </c>
      <c r="M3690" s="37">
        <v>0.0</v>
      </c>
    </row>
    <row r="3691" ht="14.25" customHeight="1">
      <c r="A3691" t="s">
        <v>3754</v>
      </c>
      <c r="B3691" t="s">
        <v>3675</v>
      </c>
      <c r="C3691" t="s">
        <v>75</v>
      </c>
      <c r="D3691" t="s">
        <v>63</v>
      </c>
      <c r="E3691">
        <v>8.0</v>
      </c>
      <c r="F3691">
        <v>9.0</v>
      </c>
      <c r="G3691" s="2" t="s">
        <v>67</v>
      </c>
      <c r="H3691" s="2">
        <v>48.0</v>
      </c>
      <c r="I3691" s="2">
        <v>67.0</v>
      </c>
      <c r="J3691" s="37">
        <v>1165.1799999999998</v>
      </c>
      <c r="K3691" s="2">
        <v>56.0</v>
      </c>
      <c r="L3691" s="2">
        <v>222.0</v>
      </c>
      <c r="M3691" s="37">
        <v>1546.3600000000001</v>
      </c>
    </row>
    <row r="3692" ht="14.25" customHeight="1">
      <c r="A3692" t="s">
        <v>3755</v>
      </c>
      <c r="B3692" t="s">
        <v>3756</v>
      </c>
      <c r="C3692" t="s">
        <v>62</v>
      </c>
      <c r="D3692" t="s">
        <v>63</v>
      </c>
      <c r="E3692">
        <v>2.0</v>
      </c>
      <c r="F3692">
        <v>2.5</v>
      </c>
      <c r="G3692" s="2" t="s">
        <v>64</v>
      </c>
      <c r="H3692" s="2">
        <v>0.0</v>
      </c>
      <c r="I3692" s="2">
        <v>0.0</v>
      </c>
      <c r="J3692" s="37">
        <v>0.0</v>
      </c>
      <c r="K3692" s="2">
        <v>0.0</v>
      </c>
      <c r="L3692" s="2">
        <v>0.0</v>
      </c>
      <c r="M3692" s="37">
        <v>0.0</v>
      </c>
    </row>
    <row r="3693" ht="14.25" customHeight="1">
      <c r="A3693" t="s">
        <v>3757</v>
      </c>
      <c r="B3693" t="s">
        <v>3756</v>
      </c>
      <c r="C3693" t="s">
        <v>62</v>
      </c>
      <c r="D3693" t="s">
        <v>63</v>
      </c>
      <c r="E3693">
        <v>2.5</v>
      </c>
      <c r="F3693">
        <v>3.2</v>
      </c>
      <c r="G3693" s="2" t="s">
        <v>64</v>
      </c>
      <c r="H3693" s="2">
        <v>0.0</v>
      </c>
      <c r="I3693" s="2">
        <v>0.0</v>
      </c>
      <c r="J3693" s="37">
        <v>0.0</v>
      </c>
      <c r="K3693" s="2">
        <v>0.0</v>
      </c>
      <c r="L3693" s="2">
        <v>0.0</v>
      </c>
      <c r="M3693" s="37">
        <v>0.0</v>
      </c>
    </row>
    <row r="3694" ht="14.25" customHeight="1">
      <c r="A3694" t="s">
        <v>3758</v>
      </c>
      <c r="B3694" t="s">
        <v>3756</v>
      </c>
      <c r="C3694" t="s">
        <v>62</v>
      </c>
      <c r="D3694" t="s">
        <v>63</v>
      </c>
      <c r="E3694">
        <v>3.5</v>
      </c>
      <c r="F3694">
        <v>4.0</v>
      </c>
      <c r="G3694" s="2" t="s">
        <v>64</v>
      </c>
      <c r="H3694" s="2">
        <v>0.0</v>
      </c>
      <c r="I3694" s="2">
        <v>0.0</v>
      </c>
      <c r="J3694" s="37">
        <v>0.0</v>
      </c>
      <c r="K3694" s="2">
        <v>0.0</v>
      </c>
      <c r="L3694" s="2">
        <v>0.0</v>
      </c>
      <c r="M3694" s="37">
        <v>0.0</v>
      </c>
    </row>
    <row r="3695" ht="14.25" customHeight="1">
      <c r="A3695" t="s">
        <v>3759</v>
      </c>
      <c r="B3695" t="s">
        <v>3756</v>
      </c>
      <c r="C3695" t="s">
        <v>62</v>
      </c>
      <c r="D3695" t="s">
        <v>63</v>
      </c>
      <c r="E3695">
        <v>4.2</v>
      </c>
      <c r="F3695">
        <v>5.4</v>
      </c>
      <c r="G3695" s="2" t="s">
        <v>64</v>
      </c>
      <c r="H3695" s="2">
        <v>0.0</v>
      </c>
      <c r="I3695" s="2">
        <v>0.0</v>
      </c>
      <c r="J3695" s="37">
        <v>0.0</v>
      </c>
      <c r="K3695" s="2">
        <v>0.0</v>
      </c>
      <c r="L3695" s="2">
        <v>0.0</v>
      </c>
      <c r="M3695" s="37">
        <v>0.0</v>
      </c>
    </row>
    <row r="3696" ht="14.25" customHeight="1">
      <c r="A3696" t="s">
        <v>3760</v>
      </c>
      <c r="B3696" t="s">
        <v>3756</v>
      </c>
      <c r="C3696" t="s">
        <v>62</v>
      </c>
      <c r="D3696" t="s">
        <v>63</v>
      </c>
      <c r="E3696">
        <v>5.0</v>
      </c>
      <c r="F3696">
        <v>5.6</v>
      </c>
      <c r="G3696" s="2" t="s">
        <v>64</v>
      </c>
      <c r="H3696" s="2">
        <v>0.0</v>
      </c>
      <c r="I3696" s="2">
        <v>0.0</v>
      </c>
      <c r="J3696" s="37">
        <v>0.0</v>
      </c>
      <c r="K3696" s="2">
        <v>0.0</v>
      </c>
      <c r="L3696" s="2">
        <v>0.0</v>
      </c>
      <c r="M3696" s="37">
        <v>0.0</v>
      </c>
    </row>
    <row r="3697" ht="14.25" customHeight="1">
      <c r="A3697" t="s">
        <v>3761</v>
      </c>
      <c r="B3697" t="s">
        <v>3756</v>
      </c>
      <c r="C3697" t="s">
        <v>62</v>
      </c>
      <c r="D3697" t="s">
        <v>63</v>
      </c>
      <c r="E3697">
        <v>6.0</v>
      </c>
      <c r="F3697">
        <v>6.9</v>
      </c>
      <c r="G3697" s="2" t="s">
        <v>64</v>
      </c>
      <c r="H3697" s="2">
        <v>0.0</v>
      </c>
      <c r="I3697" s="2">
        <v>0.0</v>
      </c>
      <c r="J3697" s="37">
        <v>0.0</v>
      </c>
      <c r="K3697" s="2">
        <v>0.0</v>
      </c>
      <c r="L3697" s="2">
        <v>0.0</v>
      </c>
      <c r="M3697" s="37">
        <v>0.0</v>
      </c>
    </row>
    <row r="3698" ht="14.25" customHeight="1">
      <c r="A3698" t="s">
        <v>3762</v>
      </c>
      <c r="B3698" t="s">
        <v>3756</v>
      </c>
      <c r="C3698" t="s">
        <v>62</v>
      </c>
      <c r="D3698" t="s">
        <v>63</v>
      </c>
      <c r="E3698">
        <v>7.1</v>
      </c>
      <c r="F3698">
        <v>8.0</v>
      </c>
      <c r="G3698" s="2" t="s">
        <v>64</v>
      </c>
      <c r="H3698" s="2">
        <v>0.0</v>
      </c>
      <c r="I3698" s="2">
        <v>0.0</v>
      </c>
      <c r="J3698" s="37">
        <v>0.0</v>
      </c>
      <c r="K3698" s="2">
        <v>0.0</v>
      </c>
      <c r="L3698" s="2">
        <v>0.0</v>
      </c>
      <c r="M3698" s="37">
        <v>0.0</v>
      </c>
    </row>
    <row r="3699" ht="14.25" customHeight="1">
      <c r="A3699" t="s">
        <v>3763</v>
      </c>
      <c r="B3699" t="s">
        <v>3756</v>
      </c>
      <c r="C3699" t="s">
        <v>62</v>
      </c>
      <c r="D3699" t="s">
        <v>63</v>
      </c>
      <c r="E3699">
        <v>2.0</v>
      </c>
      <c r="F3699">
        <v>2.5</v>
      </c>
      <c r="G3699" s="2" t="s">
        <v>64</v>
      </c>
      <c r="H3699" s="2">
        <v>0.0</v>
      </c>
      <c r="I3699" s="2">
        <v>0.0</v>
      </c>
      <c r="J3699" s="37">
        <v>0.0</v>
      </c>
      <c r="K3699" s="2">
        <v>0.0</v>
      </c>
      <c r="L3699" s="2">
        <v>0.0</v>
      </c>
      <c r="M3699" s="37">
        <v>0.0</v>
      </c>
    </row>
    <row r="3700" ht="14.25" customHeight="1">
      <c r="A3700" t="s">
        <v>3764</v>
      </c>
      <c r="B3700" t="s">
        <v>3756</v>
      </c>
      <c r="C3700" t="s">
        <v>62</v>
      </c>
      <c r="D3700" t="s">
        <v>63</v>
      </c>
      <c r="E3700">
        <v>2.5</v>
      </c>
      <c r="F3700">
        <v>3.2</v>
      </c>
      <c r="G3700" s="2" t="s">
        <v>64</v>
      </c>
      <c r="H3700" s="2">
        <v>0.0</v>
      </c>
      <c r="I3700" s="2">
        <v>0.0</v>
      </c>
      <c r="J3700" s="37">
        <v>0.0</v>
      </c>
      <c r="K3700" s="2">
        <v>0.0</v>
      </c>
      <c r="L3700" s="2">
        <v>0.0</v>
      </c>
      <c r="M3700" s="37">
        <v>0.0</v>
      </c>
    </row>
    <row r="3701" ht="14.25" customHeight="1">
      <c r="A3701" t="s">
        <v>3765</v>
      </c>
      <c r="B3701" t="s">
        <v>3756</v>
      </c>
      <c r="C3701" t="s">
        <v>62</v>
      </c>
      <c r="D3701" t="s">
        <v>63</v>
      </c>
      <c r="E3701">
        <v>3.5</v>
      </c>
      <c r="F3701">
        <v>4.0</v>
      </c>
      <c r="G3701" s="2" t="s">
        <v>64</v>
      </c>
      <c r="H3701" s="2">
        <v>0.0</v>
      </c>
      <c r="I3701" s="2">
        <v>0.0</v>
      </c>
      <c r="J3701" s="37">
        <v>0.0</v>
      </c>
      <c r="K3701" s="2">
        <v>0.0</v>
      </c>
      <c r="L3701" s="2">
        <v>0.0</v>
      </c>
      <c r="M3701" s="37">
        <v>0.0</v>
      </c>
    </row>
    <row r="3702" ht="14.25" customHeight="1">
      <c r="A3702" t="s">
        <v>3766</v>
      </c>
      <c r="B3702" t="s">
        <v>3756</v>
      </c>
      <c r="C3702" t="s">
        <v>62</v>
      </c>
      <c r="D3702" t="s">
        <v>63</v>
      </c>
      <c r="E3702">
        <v>4.2</v>
      </c>
      <c r="F3702">
        <v>5.4</v>
      </c>
      <c r="G3702" s="2" t="s">
        <v>64</v>
      </c>
      <c r="H3702" s="2">
        <v>0.0</v>
      </c>
      <c r="I3702" s="2">
        <v>0.0</v>
      </c>
      <c r="J3702" s="37">
        <v>0.0</v>
      </c>
      <c r="K3702" s="2">
        <v>0.0</v>
      </c>
      <c r="L3702" s="2">
        <v>0.0</v>
      </c>
      <c r="M3702" s="37">
        <v>0.0</v>
      </c>
    </row>
    <row r="3703" ht="14.25" customHeight="1">
      <c r="A3703" t="s">
        <v>3767</v>
      </c>
      <c r="B3703" t="s">
        <v>3756</v>
      </c>
      <c r="C3703" t="s">
        <v>62</v>
      </c>
      <c r="D3703" t="s">
        <v>63</v>
      </c>
      <c r="E3703">
        <v>5.0</v>
      </c>
      <c r="F3703">
        <v>5.6</v>
      </c>
      <c r="G3703" s="2" t="s">
        <v>64</v>
      </c>
      <c r="H3703" s="2">
        <v>0.0</v>
      </c>
      <c r="I3703" s="2">
        <v>0.0</v>
      </c>
      <c r="J3703" s="37">
        <v>0.0</v>
      </c>
      <c r="K3703" s="2">
        <v>0.0</v>
      </c>
      <c r="L3703" s="2">
        <v>0.0</v>
      </c>
      <c r="M3703" s="37">
        <v>0.0</v>
      </c>
    </row>
    <row r="3704" ht="14.25" customHeight="1">
      <c r="A3704" t="s">
        <v>3768</v>
      </c>
      <c r="B3704" t="s">
        <v>3756</v>
      </c>
      <c r="C3704" t="s">
        <v>62</v>
      </c>
      <c r="D3704" t="s">
        <v>63</v>
      </c>
      <c r="E3704">
        <v>6.0</v>
      </c>
      <c r="F3704">
        <v>6.9</v>
      </c>
      <c r="G3704" s="2" t="s">
        <v>64</v>
      </c>
      <c r="H3704" s="2">
        <v>0.0</v>
      </c>
      <c r="I3704" s="2">
        <v>0.0</v>
      </c>
      <c r="J3704" s="37">
        <v>0.0</v>
      </c>
      <c r="K3704" s="2">
        <v>0.0</v>
      </c>
      <c r="L3704" s="2">
        <v>0.0</v>
      </c>
      <c r="M3704" s="37">
        <v>0.0</v>
      </c>
    </row>
    <row r="3705" ht="14.25" customHeight="1">
      <c r="A3705" t="s">
        <v>3769</v>
      </c>
      <c r="B3705" t="s">
        <v>3756</v>
      </c>
      <c r="C3705" t="s">
        <v>62</v>
      </c>
      <c r="D3705" t="s">
        <v>63</v>
      </c>
      <c r="E3705">
        <v>7.1</v>
      </c>
      <c r="F3705">
        <v>8.0</v>
      </c>
      <c r="G3705" s="2" t="s">
        <v>64</v>
      </c>
      <c r="H3705" s="2">
        <v>0.0</v>
      </c>
      <c r="I3705" s="2">
        <v>0.0</v>
      </c>
      <c r="J3705" s="37">
        <v>0.0</v>
      </c>
      <c r="K3705" s="2">
        <v>0.0</v>
      </c>
      <c r="L3705" s="2">
        <v>0.0</v>
      </c>
      <c r="M3705" s="37">
        <v>0.0</v>
      </c>
    </row>
    <row r="3706" ht="14.25" customHeight="1">
      <c r="A3706" t="s">
        <v>3770</v>
      </c>
      <c r="B3706" t="s">
        <v>3756</v>
      </c>
      <c r="C3706" t="s">
        <v>62</v>
      </c>
      <c r="D3706" t="s">
        <v>63</v>
      </c>
      <c r="E3706">
        <v>8.0</v>
      </c>
      <c r="F3706">
        <v>9.0</v>
      </c>
      <c r="G3706" s="2" t="s">
        <v>64</v>
      </c>
      <c r="H3706" s="2">
        <v>0.0</v>
      </c>
      <c r="I3706" s="2">
        <v>0.0</v>
      </c>
      <c r="J3706" s="37">
        <v>0.0</v>
      </c>
      <c r="K3706" s="2">
        <v>0.0</v>
      </c>
      <c r="L3706" s="2">
        <v>0.0</v>
      </c>
      <c r="M3706" s="37">
        <v>0.0</v>
      </c>
    </row>
    <row r="3707" ht="14.25" customHeight="1">
      <c r="A3707" t="s">
        <v>3771</v>
      </c>
      <c r="B3707" t="s">
        <v>3756</v>
      </c>
      <c r="C3707" t="s">
        <v>62</v>
      </c>
      <c r="D3707" t="s">
        <v>63</v>
      </c>
      <c r="E3707">
        <v>9.0</v>
      </c>
      <c r="F3707">
        <v>10.0</v>
      </c>
      <c r="G3707" s="2" t="s">
        <v>64</v>
      </c>
      <c r="H3707" s="2">
        <v>0.0</v>
      </c>
      <c r="I3707" s="2">
        <v>0.0</v>
      </c>
      <c r="J3707" s="37">
        <v>0.0</v>
      </c>
      <c r="K3707" s="2">
        <v>0.0</v>
      </c>
      <c r="L3707" s="2">
        <v>0.0</v>
      </c>
      <c r="M3707" s="37">
        <v>0.0</v>
      </c>
    </row>
    <row r="3708" ht="14.25" customHeight="1">
      <c r="A3708" t="s">
        <v>3772</v>
      </c>
      <c r="B3708" t="s">
        <v>3756</v>
      </c>
      <c r="C3708" t="s">
        <v>62</v>
      </c>
      <c r="D3708" t="s">
        <v>63</v>
      </c>
      <c r="E3708">
        <v>10.0</v>
      </c>
      <c r="F3708">
        <v>11.5</v>
      </c>
      <c r="G3708" s="2" t="s">
        <v>64</v>
      </c>
      <c r="H3708" s="2">
        <v>0.0</v>
      </c>
      <c r="I3708" s="2">
        <v>0.0</v>
      </c>
      <c r="J3708" s="37">
        <v>0.0</v>
      </c>
      <c r="K3708" s="2">
        <v>0.0</v>
      </c>
      <c r="L3708" s="2">
        <v>0.0</v>
      </c>
      <c r="M3708" s="37">
        <v>0.0</v>
      </c>
    </row>
    <row r="3709" ht="14.25" customHeight="1">
      <c r="A3709" t="s">
        <v>3773</v>
      </c>
      <c r="B3709" t="s">
        <v>3756</v>
      </c>
      <c r="C3709" t="s">
        <v>62</v>
      </c>
      <c r="D3709" t="s">
        <v>63</v>
      </c>
      <c r="E3709">
        <v>2.0</v>
      </c>
      <c r="F3709">
        <v>2.5</v>
      </c>
      <c r="G3709" s="2" t="s">
        <v>64</v>
      </c>
      <c r="H3709" s="2">
        <v>0.0</v>
      </c>
      <c r="I3709" s="2">
        <v>0.0</v>
      </c>
      <c r="J3709" s="37">
        <v>0.0</v>
      </c>
      <c r="K3709" s="2">
        <v>0.0</v>
      </c>
      <c r="L3709" s="2">
        <v>0.0</v>
      </c>
      <c r="M3709" s="37">
        <v>0.0</v>
      </c>
    </row>
    <row r="3710" ht="14.25" customHeight="1">
      <c r="A3710" t="s">
        <v>3774</v>
      </c>
      <c r="B3710" t="s">
        <v>3756</v>
      </c>
      <c r="C3710" t="s">
        <v>62</v>
      </c>
      <c r="D3710" t="s">
        <v>63</v>
      </c>
      <c r="E3710">
        <v>2.5</v>
      </c>
      <c r="F3710">
        <v>3.2</v>
      </c>
      <c r="G3710" s="2" t="s">
        <v>64</v>
      </c>
      <c r="H3710" s="2">
        <v>0.0</v>
      </c>
      <c r="I3710" s="2">
        <v>0.0</v>
      </c>
      <c r="J3710" s="37">
        <v>0.0</v>
      </c>
      <c r="K3710" s="2">
        <v>0.0</v>
      </c>
      <c r="L3710" s="2">
        <v>0.0</v>
      </c>
      <c r="M3710" s="37">
        <v>0.0</v>
      </c>
    </row>
    <row r="3711" ht="14.25" customHeight="1">
      <c r="A3711" t="s">
        <v>3775</v>
      </c>
      <c r="B3711" t="s">
        <v>3756</v>
      </c>
      <c r="C3711" t="s">
        <v>62</v>
      </c>
      <c r="D3711" t="s">
        <v>63</v>
      </c>
      <c r="E3711">
        <v>3.5</v>
      </c>
      <c r="F3711">
        <v>3.7</v>
      </c>
      <c r="G3711" s="2" t="s">
        <v>64</v>
      </c>
      <c r="H3711" s="2">
        <v>0.0</v>
      </c>
      <c r="I3711" s="2">
        <v>0.0</v>
      </c>
      <c r="J3711" s="37">
        <v>0.0</v>
      </c>
      <c r="K3711" s="2">
        <v>0.0</v>
      </c>
      <c r="L3711" s="2">
        <v>0.0</v>
      </c>
      <c r="M3711" s="37">
        <v>0.0</v>
      </c>
    </row>
    <row r="3712" ht="14.25" customHeight="1">
      <c r="A3712" t="s">
        <v>3776</v>
      </c>
      <c r="B3712" t="s">
        <v>3756</v>
      </c>
      <c r="C3712" t="s">
        <v>62</v>
      </c>
      <c r="D3712" t="s">
        <v>63</v>
      </c>
      <c r="E3712">
        <v>4.2</v>
      </c>
      <c r="F3712">
        <v>5.4</v>
      </c>
      <c r="G3712" s="2" t="s">
        <v>67</v>
      </c>
      <c r="H3712" s="2">
        <v>27.0</v>
      </c>
      <c r="I3712" s="2">
        <v>97.0</v>
      </c>
      <c r="J3712" s="37">
        <v>732.5200000000001</v>
      </c>
      <c r="K3712" s="2">
        <v>31.0</v>
      </c>
      <c r="L3712" s="2">
        <v>170.0</v>
      </c>
      <c r="M3712" s="37">
        <v>917.26</v>
      </c>
    </row>
    <row r="3713" ht="14.25" customHeight="1">
      <c r="A3713" t="s">
        <v>3777</v>
      </c>
      <c r="B3713" t="s">
        <v>3756</v>
      </c>
      <c r="C3713" t="s">
        <v>62</v>
      </c>
      <c r="D3713" t="s">
        <v>63</v>
      </c>
      <c r="E3713">
        <v>5.0</v>
      </c>
      <c r="F3713">
        <v>5.8</v>
      </c>
      <c r="G3713" s="2" t="s">
        <v>67</v>
      </c>
      <c r="H3713" s="2">
        <v>32.0</v>
      </c>
      <c r="I3713" s="2">
        <v>141.0</v>
      </c>
      <c r="J3713" s="37">
        <v>902.02</v>
      </c>
      <c r="K3713" s="2">
        <v>37.0</v>
      </c>
      <c r="L3713" s="2">
        <v>227.0</v>
      </c>
      <c r="M3713" s="37">
        <v>1126.12</v>
      </c>
    </row>
    <row r="3714" ht="14.25" customHeight="1">
      <c r="A3714" t="s">
        <v>3778</v>
      </c>
      <c r="B3714" t="s">
        <v>3756</v>
      </c>
      <c r="C3714" t="s">
        <v>62</v>
      </c>
      <c r="D3714" t="s">
        <v>63</v>
      </c>
      <c r="E3714">
        <v>6.0</v>
      </c>
      <c r="F3714">
        <v>6.9</v>
      </c>
      <c r="G3714" s="2" t="s">
        <v>67</v>
      </c>
      <c r="H3714" s="2">
        <v>37.0</v>
      </c>
      <c r="I3714" s="2">
        <v>164.0</v>
      </c>
      <c r="J3714" s="37">
        <v>1044.22</v>
      </c>
      <c r="K3714" s="2">
        <v>42.0</v>
      </c>
      <c r="L3714" s="2">
        <v>267.0</v>
      </c>
      <c r="M3714" s="37">
        <v>1290.42</v>
      </c>
    </row>
    <row r="3715" ht="14.25" customHeight="1">
      <c r="A3715" t="s">
        <v>3779</v>
      </c>
      <c r="B3715" t="s">
        <v>3756</v>
      </c>
      <c r="C3715" t="s">
        <v>62</v>
      </c>
      <c r="D3715" t="s">
        <v>63</v>
      </c>
      <c r="E3715">
        <v>7.1</v>
      </c>
      <c r="F3715">
        <v>8.0</v>
      </c>
      <c r="G3715" s="2" t="s">
        <v>67</v>
      </c>
      <c r="H3715" s="2">
        <v>41.0</v>
      </c>
      <c r="I3715" s="2">
        <v>114.0</v>
      </c>
      <c r="J3715" s="37">
        <v>1069.06</v>
      </c>
      <c r="K3715" s="2">
        <v>47.0</v>
      </c>
      <c r="L3715" s="2">
        <v>237.0</v>
      </c>
      <c r="M3715" s="37">
        <v>1363.7200000000003</v>
      </c>
    </row>
    <row r="3716" ht="14.25" customHeight="1">
      <c r="A3716" t="s">
        <v>3780</v>
      </c>
      <c r="B3716" t="s">
        <v>3756</v>
      </c>
      <c r="C3716" t="s">
        <v>75</v>
      </c>
      <c r="D3716" t="s">
        <v>63</v>
      </c>
      <c r="E3716">
        <v>20.0</v>
      </c>
      <c r="F3716">
        <v>22.4</v>
      </c>
      <c r="G3716" s="2" t="s">
        <v>64</v>
      </c>
      <c r="H3716" s="2">
        <v>0.0</v>
      </c>
      <c r="I3716" s="2">
        <v>0.0</v>
      </c>
      <c r="J3716" s="37">
        <v>0.0</v>
      </c>
      <c r="K3716" s="2">
        <v>0.0</v>
      </c>
      <c r="L3716" s="2">
        <v>0.0</v>
      </c>
      <c r="M3716" s="37">
        <v>0.0</v>
      </c>
    </row>
    <row r="3717" ht="14.25" customHeight="1">
      <c r="A3717" t="s">
        <v>3781</v>
      </c>
      <c r="B3717" t="s">
        <v>3756</v>
      </c>
      <c r="C3717" t="s">
        <v>75</v>
      </c>
      <c r="D3717" t="s">
        <v>63</v>
      </c>
      <c r="E3717">
        <v>24.0</v>
      </c>
      <c r="F3717">
        <v>27.0</v>
      </c>
      <c r="G3717" s="2" t="s">
        <v>64</v>
      </c>
      <c r="H3717" s="2">
        <v>0.0</v>
      </c>
      <c r="I3717" s="2">
        <v>0.0</v>
      </c>
      <c r="J3717" s="37">
        <v>0.0</v>
      </c>
      <c r="K3717" s="2">
        <v>0.0</v>
      </c>
      <c r="L3717" s="2">
        <v>0.0</v>
      </c>
      <c r="M3717" s="37">
        <v>0.0</v>
      </c>
    </row>
    <row r="3718" ht="14.25" customHeight="1">
      <c r="A3718" t="s">
        <v>3775</v>
      </c>
      <c r="B3718" t="s">
        <v>3675</v>
      </c>
      <c r="C3718" t="s">
        <v>62</v>
      </c>
      <c r="D3718" t="s">
        <v>63</v>
      </c>
      <c r="E3718">
        <v>3.5</v>
      </c>
      <c r="F3718">
        <v>3.7</v>
      </c>
      <c r="G3718" s="2" t="s">
        <v>64</v>
      </c>
      <c r="H3718" s="2">
        <v>0.0</v>
      </c>
      <c r="I3718" s="2">
        <v>0.0</v>
      </c>
      <c r="J3718" s="37">
        <v>0.0</v>
      </c>
      <c r="K3718" s="2">
        <v>0.0</v>
      </c>
      <c r="L3718" s="2">
        <v>0.0</v>
      </c>
      <c r="M3718" s="37">
        <v>0.0</v>
      </c>
    </row>
    <row r="3719" ht="14.25" customHeight="1">
      <c r="A3719" t="s">
        <v>3770</v>
      </c>
      <c r="B3719" t="s">
        <v>3675</v>
      </c>
      <c r="C3719" t="s">
        <v>62</v>
      </c>
      <c r="D3719" t="s">
        <v>63</v>
      </c>
      <c r="E3719">
        <v>8.0</v>
      </c>
      <c r="F3719">
        <v>9.0</v>
      </c>
      <c r="G3719" s="2" t="s">
        <v>64</v>
      </c>
      <c r="H3719" s="2">
        <v>0.0</v>
      </c>
      <c r="I3719" s="2">
        <v>0.0</v>
      </c>
      <c r="J3719" s="37">
        <v>0.0</v>
      </c>
      <c r="K3719" s="2">
        <v>0.0</v>
      </c>
      <c r="L3719" s="2">
        <v>0.0</v>
      </c>
      <c r="M3719" s="37">
        <v>0.0</v>
      </c>
    </row>
    <row r="3720" ht="14.25" customHeight="1">
      <c r="A3720" t="s">
        <v>3782</v>
      </c>
      <c r="B3720" t="s">
        <v>3675</v>
      </c>
      <c r="C3720" t="s">
        <v>75</v>
      </c>
      <c r="D3720" t="s">
        <v>63</v>
      </c>
      <c r="E3720">
        <v>5.0</v>
      </c>
      <c r="F3720">
        <v>5.6</v>
      </c>
      <c r="G3720" s="2" t="s">
        <v>64</v>
      </c>
      <c r="H3720" s="2">
        <v>0.0</v>
      </c>
      <c r="I3720" s="2">
        <v>0.0</v>
      </c>
      <c r="J3720" s="37">
        <v>0.0</v>
      </c>
      <c r="K3720" s="2">
        <v>0.0</v>
      </c>
      <c r="L3720" s="2">
        <v>0.0</v>
      </c>
      <c r="M3720" s="37">
        <v>0.0</v>
      </c>
    </row>
    <row r="3721" ht="14.25" customHeight="1">
      <c r="A3721" t="s">
        <v>3783</v>
      </c>
      <c r="B3721" t="s">
        <v>3756</v>
      </c>
      <c r="C3721" t="s">
        <v>62</v>
      </c>
      <c r="D3721" t="s">
        <v>63</v>
      </c>
      <c r="E3721">
        <v>8.0</v>
      </c>
      <c r="F3721">
        <v>9.0</v>
      </c>
      <c r="G3721" s="2" t="s">
        <v>64</v>
      </c>
      <c r="H3721" s="2">
        <v>0.0</v>
      </c>
      <c r="I3721" s="2">
        <v>0.0</v>
      </c>
      <c r="J3721" s="37">
        <v>0.0</v>
      </c>
      <c r="K3721" s="2">
        <v>0.0</v>
      </c>
      <c r="L3721" s="2">
        <v>0.0</v>
      </c>
      <c r="M3721" s="37">
        <v>0.0</v>
      </c>
    </row>
    <row r="3722" ht="14.25" customHeight="1">
      <c r="A3722" t="s">
        <v>3784</v>
      </c>
      <c r="B3722" t="s">
        <v>3756</v>
      </c>
      <c r="C3722" t="s">
        <v>62</v>
      </c>
      <c r="D3722" t="s">
        <v>63</v>
      </c>
      <c r="E3722">
        <v>3.5</v>
      </c>
      <c r="F3722">
        <v>3.7</v>
      </c>
      <c r="G3722" s="2" t="s">
        <v>64</v>
      </c>
      <c r="H3722" s="2">
        <v>0.0</v>
      </c>
      <c r="I3722" s="2">
        <v>0.0</v>
      </c>
      <c r="J3722" s="37">
        <v>0.0</v>
      </c>
      <c r="K3722" s="2">
        <v>0.0</v>
      </c>
      <c r="L3722" s="2">
        <v>0.0</v>
      </c>
      <c r="M3722" s="37">
        <v>0.0</v>
      </c>
    </row>
    <row r="3723" ht="14.25" customHeight="1">
      <c r="A3723" t="s">
        <v>3785</v>
      </c>
      <c r="B3723" t="s">
        <v>3756</v>
      </c>
      <c r="C3723" t="s">
        <v>62</v>
      </c>
      <c r="D3723" t="s">
        <v>63</v>
      </c>
      <c r="E3723">
        <v>5.0</v>
      </c>
      <c r="F3723">
        <v>5.6</v>
      </c>
      <c r="G3723" s="2" t="s">
        <v>64</v>
      </c>
      <c r="H3723" s="2">
        <v>0.0</v>
      </c>
      <c r="I3723" s="2">
        <v>0.0</v>
      </c>
      <c r="J3723" s="37">
        <v>0.0</v>
      </c>
      <c r="K3723" s="2">
        <v>0.0</v>
      </c>
      <c r="L3723" s="2">
        <v>0.0</v>
      </c>
      <c r="M3723" s="37">
        <v>0.0</v>
      </c>
    </row>
    <row r="3724" ht="14.25" customHeight="1">
      <c r="A3724" t="s">
        <v>3786</v>
      </c>
      <c r="B3724" t="s">
        <v>3756</v>
      </c>
      <c r="C3724" t="s">
        <v>62</v>
      </c>
      <c r="D3724" t="s">
        <v>63</v>
      </c>
      <c r="E3724">
        <v>7.1</v>
      </c>
      <c r="F3724">
        <v>8.0</v>
      </c>
      <c r="G3724" s="2" t="s">
        <v>67</v>
      </c>
      <c r="H3724" s="2">
        <v>40.0</v>
      </c>
      <c r="I3724" s="2">
        <v>215.0</v>
      </c>
      <c r="J3724" s="37">
        <v>1177.9</v>
      </c>
      <c r="K3724" s="2">
        <v>46.0</v>
      </c>
      <c r="L3724" s="2">
        <v>338.0</v>
      </c>
      <c r="M3724" s="37">
        <v>1472.5600000000002</v>
      </c>
    </row>
    <row r="3725" ht="14.25" customHeight="1">
      <c r="A3725" t="s">
        <v>3787</v>
      </c>
      <c r="B3725" t="s">
        <v>3756</v>
      </c>
      <c r="C3725" t="s">
        <v>75</v>
      </c>
      <c r="D3725" t="s">
        <v>63</v>
      </c>
      <c r="E3725">
        <v>5.0</v>
      </c>
      <c r="F3725">
        <v>5.6</v>
      </c>
      <c r="G3725" s="2" t="s">
        <v>67</v>
      </c>
      <c r="H3725" s="2">
        <v>31.0</v>
      </c>
      <c r="I3725" s="2">
        <v>147.0</v>
      </c>
      <c r="J3725" s="37">
        <v>887.36</v>
      </c>
      <c r="K3725" s="2">
        <v>36.0</v>
      </c>
      <c r="L3725" s="2">
        <v>244.0</v>
      </c>
      <c r="M3725" s="37">
        <v>1125.76</v>
      </c>
    </row>
    <row r="3726" ht="14.25" customHeight="1">
      <c r="A3726" t="s">
        <v>3788</v>
      </c>
      <c r="B3726" t="s">
        <v>3756</v>
      </c>
      <c r="C3726" t="s">
        <v>75</v>
      </c>
      <c r="D3726" t="s">
        <v>63</v>
      </c>
      <c r="E3726">
        <v>7.1</v>
      </c>
      <c r="F3726">
        <v>8.0</v>
      </c>
      <c r="G3726" s="2" t="s">
        <v>64</v>
      </c>
      <c r="H3726" s="2">
        <v>0.0</v>
      </c>
      <c r="I3726" s="2">
        <v>0.0</v>
      </c>
      <c r="J3726" s="37">
        <v>0.0</v>
      </c>
      <c r="K3726" s="2">
        <v>0.0</v>
      </c>
      <c r="L3726" s="2">
        <v>0.0</v>
      </c>
      <c r="M3726" s="37">
        <v>0.0</v>
      </c>
    </row>
    <row r="3727" ht="14.25" customHeight="1">
      <c r="A3727" t="s">
        <v>3789</v>
      </c>
      <c r="B3727" t="s">
        <v>3756</v>
      </c>
      <c r="C3727" t="s">
        <v>75</v>
      </c>
      <c r="D3727" t="s">
        <v>63</v>
      </c>
      <c r="E3727">
        <v>10.0</v>
      </c>
      <c r="F3727">
        <v>11.2</v>
      </c>
      <c r="G3727" s="2" t="s">
        <v>64</v>
      </c>
      <c r="H3727" s="2">
        <v>0.0</v>
      </c>
      <c r="I3727" s="2">
        <v>0.0</v>
      </c>
      <c r="J3727" s="37">
        <v>0.0</v>
      </c>
      <c r="K3727" s="2">
        <v>0.0</v>
      </c>
      <c r="L3727" s="2">
        <v>0.0</v>
      </c>
      <c r="M3727" s="37">
        <v>0.0</v>
      </c>
    </row>
    <row r="3728" ht="14.25" customHeight="1">
      <c r="A3728" t="s">
        <v>3790</v>
      </c>
      <c r="B3728" t="s">
        <v>3756</v>
      </c>
      <c r="C3728" t="s">
        <v>75</v>
      </c>
      <c r="D3728" t="s">
        <v>63</v>
      </c>
      <c r="E3728">
        <v>10.0</v>
      </c>
      <c r="F3728">
        <v>11.2</v>
      </c>
      <c r="G3728" s="2" t="s">
        <v>64</v>
      </c>
      <c r="H3728" s="2">
        <v>0.0</v>
      </c>
      <c r="I3728" s="2">
        <v>0.0</v>
      </c>
      <c r="J3728" s="37">
        <v>0.0</v>
      </c>
      <c r="K3728" s="2">
        <v>0.0</v>
      </c>
      <c r="L3728" s="2">
        <v>0.0</v>
      </c>
      <c r="M3728" s="37">
        <v>0.0</v>
      </c>
    </row>
    <row r="3729" ht="14.25" customHeight="1">
      <c r="A3729" t="s">
        <v>3791</v>
      </c>
      <c r="B3729" t="s">
        <v>3756</v>
      </c>
      <c r="C3729" t="s">
        <v>75</v>
      </c>
      <c r="D3729" t="s">
        <v>63</v>
      </c>
      <c r="E3729">
        <v>12.5</v>
      </c>
      <c r="F3729">
        <v>14.0</v>
      </c>
      <c r="G3729" s="2" t="s">
        <v>64</v>
      </c>
      <c r="H3729" s="2">
        <v>0.0</v>
      </c>
      <c r="I3729" s="2">
        <v>0.0</v>
      </c>
      <c r="J3729" s="37">
        <v>0.0</v>
      </c>
      <c r="K3729" s="2">
        <v>0.0</v>
      </c>
      <c r="L3729" s="2">
        <v>0.0</v>
      </c>
      <c r="M3729" s="37">
        <v>0.0</v>
      </c>
    </row>
    <row r="3730" ht="14.25" customHeight="1">
      <c r="A3730" t="s">
        <v>3792</v>
      </c>
      <c r="B3730" t="s">
        <v>3756</v>
      </c>
      <c r="C3730" t="s">
        <v>75</v>
      </c>
      <c r="D3730" t="s">
        <v>63</v>
      </c>
      <c r="E3730">
        <v>12.5</v>
      </c>
      <c r="F3730">
        <v>14.0</v>
      </c>
      <c r="G3730" s="2" t="s">
        <v>64</v>
      </c>
      <c r="H3730" s="2">
        <v>0.0</v>
      </c>
      <c r="I3730" s="2">
        <v>0.0</v>
      </c>
      <c r="J3730" s="37">
        <v>0.0</v>
      </c>
      <c r="K3730" s="2">
        <v>0.0</v>
      </c>
      <c r="L3730" s="2">
        <v>0.0</v>
      </c>
      <c r="M3730" s="37">
        <v>0.0</v>
      </c>
    </row>
    <row r="3731" ht="14.25" customHeight="1">
      <c r="A3731" t="s">
        <v>3793</v>
      </c>
      <c r="B3731" t="s">
        <v>3756</v>
      </c>
      <c r="C3731" t="s">
        <v>75</v>
      </c>
      <c r="D3731" t="s">
        <v>63</v>
      </c>
      <c r="E3731">
        <v>14.0</v>
      </c>
      <c r="F3731">
        <v>16.0</v>
      </c>
      <c r="G3731" s="2" t="s">
        <v>67</v>
      </c>
      <c r="H3731" s="2">
        <v>76.0</v>
      </c>
      <c r="I3731" s="2">
        <v>160.0</v>
      </c>
      <c r="J3731" s="37">
        <v>1914.96</v>
      </c>
      <c r="K3731" s="2">
        <v>90.0</v>
      </c>
      <c r="L3731" s="2">
        <v>431.0</v>
      </c>
      <c r="M3731" s="37">
        <v>2581.7000000000003</v>
      </c>
    </row>
    <row r="3732" ht="14.25" customHeight="1">
      <c r="A3732" t="s">
        <v>3794</v>
      </c>
      <c r="B3732" t="s">
        <v>3756</v>
      </c>
      <c r="C3732" t="s">
        <v>75</v>
      </c>
      <c r="D3732" t="s">
        <v>63</v>
      </c>
      <c r="E3732">
        <v>14.0</v>
      </c>
      <c r="F3732">
        <v>16.0</v>
      </c>
      <c r="G3732" s="2" t="s">
        <v>67</v>
      </c>
      <c r="H3732" s="2">
        <v>76.0</v>
      </c>
      <c r="I3732" s="2">
        <v>160.0</v>
      </c>
      <c r="J3732" s="37">
        <v>1914.96</v>
      </c>
      <c r="K3732" s="2">
        <v>90.0</v>
      </c>
      <c r="L3732" s="2">
        <v>431.0</v>
      </c>
      <c r="M3732" s="37">
        <v>2581.7000000000003</v>
      </c>
    </row>
    <row r="3733" ht="14.25" customHeight="1">
      <c r="A3733" t="s">
        <v>3795</v>
      </c>
      <c r="B3733" t="s">
        <v>3756</v>
      </c>
      <c r="C3733" t="s">
        <v>75</v>
      </c>
      <c r="D3733" t="s">
        <v>63</v>
      </c>
      <c r="E3733">
        <v>5.0</v>
      </c>
      <c r="F3733">
        <v>5.6</v>
      </c>
      <c r="G3733" s="2" t="s">
        <v>67</v>
      </c>
      <c r="H3733" s="2">
        <v>30.0</v>
      </c>
      <c r="I3733" s="2">
        <v>108.0</v>
      </c>
      <c r="J3733" s="37">
        <v>814.2</v>
      </c>
      <c r="K3733" s="2">
        <v>35.0</v>
      </c>
      <c r="L3733" s="2">
        <v>205.0</v>
      </c>
      <c r="M3733" s="37">
        <v>1052.6</v>
      </c>
    </row>
    <row r="3734" ht="14.25" customHeight="1">
      <c r="A3734" t="s">
        <v>3796</v>
      </c>
      <c r="B3734" t="s">
        <v>3756</v>
      </c>
      <c r="C3734" t="s">
        <v>75</v>
      </c>
      <c r="D3734" t="s">
        <v>63</v>
      </c>
      <c r="E3734">
        <v>7.1</v>
      </c>
      <c r="F3734">
        <v>8.0</v>
      </c>
      <c r="G3734" s="2" t="s">
        <v>64</v>
      </c>
      <c r="H3734" s="2">
        <v>0.0</v>
      </c>
      <c r="I3734" s="2">
        <v>0.0</v>
      </c>
      <c r="J3734" s="37">
        <v>0.0</v>
      </c>
      <c r="K3734" s="2">
        <v>0.0</v>
      </c>
      <c r="L3734" s="2">
        <v>0.0</v>
      </c>
      <c r="M3734" s="37">
        <v>0.0</v>
      </c>
    </row>
    <row r="3735" ht="14.25" customHeight="1">
      <c r="A3735" t="s">
        <v>3797</v>
      </c>
      <c r="B3735" t="s">
        <v>3756</v>
      </c>
      <c r="C3735" t="s">
        <v>75</v>
      </c>
      <c r="D3735" t="s">
        <v>63</v>
      </c>
      <c r="E3735">
        <v>10.0</v>
      </c>
      <c r="F3735">
        <v>11.2</v>
      </c>
      <c r="G3735" s="2" t="s">
        <v>67</v>
      </c>
      <c r="H3735" s="2">
        <v>60.0</v>
      </c>
      <c r="I3735" s="2">
        <v>440.0</v>
      </c>
      <c r="J3735" s="37">
        <v>1919.6000000000001</v>
      </c>
      <c r="K3735" s="2">
        <v>70.0</v>
      </c>
      <c r="L3735" s="2">
        <v>634.0</v>
      </c>
      <c r="M3735" s="37">
        <v>2396.4</v>
      </c>
    </row>
    <row r="3736" ht="14.25" customHeight="1">
      <c r="A3736" t="s">
        <v>3798</v>
      </c>
      <c r="B3736" t="s">
        <v>3756</v>
      </c>
      <c r="C3736" t="s">
        <v>75</v>
      </c>
      <c r="D3736" t="s">
        <v>63</v>
      </c>
      <c r="E3736">
        <v>10.0</v>
      </c>
      <c r="F3736">
        <v>11.2</v>
      </c>
      <c r="G3736" s="2" t="s">
        <v>67</v>
      </c>
      <c r="H3736" s="2">
        <v>60.0</v>
      </c>
      <c r="I3736" s="2">
        <v>440.0</v>
      </c>
      <c r="J3736" s="37">
        <v>1919.6000000000001</v>
      </c>
      <c r="K3736" s="2">
        <v>70.0</v>
      </c>
      <c r="L3736" s="2">
        <v>634.0</v>
      </c>
      <c r="M3736" s="37">
        <v>2396.4</v>
      </c>
    </row>
    <row r="3737" ht="14.25" customHeight="1">
      <c r="A3737" t="s">
        <v>3799</v>
      </c>
      <c r="B3737" t="s">
        <v>3756</v>
      </c>
      <c r="C3737" t="s">
        <v>75</v>
      </c>
      <c r="D3737" t="s">
        <v>63</v>
      </c>
      <c r="E3737">
        <v>12.5</v>
      </c>
      <c r="F3737">
        <v>14.0</v>
      </c>
      <c r="G3737" s="2" t="s">
        <v>64</v>
      </c>
      <c r="H3737" s="2">
        <v>0.0</v>
      </c>
      <c r="I3737" s="2">
        <v>0.0</v>
      </c>
      <c r="J3737" s="37">
        <v>0.0</v>
      </c>
      <c r="K3737" s="2">
        <v>0.0</v>
      </c>
      <c r="L3737" s="2">
        <v>0.0</v>
      </c>
      <c r="M3737" s="37">
        <v>0.0</v>
      </c>
    </row>
    <row r="3738" ht="14.25" customHeight="1">
      <c r="A3738" t="s">
        <v>3800</v>
      </c>
      <c r="B3738" t="s">
        <v>3756</v>
      </c>
      <c r="C3738" t="s">
        <v>75</v>
      </c>
      <c r="D3738" t="s">
        <v>63</v>
      </c>
      <c r="E3738">
        <v>12.5</v>
      </c>
      <c r="F3738">
        <v>14.0</v>
      </c>
      <c r="G3738" s="2" t="s">
        <v>64</v>
      </c>
      <c r="H3738" s="2">
        <v>0.0</v>
      </c>
      <c r="I3738" s="2">
        <v>0.0</v>
      </c>
      <c r="J3738" s="37">
        <v>0.0</v>
      </c>
      <c r="K3738" s="2">
        <v>0.0</v>
      </c>
      <c r="L3738" s="2">
        <v>0.0</v>
      </c>
      <c r="M3738" s="37">
        <v>0.0</v>
      </c>
    </row>
    <row r="3739" ht="14.25" customHeight="1">
      <c r="A3739" t="s">
        <v>3801</v>
      </c>
      <c r="B3739" t="s">
        <v>3756</v>
      </c>
      <c r="C3739" t="s">
        <v>75</v>
      </c>
      <c r="D3739" t="s">
        <v>63</v>
      </c>
      <c r="E3739">
        <v>14.0</v>
      </c>
      <c r="F3739">
        <v>16.0</v>
      </c>
      <c r="G3739" s="2" t="s">
        <v>67</v>
      </c>
      <c r="H3739" s="2">
        <v>77.0</v>
      </c>
      <c r="I3739" s="2">
        <v>104.0</v>
      </c>
      <c r="J3739" s="37">
        <v>1864.6200000000001</v>
      </c>
      <c r="K3739" s="2">
        <v>91.0</v>
      </c>
      <c r="L3739" s="2">
        <v>375.0</v>
      </c>
      <c r="M3739" s="37">
        <v>2531.36</v>
      </c>
    </row>
    <row r="3740" ht="14.25" customHeight="1">
      <c r="A3740" t="s">
        <v>3802</v>
      </c>
      <c r="B3740" t="s">
        <v>3756</v>
      </c>
      <c r="C3740" t="s">
        <v>75</v>
      </c>
      <c r="D3740" t="s">
        <v>63</v>
      </c>
      <c r="E3740">
        <v>14.0</v>
      </c>
      <c r="F3740">
        <v>16.0</v>
      </c>
      <c r="G3740" s="2" t="s">
        <v>67</v>
      </c>
      <c r="H3740" s="2">
        <v>77.0</v>
      </c>
      <c r="I3740" s="2">
        <v>104.0</v>
      </c>
      <c r="J3740" s="37">
        <v>1864.6200000000001</v>
      </c>
      <c r="K3740" s="2">
        <v>91.0</v>
      </c>
      <c r="L3740" s="2">
        <v>375.0</v>
      </c>
      <c r="M3740" s="37">
        <v>2531.36</v>
      </c>
    </row>
    <row r="3741" ht="14.25" customHeight="1">
      <c r="A3741" t="s">
        <v>3803</v>
      </c>
      <c r="B3741" t="s">
        <v>3756</v>
      </c>
      <c r="C3741" t="s">
        <v>62</v>
      </c>
      <c r="D3741" t="s">
        <v>63</v>
      </c>
      <c r="E3741">
        <v>5.0</v>
      </c>
      <c r="F3741">
        <v>5.6</v>
      </c>
      <c r="G3741" s="2" t="s">
        <v>67</v>
      </c>
      <c r="H3741" s="2">
        <v>33.0</v>
      </c>
      <c r="I3741" s="2">
        <v>186.0</v>
      </c>
      <c r="J3741" s="37">
        <v>982.98</v>
      </c>
      <c r="K3741" s="2">
        <v>37.0</v>
      </c>
      <c r="L3741" s="2">
        <v>272.0</v>
      </c>
      <c r="M3741" s="37">
        <v>1184.62</v>
      </c>
    </row>
    <row r="3742" ht="14.25" customHeight="1">
      <c r="A3742" t="s">
        <v>3804</v>
      </c>
      <c r="B3742" t="s">
        <v>3756</v>
      </c>
      <c r="C3742" t="s">
        <v>62</v>
      </c>
      <c r="D3742" t="s">
        <v>63</v>
      </c>
      <c r="E3742">
        <v>7.1</v>
      </c>
      <c r="F3742">
        <v>8.0</v>
      </c>
      <c r="G3742" s="2" t="s">
        <v>67</v>
      </c>
      <c r="H3742" s="2">
        <v>42.0</v>
      </c>
      <c r="I3742" s="2">
        <v>238.0</v>
      </c>
      <c r="J3742" s="37">
        <v>1252.72</v>
      </c>
      <c r="K3742" s="2">
        <v>48.0</v>
      </c>
      <c r="L3742" s="2">
        <v>360.0</v>
      </c>
      <c r="M3742" s="37">
        <v>1546.08</v>
      </c>
    </row>
    <row r="3743" ht="14.25" customHeight="1">
      <c r="A3743" t="s">
        <v>3805</v>
      </c>
      <c r="B3743" t="s">
        <v>3756</v>
      </c>
      <c r="C3743" t="s">
        <v>62</v>
      </c>
      <c r="D3743" t="s">
        <v>63</v>
      </c>
      <c r="E3743">
        <v>10.0</v>
      </c>
      <c r="F3743">
        <v>11.2</v>
      </c>
      <c r="G3743" s="2" t="s">
        <v>67</v>
      </c>
      <c r="H3743" s="2">
        <v>63.0</v>
      </c>
      <c r="I3743" s="2">
        <v>507.0</v>
      </c>
      <c r="J3743" s="37">
        <v>2074.08</v>
      </c>
      <c r="K3743" s="2">
        <v>73.0</v>
      </c>
      <c r="L3743" s="2">
        <v>701.0</v>
      </c>
      <c r="M3743" s="37">
        <v>2550.88</v>
      </c>
    </row>
    <row r="3744" ht="14.25" customHeight="1">
      <c r="A3744" t="s">
        <v>3806</v>
      </c>
      <c r="B3744" t="s">
        <v>3756</v>
      </c>
      <c r="C3744" t="s">
        <v>62</v>
      </c>
      <c r="D3744" t="s">
        <v>63</v>
      </c>
      <c r="E3744">
        <v>10.0</v>
      </c>
      <c r="F3744">
        <v>11.2</v>
      </c>
      <c r="G3744" s="2" t="s">
        <v>67</v>
      </c>
      <c r="H3744" s="2">
        <v>63.0</v>
      </c>
      <c r="I3744" s="2">
        <v>507.0</v>
      </c>
      <c r="J3744" s="37">
        <v>2074.08</v>
      </c>
      <c r="K3744" s="2">
        <v>73.0</v>
      </c>
      <c r="L3744" s="2">
        <v>701.0</v>
      </c>
      <c r="M3744" s="37">
        <v>2550.88</v>
      </c>
    </row>
    <row r="3745" ht="14.25" customHeight="1">
      <c r="A3745" t="s">
        <v>3807</v>
      </c>
      <c r="B3745" t="s">
        <v>3756</v>
      </c>
      <c r="C3745" t="s">
        <v>62</v>
      </c>
      <c r="D3745" t="s">
        <v>63</v>
      </c>
      <c r="E3745">
        <v>12.5</v>
      </c>
      <c r="F3745">
        <v>14.0</v>
      </c>
      <c r="G3745" s="2" t="s">
        <v>64</v>
      </c>
      <c r="H3745" s="2">
        <v>0.0</v>
      </c>
      <c r="I3745" s="2">
        <v>0.0</v>
      </c>
      <c r="J3745" s="37">
        <v>0.0</v>
      </c>
      <c r="K3745" s="2">
        <v>0.0</v>
      </c>
      <c r="L3745" s="2">
        <v>0.0</v>
      </c>
      <c r="M3745" s="37">
        <v>0.0</v>
      </c>
    </row>
    <row r="3746" ht="14.25" customHeight="1">
      <c r="A3746" t="s">
        <v>3808</v>
      </c>
      <c r="B3746" t="s">
        <v>3756</v>
      </c>
      <c r="C3746" t="s">
        <v>62</v>
      </c>
      <c r="D3746" t="s">
        <v>63</v>
      </c>
      <c r="E3746">
        <v>12.5</v>
      </c>
      <c r="F3746">
        <v>14.0</v>
      </c>
      <c r="G3746" s="2" t="s">
        <v>64</v>
      </c>
      <c r="H3746" s="2">
        <v>0.0</v>
      </c>
      <c r="I3746" s="2">
        <v>0.0</v>
      </c>
      <c r="J3746" s="37">
        <v>0.0</v>
      </c>
      <c r="K3746" s="2">
        <v>0.0</v>
      </c>
      <c r="L3746" s="2">
        <v>0.0</v>
      </c>
      <c r="M3746" s="37">
        <v>0.0</v>
      </c>
    </row>
    <row r="3747" ht="14.25" customHeight="1">
      <c r="A3747" t="s">
        <v>3809</v>
      </c>
      <c r="B3747" t="s">
        <v>3756</v>
      </c>
      <c r="C3747" t="s">
        <v>62</v>
      </c>
      <c r="D3747" t="s">
        <v>63</v>
      </c>
      <c r="E3747">
        <v>14.0</v>
      </c>
      <c r="F3747">
        <v>16.0</v>
      </c>
      <c r="G3747" s="2" t="s">
        <v>67</v>
      </c>
      <c r="H3747" s="2">
        <v>81.0</v>
      </c>
      <c r="I3747" s="2">
        <v>104.0</v>
      </c>
      <c r="J3747" s="37">
        <v>1954.46</v>
      </c>
      <c r="K3747" s="2">
        <v>96.0</v>
      </c>
      <c r="L3747" s="2">
        <v>375.0</v>
      </c>
      <c r="M3747" s="37">
        <v>2643.66</v>
      </c>
    </row>
    <row r="3748" ht="14.25" customHeight="1">
      <c r="A3748" t="s">
        <v>3810</v>
      </c>
      <c r="B3748" t="s">
        <v>3756</v>
      </c>
      <c r="C3748" t="s">
        <v>62</v>
      </c>
      <c r="D3748" t="s">
        <v>63</v>
      </c>
      <c r="E3748">
        <v>14.0</v>
      </c>
      <c r="F3748">
        <v>16.0</v>
      </c>
      <c r="G3748" s="2" t="s">
        <v>67</v>
      </c>
      <c r="H3748" s="2">
        <v>81.0</v>
      </c>
      <c r="I3748" s="2">
        <v>104.0</v>
      </c>
      <c r="J3748" s="37">
        <v>1954.46</v>
      </c>
      <c r="K3748" s="2">
        <v>96.0</v>
      </c>
      <c r="L3748" s="2">
        <v>375.0</v>
      </c>
      <c r="M3748" s="37">
        <v>2643.66</v>
      </c>
    </row>
    <row r="3749" ht="14.25" customHeight="1">
      <c r="A3749" t="s">
        <v>3811</v>
      </c>
      <c r="B3749" t="s">
        <v>3756</v>
      </c>
      <c r="C3749" t="s">
        <v>62</v>
      </c>
      <c r="D3749" t="s">
        <v>63</v>
      </c>
      <c r="E3749">
        <v>5.0</v>
      </c>
      <c r="F3749">
        <v>5.6</v>
      </c>
      <c r="G3749" s="2" t="s">
        <v>64</v>
      </c>
      <c r="H3749" s="2">
        <v>0.0</v>
      </c>
      <c r="I3749" s="2">
        <v>0.0</v>
      </c>
      <c r="J3749" s="37">
        <v>0.0</v>
      </c>
      <c r="K3749" s="2">
        <v>0.0</v>
      </c>
      <c r="L3749" s="2">
        <v>0.0</v>
      </c>
      <c r="M3749" s="37">
        <v>0.0</v>
      </c>
    </row>
    <row r="3750" ht="14.25" customHeight="1">
      <c r="A3750" t="s">
        <v>3812</v>
      </c>
      <c r="B3750" t="s">
        <v>3756</v>
      </c>
      <c r="C3750" t="s">
        <v>62</v>
      </c>
      <c r="D3750" t="s">
        <v>63</v>
      </c>
      <c r="E3750">
        <v>7.1</v>
      </c>
      <c r="F3750">
        <v>8.0</v>
      </c>
      <c r="G3750" s="2" t="s">
        <v>67</v>
      </c>
      <c r="H3750" s="2">
        <v>42.0</v>
      </c>
      <c r="I3750" s="2">
        <v>322.0</v>
      </c>
      <c r="J3750" s="37">
        <v>1361.92</v>
      </c>
      <c r="K3750" s="2">
        <v>48.0</v>
      </c>
      <c r="L3750" s="2">
        <v>444.0</v>
      </c>
      <c r="M3750" s="37">
        <v>1655.28</v>
      </c>
    </row>
    <row r="3751" ht="14.25" customHeight="1">
      <c r="A3751" t="s">
        <v>3813</v>
      </c>
      <c r="B3751" t="s">
        <v>3756</v>
      </c>
      <c r="C3751" t="s">
        <v>62</v>
      </c>
      <c r="D3751" t="s">
        <v>63</v>
      </c>
      <c r="E3751">
        <v>10.0</v>
      </c>
      <c r="F3751">
        <v>11.2</v>
      </c>
      <c r="G3751" s="2" t="s">
        <v>67</v>
      </c>
      <c r="H3751" s="2">
        <v>62.0</v>
      </c>
      <c r="I3751" s="2">
        <v>457.0</v>
      </c>
      <c r="J3751" s="37">
        <v>1986.62</v>
      </c>
      <c r="K3751" s="2">
        <v>72.0</v>
      </c>
      <c r="L3751" s="2">
        <v>651.0</v>
      </c>
      <c r="M3751" s="37">
        <v>2463.42</v>
      </c>
    </row>
    <row r="3752" ht="14.25" customHeight="1">
      <c r="A3752" t="s">
        <v>3814</v>
      </c>
      <c r="B3752" t="s">
        <v>3756</v>
      </c>
      <c r="C3752" t="s">
        <v>62</v>
      </c>
      <c r="D3752" t="s">
        <v>63</v>
      </c>
      <c r="E3752">
        <v>10.0</v>
      </c>
      <c r="F3752">
        <v>11.2</v>
      </c>
      <c r="G3752" s="2" t="s">
        <v>67</v>
      </c>
      <c r="H3752" s="2">
        <v>62.0</v>
      </c>
      <c r="I3752" s="2">
        <v>457.0</v>
      </c>
      <c r="J3752" s="37">
        <v>1986.62</v>
      </c>
      <c r="K3752" s="2">
        <v>72.0</v>
      </c>
      <c r="L3752" s="2">
        <v>651.0</v>
      </c>
      <c r="M3752" s="37">
        <v>2463.42</v>
      </c>
    </row>
    <row r="3753" ht="14.25" customHeight="1">
      <c r="A3753" t="s">
        <v>3815</v>
      </c>
      <c r="B3753" t="s">
        <v>3756</v>
      </c>
      <c r="C3753" t="s">
        <v>62</v>
      </c>
      <c r="D3753" t="s">
        <v>63</v>
      </c>
      <c r="E3753">
        <v>12.5</v>
      </c>
      <c r="F3753">
        <v>14.0</v>
      </c>
      <c r="G3753" s="2" t="s">
        <v>67</v>
      </c>
      <c r="H3753" s="2">
        <v>74.0</v>
      </c>
      <c r="I3753" s="2">
        <v>309.0</v>
      </c>
      <c r="J3753" s="37">
        <v>2063.74</v>
      </c>
      <c r="K3753" s="2">
        <v>86.0</v>
      </c>
      <c r="L3753" s="2">
        <v>551.0</v>
      </c>
      <c r="M3753" s="37">
        <v>2647.86</v>
      </c>
    </row>
    <row r="3754" ht="14.25" customHeight="1">
      <c r="A3754" t="s">
        <v>3816</v>
      </c>
      <c r="B3754" t="s">
        <v>3756</v>
      </c>
      <c r="C3754" t="s">
        <v>62</v>
      </c>
      <c r="D3754" t="s">
        <v>63</v>
      </c>
      <c r="E3754">
        <v>12.5</v>
      </c>
      <c r="F3754">
        <v>14.0</v>
      </c>
      <c r="G3754" s="2" t="s">
        <v>67</v>
      </c>
      <c r="H3754" s="2">
        <v>73.0</v>
      </c>
      <c r="I3754" s="2">
        <v>309.0</v>
      </c>
      <c r="J3754" s="37">
        <v>2041.2800000000002</v>
      </c>
      <c r="K3754" s="2">
        <v>86.0</v>
      </c>
      <c r="L3754" s="2">
        <v>551.0</v>
      </c>
      <c r="M3754" s="37">
        <v>2647.86</v>
      </c>
    </row>
    <row r="3755" ht="14.25" customHeight="1">
      <c r="A3755" t="s">
        <v>3817</v>
      </c>
      <c r="B3755" t="s">
        <v>3756</v>
      </c>
      <c r="C3755" t="s">
        <v>62</v>
      </c>
      <c r="D3755" t="s">
        <v>63</v>
      </c>
      <c r="E3755">
        <v>14.0</v>
      </c>
      <c r="F3755">
        <v>16.0</v>
      </c>
      <c r="G3755" s="2" t="s">
        <v>67</v>
      </c>
      <c r="H3755" s="2">
        <v>81.0</v>
      </c>
      <c r="I3755" s="2">
        <v>222.0</v>
      </c>
      <c r="J3755" s="37">
        <v>2107.86</v>
      </c>
      <c r="K3755" s="2">
        <v>96.0</v>
      </c>
      <c r="L3755" s="2">
        <v>493.0</v>
      </c>
      <c r="M3755" s="37">
        <v>2797.06</v>
      </c>
    </row>
    <row r="3756" ht="14.25" customHeight="1">
      <c r="A3756" t="s">
        <v>3818</v>
      </c>
      <c r="B3756" t="s">
        <v>3756</v>
      </c>
      <c r="C3756" t="s">
        <v>62</v>
      </c>
      <c r="D3756" t="s">
        <v>63</v>
      </c>
      <c r="E3756">
        <v>14.0</v>
      </c>
      <c r="F3756">
        <v>16.0</v>
      </c>
      <c r="G3756" s="2" t="s">
        <v>67</v>
      </c>
      <c r="H3756" s="2">
        <v>81.0</v>
      </c>
      <c r="I3756" s="2">
        <v>222.0</v>
      </c>
      <c r="J3756" s="37">
        <v>2107.86</v>
      </c>
      <c r="K3756" s="2">
        <v>95.0</v>
      </c>
      <c r="L3756" s="2">
        <v>493.0</v>
      </c>
      <c r="M3756" s="37">
        <v>2774.6000000000004</v>
      </c>
    </row>
    <row r="3757" ht="14.25" customHeight="1">
      <c r="A3757" t="s">
        <v>3819</v>
      </c>
      <c r="B3757" t="s">
        <v>3756</v>
      </c>
      <c r="C3757" t="s">
        <v>62</v>
      </c>
      <c r="D3757" t="s">
        <v>63</v>
      </c>
      <c r="E3757">
        <v>2.5</v>
      </c>
      <c r="F3757">
        <v>3.4</v>
      </c>
      <c r="G3757" s="2" t="s">
        <v>64</v>
      </c>
      <c r="H3757" s="2">
        <v>0.0</v>
      </c>
      <c r="I3757" s="2">
        <v>0.0</v>
      </c>
      <c r="J3757" s="37">
        <v>0.0</v>
      </c>
      <c r="K3757" s="2">
        <v>0.0</v>
      </c>
      <c r="L3757" s="2">
        <v>0.0</v>
      </c>
      <c r="M3757" s="37">
        <v>0.0</v>
      </c>
    </row>
    <row r="3758" ht="14.25" customHeight="1">
      <c r="A3758" t="s">
        <v>3820</v>
      </c>
      <c r="B3758" t="s">
        <v>3756</v>
      </c>
      <c r="C3758" t="s">
        <v>62</v>
      </c>
      <c r="D3758" t="s">
        <v>63</v>
      </c>
      <c r="E3758">
        <v>3.6</v>
      </c>
      <c r="F3758">
        <v>4.0</v>
      </c>
      <c r="G3758" s="2" t="s">
        <v>64</v>
      </c>
      <c r="H3758" s="2">
        <v>0.0</v>
      </c>
      <c r="I3758" s="2">
        <v>0.0</v>
      </c>
      <c r="J3758" s="37">
        <v>0.0</v>
      </c>
      <c r="K3758" s="2">
        <v>0.0</v>
      </c>
      <c r="L3758" s="2">
        <v>0.0</v>
      </c>
      <c r="M3758" s="37">
        <v>0.0</v>
      </c>
    </row>
    <row r="3759" ht="14.25" customHeight="1">
      <c r="A3759" t="s">
        <v>3821</v>
      </c>
      <c r="B3759" t="s">
        <v>3756</v>
      </c>
      <c r="C3759" t="s">
        <v>62</v>
      </c>
      <c r="D3759" t="s">
        <v>63</v>
      </c>
      <c r="E3759">
        <v>5.0</v>
      </c>
      <c r="F3759">
        <v>5.3</v>
      </c>
      <c r="G3759" s="2" t="s">
        <v>64</v>
      </c>
      <c r="H3759" s="2">
        <v>0.0</v>
      </c>
      <c r="I3759" s="2">
        <v>0.0</v>
      </c>
      <c r="J3759" s="37">
        <v>0.0</v>
      </c>
      <c r="K3759" s="2">
        <v>0.0</v>
      </c>
      <c r="L3759" s="2">
        <v>0.0</v>
      </c>
      <c r="M3759" s="37">
        <v>0.0</v>
      </c>
    </row>
    <row r="3760" ht="14.25" customHeight="1">
      <c r="A3760" t="s">
        <v>3822</v>
      </c>
      <c r="B3760" t="s">
        <v>3756</v>
      </c>
      <c r="C3760" t="s">
        <v>62</v>
      </c>
      <c r="D3760" t="s">
        <v>63</v>
      </c>
      <c r="E3760">
        <v>7.1</v>
      </c>
      <c r="F3760">
        <v>8.0</v>
      </c>
      <c r="G3760" s="2" t="s">
        <v>64</v>
      </c>
      <c r="H3760" s="2">
        <v>0.0</v>
      </c>
      <c r="I3760" s="2">
        <v>0.0</v>
      </c>
      <c r="J3760" s="37">
        <v>0.0</v>
      </c>
      <c r="K3760" s="2">
        <v>0.0</v>
      </c>
      <c r="L3760" s="2">
        <v>0.0</v>
      </c>
      <c r="M3760" s="37">
        <v>0.0</v>
      </c>
    </row>
    <row r="3761" ht="14.25" customHeight="1">
      <c r="A3761" t="s">
        <v>3823</v>
      </c>
      <c r="B3761" t="s">
        <v>3756</v>
      </c>
      <c r="C3761" t="s">
        <v>62</v>
      </c>
      <c r="D3761" t="s">
        <v>63</v>
      </c>
      <c r="E3761">
        <v>2.5</v>
      </c>
      <c r="F3761">
        <v>3.4</v>
      </c>
      <c r="G3761" s="2" t="s">
        <v>64</v>
      </c>
      <c r="H3761" s="2">
        <v>0.0</v>
      </c>
      <c r="I3761" s="2">
        <v>0.0</v>
      </c>
      <c r="J3761" s="37">
        <v>0.0</v>
      </c>
      <c r="K3761" s="2">
        <v>0.0</v>
      </c>
      <c r="L3761" s="2">
        <v>0.0</v>
      </c>
      <c r="M3761" s="37">
        <v>0.0</v>
      </c>
    </row>
    <row r="3762" ht="14.25" customHeight="1">
      <c r="A3762" t="s">
        <v>3824</v>
      </c>
      <c r="B3762" t="s">
        <v>3756</v>
      </c>
      <c r="C3762" t="s">
        <v>62</v>
      </c>
      <c r="D3762" t="s">
        <v>63</v>
      </c>
      <c r="E3762">
        <v>3.6</v>
      </c>
      <c r="F3762">
        <v>4.0</v>
      </c>
      <c r="G3762" s="2" t="s">
        <v>64</v>
      </c>
      <c r="H3762" s="2">
        <v>0.0</v>
      </c>
      <c r="I3762" s="2">
        <v>0.0</v>
      </c>
      <c r="J3762" s="37">
        <v>0.0</v>
      </c>
      <c r="K3762" s="2">
        <v>0.0</v>
      </c>
      <c r="L3762" s="2">
        <v>0.0</v>
      </c>
      <c r="M3762" s="37">
        <v>0.0</v>
      </c>
    </row>
    <row r="3763" ht="14.25" customHeight="1">
      <c r="A3763" t="s">
        <v>3825</v>
      </c>
      <c r="B3763" t="s">
        <v>3756</v>
      </c>
      <c r="C3763" t="s">
        <v>62</v>
      </c>
      <c r="D3763" t="s">
        <v>63</v>
      </c>
      <c r="E3763">
        <v>5.0</v>
      </c>
      <c r="F3763">
        <v>5.3</v>
      </c>
      <c r="G3763" s="2" t="s">
        <v>64</v>
      </c>
      <c r="H3763" s="2">
        <v>0.0</v>
      </c>
      <c r="I3763" s="2">
        <v>0.0</v>
      </c>
      <c r="J3763" s="37">
        <v>0.0</v>
      </c>
      <c r="K3763" s="2">
        <v>0.0</v>
      </c>
      <c r="L3763" s="2">
        <v>0.0</v>
      </c>
      <c r="M3763" s="37">
        <v>0.0</v>
      </c>
    </row>
    <row r="3764" ht="14.25" customHeight="1">
      <c r="A3764" t="s">
        <v>3826</v>
      </c>
      <c r="B3764" t="s">
        <v>3756</v>
      </c>
      <c r="C3764" t="s">
        <v>62</v>
      </c>
      <c r="D3764" t="s">
        <v>63</v>
      </c>
      <c r="E3764">
        <v>5.0</v>
      </c>
      <c r="F3764">
        <v>5.3</v>
      </c>
      <c r="G3764" s="2" t="s">
        <v>64</v>
      </c>
      <c r="H3764" s="2">
        <v>0.0</v>
      </c>
      <c r="I3764" s="2">
        <v>0.0</v>
      </c>
      <c r="J3764" s="37">
        <v>0.0</v>
      </c>
      <c r="K3764" s="2">
        <v>0.0</v>
      </c>
      <c r="L3764" s="2">
        <v>0.0</v>
      </c>
      <c r="M3764" s="37">
        <v>0.0</v>
      </c>
    </row>
    <row r="3765" ht="14.25" customHeight="1">
      <c r="A3765" t="s">
        <v>3827</v>
      </c>
      <c r="B3765" t="s">
        <v>3756</v>
      </c>
      <c r="C3765" t="s">
        <v>62</v>
      </c>
      <c r="D3765" t="s">
        <v>63</v>
      </c>
      <c r="E3765">
        <v>7.1</v>
      </c>
      <c r="F3765">
        <v>8.0</v>
      </c>
      <c r="G3765" s="2" t="s">
        <v>64</v>
      </c>
      <c r="H3765" s="2">
        <v>0.0</v>
      </c>
      <c r="I3765" s="2">
        <v>0.0</v>
      </c>
      <c r="J3765" s="37">
        <v>0.0</v>
      </c>
      <c r="K3765" s="2">
        <v>0.0</v>
      </c>
      <c r="L3765" s="2">
        <v>0.0</v>
      </c>
      <c r="M3765" s="37">
        <v>0.0</v>
      </c>
    </row>
    <row r="3766" ht="14.25" customHeight="1">
      <c r="A3766" t="s">
        <v>3828</v>
      </c>
      <c r="B3766" t="s">
        <v>3756</v>
      </c>
      <c r="C3766" t="s">
        <v>62</v>
      </c>
      <c r="D3766" t="s">
        <v>63</v>
      </c>
      <c r="E3766">
        <v>10.0</v>
      </c>
      <c r="F3766">
        <v>11.2</v>
      </c>
      <c r="G3766" s="2" t="s">
        <v>64</v>
      </c>
      <c r="H3766" s="2">
        <v>0.0</v>
      </c>
      <c r="I3766" s="2">
        <v>0.0</v>
      </c>
      <c r="J3766" s="37">
        <v>0.0</v>
      </c>
      <c r="K3766" s="2">
        <v>0.0</v>
      </c>
      <c r="L3766" s="2">
        <v>0.0</v>
      </c>
      <c r="M3766" s="37">
        <v>0.0</v>
      </c>
    </row>
    <row r="3767" ht="14.25" customHeight="1">
      <c r="A3767" t="s">
        <v>3829</v>
      </c>
      <c r="B3767" t="s">
        <v>3756</v>
      </c>
      <c r="C3767" t="s">
        <v>62</v>
      </c>
      <c r="D3767" t="s">
        <v>63</v>
      </c>
      <c r="E3767">
        <v>12.5</v>
      </c>
      <c r="F3767">
        <v>14.0</v>
      </c>
      <c r="G3767" s="2" t="s">
        <v>64</v>
      </c>
      <c r="H3767" s="2">
        <v>0.0</v>
      </c>
      <c r="I3767" s="2">
        <v>0.0</v>
      </c>
      <c r="J3767" s="37">
        <v>0.0</v>
      </c>
      <c r="K3767" s="2">
        <v>0.0</v>
      </c>
      <c r="L3767" s="2">
        <v>0.0</v>
      </c>
      <c r="M3767" s="37">
        <v>0.0</v>
      </c>
    </row>
    <row r="3768" ht="14.25" customHeight="1">
      <c r="A3768" t="s">
        <v>3830</v>
      </c>
      <c r="B3768" t="s">
        <v>3756</v>
      </c>
      <c r="C3768" t="s">
        <v>62</v>
      </c>
      <c r="D3768" t="s">
        <v>63</v>
      </c>
      <c r="E3768">
        <v>14.0</v>
      </c>
      <c r="F3768">
        <v>16.0</v>
      </c>
      <c r="G3768" s="2" t="s">
        <v>67</v>
      </c>
      <c r="H3768" s="2">
        <v>83.0</v>
      </c>
      <c r="I3768" s="2">
        <v>81.0</v>
      </c>
      <c r="J3768" s="37">
        <v>1969.48</v>
      </c>
      <c r="K3768" s="2">
        <v>98.0</v>
      </c>
      <c r="L3768" s="2">
        <v>353.0</v>
      </c>
      <c r="M3768" s="37">
        <v>2659.98</v>
      </c>
    </row>
    <row r="3769" ht="14.25" customHeight="1">
      <c r="A3769" t="s">
        <v>3831</v>
      </c>
      <c r="B3769" t="s">
        <v>3756</v>
      </c>
      <c r="C3769" t="s">
        <v>62</v>
      </c>
      <c r="D3769" t="s">
        <v>63</v>
      </c>
      <c r="E3769">
        <v>14.0</v>
      </c>
      <c r="F3769">
        <v>16.0</v>
      </c>
      <c r="G3769" s="2" t="s">
        <v>67</v>
      </c>
      <c r="H3769" s="2">
        <v>83.0</v>
      </c>
      <c r="I3769" s="2">
        <v>81.0</v>
      </c>
      <c r="J3769" s="37">
        <v>1969.48</v>
      </c>
      <c r="K3769" s="2">
        <v>98.0</v>
      </c>
      <c r="L3769" s="2">
        <v>353.0</v>
      </c>
      <c r="M3769" s="37">
        <v>2659.98</v>
      </c>
    </row>
    <row r="3770" ht="14.25" customHeight="1">
      <c r="A3770" t="s">
        <v>3832</v>
      </c>
      <c r="B3770" t="s">
        <v>3756</v>
      </c>
      <c r="C3770" t="s">
        <v>62</v>
      </c>
      <c r="D3770" t="s">
        <v>63</v>
      </c>
      <c r="E3770">
        <v>5.0</v>
      </c>
      <c r="F3770">
        <v>5.3</v>
      </c>
      <c r="G3770" s="2" t="s">
        <v>64</v>
      </c>
      <c r="H3770" s="2">
        <v>0.0</v>
      </c>
      <c r="I3770" s="2">
        <v>0.0</v>
      </c>
      <c r="J3770" s="37">
        <v>0.0</v>
      </c>
      <c r="K3770" s="2">
        <v>0.0</v>
      </c>
      <c r="L3770" s="2">
        <v>0.0</v>
      </c>
      <c r="M3770" s="37">
        <v>0.0</v>
      </c>
    </row>
    <row r="3771" ht="14.25" customHeight="1">
      <c r="A3771" t="s">
        <v>3833</v>
      </c>
      <c r="B3771" t="s">
        <v>3756</v>
      </c>
      <c r="C3771" t="s">
        <v>62</v>
      </c>
      <c r="D3771" t="s">
        <v>63</v>
      </c>
      <c r="E3771">
        <v>7.1</v>
      </c>
      <c r="F3771">
        <v>8.0</v>
      </c>
      <c r="G3771" s="2" t="s">
        <v>64</v>
      </c>
      <c r="H3771" s="2">
        <v>0.0</v>
      </c>
      <c r="I3771" s="2">
        <v>0.0</v>
      </c>
      <c r="J3771" s="37">
        <v>0.0</v>
      </c>
      <c r="K3771" s="2">
        <v>0.0</v>
      </c>
      <c r="L3771" s="2">
        <v>0.0</v>
      </c>
      <c r="M3771" s="37">
        <v>0.0</v>
      </c>
    </row>
    <row r="3772" ht="14.25" customHeight="1">
      <c r="A3772" t="s">
        <v>3834</v>
      </c>
      <c r="B3772" t="s">
        <v>3756</v>
      </c>
      <c r="C3772" t="s">
        <v>62</v>
      </c>
      <c r="D3772" t="s">
        <v>63</v>
      </c>
      <c r="E3772">
        <v>10.0</v>
      </c>
      <c r="F3772">
        <v>11.2</v>
      </c>
      <c r="G3772" s="2" t="s">
        <v>67</v>
      </c>
      <c r="H3772" s="2">
        <v>59.0</v>
      </c>
      <c r="I3772" s="2">
        <v>137.0</v>
      </c>
      <c r="J3772" s="37">
        <v>1503.24</v>
      </c>
      <c r="K3772" s="2">
        <v>69.0</v>
      </c>
      <c r="L3772" s="2">
        <v>331.0</v>
      </c>
      <c r="M3772" s="37">
        <v>1980.04</v>
      </c>
    </row>
    <row r="3773" ht="14.25" customHeight="1">
      <c r="A3773" t="s">
        <v>3835</v>
      </c>
      <c r="B3773" t="s">
        <v>3756</v>
      </c>
      <c r="C3773" t="s">
        <v>62</v>
      </c>
      <c r="D3773" t="s">
        <v>63</v>
      </c>
      <c r="E3773">
        <v>12.5</v>
      </c>
      <c r="F3773">
        <v>14.0</v>
      </c>
      <c r="G3773" s="2" t="s">
        <v>64</v>
      </c>
      <c r="H3773" s="2">
        <v>0.0</v>
      </c>
      <c r="I3773" s="2">
        <v>0.0</v>
      </c>
      <c r="J3773" s="37">
        <v>0.0</v>
      </c>
      <c r="K3773" s="2">
        <v>0.0</v>
      </c>
      <c r="L3773" s="2">
        <v>0.0</v>
      </c>
      <c r="M3773" s="37">
        <v>0.0</v>
      </c>
    </row>
    <row r="3774" ht="14.25" customHeight="1">
      <c r="A3774" t="s">
        <v>3836</v>
      </c>
      <c r="B3774" t="s">
        <v>3756</v>
      </c>
      <c r="C3774" t="s">
        <v>62</v>
      </c>
      <c r="D3774" t="s">
        <v>63</v>
      </c>
      <c r="E3774">
        <v>14.0</v>
      </c>
      <c r="F3774">
        <v>16.0</v>
      </c>
      <c r="G3774" s="2" t="s">
        <v>67</v>
      </c>
      <c r="H3774" s="2">
        <v>83.0</v>
      </c>
      <c r="I3774" s="2">
        <v>3.0</v>
      </c>
      <c r="J3774" s="37">
        <v>1868.0800000000002</v>
      </c>
      <c r="K3774" s="2">
        <v>97.0</v>
      </c>
      <c r="L3774" s="2">
        <v>274.0</v>
      </c>
      <c r="M3774" s="37">
        <v>2534.8199999999997</v>
      </c>
    </row>
    <row r="3775" ht="14.25" customHeight="1">
      <c r="A3775" t="s">
        <v>3837</v>
      </c>
      <c r="B3775" t="s">
        <v>3756</v>
      </c>
      <c r="C3775" t="s">
        <v>62</v>
      </c>
      <c r="D3775" t="s">
        <v>63</v>
      </c>
      <c r="E3775">
        <v>14.0</v>
      </c>
      <c r="F3775">
        <v>16.0</v>
      </c>
      <c r="G3775" s="2" t="s">
        <v>67</v>
      </c>
      <c r="H3775" s="2">
        <v>83.0</v>
      </c>
      <c r="I3775" s="2">
        <v>3.0</v>
      </c>
      <c r="J3775" s="37">
        <v>1868.0800000000002</v>
      </c>
      <c r="K3775" s="2">
        <v>97.0</v>
      </c>
      <c r="L3775" s="2">
        <v>274.0</v>
      </c>
      <c r="M3775" s="37">
        <v>2534.8199999999997</v>
      </c>
    </row>
    <row r="3776" ht="14.25" customHeight="1">
      <c r="A3776" t="s">
        <v>3838</v>
      </c>
      <c r="B3776" t="s">
        <v>3756</v>
      </c>
      <c r="C3776" t="s">
        <v>75</v>
      </c>
      <c r="D3776" t="s">
        <v>63</v>
      </c>
      <c r="E3776">
        <v>5.0</v>
      </c>
      <c r="F3776">
        <v>5.3</v>
      </c>
      <c r="G3776" s="2" t="s">
        <v>64</v>
      </c>
      <c r="H3776" s="2">
        <v>0.0</v>
      </c>
      <c r="I3776" s="2">
        <v>0.0</v>
      </c>
      <c r="J3776" s="37">
        <v>0.0</v>
      </c>
      <c r="K3776" s="2">
        <v>0.0</v>
      </c>
      <c r="L3776" s="2">
        <v>0.0</v>
      </c>
      <c r="M3776" s="37">
        <v>0.0</v>
      </c>
    </row>
    <row r="3777" ht="14.25" customHeight="1">
      <c r="A3777" t="s">
        <v>3839</v>
      </c>
      <c r="B3777" t="s">
        <v>3756</v>
      </c>
      <c r="C3777" t="s">
        <v>75</v>
      </c>
      <c r="D3777" t="s">
        <v>63</v>
      </c>
      <c r="E3777">
        <v>7.1</v>
      </c>
      <c r="F3777">
        <v>8.0</v>
      </c>
      <c r="G3777" s="2" t="s">
        <v>64</v>
      </c>
      <c r="H3777" s="2">
        <v>0.0</v>
      </c>
      <c r="I3777" s="2">
        <v>0.0</v>
      </c>
      <c r="J3777" s="37">
        <v>0.0</v>
      </c>
      <c r="K3777" s="2">
        <v>0.0</v>
      </c>
      <c r="L3777" s="2">
        <v>0.0</v>
      </c>
      <c r="M3777" s="37">
        <v>0.0</v>
      </c>
    </row>
    <row r="3778" ht="14.25" customHeight="1">
      <c r="A3778" t="s">
        <v>3840</v>
      </c>
      <c r="B3778" t="s">
        <v>3756</v>
      </c>
      <c r="C3778" t="s">
        <v>75</v>
      </c>
      <c r="D3778" t="s">
        <v>63</v>
      </c>
      <c r="E3778">
        <v>10.0</v>
      </c>
      <c r="F3778">
        <v>11.2</v>
      </c>
      <c r="G3778" s="2" t="s">
        <v>64</v>
      </c>
      <c r="H3778" s="2">
        <v>0.0</v>
      </c>
      <c r="I3778" s="2">
        <v>0.0</v>
      </c>
      <c r="J3778" s="37">
        <v>0.0</v>
      </c>
      <c r="K3778" s="2">
        <v>0.0</v>
      </c>
      <c r="L3778" s="2">
        <v>0.0</v>
      </c>
      <c r="M3778" s="37">
        <v>0.0</v>
      </c>
    </row>
    <row r="3779" ht="14.25" customHeight="1">
      <c r="A3779" t="s">
        <v>3841</v>
      </c>
      <c r="B3779" t="s">
        <v>3756</v>
      </c>
      <c r="C3779" t="s">
        <v>75</v>
      </c>
      <c r="D3779" t="s">
        <v>63</v>
      </c>
      <c r="E3779">
        <v>12.5</v>
      </c>
      <c r="F3779">
        <v>14.0</v>
      </c>
      <c r="G3779" s="2" t="s">
        <v>64</v>
      </c>
      <c r="H3779" s="2">
        <v>0.0</v>
      </c>
      <c r="I3779" s="2">
        <v>0.0</v>
      </c>
      <c r="J3779" s="37">
        <v>0.0</v>
      </c>
      <c r="K3779" s="2">
        <v>0.0</v>
      </c>
      <c r="L3779" s="2">
        <v>0.0</v>
      </c>
      <c r="M3779" s="37">
        <v>0.0</v>
      </c>
    </row>
    <row r="3780" ht="14.25" customHeight="1">
      <c r="A3780" t="s">
        <v>3842</v>
      </c>
      <c r="B3780" t="s">
        <v>3756</v>
      </c>
      <c r="C3780" t="s">
        <v>75</v>
      </c>
      <c r="D3780" t="s">
        <v>63</v>
      </c>
      <c r="E3780">
        <v>14.0</v>
      </c>
      <c r="F3780">
        <v>16.0</v>
      </c>
      <c r="G3780" s="2" t="s">
        <v>64</v>
      </c>
      <c r="H3780" s="2">
        <v>0.0</v>
      </c>
      <c r="I3780" s="2">
        <v>0.0</v>
      </c>
      <c r="J3780" s="37">
        <v>0.0</v>
      </c>
      <c r="K3780" s="2">
        <v>0.0</v>
      </c>
      <c r="L3780" s="2">
        <v>0.0</v>
      </c>
      <c r="M3780" s="37">
        <v>0.0</v>
      </c>
    </row>
    <row r="3781" ht="14.25" customHeight="1">
      <c r="A3781" t="s">
        <v>3843</v>
      </c>
      <c r="B3781" t="s">
        <v>3756</v>
      </c>
      <c r="C3781" t="s">
        <v>75</v>
      </c>
      <c r="D3781" t="s">
        <v>63</v>
      </c>
      <c r="E3781">
        <v>14.0</v>
      </c>
      <c r="F3781">
        <v>16.0</v>
      </c>
      <c r="G3781" s="2" t="s">
        <v>64</v>
      </c>
      <c r="H3781" s="2">
        <v>0.0</v>
      </c>
      <c r="I3781" s="2">
        <v>0.0</v>
      </c>
      <c r="J3781" s="37">
        <v>0.0</v>
      </c>
      <c r="K3781" s="2">
        <v>0.0</v>
      </c>
      <c r="L3781" s="2">
        <v>0.0</v>
      </c>
      <c r="M3781" s="37">
        <v>0.0</v>
      </c>
    </row>
    <row r="3782" ht="14.25" customHeight="1">
      <c r="A3782" t="s">
        <v>3844</v>
      </c>
      <c r="B3782" t="s">
        <v>3756</v>
      </c>
      <c r="C3782" t="s">
        <v>75</v>
      </c>
      <c r="D3782" t="s">
        <v>63</v>
      </c>
      <c r="E3782">
        <v>5.0</v>
      </c>
      <c r="F3782">
        <v>5.3</v>
      </c>
      <c r="G3782" s="2" t="s">
        <v>64</v>
      </c>
      <c r="H3782" s="2">
        <v>0.0</v>
      </c>
      <c r="I3782" s="2">
        <v>0.0</v>
      </c>
      <c r="J3782" s="37">
        <v>0.0</v>
      </c>
      <c r="K3782" s="2">
        <v>0.0</v>
      </c>
      <c r="L3782" s="2">
        <v>0.0</v>
      </c>
      <c r="M3782" s="37">
        <v>0.0</v>
      </c>
    </row>
    <row r="3783" ht="14.25" customHeight="1">
      <c r="A3783" t="s">
        <v>3845</v>
      </c>
      <c r="B3783" t="s">
        <v>3756</v>
      </c>
      <c r="C3783" t="s">
        <v>75</v>
      </c>
      <c r="D3783" t="s">
        <v>63</v>
      </c>
      <c r="E3783">
        <v>7.1</v>
      </c>
      <c r="F3783">
        <v>8.0</v>
      </c>
      <c r="G3783" s="2" t="s">
        <v>64</v>
      </c>
      <c r="H3783" s="2">
        <v>0.0</v>
      </c>
      <c r="I3783" s="2">
        <v>0.0</v>
      </c>
      <c r="J3783" s="37">
        <v>0.0</v>
      </c>
      <c r="K3783" s="2">
        <v>0.0</v>
      </c>
      <c r="L3783" s="2">
        <v>0.0</v>
      </c>
      <c r="M3783" s="37">
        <v>0.0</v>
      </c>
    </row>
    <row r="3784" ht="14.25" customHeight="1">
      <c r="A3784" t="s">
        <v>3846</v>
      </c>
      <c r="B3784" t="s">
        <v>3756</v>
      </c>
      <c r="C3784" t="s">
        <v>75</v>
      </c>
      <c r="D3784" t="s">
        <v>63</v>
      </c>
      <c r="E3784">
        <v>10.0</v>
      </c>
      <c r="F3784">
        <v>11.2</v>
      </c>
      <c r="G3784" s="2" t="s">
        <v>64</v>
      </c>
      <c r="H3784" s="2">
        <v>0.0</v>
      </c>
      <c r="I3784" s="2">
        <v>0.0</v>
      </c>
      <c r="J3784" s="37">
        <v>0.0</v>
      </c>
      <c r="K3784" s="2">
        <v>0.0</v>
      </c>
      <c r="L3784" s="2">
        <v>0.0</v>
      </c>
      <c r="M3784" s="37">
        <v>0.0</v>
      </c>
    </row>
    <row r="3785" ht="14.25" customHeight="1">
      <c r="A3785" t="s">
        <v>3847</v>
      </c>
      <c r="B3785" t="s">
        <v>3756</v>
      </c>
      <c r="C3785" t="s">
        <v>75</v>
      </c>
      <c r="D3785" t="s">
        <v>63</v>
      </c>
      <c r="E3785">
        <v>12.5</v>
      </c>
      <c r="F3785">
        <v>14.0</v>
      </c>
      <c r="G3785" s="2" t="s">
        <v>64</v>
      </c>
      <c r="H3785" s="2">
        <v>0.0</v>
      </c>
      <c r="I3785" s="2">
        <v>0.0</v>
      </c>
      <c r="J3785" s="37">
        <v>0.0</v>
      </c>
      <c r="K3785" s="2">
        <v>0.0</v>
      </c>
      <c r="L3785" s="2">
        <v>0.0</v>
      </c>
      <c r="M3785" s="37">
        <v>0.0</v>
      </c>
    </row>
    <row r="3786" ht="14.25" customHeight="1">
      <c r="A3786" t="s">
        <v>3848</v>
      </c>
      <c r="B3786" t="s">
        <v>3756</v>
      </c>
      <c r="C3786" t="s">
        <v>75</v>
      </c>
      <c r="D3786" t="s">
        <v>63</v>
      </c>
      <c r="E3786">
        <v>14.0</v>
      </c>
      <c r="F3786">
        <v>16.0</v>
      </c>
      <c r="G3786" s="2" t="s">
        <v>67</v>
      </c>
      <c r="H3786" s="2">
        <v>81.0</v>
      </c>
      <c r="I3786" s="2">
        <v>81.0</v>
      </c>
      <c r="J3786" s="37">
        <v>1924.56</v>
      </c>
      <c r="K3786" s="2">
        <v>96.0</v>
      </c>
      <c r="L3786" s="2">
        <v>353.0</v>
      </c>
      <c r="M3786" s="37">
        <v>2615.06</v>
      </c>
    </row>
    <row r="3787" ht="14.25" customHeight="1">
      <c r="A3787" t="s">
        <v>3849</v>
      </c>
      <c r="B3787" t="s">
        <v>3756</v>
      </c>
      <c r="C3787" t="s">
        <v>75</v>
      </c>
      <c r="D3787" t="s">
        <v>63</v>
      </c>
      <c r="E3787">
        <v>14.0</v>
      </c>
      <c r="F3787">
        <v>16.0</v>
      </c>
      <c r="G3787" s="2" t="s">
        <v>67</v>
      </c>
      <c r="H3787" s="2">
        <v>81.0</v>
      </c>
      <c r="I3787" s="2">
        <v>81.0</v>
      </c>
      <c r="J3787" s="37">
        <v>1924.56</v>
      </c>
      <c r="K3787" s="2">
        <v>96.0</v>
      </c>
      <c r="L3787" s="2">
        <v>353.0</v>
      </c>
      <c r="M3787" s="37">
        <v>2615.06</v>
      </c>
    </row>
    <row r="3788" ht="14.25" customHeight="1">
      <c r="A3788" t="s">
        <v>3850</v>
      </c>
      <c r="B3788" t="s">
        <v>3756</v>
      </c>
      <c r="C3788" t="s">
        <v>75</v>
      </c>
      <c r="D3788" t="s">
        <v>63</v>
      </c>
      <c r="E3788">
        <v>20.0</v>
      </c>
      <c r="F3788">
        <v>22.4</v>
      </c>
      <c r="G3788" s="2" t="s">
        <v>64</v>
      </c>
      <c r="H3788" s="2">
        <v>0.0</v>
      </c>
      <c r="I3788" s="2">
        <v>0.0</v>
      </c>
      <c r="J3788" s="37">
        <v>0.0</v>
      </c>
      <c r="K3788" s="2">
        <v>0.0</v>
      </c>
      <c r="L3788" s="2">
        <v>0.0</v>
      </c>
      <c r="M3788" s="37">
        <v>0.0</v>
      </c>
    </row>
    <row r="3789" ht="14.25" customHeight="1">
      <c r="A3789" t="s">
        <v>3851</v>
      </c>
      <c r="B3789" t="s">
        <v>3756</v>
      </c>
      <c r="C3789" t="s">
        <v>75</v>
      </c>
      <c r="D3789" t="s">
        <v>63</v>
      </c>
      <c r="E3789">
        <v>24.0</v>
      </c>
      <c r="F3789">
        <v>27.0</v>
      </c>
      <c r="G3789" s="2" t="s">
        <v>64</v>
      </c>
      <c r="H3789" s="2">
        <v>0.0</v>
      </c>
      <c r="I3789" s="2">
        <v>0.0</v>
      </c>
      <c r="J3789" s="37">
        <v>0.0</v>
      </c>
      <c r="K3789" s="2">
        <v>0.0</v>
      </c>
      <c r="L3789" s="2">
        <v>0.0</v>
      </c>
      <c r="M3789" s="37">
        <v>0.0</v>
      </c>
    </row>
    <row r="3790" ht="14.25" customHeight="1">
      <c r="A3790" t="s">
        <v>3852</v>
      </c>
      <c r="B3790" t="s">
        <v>3756</v>
      </c>
      <c r="C3790" t="s">
        <v>75</v>
      </c>
      <c r="D3790" t="s">
        <v>63</v>
      </c>
      <c r="E3790">
        <v>20.0</v>
      </c>
      <c r="F3790">
        <v>27.0</v>
      </c>
      <c r="G3790" s="2" t="s">
        <v>64</v>
      </c>
      <c r="H3790" s="2">
        <v>0.0</v>
      </c>
      <c r="I3790" s="2">
        <v>0.0</v>
      </c>
      <c r="J3790" s="37">
        <v>0.0</v>
      </c>
      <c r="K3790" s="2">
        <v>0.0</v>
      </c>
      <c r="L3790" s="2">
        <v>0.0</v>
      </c>
      <c r="M3790" s="37">
        <v>0.0</v>
      </c>
    </row>
    <row r="3791" ht="14.25" customHeight="1">
      <c r="A3791" t="s">
        <v>3853</v>
      </c>
      <c r="B3791" t="s">
        <v>3756</v>
      </c>
      <c r="C3791" t="s">
        <v>62</v>
      </c>
      <c r="D3791" t="s">
        <v>63</v>
      </c>
      <c r="E3791">
        <v>2.5</v>
      </c>
      <c r="F3791">
        <v>3.2</v>
      </c>
      <c r="G3791" s="2" t="s">
        <v>64</v>
      </c>
      <c r="H3791" s="2">
        <v>0.0</v>
      </c>
      <c r="I3791" s="2">
        <v>0.0</v>
      </c>
      <c r="J3791" s="37">
        <v>0.0</v>
      </c>
      <c r="K3791" s="2">
        <v>0.0</v>
      </c>
      <c r="L3791" s="2">
        <v>0.0</v>
      </c>
      <c r="M3791" s="37">
        <v>0.0</v>
      </c>
    </row>
    <row r="3792" ht="14.25" customHeight="1">
      <c r="A3792" t="s">
        <v>3854</v>
      </c>
      <c r="B3792" t="s">
        <v>3756</v>
      </c>
      <c r="C3792" t="s">
        <v>62</v>
      </c>
      <c r="D3792" t="s">
        <v>63</v>
      </c>
      <c r="E3792">
        <v>3.5</v>
      </c>
      <c r="F3792">
        <v>4.2</v>
      </c>
      <c r="G3792" s="2" t="s">
        <v>64</v>
      </c>
      <c r="H3792" s="2">
        <v>0.0</v>
      </c>
      <c r="I3792" s="2">
        <v>0.0</v>
      </c>
      <c r="J3792" s="37">
        <v>0.0</v>
      </c>
      <c r="K3792" s="2">
        <v>0.0</v>
      </c>
      <c r="L3792" s="2">
        <v>0.0</v>
      </c>
      <c r="M3792" s="37">
        <v>0.0</v>
      </c>
    </row>
    <row r="3793" ht="14.25" customHeight="1">
      <c r="A3793" t="s">
        <v>3855</v>
      </c>
      <c r="B3793" t="s">
        <v>3756</v>
      </c>
      <c r="C3793" t="s">
        <v>62</v>
      </c>
      <c r="D3793" t="s">
        <v>63</v>
      </c>
      <c r="E3793">
        <v>4.6</v>
      </c>
      <c r="F3793">
        <v>5.5</v>
      </c>
      <c r="G3793" s="2" t="s">
        <v>64</v>
      </c>
      <c r="H3793" s="2">
        <v>0.0</v>
      </c>
      <c r="I3793" s="2">
        <v>0.0</v>
      </c>
      <c r="J3793" s="37">
        <v>0.0</v>
      </c>
      <c r="K3793" s="2">
        <v>0.0</v>
      </c>
      <c r="L3793" s="2">
        <v>0.0</v>
      </c>
      <c r="M3793" s="37">
        <v>0.0</v>
      </c>
    </row>
    <row r="3794" ht="14.25" customHeight="1">
      <c r="A3794" t="s">
        <v>3747</v>
      </c>
      <c r="B3794" t="s">
        <v>3756</v>
      </c>
      <c r="C3794" t="s">
        <v>62</v>
      </c>
      <c r="D3794" t="s">
        <v>63</v>
      </c>
      <c r="E3794">
        <v>2.5</v>
      </c>
      <c r="F3794">
        <v>3.2</v>
      </c>
      <c r="G3794" s="2" t="s">
        <v>64</v>
      </c>
      <c r="H3794" s="2">
        <v>0.0</v>
      </c>
      <c r="I3794" s="2">
        <v>0.0</v>
      </c>
      <c r="J3794" s="37">
        <v>0.0</v>
      </c>
      <c r="K3794" s="2">
        <v>0.0</v>
      </c>
      <c r="L3794" s="2">
        <v>0.0</v>
      </c>
      <c r="M3794" s="37">
        <v>0.0</v>
      </c>
    </row>
    <row r="3795" ht="14.25" customHeight="1">
      <c r="A3795" t="s">
        <v>3856</v>
      </c>
      <c r="B3795" t="s">
        <v>3756</v>
      </c>
      <c r="C3795" t="s">
        <v>62</v>
      </c>
      <c r="D3795" t="s">
        <v>63</v>
      </c>
      <c r="E3795">
        <v>4.0</v>
      </c>
      <c r="F3795">
        <v>4.2</v>
      </c>
      <c r="G3795" s="2" t="s">
        <v>67</v>
      </c>
      <c r="H3795" s="2">
        <v>21.0</v>
      </c>
      <c r="I3795" s="2">
        <v>79.0</v>
      </c>
      <c r="J3795" s="37">
        <v>574.36</v>
      </c>
      <c r="K3795" s="2">
        <v>24.0</v>
      </c>
      <c r="L3795" s="2">
        <v>148.0</v>
      </c>
      <c r="M3795" s="37">
        <v>731.4399999999999</v>
      </c>
    </row>
    <row r="3796" ht="14.25" customHeight="1">
      <c r="A3796" t="s">
        <v>3749</v>
      </c>
      <c r="B3796" t="s">
        <v>3756</v>
      </c>
      <c r="C3796" t="s">
        <v>62</v>
      </c>
      <c r="D3796" t="s">
        <v>63</v>
      </c>
      <c r="E3796">
        <v>5.0</v>
      </c>
      <c r="F3796">
        <v>5.8</v>
      </c>
      <c r="G3796" s="2" t="s">
        <v>64</v>
      </c>
      <c r="H3796" s="2">
        <v>0.0</v>
      </c>
      <c r="I3796" s="2">
        <v>0.0</v>
      </c>
      <c r="J3796" s="37">
        <v>0.0</v>
      </c>
      <c r="K3796" s="2">
        <v>0.0</v>
      </c>
      <c r="L3796" s="2">
        <v>0.0</v>
      </c>
      <c r="M3796" s="37">
        <v>0.0</v>
      </c>
    </row>
    <row r="3797" ht="14.25" customHeight="1">
      <c r="A3797" t="s">
        <v>3857</v>
      </c>
      <c r="B3797" t="s">
        <v>3756</v>
      </c>
      <c r="C3797" t="s">
        <v>62</v>
      </c>
      <c r="D3797" t="s">
        <v>63</v>
      </c>
      <c r="E3797">
        <v>2.5</v>
      </c>
      <c r="F3797">
        <v>3.4</v>
      </c>
      <c r="G3797" s="2" t="s">
        <v>64</v>
      </c>
      <c r="H3797" s="2">
        <v>0.0</v>
      </c>
      <c r="I3797" s="2">
        <v>0.0</v>
      </c>
      <c r="J3797" s="37">
        <v>0.0</v>
      </c>
      <c r="K3797" s="2">
        <v>0.0</v>
      </c>
      <c r="L3797" s="2">
        <v>0.0</v>
      </c>
      <c r="M3797" s="37">
        <v>0.0</v>
      </c>
    </row>
    <row r="3798" ht="14.25" customHeight="1">
      <c r="A3798" t="s">
        <v>3858</v>
      </c>
      <c r="B3798" t="s">
        <v>3756</v>
      </c>
      <c r="C3798" t="s">
        <v>62</v>
      </c>
      <c r="D3798" t="s">
        <v>63</v>
      </c>
      <c r="E3798">
        <v>3.6</v>
      </c>
      <c r="F3798">
        <v>4.0</v>
      </c>
      <c r="G3798" s="2" t="s">
        <v>64</v>
      </c>
      <c r="H3798" s="2">
        <v>0.0</v>
      </c>
      <c r="I3798" s="2">
        <v>0.0</v>
      </c>
      <c r="J3798" s="37">
        <v>0.0</v>
      </c>
      <c r="K3798" s="2">
        <v>0.0</v>
      </c>
      <c r="L3798" s="2">
        <v>0.0</v>
      </c>
      <c r="M3798" s="37">
        <v>0.0</v>
      </c>
    </row>
    <row r="3799" ht="14.25" customHeight="1">
      <c r="A3799" t="s">
        <v>3859</v>
      </c>
      <c r="B3799" t="s">
        <v>3756</v>
      </c>
      <c r="C3799" t="s">
        <v>62</v>
      </c>
      <c r="D3799" t="s">
        <v>63</v>
      </c>
      <c r="E3799">
        <v>5.0</v>
      </c>
      <c r="F3799">
        <v>5.3</v>
      </c>
      <c r="G3799" s="2" t="s">
        <v>64</v>
      </c>
      <c r="H3799" s="2">
        <v>0.0</v>
      </c>
      <c r="I3799" s="2">
        <v>0.0</v>
      </c>
      <c r="J3799" s="37">
        <v>0.0</v>
      </c>
      <c r="K3799" s="2">
        <v>0.0</v>
      </c>
      <c r="L3799" s="2">
        <v>0.0</v>
      </c>
      <c r="M3799" s="37">
        <v>0.0</v>
      </c>
    </row>
    <row r="3800" ht="14.25" customHeight="1">
      <c r="A3800" t="s">
        <v>3860</v>
      </c>
      <c r="B3800" t="s">
        <v>3756</v>
      </c>
      <c r="C3800" t="s">
        <v>62</v>
      </c>
      <c r="D3800" t="s">
        <v>63</v>
      </c>
      <c r="E3800">
        <v>2.0</v>
      </c>
      <c r="F3800">
        <v>2.5</v>
      </c>
      <c r="G3800" s="2" t="s">
        <v>64</v>
      </c>
      <c r="H3800" s="2">
        <v>0.0</v>
      </c>
      <c r="I3800" s="2">
        <v>0.0</v>
      </c>
      <c r="J3800" s="37">
        <v>0.0</v>
      </c>
      <c r="K3800" s="2">
        <v>0.0</v>
      </c>
      <c r="L3800" s="2">
        <v>0.0</v>
      </c>
      <c r="M3800" s="37">
        <v>0.0</v>
      </c>
    </row>
    <row r="3801" ht="14.25" customHeight="1">
      <c r="A3801" t="s">
        <v>3861</v>
      </c>
      <c r="B3801" t="s">
        <v>3756</v>
      </c>
      <c r="C3801" t="s">
        <v>62</v>
      </c>
      <c r="D3801" t="s">
        <v>63</v>
      </c>
      <c r="E3801">
        <v>2.5</v>
      </c>
      <c r="F3801">
        <v>3.2</v>
      </c>
      <c r="G3801" s="2" t="s">
        <v>67</v>
      </c>
      <c r="H3801" s="2">
        <v>15.0</v>
      </c>
      <c r="I3801" s="2">
        <v>63.0</v>
      </c>
      <c r="J3801" s="37">
        <v>418.80000000000007</v>
      </c>
      <c r="K3801" s="2">
        <v>18.0</v>
      </c>
      <c r="L3801" s="2">
        <v>101.0</v>
      </c>
      <c r="M3801" s="37">
        <v>535.58</v>
      </c>
    </row>
    <row r="3802" ht="14.25" customHeight="1">
      <c r="A3802" t="s">
        <v>3862</v>
      </c>
      <c r="B3802" t="s">
        <v>3756</v>
      </c>
      <c r="C3802" t="s">
        <v>62</v>
      </c>
      <c r="D3802" t="s">
        <v>63</v>
      </c>
      <c r="E3802">
        <v>3.5</v>
      </c>
      <c r="F3802">
        <v>3.7</v>
      </c>
      <c r="G3802" s="2" t="s">
        <v>67</v>
      </c>
      <c r="H3802" s="2">
        <v>18.0</v>
      </c>
      <c r="I3802" s="2">
        <v>82.0</v>
      </c>
      <c r="J3802" s="37">
        <v>510.88000000000005</v>
      </c>
      <c r="K3802" s="2">
        <v>21.0</v>
      </c>
      <c r="L3802" s="2">
        <v>135.0</v>
      </c>
      <c r="M3802" s="37">
        <v>647.1600000000001</v>
      </c>
    </row>
    <row r="3803" ht="14.25" customHeight="1">
      <c r="A3803" t="s">
        <v>3863</v>
      </c>
      <c r="B3803" t="s">
        <v>3756</v>
      </c>
      <c r="C3803" t="s">
        <v>62</v>
      </c>
      <c r="D3803" t="s">
        <v>63</v>
      </c>
      <c r="E3803">
        <v>4.2</v>
      </c>
      <c r="F3803">
        <v>5.4</v>
      </c>
      <c r="G3803" s="2" t="s">
        <v>67</v>
      </c>
      <c r="H3803" s="2">
        <v>28.0</v>
      </c>
      <c r="I3803" s="2">
        <v>103.0</v>
      </c>
      <c r="J3803" s="37">
        <v>762.78</v>
      </c>
      <c r="K3803" s="2">
        <v>32.0</v>
      </c>
      <c r="L3803" s="2">
        <v>175.0</v>
      </c>
      <c r="M3803" s="37">
        <v>946.22</v>
      </c>
    </row>
    <row r="3804" ht="14.25" customHeight="1">
      <c r="A3804" t="s">
        <v>3864</v>
      </c>
      <c r="B3804" t="s">
        <v>3756</v>
      </c>
      <c r="C3804" t="s">
        <v>62</v>
      </c>
      <c r="D3804" t="s">
        <v>63</v>
      </c>
      <c r="E3804">
        <v>5.0</v>
      </c>
      <c r="F3804">
        <v>5.8</v>
      </c>
      <c r="G3804" s="2" t="s">
        <v>67</v>
      </c>
      <c r="H3804" s="2">
        <v>34.0</v>
      </c>
      <c r="I3804" s="2">
        <v>141.0</v>
      </c>
      <c r="J3804" s="37">
        <v>946.94</v>
      </c>
      <c r="K3804" s="2">
        <v>38.0</v>
      </c>
      <c r="L3804" s="2">
        <v>227.0</v>
      </c>
      <c r="M3804" s="37">
        <v>1148.58</v>
      </c>
    </row>
    <row r="3805" ht="14.25" customHeight="1">
      <c r="A3805" t="s">
        <v>3865</v>
      </c>
      <c r="B3805" t="s">
        <v>3756</v>
      </c>
      <c r="C3805" t="s">
        <v>62</v>
      </c>
      <c r="D3805" t="s">
        <v>63</v>
      </c>
      <c r="E3805">
        <v>6.0</v>
      </c>
      <c r="F3805">
        <v>6.9</v>
      </c>
      <c r="G3805" s="2" t="s">
        <v>67</v>
      </c>
      <c r="H3805" s="2">
        <v>38.0</v>
      </c>
      <c r="I3805" s="2">
        <v>186.0</v>
      </c>
      <c r="J3805" s="37">
        <v>1095.28</v>
      </c>
      <c r="K3805" s="2">
        <v>43.0</v>
      </c>
      <c r="L3805" s="2">
        <v>290.0</v>
      </c>
      <c r="M3805" s="37">
        <v>1342.7800000000002</v>
      </c>
    </row>
    <row r="3806" ht="14.25" customHeight="1">
      <c r="A3806" t="s">
        <v>3866</v>
      </c>
      <c r="B3806" t="s">
        <v>3756</v>
      </c>
      <c r="C3806" t="s">
        <v>62</v>
      </c>
      <c r="D3806" t="s">
        <v>63</v>
      </c>
      <c r="E3806">
        <v>7.1</v>
      </c>
      <c r="F3806">
        <v>8.0</v>
      </c>
      <c r="G3806" s="2" t="s">
        <v>67</v>
      </c>
      <c r="H3806" s="2">
        <v>41.0</v>
      </c>
      <c r="I3806" s="2">
        <v>170.0</v>
      </c>
      <c r="J3806" s="37">
        <v>1141.8600000000001</v>
      </c>
      <c r="K3806" s="2">
        <v>48.0</v>
      </c>
      <c r="L3806" s="2">
        <v>293.0</v>
      </c>
      <c r="M3806" s="37">
        <v>1458.98</v>
      </c>
    </row>
    <row r="3807" ht="14.25" customHeight="1">
      <c r="A3807" t="s">
        <v>3867</v>
      </c>
      <c r="B3807" t="s">
        <v>3756</v>
      </c>
      <c r="C3807" t="s">
        <v>62</v>
      </c>
      <c r="D3807" t="s">
        <v>63</v>
      </c>
      <c r="E3807">
        <v>5.0</v>
      </c>
      <c r="F3807">
        <v>5.8</v>
      </c>
      <c r="G3807" s="2" t="s">
        <v>64</v>
      </c>
      <c r="H3807" s="2">
        <v>0.0</v>
      </c>
      <c r="I3807" s="2">
        <v>0.0</v>
      </c>
      <c r="J3807" s="37">
        <v>0.0</v>
      </c>
      <c r="K3807" s="2">
        <v>0.0</v>
      </c>
      <c r="L3807" s="2">
        <v>0.0</v>
      </c>
      <c r="M3807" s="37">
        <v>0.0</v>
      </c>
    </row>
    <row r="3808" ht="14.25" customHeight="1">
      <c r="A3808" t="s">
        <v>3868</v>
      </c>
      <c r="B3808" t="s">
        <v>3756</v>
      </c>
      <c r="C3808" t="s">
        <v>75</v>
      </c>
      <c r="D3808" t="s">
        <v>63</v>
      </c>
      <c r="E3808">
        <v>7.1</v>
      </c>
      <c r="F3808">
        <v>8.0</v>
      </c>
      <c r="G3808" s="2" t="s">
        <v>67</v>
      </c>
      <c r="H3808" s="2">
        <v>44.0</v>
      </c>
      <c r="I3808" s="2">
        <v>263.0</v>
      </c>
      <c r="J3808" s="37">
        <v>1330.14</v>
      </c>
      <c r="K3808" s="2">
        <v>51.0</v>
      </c>
      <c r="L3808" s="2">
        <v>401.0</v>
      </c>
      <c r="M3808" s="37">
        <v>1666.7600000000002</v>
      </c>
    </row>
    <row r="3809" ht="14.25" customHeight="1">
      <c r="A3809" t="s">
        <v>3869</v>
      </c>
      <c r="B3809" t="s">
        <v>3756</v>
      </c>
      <c r="C3809" t="s">
        <v>75</v>
      </c>
      <c r="D3809" t="s">
        <v>63</v>
      </c>
      <c r="E3809">
        <v>10.0</v>
      </c>
      <c r="F3809">
        <v>11.2</v>
      </c>
      <c r="G3809" s="2" t="s">
        <v>67</v>
      </c>
      <c r="H3809" s="2">
        <v>62.0</v>
      </c>
      <c r="I3809" s="2">
        <v>221.0</v>
      </c>
      <c r="J3809" s="37">
        <v>1679.82</v>
      </c>
      <c r="K3809" s="2">
        <v>72.0</v>
      </c>
      <c r="L3809" s="2">
        <v>415.0</v>
      </c>
      <c r="M3809" s="37">
        <v>2156.62</v>
      </c>
    </row>
    <row r="3810" ht="14.25" customHeight="1">
      <c r="A3810" t="s">
        <v>3870</v>
      </c>
      <c r="B3810" t="s">
        <v>3756</v>
      </c>
      <c r="C3810" t="s">
        <v>75</v>
      </c>
      <c r="D3810" t="s">
        <v>63</v>
      </c>
      <c r="E3810">
        <v>12.5</v>
      </c>
      <c r="F3810">
        <v>14.0</v>
      </c>
      <c r="G3810" s="2" t="s">
        <v>64</v>
      </c>
      <c r="H3810" s="2">
        <v>0.0</v>
      </c>
      <c r="I3810" s="2">
        <v>0.0</v>
      </c>
      <c r="J3810" s="37">
        <v>0.0</v>
      </c>
      <c r="K3810" s="2">
        <v>0.0</v>
      </c>
      <c r="L3810" s="2">
        <v>0.0</v>
      </c>
      <c r="M3810" s="37">
        <v>0.0</v>
      </c>
    </row>
    <row r="3811" ht="14.25" customHeight="1">
      <c r="A3811" t="s">
        <v>3871</v>
      </c>
      <c r="B3811" t="s">
        <v>3756</v>
      </c>
      <c r="C3811" t="s">
        <v>75</v>
      </c>
      <c r="D3811" t="s">
        <v>63</v>
      </c>
      <c r="E3811">
        <v>14.0</v>
      </c>
      <c r="F3811">
        <v>16.0</v>
      </c>
      <c r="G3811" s="2" t="s">
        <v>67</v>
      </c>
      <c r="H3811" s="2">
        <v>83.0</v>
      </c>
      <c r="I3811" s="2">
        <v>244.0</v>
      </c>
      <c r="J3811" s="37">
        <v>2181.38</v>
      </c>
      <c r="K3811" s="2">
        <v>97.0</v>
      </c>
      <c r="L3811" s="2">
        <v>515.0</v>
      </c>
      <c r="M3811" s="37">
        <v>2848.12</v>
      </c>
    </row>
    <row r="3812" ht="14.25" customHeight="1">
      <c r="A3812" t="s">
        <v>3872</v>
      </c>
      <c r="B3812" t="s">
        <v>3756</v>
      </c>
      <c r="C3812" t="s">
        <v>75</v>
      </c>
      <c r="D3812" t="s">
        <v>63</v>
      </c>
      <c r="E3812">
        <v>14.0</v>
      </c>
      <c r="F3812">
        <v>16.0</v>
      </c>
      <c r="G3812" s="2" t="s">
        <v>67</v>
      </c>
      <c r="H3812" s="2">
        <v>83.0</v>
      </c>
      <c r="I3812" s="2">
        <v>244.0</v>
      </c>
      <c r="J3812" s="37">
        <v>2181.38</v>
      </c>
      <c r="K3812" s="2">
        <v>97.0</v>
      </c>
      <c r="L3812" s="2">
        <v>515.0</v>
      </c>
      <c r="M3812" s="37">
        <v>2848.12</v>
      </c>
    </row>
    <row r="3813" ht="14.25" customHeight="1">
      <c r="A3813" t="s">
        <v>3873</v>
      </c>
      <c r="B3813" t="s">
        <v>3756</v>
      </c>
      <c r="C3813" t="s">
        <v>75</v>
      </c>
      <c r="D3813" t="s">
        <v>63</v>
      </c>
      <c r="E3813">
        <v>7.1</v>
      </c>
      <c r="F3813">
        <v>8.0</v>
      </c>
      <c r="G3813" s="2" t="s">
        <v>67</v>
      </c>
      <c r="H3813" s="2">
        <v>44.0</v>
      </c>
      <c r="I3813" s="2">
        <v>288.0</v>
      </c>
      <c r="J3813" s="37">
        <v>1362.64</v>
      </c>
      <c r="K3813" s="2">
        <v>51.0</v>
      </c>
      <c r="L3813" s="2">
        <v>426.0</v>
      </c>
      <c r="M3813" s="37">
        <v>1699.2600000000002</v>
      </c>
    </row>
    <row r="3814" ht="14.25" customHeight="1">
      <c r="A3814" t="s">
        <v>3874</v>
      </c>
      <c r="B3814" t="s">
        <v>3756</v>
      </c>
      <c r="C3814" t="s">
        <v>75</v>
      </c>
      <c r="D3814" t="s">
        <v>63</v>
      </c>
      <c r="E3814">
        <v>10.0</v>
      </c>
      <c r="F3814">
        <v>11.2</v>
      </c>
      <c r="G3814" s="2" t="s">
        <v>67</v>
      </c>
      <c r="H3814" s="2">
        <v>61.0</v>
      </c>
      <c r="I3814" s="2">
        <v>311.0</v>
      </c>
      <c r="J3814" s="37">
        <v>1774.36</v>
      </c>
      <c r="K3814" s="2">
        <v>71.0</v>
      </c>
      <c r="L3814" s="2">
        <v>505.0</v>
      </c>
      <c r="M3814" s="37">
        <v>2251.16</v>
      </c>
    </row>
    <row r="3815" ht="14.25" customHeight="1">
      <c r="A3815" t="s">
        <v>3875</v>
      </c>
      <c r="B3815" t="s">
        <v>3756</v>
      </c>
      <c r="C3815" t="s">
        <v>75</v>
      </c>
      <c r="D3815" t="s">
        <v>63</v>
      </c>
      <c r="E3815">
        <v>10.0</v>
      </c>
      <c r="F3815">
        <v>11.2</v>
      </c>
      <c r="G3815" s="2" t="s">
        <v>67</v>
      </c>
      <c r="H3815" s="2">
        <v>61.0</v>
      </c>
      <c r="I3815" s="2">
        <v>311.0</v>
      </c>
      <c r="J3815" s="37">
        <v>1774.36</v>
      </c>
      <c r="K3815" s="2">
        <v>71.0</v>
      </c>
      <c r="L3815" s="2">
        <v>505.0</v>
      </c>
      <c r="M3815" s="37">
        <v>2251.16</v>
      </c>
    </row>
    <row r="3816" ht="14.25" customHeight="1">
      <c r="A3816" t="s">
        <v>3876</v>
      </c>
      <c r="B3816" t="s">
        <v>3756</v>
      </c>
      <c r="C3816" t="s">
        <v>75</v>
      </c>
      <c r="D3816" t="s">
        <v>63</v>
      </c>
      <c r="E3816">
        <v>12.5</v>
      </c>
      <c r="F3816">
        <v>14.0</v>
      </c>
      <c r="G3816" s="2" t="s">
        <v>67</v>
      </c>
      <c r="H3816" s="2">
        <v>74.0</v>
      </c>
      <c r="I3816" s="2">
        <v>281.0</v>
      </c>
      <c r="J3816" s="37">
        <v>2027.34</v>
      </c>
      <c r="K3816" s="2">
        <v>87.0</v>
      </c>
      <c r="L3816" s="2">
        <v>523.0</v>
      </c>
      <c r="M3816" s="37">
        <v>2633.92</v>
      </c>
    </row>
    <row r="3817" ht="14.25" customHeight="1">
      <c r="A3817" t="s">
        <v>3877</v>
      </c>
      <c r="B3817" t="s">
        <v>3756</v>
      </c>
      <c r="C3817" t="s">
        <v>75</v>
      </c>
      <c r="D3817" t="s">
        <v>63</v>
      </c>
      <c r="E3817">
        <v>12.5</v>
      </c>
      <c r="F3817">
        <v>14.0</v>
      </c>
      <c r="G3817" s="2" t="s">
        <v>67</v>
      </c>
      <c r="H3817" s="2">
        <v>74.0</v>
      </c>
      <c r="I3817" s="2">
        <v>281.0</v>
      </c>
      <c r="J3817" s="37">
        <v>2027.34</v>
      </c>
      <c r="K3817" s="2">
        <v>86.0</v>
      </c>
      <c r="L3817" s="2">
        <v>523.0</v>
      </c>
      <c r="M3817" s="37">
        <v>2611.46</v>
      </c>
    </row>
    <row r="3818" ht="14.25" customHeight="1">
      <c r="A3818" t="s">
        <v>3878</v>
      </c>
      <c r="B3818" t="s">
        <v>3756</v>
      </c>
      <c r="C3818" t="s">
        <v>75</v>
      </c>
      <c r="D3818" t="s">
        <v>63</v>
      </c>
      <c r="E3818">
        <v>14.0</v>
      </c>
      <c r="F3818">
        <v>16.0</v>
      </c>
      <c r="G3818" s="2" t="s">
        <v>67</v>
      </c>
      <c r="H3818" s="2">
        <v>81.0</v>
      </c>
      <c r="I3818" s="2">
        <v>289.0</v>
      </c>
      <c r="J3818" s="37">
        <v>2194.96</v>
      </c>
      <c r="K3818" s="2">
        <v>96.0</v>
      </c>
      <c r="L3818" s="2">
        <v>560.0</v>
      </c>
      <c r="M3818" s="37">
        <v>2884.16</v>
      </c>
    </row>
    <row r="3819" ht="14.25" customHeight="1">
      <c r="A3819" t="s">
        <v>3879</v>
      </c>
      <c r="B3819" t="s">
        <v>3756</v>
      </c>
      <c r="C3819" t="s">
        <v>75</v>
      </c>
      <c r="D3819" t="s">
        <v>63</v>
      </c>
      <c r="E3819">
        <v>14.0</v>
      </c>
      <c r="F3819">
        <v>16.0</v>
      </c>
      <c r="G3819" s="2" t="s">
        <v>67</v>
      </c>
      <c r="H3819" s="2">
        <v>81.0</v>
      </c>
      <c r="I3819" s="2">
        <v>289.0</v>
      </c>
      <c r="J3819" s="37">
        <v>2194.96</v>
      </c>
      <c r="K3819" s="2">
        <v>95.0</v>
      </c>
      <c r="L3819" s="2">
        <v>560.0</v>
      </c>
      <c r="M3819" s="37">
        <v>2861.7000000000003</v>
      </c>
    </row>
    <row r="3820" ht="14.25" customHeight="1">
      <c r="A3820" t="s">
        <v>3880</v>
      </c>
      <c r="B3820" t="s">
        <v>3756</v>
      </c>
      <c r="C3820" t="s">
        <v>62</v>
      </c>
      <c r="D3820" t="s">
        <v>63</v>
      </c>
      <c r="E3820">
        <v>2.0</v>
      </c>
      <c r="F3820">
        <v>2.5</v>
      </c>
      <c r="G3820" s="2" t="s">
        <v>64</v>
      </c>
      <c r="H3820" s="2">
        <v>0.0</v>
      </c>
      <c r="I3820" s="2">
        <v>0.0</v>
      </c>
      <c r="J3820" s="37">
        <v>0.0</v>
      </c>
      <c r="K3820" s="2">
        <v>0.0</v>
      </c>
      <c r="L3820" s="2">
        <v>0.0</v>
      </c>
      <c r="M3820" s="37">
        <v>0.0</v>
      </c>
    </row>
    <row r="3821" ht="14.25" customHeight="1">
      <c r="A3821" t="s">
        <v>3881</v>
      </c>
      <c r="B3821" t="s">
        <v>3756</v>
      </c>
      <c r="C3821" t="s">
        <v>62</v>
      </c>
      <c r="D3821" t="s">
        <v>63</v>
      </c>
      <c r="E3821">
        <v>2.5</v>
      </c>
      <c r="F3821">
        <v>3.2</v>
      </c>
      <c r="G3821" s="2" t="s">
        <v>67</v>
      </c>
      <c r="H3821" s="2">
        <v>16.0</v>
      </c>
      <c r="I3821" s="2">
        <v>74.0</v>
      </c>
      <c r="J3821" s="37">
        <v>455.56</v>
      </c>
      <c r="K3821" s="2">
        <v>18.0</v>
      </c>
      <c r="L3821" s="2">
        <v>112.0</v>
      </c>
      <c r="M3821" s="37">
        <v>549.88</v>
      </c>
    </row>
    <row r="3822" ht="14.25" customHeight="1">
      <c r="A3822" t="s">
        <v>3882</v>
      </c>
      <c r="B3822" t="s">
        <v>3756</v>
      </c>
      <c r="C3822" t="s">
        <v>62</v>
      </c>
      <c r="D3822" t="s">
        <v>63</v>
      </c>
      <c r="E3822">
        <v>3.5</v>
      </c>
      <c r="F3822">
        <v>4.0</v>
      </c>
      <c r="G3822" s="2" t="s">
        <v>67</v>
      </c>
      <c r="H3822" s="2">
        <v>19.0</v>
      </c>
      <c r="I3822" s="2">
        <v>87.0</v>
      </c>
      <c r="J3822" s="37">
        <v>539.84</v>
      </c>
      <c r="K3822" s="2">
        <v>22.0</v>
      </c>
      <c r="L3822" s="2">
        <v>140.0</v>
      </c>
      <c r="M3822" s="37">
        <v>676.12</v>
      </c>
    </row>
    <row r="3823" ht="14.25" customHeight="1">
      <c r="A3823" t="s">
        <v>3883</v>
      </c>
      <c r="B3823" t="s">
        <v>3756</v>
      </c>
      <c r="C3823" t="s">
        <v>62</v>
      </c>
      <c r="D3823" t="s">
        <v>63</v>
      </c>
      <c r="E3823">
        <v>4.2</v>
      </c>
      <c r="F3823">
        <v>5.4</v>
      </c>
      <c r="G3823" s="2" t="s">
        <v>64</v>
      </c>
      <c r="H3823" s="2">
        <v>0.0</v>
      </c>
      <c r="I3823" s="2">
        <v>0.0</v>
      </c>
      <c r="J3823" s="37">
        <v>0.0</v>
      </c>
      <c r="K3823" s="2">
        <v>0.0</v>
      </c>
      <c r="L3823" s="2">
        <v>0.0</v>
      </c>
      <c r="M3823" s="37">
        <v>0.0</v>
      </c>
    </row>
    <row r="3824" ht="14.25" customHeight="1">
      <c r="A3824" t="s">
        <v>3884</v>
      </c>
      <c r="B3824" t="s">
        <v>3756</v>
      </c>
      <c r="C3824" t="s">
        <v>62</v>
      </c>
      <c r="D3824" t="s">
        <v>63</v>
      </c>
      <c r="E3824">
        <v>5.0</v>
      </c>
      <c r="F3824">
        <v>5.6</v>
      </c>
      <c r="G3824" s="2" t="s">
        <v>67</v>
      </c>
      <c r="H3824" s="2">
        <v>29.0</v>
      </c>
      <c r="I3824" s="2">
        <v>119.0</v>
      </c>
      <c r="J3824" s="37">
        <v>806.0400000000001</v>
      </c>
      <c r="K3824" s="2">
        <v>34.0</v>
      </c>
      <c r="L3824" s="2">
        <v>205.0</v>
      </c>
      <c r="M3824" s="37">
        <v>1030.1399999999999</v>
      </c>
    </row>
    <row r="3825" ht="14.25" customHeight="1">
      <c r="A3825" t="s">
        <v>3885</v>
      </c>
      <c r="B3825" t="s">
        <v>3756</v>
      </c>
      <c r="C3825" t="s">
        <v>62</v>
      </c>
      <c r="D3825" t="s">
        <v>63</v>
      </c>
      <c r="E3825">
        <v>6.0</v>
      </c>
      <c r="F3825">
        <v>6.9</v>
      </c>
      <c r="G3825" s="2" t="s">
        <v>64</v>
      </c>
      <c r="H3825" s="2">
        <v>0.0</v>
      </c>
      <c r="I3825" s="2">
        <v>0.0</v>
      </c>
      <c r="J3825" s="37">
        <v>0.0</v>
      </c>
      <c r="K3825" s="2">
        <v>0.0</v>
      </c>
      <c r="L3825" s="2">
        <v>0.0</v>
      </c>
      <c r="M3825" s="37">
        <v>0.0</v>
      </c>
    </row>
    <row r="3826" ht="14.25" customHeight="1">
      <c r="A3826" t="s">
        <v>3886</v>
      </c>
      <c r="B3826" t="s">
        <v>3756</v>
      </c>
      <c r="C3826" t="s">
        <v>62</v>
      </c>
      <c r="D3826" t="s">
        <v>63</v>
      </c>
      <c r="E3826">
        <v>7.1</v>
      </c>
      <c r="F3826">
        <v>8.0</v>
      </c>
      <c r="G3826" s="2" t="s">
        <v>67</v>
      </c>
      <c r="H3826" s="2">
        <v>41.0</v>
      </c>
      <c r="I3826" s="2">
        <v>182.0</v>
      </c>
      <c r="J3826" s="37">
        <v>1157.46</v>
      </c>
      <c r="K3826" s="2">
        <v>47.0</v>
      </c>
      <c r="L3826" s="2">
        <v>304.0</v>
      </c>
      <c r="M3826" s="37">
        <v>1450.8200000000002</v>
      </c>
    </row>
    <row r="3827" ht="14.25" customHeight="1">
      <c r="A3827" t="s">
        <v>3887</v>
      </c>
      <c r="B3827" t="s">
        <v>3756</v>
      </c>
      <c r="C3827" t="s">
        <v>62</v>
      </c>
      <c r="D3827" t="s">
        <v>63</v>
      </c>
      <c r="E3827">
        <v>8.0</v>
      </c>
      <c r="F3827">
        <v>9.0</v>
      </c>
      <c r="G3827" s="2" t="s">
        <v>67</v>
      </c>
      <c r="H3827" s="2">
        <v>46.0</v>
      </c>
      <c r="I3827" s="2">
        <v>103.0</v>
      </c>
      <c r="J3827" s="37">
        <v>1167.0600000000002</v>
      </c>
      <c r="K3827" s="2">
        <v>53.0</v>
      </c>
      <c r="L3827" s="2">
        <v>241.0</v>
      </c>
      <c r="M3827" s="37">
        <v>1503.68</v>
      </c>
    </row>
    <row r="3828" ht="14.25" customHeight="1">
      <c r="A3828" t="s">
        <v>3888</v>
      </c>
      <c r="B3828" t="s">
        <v>3756</v>
      </c>
      <c r="C3828" t="s">
        <v>62</v>
      </c>
      <c r="D3828" t="s">
        <v>63</v>
      </c>
      <c r="E3828">
        <v>9.0</v>
      </c>
      <c r="F3828">
        <v>10.3</v>
      </c>
      <c r="G3828" s="2" t="s">
        <v>67</v>
      </c>
      <c r="H3828" s="2">
        <v>55.0</v>
      </c>
      <c r="I3828" s="2">
        <v>109.0</v>
      </c>
      <c r="J3828" s="37">
        <v>1377.0</v>
      </c>
      <c r="K3828" s="2">
        <v>63.0</v>
      </c>
      <c r="L3828" s="2">
        <v>264.0</v>
      </c>
      <c r="M3828" s="37">
        <v>1758.18</v>
      </c>
    </row>
    <row r="3829" ht="14.25" customHeight="1">
      <c r="A3829" t="s">
        <v>3889</v>
      </c>
      <c r="B3829" t="s">
        <v>3756</v>
      </c>
      <c r="C3829" t="s">
        <v>62</v>
      </c>
      <c r="D3829" t="s">
        <v>63</v>
      </c>
      <c r="E3829">
        <v>10.0</v>
      </c>
      <c r="F3829">
        <v>11.5</v>
      </c>
      <c r="G3829" s="2" t="s">
        <v>67</v>
      </c>
      <c r="H3829" s="2">
        <v>61.0</v>
      </c>
      <c r="I3829" s="2">
        <v>70.0</v>
      </c>
      <c r="J3829" s="37">
        <v>1461.06</v>
      </c>
      <c r="K3829" s="2">
        <v>71.0</v>
      </c>
      <c r="L3829" s="2">
        <v>264.0</v>
      </c>
      <c r="M3829" s="37">
        <v>1937.8600000000001</v>
      </c>
    </row>
    <row r="3830" ht="14.25" customHeight="1">
      <c r="A3830" t="s">
        <v>3890</v>
      </c>
      <c r="B3830" t="s">
        <v>3756</v>
      </c>
      <c r="C3830" t="s">
        <v>62</v>
      </c>
      <c r="D3830" t="s">
        <v>63</v>
      </c>
      <c r="E3830">
        <v>7.1</v>
      </c>
      <c r="F3830">
        <v>8.0</v>
      </c>
      <c r="G3830" s="2" t="s">
        <v>67</v>
      </c>
      <c r="H3830" s="2">
        <v>41.0</v>
      </c>
      <c r="I3830" s="2">
        <v>182.0</v>
      </c>
      <c r="J3830" s="37">
        <v>1157.46</v>
      </c>
      <c r="K3830" s="2">
        <v>47.0</v>
      </c>
      <c r="L3830" s="2">
        <v>304.0</v>
      </c>
      <c r="M3830" s="37">
        <v>1450.8200000000002</v>
      </c>
    </row>
    <row r="3831" ht="14.25" customHeight="1">
      <c r="A3831" t="s">
        <v>3891</v>
      </c>
      <c r="B3831" t="s">
        <v>3756</v>
      </c>
      <c r="C3831" t="s">
        <v>75</v>
      </c>
      <c r="D3831" t="s">
        <v>63</v>
      </c>
      <c r="E3831">
        <v>5.0</v>
      </c>
      <c r="F3831">
        <v>5.3</v>
      </c>
      <c r="G3831" s="2" t="s">
        <v>64</v>
      </c>
      <c r="H3831" s="2">
        <v>0.0</v>
      </c>
      <c r="I3831" s="2">
        <v>0.0</v>
      </c>
      <c r="J3831" s="37">
        <v>0.0</v>
      </c>
      <c r="K3831" s="2">
        <v>0.0</v>
      </c>
      <c r="L3831" s="2">
        <v>0.0</v>
      </c>
      <c r="M3831" s="37">
        <v>0.0</v>
      </c>
    </row>
    <row r="3832" ht="14.25" customHeight="1">
      <c r="A3832" t="s">
        <v>3892</v>
      </c>
      <c r="B3832" t="s">
        <v>3756</v>
      </c>
      <c r="C3832" t="s">
        <v>75</v>
      </c>
      <c r="D3832" t="s">
        <v>63</v>
      </c>
      <c r="E3832">
        <v>5.0</v>
      </c>
      <c r="F3832">
        <v>5.6</v>
      </c>
      <c r="G3832" s="2" t="s">
        <v>67</v>
      </c>
      <c r="H3832" s="2">
        <v>30.0</v>
      </c>
      <c r="I3832" s="2">
        <v>119.0</v>
      </c>
      <c r="J3832" s="37">
        <v>828.5000000000001</v>
      </c>
      <c r="K3832" s="2">
        <v>35.0</v>
      </c>
      <c r="L3832" s="2">
        <v>216.0</v>
      </c>
      <c r="M3832" s="37">
        <v>1066.9</v>
      </c>
    </row>
    <row r="3833" ht="14.25" customHeight="1">
      <c r="A3833" t="s">
        <v>3893</v>
      </c>
      <c r="B3833" t="s">
        <v>3756</v>
      </c>
      <c r="C3833" t="s">
        <v>62</v>
      </c>
      <c r="D3833" t="s">
        <v>63</v>
      </c>
      <c r="E3833">
        <v>5.0</v>
      </c>
      <c r="F3833">
        <v>5.3</v>
      </c>
      <c r="G3833" s="2" t="s">
        <v>64</v>
      </c>
      <c r="H3833" s="2">
        <v>0.0</v>
      </c>
      <c r="I3833" s="2">
        <v>0.0</v>
      </c>
      <c r="J3833" s="37">
        <v>0.0</v>
      </c>
      <c r="K3833" s="2">
        <v>0.0</v>
      </c>
      <c r="L3833" s="2">
        <v>0.0</v>
      </c>
      <c r="M3833" s="37">
        <v>0.0</v>
      </c>
    </row>
    <row r="3834" ht="14.25" customHeight="1">
      <c r="A3834" t="s">
        <v>3894</v>
      </c>
      <c r="B3834" t="s">
        <v>3756</v>
      </c>
      <c r="C3834" t="s">
        <v>62</v>
      </c>
      <c r="D3834" t="s">
        <v>63</v>
      </c>
      <c r="E3834">
        <v>5.0</v>
      </c>
      <c r="F3834">
        <v>5.6</v>
      </c>
      <c r="G3834" s="2" t="s">
        <v>67</v>
      </c>
      <c r="H3834" s="2">
        <v>32.0</v>
      </c>
      <c r="I3834" s="2">
        <v>124.0</v>
      </c>
      <c r="J3834" s="37">
        <v>879.9200000000001</v>
      </c>
      <c r="K3834" s="2">
        <v>36.0</v>
      </c>
      <c r="L3834" s="2">
        <v>211.0</v>
      </c>
      <c r="M3834" s="37">
        <v>1082.8600000000001</v>
      </c>
    </row>
    <row r="3835" ht="14.25" customHeight="1">
      <c r="A3835" t="s">
        <v>3895</v>
      </c>
      <c r="B3835" t="s">
        <v>3756</v>
      </c>
      <c r="C3835" t="s">
        <v>75</v>
      </c>
      <c r="D3835" t="s">
        <v>63</v>
      </c>
      <c r="E3835">
        <v>5.0</v>
      </c>
      <c r="F3835">
        <v>5.3</v>
      </c>
      <c r="G3835" s="2" t="s">
        <v>67</v>
      </c>
      <c r="H3835" s="2">
        <v>29.0</v>
      </c>
      <c r="I3835" s="2">
        <v>130.0</v>
      </c>
      <c r="J3835" s="37">
        <v>820.34</v>
      </c>
      <c r="K3835" s="2">
        <v>33.0</v>
      </c>
      <c r="L3835" s="2">
        <v>227.0</v>
      </c>
      <c r="M3835" s="37">
        <v>1036.2800000000002</v>
      </c>
    </row>
    <row r="3836" ht="14.25" customHeight="1">
      <c r="A3836" t="s">
        <v>3896</v>
      </c>
      <c r="B3836" t="s">
        <v>3756</v>
      </c>
      <c r="C3836" t="s">
        <v>75</v>
      </c>
      <c r="D3836" t="s">
        <v>63</v>
      </c>
      <c r="E3836">
        <v>5.0</v>
      </c>
      <c r="F3836">
        <v>5.6</v>
      </c>
      <c r="G3836" s="2" t="s">
        <v>67</v>
      </c>
      <c r="H3836" s="2">
        <v>34.0</v>
      </c>
      <c r="I3836" s="2">
        <v>181.0</v>
      </c>
      <c r="J3836" s="37">
        <v>998.94</v>
      </c>
      <c r="K3836" s="2">
        <v>39.0</v>
      </c>
      <c r="L3836" s="2">
        <v>277.0</v>
      </c>
      <c r="M3836" s="37">
        <v>1236.04</v>
      </c>
    </row>
    <row r="3837" ht="14.25" customHeight="1">
      <c r="A3837" t="s">
        <v>3897</v>
      </c>
      <c r="B3837" t="s">
        <v>3756</v>
      </c>
      <c r="C3837" t="s">
        <v>62</v>
      </c>
      <c r="D3837" t="s">
        <v>63</v>
      </c>
      <c r="E3837">
        <v>5.0</v>
      </c>
      <c r="F3837">
        <v>5.3</v>
      </c>
      <c r="G3837" s="2" t="s">
        <v>64</v>
      </c>
      <c r="H3837" s="2">
        <v>0.0</v>
      </c>
      <c r="I3837" s="2">
        <v>0.0</v>
      </c>
      <c r="J3837" s="37">
        <v>0.0</v>
      </c>
      <c r="K3837" s="2">
        <v>0.0</v>
      </c>
      <c r="L3837" s="2">
        <v>0.0</v>
      </c>
      <c r="M3837" s="37">
        <v>0.0</v>
      </c>
    </row>
    <row r="3838" ht="14.25" customHeight="1">
      <c r="A3838" t="s">
        <v>3898</v>
      </c>
      <c r="B3838" t="s">
        <v>3756</v>
      </c>
      <c r="C3838" t="s">
        <v>62</v>
      </c>
      <c r="D3838" t="s">
        <v>63</v>
      </c>
      <c r="E3838">
        <v>5.0</v>
      </c>
      <c r="F3838">
        <v>5.6</v>
      </c>
      <c r="G3838" s="2" t="s">
        <v>67</v>
      </c>
      <c r="H3838" s="2">
        <v>30.0</v>
      </c>
      <c r="I3838" s="2">
        <v>164.0</v>
      </c>
      <c r="J3838" s="37">
        <v>887.0000000000001</v>
      </c>
      <c r="K3838" s="2">
        <v>35.0</v>
      </c>
      <c r="L3838" s="2">
        <v>250.0</v>
      </c>
      <c r="M3838" s="37">
        <v>1111.1</v>
      </c>
    </row>
    <row r="3839" ht="14.25" customHeight="1">
      <c r="A3839" t="s">
        <v>3899</v>
      </c>
      <c r="B3839" t="s">
        <v>3756</v>
      </c>
      <c r="C3839" t="s">
        <v>62</v>
      </c>
      <c r="D3839" t="s">
        <v>63</v>
      </c>
      <c r="E3839">
        <v>5.0</v>
      </c>
      <c r="F3839">
        <v>5.3</v>
      </c>
      <c r="G3839" s="2" t="s">
        <v>64</v>
      </c>
      <c r="H3839" s="2">
        <v>0.0</v>
      </c>
      <c r="I3839" s="2">
        <v>0.0</v>
      </c>
      <c r="J3839" s="37">
        <v>0.0</v>
      </c>
      <c r="K3839" s="2">
        <v>0.0</v>
      </c>
      <c r="L3839" s="2">
        <v>0.0</v>
      </c>
      <c r="M3839" s="37">
        <v>0.0</v>
      </c>
    </row>
    <row r="3840" ht="14.25" customHeight="1">
      <c r="A3840" t="s">
        <v>3900</v>
      </c>
      <c r="B3840" t="s">
        <v>3756</v>
      </c>
      <c r="C3840" t="s">
        <v>62</v>
      </c>
      <c r="D3840" t="s">
        <v>63</v>
      </c>
      <c r="E3840">
        <v>5.0</v>
      </c>
      <c r="F3840">
        <v>5.6</v>
      </c>
      <c r="G3840" s="2" t="s">
        <v>67</v>
      </c>
      <c r="H3840" s="2">
        <v>32.0</v>
      </c>
      <c r="I3840" s="2">
        <v>186.0</v>
      </c>
      <c r="J3840" s="37">
        <v>960.52</v>
      </c>
      <c r="K3840" s="2">
        <v>37.0</v>
      </c>
      <c r="L3840" s="2">
        <v>272.0</v>
      </c>
      <c r="M3840" s="37">
        <v>1184.62</v>
      </c>
    </row>
    <row r="3841" ht="14.25" customHeight="1">
      <c r="A3841" t="s">
        <v>3901</v>
      </c>
      <c r="B3841" t="s">
        <v>3756</v>
      </c>
      <c r="C3841" t="s">
        <v>62</v>
      </c>
      <c r="D3841" t="s">
        <v>63</v>
      </c>
      <c r="E3841">
        <v>5.0</v>
      </c>
      <c r="F3841">
        <v>5.3</v>
      </c>
      <c r="G3841" s="2" t="s">
        <v>64</v>
      </c>
      <c r="H3841" s="2">
        <v>0.0</v>
      </c>
      <c r="I3841" s="2">
        <v>0.0</v>
      </c>
      <c r="J3841" s="37">
        <v>0.0</v>
      </c>
      <c r="K3841" s="2">
        <v>0.0</v>
      </c>
      <c r="L3841" s="2">
        <v>0.0</v>
      </c>
      <c r="M3841" s="37">
        <v>0.0</v>
      </c>
    </row>
    <row r="3842" ht="14.25" customHeight="1">
      <c r="A3842" t="s">
        <v>3902</v>
      </c>
      <c r="B3842" t="s">
        <v>3903</v>
      </c>
      <c r="C3842" t="s">
        <v>62</v>
      </c>
      <c r="D3842" t="s">
        <v>467</v>
      </c>
      <c r="E3842">
        <v>5.3</v>
      </c>
      <c r="F3842">
        <v>4.8</v>
      </c>
      <c r="G3842" s="2" t="s">
        <v>64</v>
      </c>
      <c r="H3842" s="2">
        <v>0.0</v>
      </c>
      <c r="I3842" s="2">
        <v>0.0</v>
      </c>
      <c r="J3842" s="37">
        <v>0.0</v>
      </c>
      <c r="K3842" s="2">
        <v>0.0</v>
      </c>
      <c r="L3842" s="2">
        <v>0.0</v>
      </c>
      <c r="M3842" s="37">
        <v>0.0</v>
      </c>
    </row>
    <row r="3843" ht="14.25" customHeight="1">
      <c r="A3843" t="s">
        <v>1814</v>
      </c>
      <c r="B3843" t="s">
        <v>3903</v>
      </c>
      <c r="C3843" t="s">
        <v>62</v>
      </c>
      <c r="D3843" t="s">
        <v>467</v>
      </c>
      <c r="E3843">
        <v>5.3</v>
      </c>
      <c r="F3843">
        <v>4.8</v>
      </c>
      <c r="G3843" s="2" t="s">
        <v>64</v>
      </c>
      <c r="H3843" s="2">
        <v>0.0</v>
      </c>
      <c r="I3843" s="2">
        <v>0.0</v>
      </c>
      <c r="J3843" s="37">
        <v>0.0</v>
      </c>
      <c r="K3843" s="2">
        <v>0.0</v>
      </c>
      <c r="L3843" s="2">
        <v>0.0</v>
      </c>
      <c r="M3843" s="37">
        <v>0.0</v>
      </c>
    </row>
    <row r="3844" ht="14.25" customHeight="1">
      <c r="A3844" t="s">
        <v>3904</v>
      </c>
      <c r="B3844" t="s">
        <v>3903</v>
      </c>
      <c r="C3844" t="s">
        <v>62</v>
      </c>
      <c r="D3844" t="s">
        <v>467</v>
      </c>
      <c r="E3844">
        <v>2.2</v>
      </c>
      <c r="F3844">
        <v>1.9</v>
      </c>
      <c r="G3844" s="2" t="s">
        <v>64</v>
      </c>
      <c r="H3844" s="2">
        <v>0.0</v>
      </c>
      <c r="I3844" s="2">
        <v>0.0</v>
      </c>
      <c r="J3844" s="37">
        <v>0.0</v>
      </c>
      <c r="K3844" s="2">
        <v>0.0</v>
      </c>
      <c r="L3844" s="2">
        <v>0.0</v>
      </c>
      <c r="M3844" s="37">
        <v>0.0</v>
      </c>
    </row>
    <row r="3845" ht="14.25" customHeight="1">
      <c r="A3845" t="s">
        <v>3905</v>
      </c>
      <c r="B3845" t="s">
        <v>3903</v>
      </c>
      <c r="C3845" t="s">
        <v>62</v>
      </c>
      <c r="D3845" t="s">
        <v>467</v>
      </c>
      <c r="E3845">
        <v>2.2</v>
      </c>
      <c r="F3845">
        <v>1.9</v>
      </c>
      <c r="G3845" s="2" t="s">
        <v>64</v>
      </c>
      <c r="H3845" s="2">
        <v>0.0</v>
      </c>
      <c r="I3845" s="2">
        <v>0.0</v>
      </c>
      <c r="J3845" s="37">
        <v>0.0</v>
      </c>
      <c r="K3845" s="2">
        <v>0.0</v>
      </c>
      <c r="L3845" s="2">
        <v>0.0</v>
      </c>
      <c r="M3845" s="37">
        <v>0.0</v>
      </c>
    </row>
    <row r="3846" ht="14.25" customHeight="1">
      <c r="A3846" t="s">
        <v>1818</v>
      </c>
      <c r="B3846" t="s">
        <v>3903</v>
      </c>
      <c r="C3846" t="s">
        <v>62</v>
      </c>
      <c r="D3846" t="s">
        <v>467</v>
      </c>
      <c r="E3846">
        <v>2.2</v>
      </c>
      <c r="F3846">
        <v>1.9</v>
      </c>
      <c r="G3846" s="2" t="s">
        <v>64</v>
      </c>
      <c r="H3846" s="2">
        <v>0.0</v>
      </c>
      <c r="I3846" s="2">
        <v>0.0</v>
      </c>
      <c r="J3846" s="37">
        <v>0.0</v>
      </c>
      <c r="K3846" s="2">
        <v>0.0</v>
      </c>
      <c r="L3846" s="2">
        <v>0.0</v>
      </c>
      <c r="M3846" s="37">
        <v>0.0</v>
      </c>
    </row>
    <row r="3847" ht="14.25" customHeight="1">
      <c r="A3847" t="s">
        <v>3906</v>
      </c>
      <c r="B3847" t="s">
        <v>3903</v>
      </c>
      <c r="C3847" t="s">
        <v>62</v>
      </c>
      <c r="D3847" t="s">
        <v>467</v>
      </c>
      <c r="E3847">
        <v>3.9</v>
      </c>
      <c r="F3847">
        <v>3.6</v>
      </c>
      <c r="G3847" s="2" t="s">
        <v>64</v>
      </c>
      <c r="H3847" s="2">
        <v>0.0</v>
      </c>
      <c r="I3847" s="2">
        <v>0.0</v>
      </c>
      <c r="J3847" s="37">
        <v>0.0</v>
      </c>
      <c r="K3847" s="2">
        <v>0.0</v>
      </c>
      <c r="L3847" s="2">
        <v>0.0</v>
      </c>
      <c r="M3847" s="37">
        <v>0.0</v>
      </c>
    </row>
    <row r="3848" ht="14.25" customHeight="1">
      <c r="A3848" t="s">
        <v>1820</v>
      </c>
      <c r="B3848" t="s">
        <v>3903</v>
      </c>
      <c r="C3848" t="s">
        <v>62</v>
      </c>
      <c r="D3848" t="s">
        <v>467</v>
      </c>
      <c r="E3848">
        <v>3.9</v>
      </c>
      <c r="F3848">
        <v>3.6</v>
      </c>
      <c r="G3848" s="2" t="s">
        <v>64</v>
      </c>
      <c r="H3848" s="2">
        <v>0.0</v>
      </c>
      <c r="I3848" s="2">
        <v>0.0</v>
      </c>
      <c r="J3848" s="37">
        <v>0.0</v>
      </c>
      <c r="K3848" s="2">
        <v>0.0</v>
      </c>
      <c r="L3848" s="2">
        <v>0.0</v>
      </c>
      <c r="M3848" s="37">
        <v>0.0</v>
      </c>
    </row>
    <row r="3849" ht="14.25" customHeight="1">
      <c r="A3849" t="s">
        <v>3907</v>
      </c>
      <c r="B3849" t="s">
        <v>3903</v>
      </c>
      <c r="C3849" t="s">
        <v>62</v>
      </c>
      <c r="D3849" t="s">
        <v>467</v>
      </c>
      <c r="E3849">
        <v>2.8</v>
      </c>
      <c r="F3849">
        <v>2.45</v>
      </c>
      <c r="G3849" s="2" t="s">
        <v>64</v>
      </c>
      <c r="H3849" s="2">
        <v>0.0</v>
      </c>
      <c r="I3849" s="2">
        <v>0.0</v>
      </c>
      <c r="J3849" s="37">
        <v>0.0</v>
      </c>
      <c r="K3849" s="2">
        <v>0.0</v>
      </c>
      <c r="L3849" s="2">
        <v>0.0</v>
      </c>
      <c r="M3849" s="37">
        <v>0.0</v>
      </c>
    </row>
    <row r="3850" ht="14.25" customHeight="1">
      <c r="A3850" t="s">
        <v>1822</v>
      </c>
      <c r="B3850" t="s">
        <v>3903</v>
      </c>
      <c r="C3850" t="s">
        <v>62</v>
      </c>
      <c r="D3850" t="s">
        <v>467</v>
      </c>
      <c r="E3850">
        <v>2.8</v>
      </c>
      <c r="F3850">
        <v>2.45</v>
      </c>
      <c r="G3850" s="2" t="s">
        <v>64</v>
      </c>
      <c r="H3850" s="2">
        <v>0.0</v>
      </c>
      <c r="I3850" s="2">
        <v>0.0</v>
      </c>
      <c r="J3850" s="37">
        <v>0.0</v>
      </c>
      <c r="K3850" s="2">
        <v>0.0</v>
      </c>
      <c r="L3850" s="2">
        <v>0.0</v>
      </c>
      <c r="M3850" s="37">
        <v>0.0</v>
      </c>
    </row>
    <row r="3851" ht="14.25" customHeight="1">
      <c r="A3851" t="s">
        <v>3908</v>
      </c>
      <c r="B3851" t="s">
        <v>3903</v>
      </c>
      <c r="C3851" t="s">
        <v>62</v>
      </c>
      <c r="D3851" t="s">
        <v>467</v>
      </c>
      <c r="E3851">
        <v>2.8</v>
      </c>
      <c r="F3851">
        <v>2.45</v>
      </c>
      <c r="G3851" s="2" t="s">
        <v>64</v>
      </c>
      <c r="H3851" s="2">
        <v>0.0</v>
      </c>
      <c r="I3851" s="2">
        <v>0.0</v>
      </c>
      <c r="J3851" s="37">
        <v>0.0</v>
      </c>
      <c r="K3851" s="2">
        <v>0.0</v>
      </c>
      <c r="L3851" s="2">
        <v>0.0</v>
      </c>
      <c r="M3851" s="37">
        <v>0.0</v>
      </c>
    </row>
    <row r="3852" ht="14.25" customHeight="1">
      <c r="A3852" t="s">
        <v>3909</v>
      </c>
      <c r="B3852" t="s">
        <v>3903</v>
      </c>
      <c r="C3852" t="s">
        <v>62</v>
      </c>
      <c r="D3852" t="s">
        <v>467</v>
      </c>
      <c r="E3852">
        <v>6.09</v>
      </c>
      <c r="F3852">
        <v>5.8</v>
      </c>
      <c r="G3852" s="2" t="s">
        <v>64</v>
      </c>
      <c r="H3852" s="2">
        <v>0.0</v>
      </c>
      <c r="I3852" s="2">
        <v>0.0</v>
      </c>
      <c r="J3852" s="37">
        <v>0.0</v>
      </c>
      <c r="K3852" s="2">
        <v>0.0</v>
      </c>
      <c r="L3852" s="2">
        <v>0.0</v>
      </c>
      <c r="M3852" s="37">
        <v>0.0</v>
      </c>
    </row>
    <row r="3853" ht="14.25" customHeight="1">
      <c r="A3853" t="s">
        <v>1823</v>
      </c>
      <c r="B3853" t="s">
        <v>3903</v>
      </c>
      <c r="C3853" t="s">
        <v>62</v>
      </c>
      <c r="D3853" t="s">
        <v>467</v>
      </c>
      <c r="E3853">
        <v>6.09</v>
      </c>
      <c r="F3853">
        <v>5.8</v>
      </c>
      <c r="G3853" s="2" t="s">
        <v>64</v>
      </c>
      <c r="H3853" s="2">
        <v>0.0</v>
      </c>
      <c r="I3853" s="2">
        <v>0.0</v>
      </c>
      <c r="J3853" s="37">
        <v>0.0</v>
      </c>
      <c r="K3853" s="2">
        <v>0.0</v>
      </c>
      <c r="L3853" s="2">
        <v>0.0</v>
      </c>
      <c r="M3853" s="37">
        <v>0.0</v>
      </c>
    </row>
    <row r="3854" ht="14.25" customHeight="1">
      <c r="A3854" t="s">
        <v>3910</v>
      </c>
      <c r="B3854" t="s">
        <v>3903</v>
      </c>
      <c r="C3854" t="s">
        <v>62</v>
      </c>
      <c r="D3854" t="s">
        <v>63</v>
      </c>
      <c r="E3854">
        <v>7.3</v>
      </c>
      <c r="F3854">
        <v>8.3</v>
      </c>
      <c r="G3854" s="2" t="s">
        <v>67</v>
      </c>
      <c r="H3854" s="2">
        <v>47.0</v>
      </c>
      <c r="I3854" s="2">
        <v>166.0</v>
      </c>
      <c r="J3854" s="37">
        <v>1271.42</v>
      </c>
      <c r="K3854" s="2">
        <v>53.0</v>
      </c>
      <c r="L3854" s="2">
        <v>292.0</v>
      </c>
      <c r="M3854" s="37">
        <v>1569.98</v>
      </c>
    </row>
    <row r="3855" ht="14.25" customHeight="1">
      <c r="A3855" t="s">
        <v>3911</v>
      </c>
      <c r="B3855" t="s">
        <v>3903</v>
      </c>
      <c r="C3855" t="s">
        <v>62</v>
      </c>
      <c r="D3855" t="s">
        <v>63</v>
      </c>
      <c r="E3855">
        <v>7.3</v>
      </c>
      <c r="F3855">
        <v>8.3</v>
      </c>
      <c r="G3855" s="2" t="s">
        <v>67</v>
      </c>
      <c r="H3855" s="2">
        <v>47.0</v>
      </c>
      <c r="I3855" s="2">
        <v>166.0</v>
      </c>
      <c r="J3855" s="37">
        <v>1271.42</v>
      </c>
      <c r="K3855" s="2">
        <v>53.0</v>
      </c>
      <c r="L3855" s="2">
        <v>292.0</v>
      </c>
      <c r="M3855" s="37">
        <v>1569.98</v>
      </c>
    </row>
    <row r="3856" ht="14.25" customHeight="1">
      <c r="A3856" t="s">
        <v>3912</v>
      </c>
      <c r="B3856" t="s">
        <v>3903</v>
      </c>
      <c r="C3856" t="s">
        <v>62</v>
      </c>
      <c r="D3856" t="s">
        <v>63</v>
      </c>
      <c r="E3856">
        <v>7.3</v>
      </c>
      <c r="F3856">
        <v>8.3</v>
      </c>
      <c r="G3856" s="2" t="s">
        <v>67</v>
      </c>
      <c r="H3856" s="2">
        <v>47.0</v>
      </c>
      <c r="I3856" s="2">
        <v>166.0</v>
      </c>
      <c r="J3856" s="37">
        <v>1271.42</v>
      </c>
      <c r="K3856" s="2">
        <v>53.0</v>
      </c>
      <c r="L3856" s="2">
        <v>292.0</v>
      </c>
      <c r="M3856" s="37">
        <v>1569.98</v>
      </c>
    </row>
    <row r="3857" ht="14.25" customHeight="1">
      <c r="A3857" t="s">
        <v>3911</v>
      </c>
      <c r="B3857" t="s">
        <v>3903</v>
      </c>
      <c r="C3857" t="s">
        <v>62</v>
      </c>
      <c r="D3857" t="s">
        <v>63</v>
      </c>
      <c r="E3857">
        <v>7.3</v>
      </c>
      <c r="F3857">
        <v>8.3</v>
      </c>
      <c r="G3857" s="2" t="s">
        <v>67</v>
      </c>
      <c r="H3857" s="2">
        <v>47.0</v>
      </c>
      <c r="I3857" s="2">
        <v>166.0</v>
      </c>
      <c r="J3857" s="37">
        <v>1271.42</v>
      </c>
      <c r="K3857" s="2">
        <v>53.0</v>
      </c>
      <c r="L3857" s="2">
        <v>292.0</v>
      </c>
      <c r="M3857" s="37">
        <v>1569.98</v>
      </c>
    </row>
    <row r="3858" ht="14.25" customHeight="1">
      <c r="A3858" t="s">
        <v>3913</v>
      </c>
      <c r="B3858" t="s">
        <v>3903</v>
      </c>
      <c r="C3858" t="s">
        <v>62</v>
      </c>
      <c r="D3858" t="s">
        <v>63</v>
      </c>
      <c r="E3858">
        <v>9.1</v>
      </c>
      <c r="F3858">
        <v>10.4</v>
      </c>
      <c r="G3858" s="2" t="s">
        <v>64</v>
      </c>
      <c r="H3858" s="2">
        <v>0.0</v>
      </c>
      <c r="I3858" s="2">
        <v>0.0</v>
      </c>
      <c r="J3858" s="37">
        <v>0.0</v>
      </c>
      <c r="K3858" s="2">
        <v>0.0</v>
      </c>
      <c r="L3858" s="2">
        <v>0.0</v>
      </c>
      <c r="M3858" s="37">
        <v>0.0</v>
      </c>
    </row>
    <row r="3859" ht="14.25" customHeight="1">
      <c r="A3859" t="s">
        <v>3914</v>
      </c>
      <c r="B3859" t="s">
        <v>3903</v>
      </c>
      <c r="C3859" t="s">
        <v>62</v>
      </c>
      <c r="D3859" t="s">
        <v>63</v>
      </c>
      <c r="E3859">
        <v>9.1</v>
      </c>
      <c r="F3859">
        <v>10.4</v>
      </c>
      <c r="G3859" s="2" t="s">
        <v>64</v>
      </c>
      <c r="H3859" s="2">
        <v>0.0</v>
      </c>
      <c r="I3859" s="2">
        <v>0.0</v>
      </c>
      <c r="J3859" s="37">
        <v>0.0</v>
      </c>
      <c r="K3859" s="2">
        <v>0.0</v>
      </c>
      <c r="L3859" s="2">
        <v>0.0</v>
      </c>
      <c r="M3859" s="37">
        <v>0.0</v>
      </c>
    </row>
    <row r="3860" ht="14.25" customHeight="1">
      <c r="A3860" t="s">
        <v>3915</v>
      </c>
      <c r="B3860" t="s">
        <v>3903</v>
      </c>
      <c r="C3860" t="s">
        <v>62</v>
      </c>
      <c r="D3860" t="s">
        <v>63</v>
      </c>
      <c r="E3860">
        <v>9.1</v>
      </c>
      <c r="F3860">
        <v>10.4</v>
      </c>
      <c r="G3860" s="2" t="s">
        <v>64</v>
      </c>
      <c r="H3860" s="2">
        <v>0.0</v>
      </c>
      <c r="I3860" s="2">
        <v>0.0</v>
      </c>
      <c r="J3860" s="37">
        <v>0.0</v>
      </c>
      <c r="K3860" s="2">
        <v>0.0</v>
      </c>
      <c r="L3860" s="2">
        <v>0.0</v>
      </c>
      <c r="M3860" s="37">
        <v>0.0</v>
      </c>
    </row>
    <row r="3861" ht="14.25" customHeight="1">
      <c r="A3861" t="s">
        <v>3916</v>
      </c>
      <c r="B3861" t="s">
        <v>3903</v>
      </c>
      <c r="C3861" t="s">
        <v>62</v>
      </c>
      <c r="D3861" t="s">
        <v>63</v>
      </c>
      <c r="E3861">
        <v>5.1</v>
      </c>
      <c r="F3861">
        <v>6.1</v>
      </c>
      <c r="G3861" s="2" t="s">
        <v>67</v>
      </c>
      <c r="H3861" s="2">
        <v>37.0</v>
      </c>
      <c r="I3861" s="2">
        <v>226.0</v>
      </c>
      <c r="J3861" s="37">
        <v>1124.82</v>
      </c>
      <c r="K3861" s="2">
        <v>41.0</v>
      </c>
      <c r="L3861" s="2">
        <v>314.0</v>
      </c>
      <c r="M3861" s="37">
        <v>1329.06</v>
      </c>
    </row>
    <row r="3862" ht="14.25" customHeight="1">
      <c r="A3862" t="s">
        <v>3917</v>
      </c>
      <c r="B3862" t="s">
        <v>3903</v>
      </c>
      <c r="C3862" t="s">
        <v>62</v>
      </c>
      <c r="D3862" t="s">
        <v>63</v>
      </c>
      <c r="E3862">
        <v>5.1</v>
      </c>
      <c r="F3862">
        <v>6.1</v>
      </c>
      <c r="G3862" s="2" t="s">
        <v>67</v>
      </c>
      <c r="H3862" s="2">
        <v>37.0</v>
      </c>
      <c r="I3862" s="2">
        <v>226.0</v>
      </c>
      <c r="J3862" s="37">
        <v>1124.82</v>
      </c>
      <c r="K3862" s="2">
        <v>41.0</v>
      </c>
      <c r="L3862" s="2">
        <v>314.0</v>
      </c>
      <c r="M3862" s="37">
        <v>1329.06</v>
      </c>
    </row>
    <row r="3863" ht="14.25" customHeight="1">
      <c r="A3863" t="s">
        <v>3918</v>
      </c>
      <c r="B3863" t="s">
        <v>3903</v>
      </c>
      <c r="C3863" t="s">
        <v>62</v>
      </c>
      <c r="D3863" t="s">
        <v>63</v>
      </c>
      <c r="E3863">
        <v>5.1</v>
      </c>
      <c r="F3863">
        <v>6.1</v>
      </c>
      <c r="G3863" s="2" t="s">
        <v>67</v>
      </c>
      <c r="H3863" s="2">
        <v>37.0</v>
      </c>
      <c r="I3863" s="2">
        <v>226.0</v>
      </c>
      <c r="J3863" s="37">
        <v>1124.82</v>
      </c>
      <c r="K3863" s="2">
        <v>41.0</v>
      </c>
      <c r="L3863" s="2">
        <v>314.0</v>
      </c>
      <c r="M3863" s="37">
        <v>1329.06</v>
      </c>
    </row>
    <row r="3864" ht="14.25" customHeight="1">
      <c r="A3864" t="s">
        <v>3919</v>
      </c>
      <c r="B3864" t="s">
        <v>3903</v>
      </c>
      <c r="C3864" t="s">
        <v>62</v>
      </c>
      <c r="D3864" t="s">
        <v>63</v>
      </c>
      <c r="E3864">
        <v>2.65</v>
      </c>
      <c r="F3864">
        <v>3.45</v>
      </c>
      <c r="G3864" s="2" t="s">
        <v>67</v>
      </c>
      <c r="H3864" s="2">
        <v>18.0</v>
      </c>
      <c r="I3864" s="2">
        <v>131.0</v>
      </c>
      <c r="J3864" s="37">
        <v>574.58</v>
      </c>
      <c r="K3864" s="2">
        <v>20.0</v>
      </c>
      <c r="L3864" s="2">
        <v>171.0</v>
      </c>
      <c r="M3864" s="37">
        <v>671.5</v>
      </c>
    </row>
    <row r="3865" ht="14.25" customHeight="1">
      <c r="A3865" t="s">
        <v>3920</v>
      </c>
      <c r="B3865" t="s">
        <v>3903</v>
      </c>
      <c r="C3865" t="s">
        <v>62</v>
      </c>
      <c r="D3865" t="s">
        <v>63</v>
      </c>
      <c r="E3865">
        <v>2.65</v>
      </c>
      <c r="F3865">
        <v>3.45</v>
      </c>
      <c r="G3865" s="2" t="s">
        <v>67</v>
      </c>
      <c r="H3865" s="2">
        <v>18.0</v>
      </c>
      <c r="I3865" s="2">
        <v>131.0</v>
      </c>
      <c r="J3865" s="37">
        <v>574.58</v>
      </c>
      <c r="K3865" s="2">
        <v>20.0</v>
      </c>
      <c r="L3865" s="2">
        <v>171.0</v>
      </c>
      <c r="M3865" s="37">
        <v>671.5</v>
      </c>
    </row>
    <row r="3866" ht="14.25" customHeight="1">
      <c r="A3866" t="s">
        <v>3921</v>
      </c>
      <c r="B3866" t="s">
        <v>3903</v>
      </c>
      <c r="C3866" t="s">
        <v>62</v>
      </c>
      <c r="D3866" t="s">
        <v>63</v>
      </c>
      <c r="E3866">
        <v>2.65</v>
      </c>
      <c r="F3866">
        <v>3.45</v>
      </c>
      <c r="G3866" s="2" t="s">
        <v>67</v>
      </c>
      <c r="H3866" s="2">
        <v>18.0</v>
      </c>
      <c r="I3866" s="2">
        <v>131.0</v>
      </c>
      <c r="J3866" s="37">
        <v>574.58</v>
      </c>
      <c r="K3866" s="2">
        <v>20.0</v>
      </c>
      <c r="L3866" s="2">
        <v>171.0</v>
      </c>
      <c r="M3866" s="37">
        <v>671.5</v>
      </c>
    </row>
    <row r="3867" ht="14.25" customHeight="1">
      <c r="A3867" t="s">
        <v>3922</v>
      </c>
      <c r="B3867" t="s">
        <v>3903</v>
      </c>
      <c r="C3867" t="s">
        <v>62</v>
      </c>
      <c r="D3867" t="s">
        <v>63</v>
      </c>
      <c r="E3867">
        <v>3.6</v>
      </c>
      <c r="F3867">
        <v>4.4</v>
      </c>
      <c r="G3867" s="2" t="s">
        <v>67</v>
      </c>
      <c r="H3867" s="2">
        <v>23.0</v>
      </c>
      <c r="I3867" s="2">
        <v>138.0</v>
      </c>
      <c r="J3867" s="37">
        <v>695.98</v>
      </c>
      <c r="K3867" s="2">
        <v>26.0</v>
      </c>
      <c r="L3867" s="2">
        <v>193.0</v>
      </c>
      <c r="M3867" s="37">
        <v>834.86</v>
      </c>
    </row>
    <row r="3868" ht="14.25" customHeight="1">
      <c r="A3868" t="s">
        <v>3923</v>
      </c>
      <c r="B3868" t="s">
        <v>3903</v>
      </c>
      <c r="C3868" t="s">
        <v>62</v>
      </c>
      <c r="D3868" t="s">
        <v>63</v>
      </c>
      <c r="E3868">
        <v>3.6</v>
      </c>
      <c r="F3868">
        <v>4.4</v>
      </c>
      <c r="G3868" s="2" t="s">
        <v>67</v>
      </c>
      <c r="H3868" s="2">
        <v>23.0</v>
      </c>
      <c r="I3868" s="2">
        <v>138.0</v>
      </c>
      <c r="J3868" s="37">
        <v>695.98</v>
      </c>
      <c r="K3868" s="2">
        <v>26.0</v>
      </c>
      <c r="L3868" s="2">
        <v>193.0</v>
      </c>
      <c r="M3868" s="37">
        <v>834.86</v>
      </c>
    </row>
    <row r="3869" ht="14.25" customHeight="1">
      <c r="A3869" t="s">
        <v>3924</v>
      </c>
      <c r="B3869" t="s">
        <v>3903</v>
      </c>
      <c r="C3869" t="s">
        <v>62</v>
      </c>
      <c r="D3869" t="s">
        <v>63</v>
      </c>
      <c r="E3869">
        <v>3.6</v>
      </c>
      <c r="F3869">
        <v>4.4</v>
      </c>
      <c r="G3869" s="2" t="s">
        <v>67</v>
      </c>
      <c r="H3869" s="2">
        <v>23.0</v>
      </c>
      <c r="I3869" s="2">
        <v>138.0</v>
      </c>
      <c r="J3869" s="37">
        <v>695.98</v>
      </c>
      <c r="K3869" s="2">
        <v>26.0</v>
      </c>
      <c r="L3869" s="2">
        <v>193.0</v>
      </c>
      <c r="M3869" s="37">
        <v>834.86</v>
      </c>
    </row>
    <row r="3870" ht="14.25" customHeight="1">
      <c r="A3870" t="s">
        <v>3925</v>
      </c>
      <c r="B3870" t="s">
        <v>3926</v>
      </c>
      <c r="C3870" t="s">
        <v>62</v>
      </c>
      <c r="D3870" t="s">
        <v>63</v>
      </c>
      <c r="E3870">
        <v>2.5</v>
      </c>
      <c r="F3870">
        <v>2.5</v>
      </c>
      <c r="G3870" s="2" t="s">
        <v>67</v>
      </c>
      <c r="H3870" s="2">
        <v>11.0</v>
      </c>
      <c r="I3870" s="2">
        <v>88.0</v>
      </c>
      <c r="J3870" s="37">
        <v>361.46000000000004</v>
      </c>
      <c r="K3870" s="2">
        <v>13.0</v>
      </c>
      <c r="L3870" s="2">
        <v>126.0</v>
      </c>
      <c r="M3870" s="37">
        <v>455.78000000000003</v>
      </c>
    </row>
    <row r="3871" ht="14.25" customHeight="1">
      <c r="A3871" t="s">
        <v>3927</v>
      </c>
      <c r="B3871" t="s">
        <v>3926</v>
      </c>
      <c r="C3871" t="s">
        <v>62</v>
      </c>
      <c r="D3871" t="s">
        <v>63</v>
      </c>
      <c r="E3871">
        <v>5.2</v>
      </c>
      <c r="F3871">
        <v>5.2</v>
      </c>
      <c r="G3871" s="2" t="s">
        <v>67</v>
      </c>
      <c r="H3871" s="2">
        <v>26.0</v>
      </c>
      <c r="I3871" s="2">
        <v>232.0</v>
      </c>
      <c r="J3871" s="37">
        <v>885.5600000000001</v>
      </c>
      <c r="K3871" s="2">
        <v>30.0</v>
      </c>
      <c r="L3871" s="2">
        <v>322.0</v>
      </c>
      <c r="M3871" s="37">
        <v>1092.4</v>
      </c>
    </row>
    <row r="3872" ht="14.25" customHeight="1">
      <c r="A3872" t="s">
        <v>3928</v>
      </c>
      <c r="B3872" t="s">
        <v>3926</v>
      </c>
      <c r="C3872" t="s">
        <v>62</v>
      </c>
      <c r="D3872" t="s">
        <v>63</v>
      </c>
      <c r="E3872">
        <v>7.02999999999999</v>
      </c>
      <c r="F3872">
        <v>7.03</v>
      </c>
      <c r="G3872" s="2" t="s">
        <v>67</v>
      </c>
      <c r="H3872" s="2">
        <v>30.0</v>
      </c>
      <c r="I3872" s="2">
        <v>178.0</v>
      </c>
      <c r="J3872" s="37">
        <v>905.2</v>
      </c>
      <c r="K3872" s="2">
        <v>36.0</v>
      </c>
      <c r="L3872" s="2">
        <v>299.0</v>
      </c>
      <c r="M3872" s="37">
        <v>1197.26</v>
      </c>
    </row>
    <row r="3873" ht="14.25" customHeight="1">
      <c r="A3873" t="s">
        <v>3929</v>
      </c>
      <c r="B3873" t="s">
        <v>3926</v>
      </c>
      <c r="C3873" t="s">
        <v>62</v>
      </c>
      <c r="D3873" t="s">
        <v>63</v>
      </c>
      <c r="E3873">
        <v>3.4</v>
      </c>
      <c r="F3873">
        <v>3.5</v>
      </c>
      <c r="G3873" s="2" t="s">
        <v>67</v>
      </c>
      <c r="H3873" s="2">
        <v>15.0</v>
      </c>
      <c r="I3873" s="2">
        <v>105.0</v>
      </c>
      <c r="J3873" s="37">
        <v>473.40000000000003</v>
      </c>
      <c r="K3873" s="2">
        <v>18.0</v>
      </c>
      <c r="L3873" s="2">
        <v>157.0</v>
      </c>
      <c r="M3873" s="37">
        <v>608.38</v>
      </c>
    </row>
    <row r="3874" ht="14.25" customHeight="1">
      <c r="A3874" t="s">
        <v>3930</v>
      </c>
      <c r="B3874" t="s">
        <v>3931</v>
      </c>
      <c r="C3874" t="s">
        <v>62</v>
      </c>
      <c r="D3874" t="s">
        <v>63</v>
      </c>
      <c r="E3874">
        <v>2.5</v>
      </c>
      <c r="F3874">
        <v>3.0</v>
      </c>
      <c r="G3874" s="2" t="s">
        <v>64</v>
      </c>
      <c r="H3874" s="2">
        <v>0.0</v>
      </c>
      <c r="I3874" s="2">
        <v>0.0</v>
      </c>
      <c r="J3874" s="37">
        <v>0.0</v>
      </c>
      <c r="K3874" s="2">
        <v>0.0</v>
      </c>
      <c r="L3874" s="2">
        <v>0.0</v>
      </c>
      <c r="M3874" s="37">
        <v>0.0</v>
      </c>
    </row>
  </sheetData>
  <conditionalFormatting sqref="G1:G3874">
    <cfRule type="beginsWith" dxfId="2" priority="1" operator="beginsWith" text="ELIGIBLE">
      <formula>LEFT((G1),LEN("ELIGIBLE"))=("ELIGIBLE")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71"/>
    <col customWidth="1" min="2" max="2" width="27.43"/>
    <col customWidth="1" min="3" max="3" width="13.57"/>
    <col customWidth="1" min="4" max="4" width="30.43"/>
    <col customWidth="1" min="5" max="5" width="16.71"/>
    <col customWidth="1" min="6" max="6" width="17.0"/>
    <col customWidth="1" min="7" max="7" width="14.71"/>
    <col customWidth="1" min="8" max="8" width="8.86"/>
    <col customWidth="1" min="9" max="9" width="9.14"/>
    <col customWidth="1" min="10" max="10" width="19.43"/>
    <col customWidth="1" min="11" max="11" width="16.14"/>
    <col customWidth="1" min="12" max="12" width="16.43"/>
    <col customWidth="1" min="13" max="13" width="27.86"/>
  </cols>
  <sheetData>
    <row r="1" ht="14.25" customHeight="1">
      <c r="A1" s="17" t="s">
        <v>48</v>
      </c>
      <c r="B1" s="17" t="s">
        <v>18</v>
      </c>
      <c r="C1" s="17" t="s">
        <v>49</v>
      </c>
      <c r="D1" s="17" t="s">
        <v>50</v>
      </c>
      <c r="E1" s="17" t="s">
        <v>51</v>
      </c>
      <c r="F1" s="17" t="s">
        <v>52</v>
      </c>
      <c r="G1" s="17" t="s">
        <v>3932</v>
      </c>
      <c r="H1" s="35" t="s">
        <v>54</v>
      </c>
      <c r="I1" s="35" t="s">
        <v>55</v>
      </c>
      <c r="J1" s="35" t="s">
        <v>3933</v>
      </c>
      <c r="K1" s="36" t="s">
        <v>57</v>
      </c>
      <c r="L1" s="36" t="s">
        <v>58</v>
      </c>
      <c r="M1" s="36" t="s">
        <v>3934</v>
      </c>
    </row>
    <row r="2" ht="14.25" customHeight="1">
      <c r="A2" t="s">
        <v>60</v>
      </c>
      <c r="B2" t="s">
        <v>61</v>
      </c>
      <c r="C2" t="s">
        <v>62</v>
      </c>
      <c r="D2" t="s">
        <v>63</v>
      </c>
      <c r="E2">
        <v>7.1</v>
      </c>
      <c r="F2">
        <v>7.85</v>
      </c>
      <c r="G2" s="2" t="s">
        <v>67</v>
      </c>
      <c r="H2" s="2">
        <v>22.0</v>
      </c>
      <c r="I2" s="2">
        <v>28.0</v>
      </c>
      <c r="J2" s="37">
        <v>530.52</v>
      </c>
      <c r="K2" s="2">
        <v>26.0</v>
      </c>
      <c r="L2" s="2">
        <v>92.0</v>
      </c>
      <c r="M2" s="37">
        <v>703.5600000000001</v>
      </c>
    </row>
    <row r="3" ht="14.25" customHeight="1">
      <c r="A3" t="s">
        <v>65</v>
      </c>
      <c r="B3" t="s">
        <v>61</v>
      </c>
      <c r="C3" t="s">
        <v>62</v>
      </c>
      <c r="D3" t="s">
        <v>63</v>
      </c>
      <c r="E3">
        <v>10.5</v>
      </c>
      <c r="F3">
        <v>10.7</v>
      </c>
      <c r="G3" s="2" t="s">
        <v>64</v>
      </c>
      <c r="H3" s="2">
        <v>0.0</v>
      </c>
      <c r="I3" s="2">
        <v>0.0</v>
      </c>
      <c r="J3" s="37">
        <v>0.0</v>
      </c>
      <c r="K3" s="2">
        <v>0.0</v>
      </c>
      <c r="L3" s="2">
        <v>0.0</v>
      </c>
      <c r="M3" s="37">
        <v>0.0</v>
      </c>
    </row>
    <row r="4" ht="14.25" customHeight="1">
      <c r="A4" t="s">
        <v>66</v>
      </c>
      <c r="B4" t="s">
        <v>61</v>
      </c>
      <c r="C4" t="s">
        <v>62</v>
      </c>
      <c r="D4" t="s">
        <v>63</v>
      </c>
      <c r="E4">
        <v>2.65</v>
      </c>
      <c r="F4">
        <v>2.85</v>
      </c>
      <c r="G4" s="2" t="s">
        <v>64</v>
      </c>
      <c r="H4" s="2">
        <v>0.0</v>
      </c>
      <c r="I4" s="2">
        <v>0.0</v>
      </c>
      <c r="J4" s="37">
        <v>0.0</v>
      </c>
      <c r="K4" s="2">
        <v>0.0</v>
      </c>
      <c r="L4" s="2">
        <v>0.0</v>
      </c>
      <c r="M4" s="37">
        <v>0.0</v>
      </c>
    </row>
    <row r="5" ht="14.25" customHeight="1">
      <c r="A5" t="s">
        <v>68</v>
      </c>
      <c r="B5" t="s">
        <v>61</v>
      </c>
      <c r="C5" t="s">
        <v>62</v>
      </c>
      <c r="D5" t="s">
        <v>63</v>
      </c>
      <c r="E5">
        <v>3.55</v>
      </c>
      <c r="F5">
        <v>3.75</v>
      </c>
      <c r="G5" s="2" t="s">
        <v>67</v>
      </c>
      <c r="H5" s="2">
        <v>9.0</v>
      </c>
      <c r="I5" s="2">
        <v>32.0</v>
      </c>
      <c r="J5" s="37">
        <v>243.74</v>
      </c>
      <c r="K5" s="2">
        <v>11.0</v>
      </c>
      <c r="L5" s="2">
        <v>61.0</v>
      </c>
      <c r="M5" s="37">
        <v>326.36</v>
      </c>
    </row>
    <row r="6" ht="14.25" customHeight="1">
      <c r="A6" t="s">
        <v>69</v>
      </c>
      <c r="B6" t="s">
        <v>61</v>
      </c>
      <c r="C6" t="s">
        <v>62</v>
      </c>
      <c r="D6" t="s">
        <v>63</v>
      </c>
      <c r="E6">
        <v>5.0</v>
      </c>
      <c r="F6">
        <v>5.15</v>
      </c>
      <c r="G6" s="2" t="s">
        <v>67</v>
      </c>
      <c r="H6" s="2">
        <v>15.0</v>
      </c>
      <c r="I6" s="2">
        <v>69.0</v>
      </c>
      <c r="J6" s="37">
        <v>426.6</v>
      </c>
      <c r="K6" s="2">
        <v>17.0</v>
      </c>
      <c r="L6" s="2">
        <v>114.0</v>
      </c>
      <c r="M6" s="37">
        <v>530.02</v>
      </c>
    </row>
    <row r="7" ht="14.25" customHeight="1">
      <c r="A7" t="s">
        <v>70</v>
      </c>
      <c r="B7" t="s">
        <v>61</v>
      </c>
      <c r="C7" t="s">
        <v>62</v>
      </c>
      <c r="D7" t="s">
        <v>63</v>
      </c>
      <c r="E7">
        <v>7.1</v>
      </c>
      <c r="F7">
        <v>7.65</v>
      </c>
      <c r="G7" s="2" t="s">
        <v>64</v>
      </c>
      <c r="H7" s="2">
        <v>0.0</v>
      </c>
      <c r="I7" s="2">
        <v>0.0</v>
      </c>
      <c r="J7" s="37">
        <v>0.0</v>
      </c>
      <c r="K7" s="2">
        <v>0.0</v>
      </c>
      <c r="L7" s="2">
        <v>0.0</v>
      </c>
      <c r="M7" s="37">
        <v>0.0</v>
      </c>
    </row>
    <row r="8" ht="14.25" customHeight="1">
      <c r="A8" t="s">
        <v>71</v>
      </c>
      <c r="B8" t="s">
        <v>61</v>
      </c>
      <c r="C8" t="s">
        <v>62</v>
      </c>
      <c r="D8" t="s">
        <v>63</v>
      </c>
      <c r="E8">
        <v>8.0</v>
      </c>
      <c r="F8">
        <v>8.15</v>
      </c>
      <c r="G8" s="2" t="s">
        <v>64</v>
      </c>
      <c r="H8" s="2">
        <v>0.0</v>
      </c>
      <c r="I8" s="2">
        <v>0.0</v>
      </c>
      <c r="J8" s="37">
        <v>0.0</v>
      </c>
      <c r="K8" s="2">
        <v>0.0</v>
      </c>
      <c r="L8" s="2">
        <v>0.0</v>
      </c>
      <c r="M8" s="37">
        <v>0.0</v>
      </c>
    </row>
    <row r="9" ht="14.25" customHeight="1">
      <c r="A9" t="s">
        <v>72</v>
      </c>
      <c r="B9" t="s">
        <v>61</v>
      </c>
      <c r="C9" t="s">
        <v>62</v>
      </c>
      <c r="D9" t="s">
        <v>63</v>
      </c>
      <c r="E9">
        <v>12.5</v>
      </c>
      <c r="F9">
        <v>14.5</v>
      </c>
      <c r="G9" s="2" t="s">
        <v>67</v>
      </c>
      <c r="H9" s="2">
        <v>42.0</v>
      </c>
      <c r="I9" s="2">
        <v>98.0</v>
      </c>
      <c r="J9" s="37">
        <v>1070.72</v>
      </c>
      <c r="K9" s="2">
        <v>49.0</v>
      </c>
      <c r="L9" s="2">
        <v>226.0</v>
      </c>
      <c r="M9" s="37">
        <v>1394.34</v>
      </c>
    </row>
    <row r="10" ht="14.25" customHeight="1">
      <c r="A10" t="s">
        <v>73</v>
      </c>
      <c r="B10" t="s">
        <v>61</v>
      </c>
      <c r="C10" t="s">
        <v>62</v>
      </c>
      <c r="D10" t="s">
        <v>63</v>
      </c>
      <c r="E10">
        <v>13.75</v>
      </c>
      <c r="F10">
        <v>15.3</v>
      </c>
      <c r="G10" s="2" t="s">
        <v>67</v>
      </c>
      <c r="H10" s="2">
        <v>43.0</v>
      </c>
      <c r="I10" s="2">
        <v>105.0</v>
      </c>
      <c r="J10" s="37">
        <v>1102.2800000000002</v>
      </c>
      <c r="K10" s="2">
        <v>50.0</v>
      </c>
      <c r="L10" s="2">
        <v>246.0</v>
      </c>
      <c r="M10" s="37">
        <v>1442.8</v>
      </c>
    </row>
    <row r="11" ht="14.25" customHeight="1">
      <c r="A11" t="s">
        <v>74</v>
      </c>
      <c r="B11" t="s">
        <v>61</v>
      </c>
      <c r="C11" t="s">
        <v>75</v>
      </c>
      <c r="D11" t="s">
        <v>63</v>
      </c>
      <c r="E11">
        <v>13.2</v>
      </c>
      <c r="F11">
        <v>13.4</v>
      </c>
      <c r="G11" s="2" t="s">
        <v>64</v>
      </c>
      <c r="H11" s="2">
        <v>0.0</v>
      </c>
      <c r="I11" s="2">
        <v>0.0</v>
      </c>
      <c r="J11" s="37">
        <v>0.0</v>
      </c>
      <c r="K11" s="2">
        <v>0.0</v>
      </c>
      <c r="L11" s="2">
        <v>0.0</v>
      </c>
      <c r="M11" s="37">
        <v>0.0</v>
      </c>
    </row>
    <row r="12" ht="14.25" customHeight="1">
      <c r="A12" t="s">
        <v>76</v>
      </c>
      <c r="B12" t="s">
        <v>61</v>
      </c>
      <c r="C12" t="s">
        <v>75</v>
      </c>
      <c r="D12" t="s">
        <v>63</v>
      </c>
      <c r="E12">
        <v>13.2</v>
      </c>
      <c r="F12">
        <v>13.4</v>
      </c>
      <c r="G12" s="2" t="s">
        <v>64</v>
      </c>
      <c r="H12" s="2">
        <v>0.0</v>
      </c>
      <c r="I12" s="2">
        <v>0.0</v>
      </c>
      <c r="J12" s="37">
        <v>0.0</v>
      </c>
      <c r="K12" s="2">
        <v>0.0</v>
      </c>
      <c r="L12" s="2">
        <v>0.0</v>
      </c>
      <c r="M12" s="37">
        <v>0.0</v>
      </c>
    </row>
    <row r="13" ht="14.25" customHeight="1">
      <c r="A13" t="s">
        <v>77</v>
      </c>
      <c r="B13" t="s">
        <v>61</v>
      </c>
      <c r="C13" t="s">
        <v>75</v>
      </c>
      <c r="D13" t="s">
        <v>63</v>
      </c>
      <c r="E13">
        <v>7.1</v>
      </c>
      <c r="F13">
        <v>8.4</v>
      </c>
      <c r="G13" s="2" t="s">
        <v>64</v>
      </c>
      <c r="H13" s="2">
        <v>0.0</v>
      </c>
      <c r="I13" s="2">
        <v>0.0</v>
      </c>
      <c r="J13" s="37">
        <v>0.0</v>
      </c>
      <c r="K13" s="2">
        <v>0.0</v>
      </c>
      <c r="L13" s="2">
        <v>0.0</v>
      </c>
      <c r="M13" s="37">
        <v>0.0</v>
      </c>
    </row>
    <row r="14" ht="14.25" customHeight="1">
      <c r="A14" t="s">
        <v>78</v>
      </c>
      <c r="B14" t="s">
        <v>61</v>
      </c>
      <c r="C14" t="s">
        <v>75</v>
      </c>
      <c r="D14" t="s">
        <v>63</v>
      </c>
      <c r="E14">
        <v>10.0</v>
      </c>
      <c r="F14">
        <v>10.9</v>
      </c>
      <c r="G14" s="2" t="s">
        <v>64</v>
      </c>
      <c r="H14" s="2">
        <v>0.0</v>
      </c>
      <c r="I14" s="2">
        <v>0.0</v>
      </c>
      <c r="J14" s="37">
        <v>0.0</v>
      </c>
      <c r="K14" s="2">
        <v>0.0</v>
      </c>
      <c r="L14" s="2">
        <v>0.0</v>
      </c>
      <c r="M14" s="37">
        <v>0.0</v>
      </c>
    </row>
    <row r="15" ht="14.25" customHeight="1">
      <c r="A15" t="s">
        <v>79</v>
      </c>
      <c r="B15" t="s">
        <v>61</v>
      </c>
      <c r="C15" t="s">
        <v>75</v>
      </c>
      <c r="D15" t="s">
        <v>63</v>
      </c>
      <c r="E15">
        <v>17.0</v>
      </c>
      <c r="F15">
        <v>17.5</v>
      </c>
      <c r="G15" s="2" t="s">
        <v>67</v>
      </c>
      <c r="H15" s="2">
        <v>51.0</v>
      </c>
      <c r="I15" s="2">
        <v>155.0</v>
      </c>
      <c r="J15" s="37">
        <v>1346.96</v>
      </c>
      <c r="K15" s="2">
        <v>60.0</v>
      </c>
      <c r="L15" s="2">
        <v>329.0</v>
      </c>
      <c r="M15" s="37">
        <v>1775.3000000000002</v>
      </c>
    </row>
    <row r="16" ht="14.25" customHeight="1">
      <c r="A16" t="s">
        <v>80</v>
      </c>
      <c r="B16" t="s">
        <v>61</v>
      </c>
      <c r="C16" t="s">
        <v>75</v>
      </c>
      <c r="D16" t="s">
        <v>63</v>
      </c>
      <c r="E16">
        <v>28.3</v>
      </c>
      <c r="F16">
        <v>28.6</v>
      </c>
      <c r="G16" s="2" t="s">
        <v>64</v>
      </c>
      <c r="H16" s="2">
        <v>0.0</v>
      </c>
      <c r="I16" s="2">
        <v>0.0</v>
      </c>
      <c r="J16" s="37">
        <v>0.0</v>
      </c>
      <c r="K16" s="2">
        <v>0.0</v>
      </c>
      <c r="L16" s="2">
        <v>0.0</v>
      </c>
      <c r="M16" s="37">
        <v>0.0</v>
      </c>
    </row>
    <row r="17" ht="14.25" customHeight="1">
      <c r="A17" t="s">
        <v>81</v>
      </c>
      <c r="B17" t="s">
        <v>61</v>
      </c>
      <c r="C17" t="s">
        <v>75</v>
      </c>
      <c r="D17" t="s">
        <v>82</v>
      </c>
      <c r="E17">
        <v>28.3</v>
      </c>
      <c r="F17">
        <v>28.6</v>
      </c>
      <c r="G17" s="2" t="s">
        <v>64</v>
      </c>
      <c r="H17" s="2">
        <v>0.0</v>
      </c>
      <c r="I17" s="2">
        <v>0.0</v>
      </c>
      <c r="J17" s="37">
        <v>0.0</v>
      </c>
      <c r="K17" s="2">
        <v>0.0</v>
      </c>
      <c r="L17" s="2">
        <v>0.0</v>
      </c>
      <c r="M17" s="37">
        <v>0.0</v>
      </c>
    </row>
    <row r="18" ht="14.25" customHeight="1">
      <c r="A18" t="s">
        <v>83</v>
      </c>
      <c r="B18" t="s">
        <v>61</v>
      </c>
      <c r="C18" t="s">
        <v>75</v>
      </c>
      <c r="D18" t="s">
        <v>82</v>
      </c>
      <c r="E18">
        <v>28.3</v>
      </c>
      <c r="F18">
        <v>28.6</v>
      </c>
      <c r="G18" s="2" t="s">
        <v>64</v>
      </c>
      <c r="H18" s="2">
        <v>0.0</v>
      </c>
      <c r="I18" s="2">
        <v>0.0</v>
      </c>
      <c r="J18" s="37">
        <v>0.0</v>
      </c>
      <c r="K18" s="2">
        <v>0.0</v>
      </c>
      <c r="L18" s="2">
        <v>0.0</v>
      </c>
      <c r="M18" s="37">
        <v>0.0</v>
      </c>
    </row>
    <row r="19" ht="14.25" customHeight="1">
      <c r="A19" t="s">
        <v>84</v>
      </c>
      <c r="B19" t="s">
        <v>61</v>
      </c>
      <c r="C19" t="s">
        <v>75</v>
      </c>
      <c r="D19" t="s">
        <v>82</v>
      </c>
      <c r="E19">
        <v>28.3</v>
      </c>
      <c r="F19">
        <v>28.6</v>
      </c>
      <c r="G19" s="2" t="s">
        <v>64</v>
      </c>
      <c r="H19" s="2">
        <v>0.0</v>
      </c>
      <c r="I19" s="2">
        <v>0.0</v>
      </c>
      <c r="J19" s="37">
        <v>0.0</v>
      </c>
      <c r="K19" s="2">
        <v>0.0</v>
      </c>
      <c r="L19" s="2">
        <v>0.0</v>
      </c>
      <c r="M19" s="37">
        <v>0.0</v>
      </c>
    </row>
    <row r="20" ht="14.25" customHeight="1">
      <c r="A20" t="s">
        <v>85</v>
      </c>
      <c r="B20" t="s">
        <v>61</v>
      </c>
      <c r="C20" t="s">
        <v>75</v>
      </c>
      <c r="D20" t="s">
        <v>82</v>
      </c>
      <c r="E20">
        <v>28.3</v>
      </c>
      <c r="F20">
        <v>28.6</v>
      </c>
      <c r="G20" s="2" t="s">
        <v>64</v>
      </c>
      <c r="H20" s="2">
        <v>0.0</v>
      </c>
      <c r="I20" s="2">
        <v>0.0</v>
      </c>
      <c r="J20" s="37">
        <v>0.0</v>
      </c>
      <c r="K20" s="2">
        <v>0.0</v>
      </c>
      <c r="L20" s="2">
        <v>0.0</v>
      </c>
      <c r="M20" s="37">
        <v>0.0</v>
      </c>
    </row>
    <row r="21" ht="14.25" customHeight="1">
      <c r="A21" t="s">
        <v>86</v>
      </c>
      <c r="B21" t="s">
        <v>61</v>
      </c>
      <c r="C21" t="s">
        <v>75</v>
      </c>
      <c r="D21" t="s">
        <v>63</v>
      </c>
      <c r="E21">
        <v>11.8</v>
      </c>
      <c r="F21">
        <v>14.0</v>
      </c>
      <c r="G21" s="2" t="s">
        <v>64</v>
      </c>
      <c r="H21" s="2">
        <v>0.0</v>
      </c>
      <c r="I21" s="2">
        <v>0.0</v>
      </c>
      <c r="J21" s="37">
        <v>0.0</v>
      </c>
      <c r="K21" s="2">
        <v>0.0</v>
      </c>
      <c r="L21" s="2">
        <v>0.0</v>
      </c>
      <c r="M21" s="37">
        <v>0.0</v>
      </c>
    </row>
    <row r="22" ht="14.25" customHeight="1">
      <c r="A22" t="s">
        <v>87</v>
      </c>
      <c r="B22" t="s">
        <v>61</v>
      </c>
      <c r="C22" t="s">
        <v>75</v>
      </c>
      <c r="D22" t="s">
        <v>63</v>
      </c>
      <c r="E22">
        <v>16.8</v>
      </c>
      <c r="F22">
        <v>18.2</v>
      </c>
      <c r="G22" s="2" t="s">
        <v>64</v>
      </c>
      <c r="H22" s="2">
        <v>0.0</v>
      </c>
      <c r="I22" s="2">
        <v>0.0</v>
      </c>
      <c r="J22" s="37">
        <v>0.0</v>
      </c>
      <c r="K22" s="2">
        <v>0.0</v>
      </c>
      <c r="L22" s="2">
        <v>0.0</v>
      </c>
      <c r="M22" s="37">
        <v>0.0</v>
      </c>
    </row>
    <row r="23" ht="14.25" customHeight="1">
      <c r="A23" t="s">
        <v>88</v>
      </c>
      <c r="B23" t="s">
        <v>61</v>
      </c>
      <c r="C23" t="s">
        <v>75</v>
      </c>
      <c r="D23" t="s">
        <v>63</v>
      </c>
      <c r="E23">
        <v>13.7</v>
      </c>
      <c r="F23">
        <v>17.2</v>
      </c>
      <c r="G23" s="2" t="s">
        <v>64</v>
      </c>
      <c r="H23" s="2">
        <v>0.0</v>
      </c>
      <c r="I23" s="2">
        <v>0.0</v>
      </c>
      <c r="J23" s="37">
        <v>0.0</v>
      </c>
      <c r="K23" s="2">
        <v>0.0</v>
      </c>
      <c r="L23" s="2">
        <v>0.0</v>
      </c>
      <c r="M23" s="37">
        <v>0.0</v>
      </c>
    </row>
    <row r="24" ht="14.25" customHeight="1">
      <c r="A24" t="s">
        <v>89</v>
      </c>
      <c r="B24" t="s">
        <v>61</v>
      </c>
      <c r="C24" t="s">
        <v>75</v>
      </c>
      <c r="D24" t="s">
        <v>63</v>
      </c>
      <c r="E24">
        <v>12.8</v>
      </c>
      <c r="F24">
        <v>13.65</v>
      </c>
      <c r="G24" s="2" t="s">
        <v>64</v>
      </c>
      <c r="H24" s="2">
        <v>0.0</v>
      </c>
      <c r="I24" s="2">
        <v>0.0</v>
      </c>
      <c r="J24" s="37">
        <v>0.0</v>
      </c>
      <c r="K24" s="2">
        <v>0.0</v>
      </c>
      <c r="L24" s="2">
        <v>0.0</v>
      </c>
      <c r="M24" s="37">
        <v>0.0</v>
      </c>
    </row>
    <row r="25" ht="14.25" customHeight="1">
      <c r="A25" t="s">
        <v>90</v>
      </c>
      <c r="B25" t="s">
        <v>61</v>
      </c>
      <c r="C25" t="s">
        <v>75</v>
      </c>
      <c r="D25" t="s">
        <v>63</v>
      </c>
      <c r="E25">
        <v>12.8</v>
      </c>
      <c r="F25">
        <v>13.65</v>
      </c>
      <c r="G25" s="2" t="s">
        <v>64</v>
      </c>
      <c r="H25" s="2">
        <v>0.0</v>
      </c>
      <c r="I25" s="2">
        <v>0.0</v>
      </c>
      <c r="J25" s="37">
        <v>0.0</v>
      </c>
      <c r="K25" s="2">
        <v>0.0</v>
      </c>
      <c r="L25" s="2">
        <v>0.0</v>
      </c>
      <c r="M25" s="37">
        <v>0.0</v>
      </c>
    </row>
    <row r="26" ht="14.25" customHeight="1">
      <c r="A26" t="s">
        <v>91</v>
      </c>
      <c r="B26" t="s">
        <v>61</v>
      </c>
      <c r="C26" t="s">
        <v>75</v>
      </c>
      <c r="D26" t="s">
        <v>63</v>
      </c>
      <c r="E26">
        <v>16.8</v>
      </c>
      <c r="F26">
        <v>18.2</v>
      </c>
      <c r="G26" s="2" t="s">
        <v>64</v>
      </c>
      <c r="H26" s="2">
        <v>0.0</v>
      </c>
      <c r="I26" s="2">
        <v>0.0</v>
      </c>
      <c r="J26" s="37">
        <v>0.0</v>
      </c>
      <c r="K26" s="2">
        <v>0.0</v>
      </c>
      <c r="L26" s="2">
        <v>0.0</v>
      </c>
      <c r="M26" s="37">
        <v>0.0</v>
      </c>
    </row>
    <row r="27" ht="14.25" customHeight="1">
      <c r="A27" t="s">
        <v>92</v>
      </c>
      <c r="B27" t="s">
        <v>61</v>
      </c>
      <c r="C27" t="s">
        <v>75</v>
      </c>
      <c r="D27" t="s">
        <v>82</v>
      </c>
      <c r="E27">
        <v>19.06</v>
      </c>
      <c r="F27">
        <v>19.9</v>
      </c>
      <c r="G27" s="2" t="s">
        <v>64</v>
      </c>
      <c r="H27" s="2">
        <v>0.0</v>
      </c>
      <c r="I27" s="2">
        <v>0.0</v>
      </c>
      <c r="J27" s="37">
        <v>0.0</v>
      </c>
      <c r="K27" s="2">
        <v>0.0</v>
      </c>
      <c r="L27" s="2">
        <v>0.0</v>
      </c>
      <c r="M27" s="37">
        <v>0.0</v>
      </c>
    </row>
    <row r="28" ht="14.25" customHeight="1">
      <c r="A28" t="s">
        <v>93</v>
      </c>
      <c r="B28" t="s">
        <v>61</v>
      </c>
      <c r="C28" t="s">
        <v>75</v>
      </c>
      <c r="D28" t="s">
        <v>82</v>
      </c>
      <c r="E28">
        <v>19.06</v>
      </c>
      <c r="F28">
        <v>19.9</v>
      </c>
      <c r="G28" s="2" t="s">
        <v>64</v>
      </c>
      <c r="H28" s="2">
        <v>0.0</v>
      </c>
      <c r="I28" s="2">
        <v>0.0</v>
      </c>
      <c r="J28" s="37">
        <v>0.0</v>
      </c>
      <c r="K28" s="2">
        <v>0.0</v>
      </c>
      <c r="L28" s="2">
        <v>0.0</v>
      </c>
      <c r="M28" s="37">
        <v>0.0</v>
      </c>
    </row>
    <row r="29" ht="14.25" customHeight="1">
      <c r="A29" t="s">
        <v>94</v>
      </c>
      <c r="B29" t="s">
        <v>61</v>
      </c>
      <c r="C29" t="s">
        <v>75</v>
      </c>
      <c r="D29" t="s">
        <v>63</v>
      </c>
      <c r="E29">
        <v>7.3</v>
      </c>
      <c r="F29">
        <v>7.7</v>
      </c>
      <c r="G29" s="2" t="s">
        <v>67</v>
      </c>
      <c r="H29" s="2">
        <v>24.0</v>
      </c>
      <c r="I29" s="2">
        <v>87.0</v>
      </c>
      <c r="J29" s="37">
        <v>652.14</v>
      </c>
      <c r="K29" s="2">
        <v>28.0</v>
      </c>
      <c r="L29" s="2">
        <v>162.0</v>
      </c>
      <c r="M29" s="37">
        <v>839.48</v>
      </c>
    </row>
    <row r="30" ht="14.25" customHeight="1">
      <c r="A30" t="s">
        <v>95</v>
      </c>
      <c r="B30" t="s">
        <v>61</v>
      </c>
      <c r="C30" t="s">
        <v>75</v>
      </c>
      <c r="D30" t="s">
        <v>63</v>
      </c>
      <c r="E30">
        <v>10.5</v>
      </c>
      <c r="F30">
        <v>11.5</v>
      </c>
      <c r="G30" s="2" t="s">
        <v>67</v>
      </c>
      <c r="H30" s="2">
        <v>37.0</v>
      </c>
      <c r="I30" s="2">
        <v>88.0</v>
      </c>
      <c r="J30" s="37">
        <v>945.42</v>
      </c>
      <c r="K30" s="2">
        <v>43.0</v>
      </c>
      <c r="L30" s="2">
        <v>195.0</v>
      </c>
      <c r="M30" s="37">
        <v>1219.2800000000002</v>
      </c>
    </row>
    <row r="31" ht="14.25" customHeight="1">
      <c r="A31" t="s">
        <v>96</v>
      </c>
      <c r="B31" t="s">
        <v>61</v>
      </c>
      <c r="C31" t="s">
        <v>75</v>
      </c>
      <c r="D31" t="s">
        <v>63</v>
      </c>
      <c r="E31">
        <v>12.9</v>
      </c>
      <c r="F31">
        <v>13.4</v>
      </c>
      <c r="G31" s="2" t="s">
        <v>67</v>
      </c>
      <c r="H31" s="2">
        <v>42.0</v>
      </c>
      <c r="I31" s="2">
        <v>157.0</v>
      </c>
      <c r="J31" s="37">
        <v>1147.42</v>
      </c>
      <c r="K31" s="2">
        <v>49.0</v>
      </c>
      <c r="L31" s="2">
        <v>289.0</v>
      </c>
      <c r="M31" s="37">
        <v>1476.24</v>
      </c>
    </row>
    <row r="32" ht="14.25" customHeight="1">
      <c r="A32" t="s">
        <v>97</v>
      </c>
      <c r="B32" t="s">
        <v>61</v>
      </c>
      <c r="C32" t="s">
        <v>75</v>
      </c>
      <c r="D32" t="s">
        <v>63</v>
      </c>
      <c r="E32">
        <v>14.0</v>
      </c>
      <c r="F32">
        <v>14.35</v>
      </c>
      <c r="G32" s="2" t="s">
        <v>67</v>
      </c>
      <c r="H32" s="2">
        <v>45.0</v>
      </c>
      <c r="I32" s="2">
        <v>120.0</v>
      </c>
      <c r="J32" s="37">
        <v>1166.7</v>
      </c>
      <c r="K32" s="2">
        <v>52.0</v>
      </c>
      <c r="L32" s="2">
        <v>263.0</v>
      </c>
      <c r="M32" s="37">
        <v>1509.8200000000002</v>
      </c>
    </row>
    <row r="33" ht="14.25" customHeight="1">
      <c r="A33" t="s">
        <v>98</v>
      </c>
      <c r="B33" t="s">
        <v>61</v>
      </c>
      <c r="C33" t="s">
        <v>75</v>
      </c>
      <c r="D33" t="s">
        <v>63</v>
      </c>
      <c r="E33">
        <v>16.6</v>
      </c>
      <c r="F33">
        <v>17.6</v>
      </c>
      <c r="G33" s="2" t="s">
        <v>67</v>
      </c>
      <c r="H33" s="2">
        <v>54.0</v>
      </c>
      <c r="I33" s="2">
        <v>125.0</v>
      </c>
      <c r="J33" s="37">
        <v>1375.3400000000001</v>
      </c>
      <c r="K33" s="2">
        <v>63.0</v>
      </c>
      <c r="L33" s="2">
        <v>296.0</v>
      </c>
      <c r="M33" s="37">
        <v>1799.78</v>
      </c>
    </row>
    <row r="34" ht="14.25" customHeight="1">
      <c r="A34" t="s">
        <v>99</v>
      </c>
      <c r="B34" t="s">
        <v>61</v>
      </c>
      <c r="C34" t="s">
        <v>62</v>
      </c>
      <c r="D34" t="s">
        <v>63</v>
      </c>
      <c r="E34">
        <v>10.95</v>
      </c>
      <c r="F34">
        <v>11.95</v>
      </c>
      <c r="G34" s="2" t="s">
        <v>67</v>
      </c>
      <c r="H34" s="2">
        <v>39.0</v>
      </c>
      <c r="I34" s="2">
        <v>282.0</v>
      </c>
      <c r="J34" s="37">
        <v>1242.54</v>
      </c>
      <c r="K34" s="2">
        <v>45.0</v>
      </c>
      <c r="L34" s="2">
        <v>394.0</v>
      </c>
      <c r="M34" s="37">
        <v>1522.9</v>
      </c>
    </row>
    <row r="35" ht="14.25" customHeight="1">
      <c r="A35" t="s">
        <v>100</v>
      </c>
      <c r="B35" t="s">
        <v>61</v>
      </c>
      <c r="C35" t="s">
        <v>62</v>
      </c>
      <c r="D35" t="s">
        <v>63</v>
      </c>
      <c r="E35">
        <v>12.3</v>
      </c>
      <c r="F35">
        <v>13.5</v>
      </c>
      <c r="G35" s="2" t="s">
        <v>67</v>
      </c>
      <c r="H35" s="2">
        <v>42.0</v>
      </c>
      <c r="I35" s="2">
        <v>212.0</v>
      </c>
      <c r="J35" s="37">
        <v>1218.92</v>
      </c>
      <c r="K35" s="2">
        <v>49.0</v>
      </c>
      <c r="L35" s="2">
        <v>338.0</v>
      </c>
      <c r="M35" s="37">
        <v>1539.94</v>
      </c>
    </row>
    <row r="36" ht="14.25" customHeight="1">
      <c r="A36" t="s">
        <v>101</v>
      </c>
      <c r="B36" t="s">
        <v>61</v>
      </c>
      <c r="C36" t="s">
        <v>62</v>
      </c>
      <c r="D36" t="s">
        <v>63</v>
      </c>
      <c r="E36">
        <v>13.95</v>
      </c>
      <c r="F36">
        <v>14.5</v>
      </c>
      <c r="G36" s="2" t="s">
        <v>67</v>
      </c>
      <c r="H36" s="2">
        <v>45.0</v>
      </c>
      <c r="I36" s="2">
        <v>124.0</v>
      </c>
      <c r="J36" s="37">
        <v>1171.9</v>
      </c>
      <c r="K36" s="2">
        <v>52.0</v>
      </c>
      <c r="L36" s="2">
        <v>267.0</v>
      </c>
      <c r="M36" s="37">
        <v>1515.02</v>
      </c>
    </row>
    <row r="37" ht="14.25" customHeight="1">
      <c r="A37" t="s">
        <v>102</v>
      </c>
      <c r="B37" t="s">
        <v>61</v>
      </c>
      <c r="C37" t="s">
        <v>75</v>
      </c>
      <c r="D37" t="s">
        <v>63</v>
      </c>
      <c r="E37">
        <v>17.0</v>
      </c>
      <c r="F37">
        <v>18.2</v>
      </c>
      <c r="G37" s="2" t="s">
        <v>64</v>
      </c>
      <c r="H37" s="2">
        <v>0.0</v>
      </c>
      <c r="I37" s="2">
        <v>0.0</v>
      </c>
      <c r="J37" s="37">
        <v>0.0</v>
      </c>
      <c r="K37" s="2">
        <v>0.0</v>
      </c>
      <c r="L37" s="2">
        <v>0.0</v>
      </c>
      <c r="M37" s="37">
        <v>0.0</v>
      </c>
    </row>
    <row r="38" ht="14.25" customHeight="1">
      <c r="A38" t="s">
        <v>103</v>
      </c>
      <c r="B38" t="s">
        <v>61</v>
      </c>
      <c r="C38" t="s">
        <v>75</v>
      </c>
      <c r="D38" t="s">
        <v>63</v>
      </c>
      <c r="E38">
        <v>17.0</v>
      </c>
      <c r="F38">
        <v>18.2</v>
      </c>
      <c r="G38" s="2" t="s">
        <v>64</v>
      </c>
      <c r="H38" s="2">
        <v>0.0</v>
      </c>
      <c r="I38" s="2">
        <v>0.0</v>
      </c>
      <c r="J38" s="37">
        <v>0.0</v>
      </c>
      <c r="K38" s="2">
        <v>0.0</v>
      </c>
      <c r="L38" s="2">
        <v>0.0</v>
      </c>
      <c r="M38" s="37">
        <v>0.0</v>
      </c>
    </row>
    <row r="39" ht="14.25" customHeight="1">
      <c r="A39" t="s">
        <v>104</v>
      </c>
      <c r="B39" t="s">
        <v>61</v>
      </c>
      <c r="C39" t="s">
        <v>75</v>
      </c>
      <c r="D39" t="s">
        <v>63</v>
      </c>
      <c r="E39">
        <v>14.75</v>
      </c>
      <c r="F39">
        <v>16.0</v>
      </c>
      <c r="G39" s="2" t="s">
        <v>64</v>
      </c>
      <c r="H39" s="2">
        <v>0.0</v>
      </c>
      <c r="I39" s="2">
        <v>0.0</v>
      </c>
      <c r="J39" s="37">
        <v>0.0</v>
      </c>
      <c r="K39" s="2">
        <v>0.0</v>
      </c>
      <c r="L39" s="2">
        <v>0.0</v>
      </c>
      <c r="M39" s="37">
        <v>0.0</v>
      </c>
    </row>
    <row r="40" ht="14.25" customHeight="1">
      <c r="A40" t="s">
        <v>105</v>
      </c>
      <c r="B40" t="s">
        <v>61</v>
      </c>
      <c r="C40" t="s">
        <v>75</v>
      </c>
      <c r="D40" t="s">
        <v>63</v>
      </c>
      <c r="E40">
        <v>14.75</v>
      </c>
      <c r="F40">
        <v>16.0</v>
      </c>
      <c r="G40" s="2" t="s">
        <v>64</v>
      </c>
      <c r="H40" s="2">
        <v>0.0</v>
      </c>
      <c r="I40" s="2">
        <v>0.0</v>
      </c>
      <c r="J40" s="37">
        <v>0.0</v>
      </c>
      <c r="K40" s="2">
        <v>0.0</v>
      </c>
      <c r="L40" s="2">
        <v>0.0</v>
      </c>
      <c r="M40" s="37">
        <v>0.0</v>
      </c>
    </row>
    <row r="41" ht="14.25" customHeight="1">
      <c r="A41" t="s">
        <v>106</v>
      </c>
      <c r="B41" t="s">
        <v>61</v>
      </c>
      <c r="C41" t="s">
        <v>75</v>
      </c>
      <c r="D41" t="s">
        <v>82</v>
      </c>
      <c r="E41">
        <v>14.65</v>
      </c>
      <c r="F41">
        <v>16.0</v>
      </c>
      <c r="G41" s="2" t="s">
        <v>64</v>
      </c>
      <c r="H41" s="2">
        <v>0.0</v>
      </c>
      <c r="I41" s="2">
        <v>0.0</v>
      </c>
      <c r="J41" s="37">
        <v>0.0</v>
      </c>
      <c r="K41" s="2">
        <v>0.0</v>
      </c>
      <c r="L41" s="2">
        <v>0.0</v>
      </c>
      <c r="M41" s="37">
        <v>0.0</v>
      </c>
    </row>
    <row r="42" ht="14.25" customHeight="1">
      <c r="A42" t="s">
        <v>107</v>
      </c>
      <c r="B42" t="s">
        <v>61</v>
      </c>
      <c r="C42" t="s">
        <v>75</v>
      </c>
      <c r="D42" t="s">
        <v>82</v>
      </c>
      <c r="E42">
        <v>17.0</v>
      </c>
      <c r="F42">
        <v>18.4</v>
      </c>
      <c r="G42" s="2" t="s">
        <v>64</v>
      </c>
      <c r="H42" s="2">
        <v>0.0</v>
      </c>
      <c r="I42" s="2">
        <v>0.0</v>
      </c>
      <c r="J42" s="37">
        <v>0.0</v>
      </c>
      <c r="K42" s="2">
        <v>0.0</v>
      </c>
      <c r="L42" s="2">
        <v>0.0</v>
      </c>
      <c r="M42" s="37">
        <v>0.0</v>
      </c>
    </row>
    <row r="43" ht="14.25" customHeight="1">
      <c r="A43" t="s">
        <v>108</v>
      </c>
      <c r="B43" t="s">
        <v>61</v>
      </c>
      <c r="C43" t="s">
        <v>75</v>
      </c>
      <c r="D43" t="s">
        <v>63</v>
      </c>
      <c r="E43">
        <v>16.8</v>
      </c>
      <c r="F43">
        <v>18.0</v>
      </c>
      <c r="G43" s="2" t="s">
        <v>64</v>
      </c>
      <c r="H43" s="2">
        <v>0.0</v>
      </c>
      <c r="I43" s="2">
        <v>0.0</v>
      </c>
      <c r="J43" s="37">
        <v>0.0</v>
      </c>
      <c r="K43" s="2">
        <v>0.0</v>
      </c>
      <c r="L43" s="2">
        <v>0.0</v>
      </c>
      <c r="M43" s="37">
        <v>0.0</v>
      </c>
    </row>
    <row r="44" ht="14.25" customHeight="1">
      <c r="A44" t="s">
        <v>109</v>
      </c>
      <c r="B44" t="s">
        <v>61</v>
      </c>
      <c r="C44" t="s">
        <v>75</v>
      </c>
      <c r="D44" t="s">
        <v>63</v>
      </c>
      <c r="E44">
        <v>16.8</v>
      </c>
      <c r="F44">
        <v>18.0</v>
      </c>
      <c r="G44" s="2" t="s">
        <v>64</v>
      </c>
      <c r="H44" s="2">
        <v>0.0</v>
      </c>
      <c r="I44" s="2">
        <v>0.0</v>
      </c>
      <c r="J44" s="37">
        <v>0.0</v>
      </c>
      <c r="K44" s="2">
        <v>0.0</v>
      </c>
      <c r="L44" s="2">
        <v>0.0</v>
      </c>
      <c r="M44" s="37">
        <v>0.0</v>
      </c>
    </row>
    <row r="45" ht="14.25" customHeight="1">
      <c r="A45" t="s">
        <v>110</v>
      </c>
      <c r="B45" t="s">
        <v>61</v>
      </c>
      <c r="C45" t="s">
        <v>75</v>
      </c>
      <c r="D45" t="s">
        <v>63</v>
      </c>
      <c r="E45">
        <v>16.8</v>
      </c>
      <c r="F45">
        <v>18.0</v>
      </c>
      <c r="G45" s="2" t="s">
        <v>64</v>
      </c>
      <c r="H45" s="2">
        <v>0.0</v>
      </c>
      <c r="I45" s="2">
        <v>0.0</v>
      </c>
      <c r="J45" s="37">
        <v>0.0</v>
      </c>
      <c r="K45" s="2">
        <v>0.0</v>
      </c>
      <c r="L45" s="2">
        <v>0.0</v>
      </c>
      <c r="M45" s="37">
        <v>0.0</v>
      </c>
    </row>
    <row r="46" ht="14.25" customHeight="1">
      <c r="A46" t="s">
        <v>111</v>
      </c>
      <c r="B46" t="s">
        <v>61</v>
      </c>
      <c r="C46" t="s">
        <v>75</v>
      </c>
      <c r="D46" t="s">
        <v>63</v>
      </c>
      <c r="E46">
        <v>17.0</v>
      </c>
      <c r="F46">
        <v>18.2</v>
      </c>
      <c r="G46" s="2" t="s">
        <v>64</v>
      </c>
      <c r="H46" s="2">
        <v>0.0</v>
      </c>
      <c r="I46" s="2">
        <v>0.0</v>
      </c>
      <c r="J46" s="37">
        <v>0.0</v>
      </c>
      <c r="K46" s="2">
        <v>0.0</v>
      </c>
      <c r="L46" s="2">
        <v>0.0</v>
      </c>
      <c r="M46" s="37">
        <v>0.0</v>
      </c>
    </row>
    <row r="47" ht="14.25" customHeight="1">
      <c r="A47" t="s">
        <v>112</v>
      </c>
      <c r="B47" t="s">
        <v>61</v>
      </c>
      <c r="C47" t="s">
        <v>75</v>
      </c>
      <c r="D47" t="s">
        <v>63</v>
      </c>
      <c r="E47">
        <v>14.75</v>
      </c>
      <c r="F47">
        <v>16.0</v>
      </c>
      <c r="G47" s="2" t="s">
        <v>64</v>
      </c>
      <c r="H47" s="2">
        <v>0.0</v>
      </c>
      <c r="I47" s="2">
        <v>0.0</v>
      </c>
      <c r="J47" s="37">
        <v>0.0</v>
      </c>
      <c r="K47" s="2">
        <v>0.0</v>
      </c>
      <c r="L47" s="2">
        <v>0.0</v>
      </c>
      <c r="M47" s="37">
        <v>0.0</v>
      </c>
    </row>
    <row r="48" ht="14.25" customHeight="1">
      <c r="A48" t="s">
        <v>113</v>
      </c>
      <c r="B48" t="s">
        <v>61</v>
      </c>
      <c r="C48" t="s">
        <v>75</v>
      </c>
      <c r="D48" t="s">
        <v>63</v>
      </c>
      <c r="E48">
        <v>14.4</v>
      </c>
      <c r="F48">
        <v>15.53</v>
      </c>
      <c r="G48" s="2" t="s">
        <v>64</v>
      </c>
      <c r="H48" s="2">
        <v>0.0</v>
      </c>
      <c r="I48" s="2">
        <v>0.0</v>
      </c>
      <c r="J48" s="37">
        <v>0.0</v>
      </c>
      <c r="K48" s="2">
        <v>0.0</v>
      </c>
      <c r="L48" s="2">
        <v>0.0</v>
      </c>
      <c r="M48" s="37">
        <v>0.0</v>
      </c>
    </row>
    <row r="49" ht="14.25" customHeight="1">
      <c r="A49" t="s">
        <v>114</v>
      </c>
      <c r="B49" t="s">
        <v>61</v>
      </c>
      <c r="C49" t="s">
        <v>75</v>
      </c>
      <c r="D49" t="s">
        <v>63</v>
      </c>
      <c r="E49">
        <v>14.4</v>
      </c>
      <c r="F49">
        <v>15.53</v>
      </c>
      <c r="G49" s="2" t="s">
        <v>64</v>
      </c>
      <c r="H49" s="2">
        <v>0.0</v>
      </c>
      <c r="I49" s="2">
        <v>0.0</v>
      </c>
      <c r="J49" s="37">
        <v>0.0</v>
      </c>
      <c r="K49" s="2">
        <v>0.0</v>
      </c>
      <c r="L49" s="2">
        <v>0.0</v>
      </c>
      <c r="M49" s="37">
        <v>0.0</v>
      </c>
    </row>
    <row r="50" ht="14.25" customHeight="1">
      <c r="A50" t="s">
        <v>115</v>
      </c>
      <c r="B50" t="s">
        <v>61</v>
      </c>
      <c r="C50" t="s">
        <v>75</v>
      </c>
      <c r="D50" t="s">
        <v>63</v>
      </c>
      <c r="E50">
        <v>14.4</v>
      </c>
      <c r="F50">
        <v>15.53</v>
      </c>
      <c r="G50" s="2" t="s">
        <v>64</v>
      </c>
      <c r="H50" s="2">
        <v>0.0</v>
      </c>
      <c r="I50" s="2">
        <v>0.0</v>
      </c>
      <c r="J50" s="37">
        <v>0.0</v>
      </c>
      <c r="K50" s="2">
        <v>0.0</v>
      </c>
      <c r="L50" s="2">
        <v>0.0</v>
      </c>
      <c r="M50" s="37">
        <v>0.0</v>
      </c>
    </row>
    <row r="51" ht="14.25" customHeight="1">
      <c r="A51" t="s">
        <v>116</v>
      </c>
      <c r="B51" t="s">
        <v>61</v>
      </c>
      <c r="C51" t="s">
        <v>75</v>
      </c>
      <c r="D51" t="s">
        <v>63</v>
      </c>
      <c r="E51">
        <v>13.02</v>
      </c>
      <c r="F51">
        <v>15.0</v>
      </c>
      <c r="G51" s="2" t="s">
        <v>67</v>
      </c>
      <c r="H51" s="2">
        <v>39.0</v>
      </c>
      <c r="I51" s="2">
        <v>91.0</v>
      </c>
      <c r="J51" s="37">
        <v>994.24</v>
      </c>
      <c r="K51" s="2">
        <v>47.0</v>
      </c>
      <c r="L51" s="2">
        <v>225.0</v>
      </c>
      <c r="M51" s="37">
        <v>1348.1200000000001</v>
      </c>
    </row>
    <row r="52" ht="14.25" customHeight="1">
      <c r="A52" t="s">
        <v>117</v>
      </c>
      <c r="B52" t="s">
        <v>61</v>
      </c>
      <c r="C52" t="s">
        <v>75</v>
      </c>
      <c r="D52" t="s">
        <v>63</v>
      </c>
      <c r="E52">
        <v>13.02</v>
      </c>
      <c r="F52">
        <v>15.0</v>
      </c>
      <c r="G52" s="2" t="s">
        <v>67</v>
      </c>
      <c r="H52" s="2">
        <v>39.0</v>
      </c>
      <c r="I52" s="2">
        <v>91.0</v>
      </c>
      <c r="J52" s="37">
        <v>994.24</v>
      </c>
      <c r="K52" s="2">
        <v>47.0</v>
      </c>
      <c r="L52" s="2">
        <v>225.0</v>
      </c>
      <c r="M52" s="37">
        <v>1348.1200000000001</v>
      </c>
    </row>
    <row r="53" ht="14.25" customHeight="1">
      <c r="A53" t="s">
        <v>118</v>
      </c>
      <c r="B53" t="s">
        <v>61</v>
      </c>
      <c r="C53" t="s">
        <v>75</v>
      </c>
      <c r="D53" t="s">
        <v>63</v>
      </c>
      <c r="E53">
        <v>10.0</v>
      </c>
      <c r="F53">
        <v>10.52</v>
      </c>
      <c r="G53" s="2" t="s">
        <v>64</v>
      </c>
      <c r="H53" s="2">
        <v>0.0</v>
      </c>
      <c r="I53" s="2">
        <v>0.0</v>
      </c>
      <c r="J53" s="37">
        <v>0.0</v>
      </c>
      <c r="K53" s="2">
        <v>0.0</v>
      </c>
      <c r="L53" s="2">
        <v>0.0</v>
      </c>
      <c r="M53" s="37">
        <v>0.0</v>
      </c>
    </row>
    <row r="54" ht="14.25" customHeight="1">
      <c r="A54" t="s">
        <v>119</v>
      </c>
      <c r="B54" t="s">
        <v>61</v>
      </c>
      <c r="C54" t="s">
        <v>75</v>
      </c>
      <c r="D54" t="s">
        <v>63</v>
      </c>
      <c r="E54">
        <v>13.0</v>
      </c>
      <c r="F54">
        <v>15.0</v>
      </c>
      <c r="G54" s="2" t="s">
        <v>67</v>
      </c>
      <c r="H54" s="2">
        <v>40.0</v>
      </c>
      <c r="I54" s="2">
        <v>84.0</v>
      </c>
      <c r="J54" s="37">
        <v>1007.6000000000001</v>
      </c>
      <c r="K54" s="2">
        <v>47.0</v>
      </c>
      <c r="L54" s="2">
        <v>217.0</v>
      </c>
      <c r="M54" s="37">
        <v>1337.7200000000003</v>
      </c>
    </row>
    <row r="55" ht="14.25" customHeight="1">
      <c r="A55" t="s">
        <v>120</v>
      </c>
      <c r="B55" t="s">
        <v>61</v>
      </c>
      <c r="C55" t="s">
        <v>75</v>
      </c>
      <c r="D55" t="s">
        <v>63</v>
      </c>
      <c r="E55">
        <v>13.0</v>
      </c>
      <c r="F55">
        <v>15.0</v>
      </c>
      <c r="G55" s="2" t="s">
        <v>67</v>
      </c>
      <c r="H55" s="2">
        <v>40.0</v>
      </c>
      <c r="I55" s="2">
        <v>84.0</v>
      </c>
      <c r="J55" s="37">
        <v>1007.6000000000001</v>
      </c>
      <c r="K55" s="2">
        <v>47.0</v>
      </c>
      <c r="L55" s="2">
        <v>217.0</v>
      </c>
      <c r="M55" s="37">
        <v>1337.7200000000003</v>
      </c>
    </row>
    <row r="56" ht="14.25" customHeight="1">
      <c r="A56" t="s">
        <v>121</v>
      </c>
      <c r="B56" t="s">
        <v>61</v>
      </c>
      <c r="C56" t="s">
        <v>75</v>
      </c>
      <c r="D56" t="s">
        <v>82</v>
      </c>
      <c r="E56">
        <v>29.6</v>
      </c>
      <c r="F56">
        <v>29.80402</v>
      </c>
      <c r="G56" s="2" t="s">
        <v>64</v>
      </c>
      <c r="H56" s="2">
        <v>0.0</v>
      </c>
      <c r="I56" s="2">
        <v>0.0</v>
      </c>
      <c r="J56" s="37">
        <v>0.0</v>
      </c>
      <c r="K56" s="2">
        <v>0.0</v>
      </c>
      <c r="L56" s="2">
        <v>0.0</v>
      </c>
      <c r="M56" s="37">
        <v>0.0</v>
      </c>
    </row>
    <row r="57" ht="14.25" customHeight="1">
      <c r="A57" t="s">
        <v>122</v>
      </c>
      <c r="B57" t="s">
        <v>61</v>
      </c>
      <c r="C57" t="s">
        <v>75</v>
      </c>
      <c r="D57" t="s">
        <v>63</v>
      </c>
      <c r="E57">
        <v>29.6</v>
      </c>
      <c r="F57">
        <v>29.80402</v>
      </c>
      <c r="G57" s="2" t="s">
        <v>64</v>
      </c>
      <c r="H57" s="2">
        <v>0.0</v>
      </c>
      <c r="I57" s="2">
        <v>0.0</v>
      </c>
      <c r="J57" s="37">
        <v>0.0</v>
      </c>
      <c r="K57" s="2">
        <v>0.0</v>
      </c>
      <c r="L57" s="2">
        <v>0.0</v>
      </c>
      <c r="M57" s="37">
        <v>0.0</v>
      </c>
    </row>
    <row r="58" ht="14.25" customHeight="1">
      <c r="A58" t="s">
        <v>123</v>
      </c>
      <c r="B58" t="s">
        <v>61</v>
      </c>
      <c r="C58" t="s">
        <v>75</v>
      </c>
      <c r="D58" t="s">
        <v>82</v>
      </c>
      <c r="E58">
        <v>29.511</v>
      </c>
      <c r="F58">
        <v>30.1971199999999</v>
      </c>
      <c r="G58" s="2" t="s">
        <v>64</v>
      </c>
      <c r="H58" s="2">
        <v>0.0</v>
      </c>
      <c r="I58" s="2">
        <v>0.0</v>
      </c>
      <c r="J58" s="37">
        <v>0.0</v>
      </c>
      <c r="K58" s="2">
        <v>0.0</v>
      </c>
      <c r="L58" s="2">
        <v>0.0</v>
      </c>
      <c r="M58" s="37">
        <v>0.0</v>
      </c>
    </row>
    <row r="59" ht="14.25" customHeight="1">
      <c r="A59" t="s">
        <v>124</v>
      </c>
      <c r="B59" t="s">
        <v>61</v>
      </c>
      <c r="C59" t="s">
        <v>75</v>
      </c>
      <c r="D59" t="s">
        <v>82</v>
      </c>
      <c r="E59">
        <v>29.511</v>
      </c>
      <c r="F59">
        <v>30.1971199999999</v>
      </c>
      <c r="G59" s="2" t="s">
        <v>64</v>
      </c>
      <c r="H59" s="2">
        <v>0.0</v>
      </c>
      <c r="I59" s="2">
        <v>0.0</v>
      </c>
      <c r="J59" s="37">
        <v>0.0</v>
      </c>
      <c r="K59" s="2">
        <v>0.0</v>
      </c>
      <c r="L59" s="2">
        <v>0.0</v>
      </c>
      <c r="M59" s="37">
        <v>0.0</v>
      </c>
    </row>
    <row r="60" ht="14.25" customHeight="1">
      <c r="A60" t="s">
        <v>125</v>
      </c>
      <c r="B60" t="s">
        <v>61</v>
      </c>
      <c r="C60" t="s">
        <v>75</v>
      </c>
      <c r="D60" t="s">
        <v>82</v>
      </c>
      <c r="E60">
        <v>29.511</v>
      </c>
      <c r="F60">
        <v>30.1971199999999</v>
      </c>
      <c r="G60" s="2" t="s">
        <v>64</v>
      </c>
      <c r="H60" s="2">
        <v>0.0</v>
      </c>
      <c r="I60" s="2">
        <v>0.0</v>
      </c>
      <c r="J60" s="37">
        <v>0.0</v>
      </c>
      <c r="K60" s="2">
        <v>0.0</v>
      </c>
      <c r="L60" s="2">
        <v>0.0</v>
      </c>
      <c r="M60" s="37">
        <v>0.0</v>
      </c>
    </row>
    <row r="61" ht="14.25" customHeight="1">
      <c r="A61" t="s">
        <v>126</v>
      </c>
      <c r="B61" t="s">
        <v>61</v>
      </c>
      <c r="C61" t="s">
        <v>75</v>
      </c>
      <c r="D61" t="s">
        <v>63</v>
      </c>
      <c r="E61">
        <v>22.609</v>
      </c>
      <c r="F61">
        <v>23.483</v>
      </c>
      <c r="G61" s="2" t="s">
        <v>64</v>
      </c>
      <c r="H61" s="2">
        <v>0.0</v>
      </c>
      <c r="I61" s="2">
        <v>0.0</v>
      </c>
      <c r="J61" s="37">
        <v>0.0</v>
      </c>
      <c r="K61" s="2">
        <v>0.0</v>
      </c>
      <c r="L61" s="2">
        <v>0.0</v>
      </c>
      <c r="M61" s="37">
        <v>0.0</v>
      </c>
    </row>
    <row r="62" ht="14.25" customHeight="1">
      <c r="A62" t="s">
        <v>127</v>
      </c>
      <c r="B62" t="s">
        <v>61</v>
      </c>
      <c r="C62" t="s">
        <v>75</v>
      </c>
      <c r="D62" t="s">
        <v>63</v>
      </c>
      <c r="E62">
        <v>22.609</v>
      </c>
      <c r="F62">
        <v>23.483</v>
      </c>
      <c r="G62" s="2" t="s">
        <v>64</v>
      </c>
      <c r="H62" s="2">
        <v>0.0</v>
      </c>
      <c r="I62" s="2">
        <v>0.0</v>
      </c>
      <c r="J62" s="37">
        <v>0.0</v>
      </c>
      <c r="K62" s="2">
        <v>0.0</v>
      </c>
      <c r="L62" s="2">
        <v>0.0</v>
      </c>
      <c r="M62" s="37">
        <v>0.0</v>
      </c>
    </row>
    <row r="63" ht="14.25" customHeight="1">
      <c r="A63" t="s">
        <v>128</v>
      </c>
      <c r="B63" t="s">
        <v>61</v>
      </c>
      <c r="C63" t="s">
        <v>75</v>
      </c>
      <c r="D63" t="s">
        <v>82</v>
      </c>
      <c r="E63">
        <v>22.9</v>
      </c>
      <c r="F63">
        <v>23.56</v>
      </c>
      <c r="G63" s="2" t="s">
        <v>64</v>
      </c>
      <c r="H63" s="2">
        <v>0.0</v>
      </c>
      <c r="I63" s="2">
        <v>0.0</v>
      </c>
      <c r="J63" s="37">
        <v>0.0</v>
      </c>
      <c r="K63" s="2">
        <v>0.0</v>
      </c>
      <c r="L63" s="2">
        <v>0.0</v>
      </c>
      <c r="M63" s="37">
        <v>0.0</v>
      </c>
    </row>
    <row r="64" ht="14.25" customHeight="1">
      <c r="A64" t="s">
        <v>129</v>
      </c>
      <c r="B64" t="s">
        <v>61</v>
      </c>
      <c r="C64" t="s">
        <v>75</v>
      </c>
      <c r="D64" t="s">
        <v>82</v>
      </c>
      <c r="E64">
        <v>22.9</v>
      </c>
      <c r="F64">
        <v>23.56</v>
      </c>
      <c r="G64" s="2" t="s">
        <v>64</v>
      </c>
      <c r="H64" s="2">
        <v>0.0</v>
      </c>
      <c r="I64" s="2">
        <v>0.0</v>
      </c>
      <c r="J64" s="37">
        <v>0.0</v>
      </c>
      <c r="K64" s="2">
        <v>0.0</v>
      </c>
      <c r="L64" s="2">
        <v>0.0</v>
      </c>
      <c r="M64" s="37">
        <v>0.0</v>
      </c>
    </row>
    <row r="65" ht="14.25" customHeight="1">
      <c r="A65" t="s">
        <v>130</v>
      </c>
      <c r="B65" t="s">
        <v>61</v>
      </c>
      <c r="C65" t="s">
        <v>75</v>
      </c>
      <c r="D65" t="s">
        <v>82</v>
      </c>
      <c r="E65">
        <v>22.9</v>
      </c>
      <c r="F65">
        <v>23.56</v>
      </c>
      <c r="G65" s="2" t="s">
        <v>64</v>
      </c>
      <c r="H65" s="2">
        <v>0.0</v>
      </c>
      <c r="I65" s="2">
        <v>0.0</v>
      </c>
      <c r="J65" s="37">
        <v>0.0</v>
      </c>
      <c r="K65" s="2">
        <v>0.0</v>
      </c>
      <c r="L65" s="2">
        <v>0.0</v>
      </c>
      <c r="M65" s="37">
        <v>0.0</v>
      </c>
    </row>
    <row r="66" ht="14.25" customHeight="1">
      <c r="A66" t="s">
        <v>131</v>
      </c>
      <c r="B66" t="s">
        <v>61</v>
      </c>
      <c r="C66" t="s">
        <v>75</v>
      </c>
      <c r="D66" t="s">
        <v>63</v>
      </c>
      <c r="E66">
        <v>15.4</v>
      </c>
      <c r="F66">
        <v>16.74</v>
      </c>
      <c r="G66" s="2" t="s">
        <v>67</v>
      </c>
      <c r="H66" s="2">
        <v>45.0</v>
      </c>
      <c r="I66" s="2">
        <v>165.0</v>
      </c>
      <c r="J66" s="37">
        <v>1225.2</v>
      </c>
      <c r="K66" s="2">
        <v>53.0</v>
      </c>
      <c r="L66" s="2">
        <v>323.0</v>
      </c>
      <c r="M66" s="37">
        <v>1610.2800000000002</v>
      </c>
    </row>
    <row r="67" ht="14.25" customHeight="1">
      <c r="A67" t="s">
        <v>132</v>
      </c>
      <c r="B67" t="s">
        <v>61</v>
      </c>
      <c r="C67" t="s">
        <v>75</v>
      </c>
      <c r="D67" t="s">
        <v>63</v>
      </c>
      <c r="E67">
        <v>15.4</v>
      </c>
      <c r="F67">
        <v>16.74</v>
      </c>
      <c r="G67" s="2" t="s">
        <v>67</v>
      </c>
      <c r="H67" s="2">
        <v>45.0</v>
      </c>
      <c r="I67" s="2">
        <v>165.0</v>
      </c>
      <c r="J67" s="37">
        <v>1225.2</v>
      </c>
      <c r="K67" s="2">
        <v>53.0</v>
      </c>
      <c r="L67" s="2">
        <v>323.0</v>
      </c>
      <c r="M67" s="37">
        <v>1610.2800000000002</v>
      </c>
    </row>
    <row r="68" ht="14.25" customHeight="1">
      <c r="A68" t="s">
        <v>133</v>
      </c>
      <c r="B68" t="s">
        <v>61</v>
      </c>
      <c r="C68" t="s">
        <v>75</v>
      </c>
      <c r="D68" t="s">
        <v>63</v>
      </c>
      <c r="E68">
        <v>17.0</v>
      </c>
      <c r="F68">
        <v>19.08</v>
      </c>
      <c r="G68" s="2" t="s">
        <v>67</v>
      </c>
      <c r="H68" s="2">
        <v>51.0</v>
      </c>
      <c r="I68" s="2">
        <v>137.0</v>
      </c>
      <c r="J68" s="37">
        <v>1323.56</v>
      </c>
      <c r="K68" s="2">
        <v>60.0</v>
      </c>
      <c r="L68" s="2">
        <v>311.0</v>
      </c>
      <c r="M68" s="37">
        <v>1751.9</v>
      </c>
    </row>
    <row r="69" ht="14.25" customHeight="1">
      <c r="A69" t="s">
        <v>134</v>
      </c>
      <c r="B69" t="s">
        <v>61</v>
      </c>
      <c r="C69" t="s">
        <v>75</v>
      </c>
      <c r="D69" t="s">
        <v>63</v>
      </c>
      <c r="E69">
        <v>17.0</v>
      </c>
      <c r="F69">
        <v>19.08</v>
      </c>
      <c r="G69" s="2" t="s">
        <v>67</v>
      </c>
      <c r="H69" s="2">
        <v>51.0</v>
      </c>
      <c r="I69" s="2">
        <v>137.0</v>
      </c>
      <c r="J69" s="37">
        <v>1323.56</v>
      </c>
      <c r="K69" s="2">
        <v>60.0</v>
      </c>
      <c r="L69" s="2">
        <v>311.0</v>
      </c>
      <c r="M69" s="37">
        <v>1751.9</v>
      </c>
    </row>
    <row r="70" ht="14.25" customHeight="1">
      <c r="A70" t="s">
        <v>135</v>
      </c>
      <c r="B70" t="s">
        <v>61</v>
      </c>
      <c r="C70" t="s">
        <v>75</v>
      </c>
      <c r="D70" t="s">
        <v>63</v>
      </c>
      <c r="E70">
        <v>15.2</v>
      </c>
      <c r="F70">
        <v>16.7</v>
      </c>
      <c r="G70" s="2" t="s">
        <v>67</v>
      </c>
      <c r="H70" s="2">
        <v>45.0</v>
      </c>
      <c r="I70" s="2">
        <v>140.0</v>
      </c>
      <c r="J70" s="37">
        <v>1192.7</v>
      </c>
      <c r="K70" s="2">
        <v>53.0</v>
      </c>
      <c r="L70" s="2">
        <v>296.0</v>
      </c>
      <c r="M70" s="37">
        <v>1575.18</v>
      </c>
    </row>
    <row r="71" ht="14.25" customHeight="1">
      <c r="A71" t="s">
        <v>136</v>
      </c>
      <c r="B71" t="s">
        <v>61</v>
      </c>
      <c r="C71" t="s">
        <v>75</v>
      </c>
      <c r="D71" t="s">
        <v>63</v>
      </c>
      <c r="E71">
        <v>15.2</v>
      </c>
      <c r="F71">
        <v>16.7</v>
      </c>
      <c r="G71" s="2" t="s">
        <v>67</v>
      </c>
      <c r="H71" s="2">
        <v>45.0</v>
      </c>
      <c r="I71" s="2">
        <v>140.0</v>
      </c>
      <c r="J71" s="37">
        <v>1192.7</v>
      </c>
      <c r="K71" s="2">
        <v>53.0</v>
      </c>
      <c r="L71" s="2">
        <v>296.0</v>
      </c>
      <c r="M71" s="37">
        <v>1575.18</v>
      </c>
    </row>
    <row r="72" ht="14.25" customHeight="1">
      <c r="A72" t="s">
        <v>137</v>
      </c>
      <c r="B72" t="s">
        <v>61</v>
      </c>
      <c r="C72" t="s">
        <v>75</v>
      </c>
      <c r="D72" t="s">
        <v>63</v>
      </c>
      <c r="E72">
        <v>19.06</v>
      </c>
      <c r="F72">
        <v>19.9</v>
      </c>
      <c r="G72" s="2" t="s">
        <v>64</v>
      </c>
      <c r="H72" s="2">
        <v>0.0</v>
      </c>
      <c r="I72" s="2">
        <v>0.0</v>
      </c>
      <c r="J72" s="37">
        <v>0.0</v>
      </c>
      <c r="K72" s="2">
        <v>0.0</v>
      </c>
      <c r="L72" s="2">
        <v>0.0</v>
      </c>
      <c r="M72" s="37">
        <v>0.0</v>
      </c>
    </row>
    <row r="73" ht="14.25" customHeight="1">
      <c r="A73" t="s">
        <v>138</v>
      </c>
      <c r="B73" t="s">
        <v>61</v>
      </c>
      <c r="C73" t="s">
        <v>75</v>
      </c>
      <c r="D73" t="s">
        <v>63</v>
      </c>
      <c r="E73">
        <v>19.06</v>
      </c>
      <c r="F73">
        <v>19.9</v>
      </c>
      <c r="G73" s="2" t="s">
        <v>64</v>
      </c>
      <c r="H73" s="2">
        <v>0.0</v>
      </c>
      <c r="I73" s="2">
        <v>0.0</v>
      </c>
      <c r="J73" s="37">
        <v>0.0</v>
      </c>
      <c r="K73" s="2">
        <v>0.0</v>
      </c>
      <c r="L73" s="2">
        <v>0.0</v>
      </c>
      <c r="M73" s="37">
        <v>0.0</v>
      </c>
    </row>
    <row r="74" ht="14.25" customHeight="1">
      <c r="A74" t="s">
        <v>139</v>
      </c>
      <c r="B74" t="s">
        <v>61</v>
      </c>
      <c r="C74" t="s">
        <v>75</v>
      </c>
      <c r="D74" t="s">
        <v>63</v>
      </c>
      <c r="E74">
        <v>22.6</v>
      </c>
      <c r="F74">
        <v>24.5</v>
      </c>
      <c r="G74" s="2" t="s">
        <v>67</v>
      </c>
      <c r="H74" s="2">
        <v>66.0</v>
      </c>
      <c r="I74" s="2">
        <v>250.0</v>
      </c>
      <c r="J74" s="37">
        <v>1807.3600000000001</v>
      </c>
      <c r="K74" s="2">
        <v>78.0</v>
      </c>
      <c r="L74" s="2">
        <v>482.0</v>
      </c>
      <c r="M74" s="37">
        <v>2378.48</v>
      </c>
    </row>
    <row r="75" ht="14.25" customHeight="1">
      <c r="A75" t="s">
        <v>140</v>
      </c>
      <c r="B75" t="s">
        <v>61</v>
      </c>
      <c r="C75" t="s">
        <v>75</v>
      </c>
      <c r="D75" t="s">
        <v>63</v>
      </c>
      <c r="E75">
        <v>22.6</v>
      </c>
      <c r="F75">
        <v>24.5</v>
      </c>
      <c r="G75" s="2" t="s">
        <v>67</v>
      </c>
      <c r="H75" s="2">
        <v>66.0</v>
      </c>
      <c r="I75" s="2">
        <v>250.0</v>
      </c>
      <c r="J75" s="37">
        <v>1807.3600000000001</v>
      </c>
      <c r="K75" s="2">
        <v>78.0</v>
      </c>
      <c r="L75" s="2">
        <v>482.0</v>
      </c>
      <c r="M75" s="37">
        <v>2378.48</v>
      </c>
    </row>
    <row r="76" ht="14.25" customHeight="1">
      <c r="A76" t="s">
        <v>141</v>
      </c>
      <c r="B76" t="s">
        <v>61</v>
      </c>
      <c r="C76" t="s">
        <v>75</v>
      </c>
      <c r="D76" t="s">
        <v>63</v>
      </c>
      <c r="E76">
        <v>19.8</v>
      </c>
      <c r="F76">
        <v>22.0</v>
      </c>
      <c r="G76" s="2" t="s">
        <v>67</v>
      </c>
      <c r="H76" s="2">
        <v>58.0</v>
      </c>
      <c r="I76" s="2">
        <v>203.0</v>
      </c>
      <c r="J76" s="37">
        <v>1566.5800000000002</v>
      </c>
      <c r="K76" s="2">
        <v>69.0</v>
      </c>
      <c r="L76" s="2">
        <v>406.0</v>
      </c>
      <c r="M76" s="37">
        <v>2077.54</v>
      </c>
    </row>
    <row r="77" ht="14.25" customHeight="1">
      <c r="A77" t="s">
        <v>142</v>
      </c>
      <c r="B77" t="s">
        <v>61</v>
      </c>
      <c r="C77" t="s">
        <v>75</v>
      </c>
      <c r="D77" t="s">
        <v>63</v>
      </c>
      <c r="E77">
        <v>19.8</v>
      </c>
      <c r="F77">
        <v>22.0</v>
      </c>
      <c r="G77" s="2" t="s">
        <v>67</v>
      </c>
      <c r="H77" s="2">
        <v>58.0</v>
      </c>
      <c r="I77" s="2">
        <v>203.0</v>
      </c>
      <c r="J77" s="37">
        <v>1566.5800000000002</v>
      </c>
      <c r="K77" s="2">
        <v>69.0</v>
      </c>
      <c r="L77" s="2">
        <v>406.0</v>
      </c>
      <c r="M77" s="37">
        <v>2077.54</v>
      </c>
    </row>
    <row r="78" ht="14.25" customHeight="1">
      <c r="A78" t="s">
        <v>143</v>
      </c>
      <c r="B78" t="s">
        <v>61</v>
      </c>
      <c r="C78" t="s">
        <v>75</v>
      </c>
      <c r="D78" t="s">
        <v>63</v>
      </c>
      <c r="E78">
        <v>17.0</v>
      </c>
      <c r="F78">
        <v>19.29</v>
      </c>
      <c r="G78" s="2" t="s">
        <v>67</v>
      </c>
      <c r="H78" s="2">
        <v>51.0</v>
      </c>
      <c r="I78" s="2">
        <v>137.0</v>
      </c>
      <c r="J78" s="37">
        <v>1323.56</v>
      </c>
      <c r="K78" s="2">
        <v>60.0</v>
      </c>
      <c r="L78" s="2">
        <v>311.0</v>
      </c>
      <c r="M78" s="37">
        <v>1751.9</v>
      </c>
    </row>
    <row r="79" ht="14.25" customHeight="1">
      <c r="A79" t="s">
        <v>144</v>
      </c>
      <c r="B79" t="s">
        <v>61</v>
      </c>
      <c r="C79" t="s">
        <v>75</v>
      </c>
      <c r="D79" t="s">
        <v>63</v>
      </c>
      <c r="E79">
        <v>17.0</v>
      </c>
      <c r="F79">
        <v>19.29</v>
      </c>
      <c r="G79" s="2" t="s">
        <v>67</v>
      </c>
      <c r="H79" s="2">
        <v>51.0</v>
      </c>
      <c r="I79" s="2">
        <v>137.0</v>
      </c>
      <c r="J79" s="37">
        <v>1323.56</v>
      </c>
      <c r="K79" s="2">
        <v>60.0</v>
      </c>
      <c r="L79" s="2">
        <v>311.0</v>
      </c>
      <c r="M79" s="37">
        <v>1751.9</v>
      </c>
    </row>
    <row r="80" ht="14.25" customHeight="1">
      <c r="A80" t="s">
        <v>145</v>
      </c>
      <c r="B80" t="s">
        <v>61</v>
      </c>
      <c r="C80" t="s">
        <v>75</v>
      </c>
      <c r="D80" t="s">
        <v>63</v>
      </c>
      <c r="E80">
        <v>19.0</v>
      </c>
      <c r="F80">
        <v>19.0</v>
      </c>
      <c r="G80" s="2" t="s">
        <v>67</v>
      </c>
      <c r="H80" s="2">
        <v>53.0</v>
      </c>
      <c r="I80" s="2">
        <v>174.0</v>
      </c>
      <c r="J80" s="37">
        <v>1416.5800000000002</v>
      </c>
      <c r="K80" s="2">
        <v>63.0</v>
      </c>
      <c r="L80" s="2">
        <v>369.0</v>
      </c>
      <c r="M80" s="37">
        <v>1894.68</v>
      </c>
    </row>
    <row r="81" ht="14.25" customHeight="1">
      <c r="A81" t="s">
        <v>146</v>
      </c>
      <c r="B81" t="s">
        <v>61</v>
      </c>
      <c r="C81" t="s">
        <v>75</v>
      </c>
      <c r="D81" t="s">
        <v>63</v>
      </c>
      <c r="E81">
        <v>19.0</v>
      </c>
      <c r="F81">
        <v>19.0</v>
      </c>
      <c r="G81" s="2" t="s">
        <v>67</v>
      </c>
      <c r="H81" s="2">
        <v>53.0</v>
      </c>
      <c r="I81" s="2">
        <v>174.0</v>
      </c>
      <c r="J81" s="37">
        <v>1416.5800000000002</v>
      </c>
      <c r="K81" s="2">
        <v>63.0</v>
      </c>
      <c r="L81" s="2">
        <v>369.0</v>
      </c>
      <c r="M81" s="37">
        <v>1894.68</v>
      </c>
    </row>
    <row r="82" ht="14.25" customHeight="1">
      <c r="A82" t="s">
        <v>147</v>
      </c>
      <c r="B82" t="s">
        <v>61</v>
      </c>
      <c r="C82" t="s">
        <v>75</v>
      </c>
      <c r="D82" t="s">
        <v>63</v>
      </c>
      <c r="E82">
        <v>13.0</v>
      </c>
      <c r="F82">
        <v>12.85</v>
      </c>
      <c r="G82" s="2" t="s">
        <v>67</v>
      </c>
      <c r="H82" s="2">
        <v>35.0</v>
      </c>
      <c r="I82" s="2">
        <v>124.0</v>
      </c>
      <c r="J82" s="37">
        <v>947.3000000000001</v>
      </c>
      <c r="K82" s="2">
        <v>41.0</v>
      </c>
      <c r="L82" s="2">
        <v>257.0</v>
      </c>
      <c r="M82" s="37">
        <v>1254.96</v>
      </c>
    </row>
    <row r="83" ht="14.25" customHeight="1">
      <c r="A83" t="s">
        <v>148</v>
      </c>
      <c r="B83" t="s">
        <v>61</v>
      </c>
      <c r="C83" t="s">
        <v>75</v>
      </c>
      <c r="D83" t="s">
        <v>63</v>
      </c>
      <c r="E83">
        <v>13.0</v>
      </c>
      <c r="F83">
        <v>12.85</v>
      </c>
      <c r="G83" s="2" t="s">
        <v>67</v>
      </c>
      <c r="H83" s="2">
        <v>35.0</v>
      </c>
      <c r="I83" s="2">
        <v>124.0</v>
      </c>
      <c r="J83" s="37">
        <v>947.3000000000001</v>
      </c>
      <c r="K83" s="2">
        <v>41.0</v>
      </c>
      <c r="L83" s="2">
        <v>257.0</v>
      </c>
      <c r="M83" s="37">
        <v>1254.96</v>
      </c>
    </row>
    <row r="84" ht="14.25" customHeight="1">
      <c r="A84" t="s">
        <v>149</v>
      </c>
      <c r="B84" t="s">
        <v>61</v>
      </c>
      <c r="C84" t="s">
        <v>75</v>
      </c>
      <c r="D84" t="s">
        <v>63</v>
      </c>
      <c r="E84">
        <v>13.0</v>
      </c>
      <c r="F84">
        <v>12.85</v>
      </c>
      <c r="G84" s="2" t="s">
        <v>67</v>
      </c>
      <c r="H84" s="2">
        <v>35.0</v>
      </c>
      <c r="I84" s="2">
        <v>103.0</v>
      </c>
      <c r="J84" s="37">
        <v>920.0</v>
      </c>
      <c r="K84" s="2">
        <v>41.0</v>
      </c>
      <c r="L84" s="2">
        <v>237.0</v>
      </c>
      <c r="M84" s="37">
        <v>1228.96</v>
      </c>
    </row>
    <row r="85" ht="14.25" customHeight="1">
      <c r="A85" t="s">
        <v>150</v>
      </c>
      <c r="B85" t="s">
        <v>61</v>
      </c>
      <c r="C85" t="s">
        <v>75</v>
      </c>
      <c r="D85" t="s">
        <v>63</v>
      </c>
      <c r="E85">
        <v>13.0</v>
      </c>
      <c r="F85">
        <v>12.85</v>
      </c>
      <c r="G85" s="2" t="s">
        <v>67</v>
      </c>
      <c r="H85" s="2">
        <v>35.0</v>
      </c>
      <c r="I85" s="2">
        <v>103.0</v>
      </c>
      <c r="J85" s="37">
        <v>920.0</v>
      </c>
      <c r="K85" s="2">
        <v>41.0</v>
      </c>
      <c r="L85" s="2">
        <v>237.0</v>
      </c>
      <c r="M85" s="37">
        <v>1228.96</v>
      </c>
    </row>
    <row r="86" ht="14.25" customHeight="1">
      <c r="A86" t="s">
        <v>151</v>
      </c>
      <c r="B86" t="s">
        <v>61</v>
      </c>
      <c r="C86" t="s">
        <v>75</v>
      </c>
      <c r="D86" t="s">
        <v>63</v>
      </c>
      <c r="E86">
        <v>14.8</v>
      </c>
      <c r="F86">
        <v>15.0</v>
      </c>
      <c r="G86" s="2" t="s">
        <v>67</v>
      </c>
      <c r="H86" s="2">
        <v>40.0</v>
      </c>
      <c r="I86" s="2">
        <v>92.0</v>
      </c>
      <c r="J86" s="37">
        <v>1018.0000000000001</v>
      </c>
      <c r="K86" s="2">
        <v>48.0</v>
      </c>
      <c r="L86" s="2">
        <v>243.0</v>
      </c>
      <c r="M86" s="37">
        <v>1393.98</v>
      </c>
    </row>
    <row r="87" ht="14.25" customHeight="1">
      <c r="A87" t="s">
        <v>152</v>
      </c>
      <c r="B87" t="s">
        <v>61</v>
      </c>
      <c r="C87" t="s">
        <v>75</v>
      </c>
      <c r="D87" t="s">
        <v>63</v>
      </c>
      <c r="E87">
        <v>14.8</v>
      </c>
      <c r="F87">
        <v>15.0</v>
      </c>
      <c r="G87" s="2" t="s">
        <v>67</v>
      </c>
      <c r="H87" s="2">
        <v>40.0</v>
      </c>
      <c r="I87" s="2">
        <v>92.0</v>
      </c>
      <c r="J87" s="37">
        <v>1018.0000000000001</v>
      </c>
      <c r="K87" s="2">
        <v>48.0</v>
      </c>
      <c r="L87" s="2">
        <v>243.0</v>
      </c>
      <c r="M87" s="37">
        <v>1393.98</v>
      </c>
    </row>
    <row r="88" ht="14.25" customHeight="1">
      <c r="A88" t="s">
        <v>153</v>
      </c>
      <c r="B88" t="s">
        <v>61</v>
      </c>
      <c r="C88" t="s">
        <v>75</v>
      </c>
      <c r="D88" t="s">
        <v>63</v>
      </c>
      <c r="E88">
        <v>14.8</v>
      </c>
      <c r="F88">
        <v>15.0</v>
      </c>
      <c r="G88" s="2" t="s">
        <v>67</v>
      </c>
      <c r="H88" s="2">
        <v>41.0</v>
      </c>
      <c r="I88" s="2">
        <v>133.0</v>
      </c>
      <c r="J88" s="37">
        <v>1093.76</v>
      </c>
      <c r="K88" s="2">
        <v>49.0</v>
      </c>
      <c r="L88" s="2">
        <v>284.0</v>
      </c>
      <c r="M88" s="37">
        <v>1469.74</v>
      </c>
    </row>
    <row r="89" ht="14.25" customHeight="1">
      <c r="A89" t="s">
        <v>154</v>
      </c>
      <c r="B89" t="s">
        <v>61</v>
      </c>
      <c r="C89" t="s">
        <v>75</v>
      </c>
      <c r="D89" t="s">
        <v>63</v>
      </c>
      <c r="E89">
        <v>14.8</v>
      </c>
      <c r="F89">
        <v>15.0</v>
      </c>
      <c r="G89" s="2" t="s">
        <v>67</v>
      </c>
      <c r="H89" s="2">
        <v>41.0</v>
      </c>
      <c r="I89" s="2">
        <v>133.0</v>
      </c>
      <c r="J89" s="37">
        <v>1093.76</v>
      </c>
      <c r="K89" s="2">
        <v>49.0</v>
      </c>
      <c r="L89" s="2">
        <v>284.0</v>
      </c>
      <c r="M89" s="37">
        <v>1469.74</v>
      </c>
    </row>
    <row r="90" ht="14.25" customHeight="1">
      <c r="A90" t="s">
        <v>155</v>
      </c>
      <c r="B90" t="s">
        <v>61</v>
      </c>
      <c r="C90" t="s">
        <v>75</v>
      </c>
      <c r="D90" t="s">
        <v>63</v>
      </c>
      <c r="E90">
        <v>17.0</v>
      </c>
      <c r="F90">
        <v>17.2</v>
      </c>
      <c r="G90" s="2" t="s">
        <v>67</v>
      </c>
      <c r="H90" s="2">
        <v>47.0</v>
      </c>
      <c r="I90" s="2">
        <v>113.0</v>
      </c>
      <c r="J90" s="37">
        <v>1202.5200000000002</v>
      </c>
      <c r="K90" s="2">
        <v>56.0</v>
      </c>
      <c r="L90" s="2">
        <v>288.0</v>
      </c>
      <c r="M90" s="37">
        <v>1632.16</v>
      </c>
    </row>
    <row r="91" ht="14.25" customHeight="1">
      <c r="A91" t="s">
        <v>156</v>
      </c>
      <c r="B91" t="s">
        <v>61</v>
      </c>
      <c r="C91" t="s">
        <v>75</v>
      </c>
      <c r="D91" t="s">
        <v>63</v>
      </c>
      <c r="E91">
        <v>17.0</v>
      </c>
      <c r="F91">
        <v>17.2</v>
      </c>
      <c r="G91" s="2" t="s">
        <v>67</v>
      </c>
      <c r="H91" s="2">
        <v>47.0</v>
      </c>
      <c r="I91" s="2">
        <v>113.0</v>
      </c>
      <c r="J91" s="37">
        <v>1202.5200000000002</v>
      </c>
      <c r="K91" s="2">
        <v>56.0</v>
      </c>
      <c r="L91" s="2">
        <v>288.0</v>
      </c>
      <c r="M91" s="37">
        <v>1632.16</v>
      </c>
    </row>
    <row r="92" ht="14.25" customHeight="1">
      <c r="A92" t="s">
        <v>157</v>
      </c>
      <c r="B92" t="s">
        <v>61</v>
      </c>
      <c r="C92" t="s">
        <v>75</v>
      </c>
      <c r="D92" t="s">
        <v>63</v>
      </c>
      <c r="E92">
        <v>17.0</v>
      </c>
      <c r="F92">
        <v>17.2</v>
      </c>
      <c r="G92" s="2" t="s">
        <v>67</v>
      </c>
      <c r="H92" s="2">
        <v>48.0</v>
      </c>
      <c r="I92" s="2">
        <v>127.0</v>
      </c>
      <c r="J92" s="37">
        <v>1243.1799999999998</v>
      </c>
      <c r="K92" s="2">
        <v>57.0</v>
      </c>
      <c r="L92" s="2">
        <v>301.0</v>
      </c>
      <c r="M92" s="37">
        <v>1671.52</v>
      </c>
    </row>
    <row r="93" ht="14.25" customHeight="1">
      <c r="A93" t="s">
        <v>158</v>
      </c>
      <c r="B93" t="s">
        <v>61</v>
      </c>
      <c r="C93" t="s">
        <v>75</v>
      </c>
      <c r="D93" t="s">
        <v>63</v>
      </c>
      <c r="E93">
        <v>17.0</v>
      </c>
      <c r="F93">
        <v>17.2</v>
      </c>
      <c r="G93" s="2" t="s">
        <v>67</v>
      </c>
      <c r="H93" s="2">
        <v>48.0</v>
      </c>
      <c r="I93" s="2">
        <v>127.0</v>
      </c>
      <c r="J93" s="37">
        <v>1243.1799999999998</v>
      </c>
      <c r="K93" s="2">
        <v>57.0</v>
      </c>
      <c r="L93" s="2">
        <v>301.0</v>
      </c>
      <c r="M93" s="37">
        <v>1671.52</v>
      </c>
    </row>
    <row r="94" ht="14.25" customHeight="1">
      <c r="A94" t="s">
        <v>159</v>
      </c>
      <c r="B94" t="s">
        <v>61</v>
      </c>
      <c r="C94" t="s">
        <v>75</v>
      </c>
      <c r="D94" t="s">
        <v>82</v>
      </c>
      <c r="E94">
        <v>20.8218</v>
      </c>
      <c r="F94">
        <v>23.36854</v>
      </c>
      <c r="G94" s="2" t="s">
        <v>64</v>
      </c>
      <c r="H94" s="2">
        <v>0.0</v>
      </c>
      <c r="I94" s="2">
        <v>0.0</v>
      </c>
      <c r="J94" s="37">
        <v>0.0</v>
      </c>
      <c r="K94" s="2">
        <v>0.0</v>
      </c>
      <c r="L94" s="2">
        <v>0.0</v>
      </c>
      <c r="M94" s="37">
        <v>0.0</v>
      </c>
    </row>
    <row r="95" ht="14.25" customHeight="1">
      <c r="A95" t="s">
        <v>160</v>
      </c>
      <c r="B95" t="s">
        <v>61</v>
      </c>
      <c r="C95" t="s">
        <v>75</v>
      </c>
      <c r="D95" t="s">
        <v>82</v>
      </c>
      <c r="E95">
        <v>19.11729</v>
      </c>
      <c r="F95">
        <v>20.12489</v>
      </c>
      <c r="G95" s="2" t="s">
        <v>64</v>
      </c>
      <c r="H95" s="2">
        <v>0.0</v>
      </c>
      <c r="I95" s="2">
        <v>0.0</v>
      </c>
      <c r="J95" s="37">
        <v>0.0</v>
      </c>
      <c r="K95" s="2">
        <v>0.0</v>
      </c>
      <c r="L95" s="2">
        <v>0.0</v>
      </c>
      <c r="M95" s="37">
        <v>0.0</v>
      </c>
    </row>
    <row r="96" ht="14.25" customHeight="1">
      <c r="A96" t="s">
        <v>161</v>
      </c>
      <c r="B96" t="s">
        <v>61</v>
      </c>
      <c r="C96" t="s">
        <v>75</v>
      </c>
      <c r="D96" t="s">
        <v>63</v>
      </c>
      <c r="E96">
        <v>21.5</v>
      </c>
      <c r="F96">
        <v>23.0</v>
      </c>
      <c r="G96" s="2" t="s">
        <v>67</v>
      </c>
      <c r="H96" s="2">
        <v>59.0</v>
      </c>
      <c r="I96" s="2">
        <v>247.0</v>
      </c>
      <c r="J96" s="37">
        <v>1646.2400000000002</v>
      </c>
      <c r="K96" s="2">
        <v>71.0</v>
      </c>
      <c r="L96" s="2">
        <v>468.0</v>
      </c>
      <c r="M96" s="37">
        <v>2203.06</v>
      </c>
    </row>
    <row r="97" ht="14.25" customHeight="1">
      <c r="A97" t="s">
        <v>162</v>
      </c>
      <c r="B97" t="s">
        <v>61</v>
      </c>
      <c r="C97" t="s">
        <v>75</v>
      </c>
      <c r="D97" t="s">
        <v>63</v>
      </c>
      <c r="E97">
        <v>21.5</v>
      </c>
      <c r="F97">
        <v>23.0</v>
      </c>
      <c r="G97" s="2" t="s">
        <v>67</v>
      </c>
      <c r="H97" s="2">
        <v>59.0</v>
      </c>
      <c r="I97" s="2">
        <v>247.0</v>
      </c>
      <c r="J97" s="37">
        <v>1646.2400000000002</v>
      </c>
      <c r="K97" s="2">
        <v>71.0</v>
      </c>
      <c r="L97" s="2">
        <v>468.0</v>
      </c>
      <c r="M97" s="37">
        <v>2203.06</v>
      </c>
    </row>
    <row r="98" ht="14.25" customHeight="1">
      <c r="A98" t="s">
        <v>163</v>
      </c>
      <c r="B98" t="s">
        <v>61</v>
      </c>
      <c r="C98" t="s">
        <v>75</v>
      </c>
      <c r="D98" t="s">
        <v>63</v>
      </c>
      <c r="E98">
        <v>19.0</v>
      </c>
      <c r="F98">
        <v>20.0</v>
      </c>
      <c r="G98" s="2" t="s">
        <v>67</v>
      </c>
      <c r="H98" s="2">
        <v>52.0</v>
      </c>
      <c r="I98" s="2">
        <v>127.0</v>
      </c>
      <c r="J98" s="37">
        <v>1333.02</v>
      </c>
      <c r="K98" s="2">
        <v>62.0</v>
      </c>
      <c r="L98" s="2">
        <v>321.0</v>
      </c>
      <c r="M98" s="37">
        <v>1809.82</v>
      </c>
    </row>
    <row r="99" ht="14.25" customHeight="1">
      <c r="A99" t="s">
        <v>164</v>
      </c>
      <c r="B99" t="s">
        <v>61</v>
      </c>
      <c r="C99" t="s">
        <v>75</v>
      </c>
      <c r="D99" t="s">
        <v>63</v>
      </c>
      <c r="E99">
        <v>19.0</v>
      </c>
      <c r="F99">
        <v>20.0</v>
      </c>
      <c r="G99" s="2" t="s">
        <v>67</v>
      </c>
      <c r="H99" s="2">
        <v>52.0</v>
      </c>
      <c r="I99" s="2">
        <v>127.0</v>
      </c>
      <c r="J99" s="37">
        <v>1333.02</v>
      </c>
      <c r="K99" s="2">
        <v>62.0</v>
      </c>
      <c r="L99" s="2">
        <v>321.0</v>
      </c>
      <c r="M99" s="37">
        <v>1809.82</v>
      </c>
    </row>
    <row r="100" ht="14.25" customHeight="1">
      <c r="A100" t="s">
        <v>165</v>
      </c>
      <c r="B100" t="s">
        <v>61</v>
      </c>
      <c r="C100" t="s">
        <v>75</v>
      </c>
      <c r="D100" t="s">
        <v>63</v>
      </c>
      <c r="E100">
        <v>25.0</v>
      </c>
      <c r="F100">
        <v>26.0</v>
      </c>
      <c r="G100" s="2" t="s">
        <v>67</v>
      </c>
      <c r="H100" s="2">
        <v>73.0</v>
      </c>
      <c r="I100" s="2">
        <v>236.0</v>
      </c>
      <c r="J100" s="37">
        <v>1946.38</v>
      </c>
      <c r="K100" s="2">
        <v>86.0</v>
      </c>
      <c r="L100" s="2">
        <v>492.0</v>
      </c>
      <c r="M100" s="37">
        <v>2571.1600000000003</v>
      </c>
    </row>
    <row r="101" ht="14.25" customHeight="1">
      <c r="A101" t="s">
        <v>166</v>
      </c>
      <c r="B101" t="s">
        <v>61</v>
      </c>
      <c r="C101" t="s">
        <v>75</v>
      </c>
      <c r="D101" t="s">
        <v>63</v>
      </c>
      <c r="E101">
        <v>25.0</v>
      </c>
      <c r="F101">
        <v>26.0</v>
      </c>
      <c r="G101" s="2" t="s">
        <v>67</v>
      </c>
      <c r="H101" s="2">
        <v>73.0</v>
      </c>
      <c r="I101" s="2">
        <v>236.0</v>
      </c>
      <c r="J101" s="37">
        <v>1946.38</v>
      </c>
      <c r="K101" s="2">
        <v>86.0</v>
      </c>
      <c r="L101" s="2">
        <v>492.0</v>
      </c>
      <c r="M101" s="37">
        <v>2571.1600000000003</v>
      </c>
    </row>
    <row r="102" ht="14.25" customHeight="1">
      <c r="A102" t="s">
        <v>167</v>
      </c>
      <c r="B102" t="s">
        <v>61</v>
      </c>
      <c r="C102" t="s">
        <v>75</v>
      </c>
      <c r="D102" t="s">
        <v>82</v>
      </c>
      <c r="E102">
        <v>17.0</v>
      </c>
      <c r="F102">
        <v>17.6</v>
      </c>
      <c r="G102" s="2" t="s">
        <v>67</v>
      </c>
      <c r="H102" s="2">
        <v>46.0</v>
      </c>
      <c r="I102" s="2">
        <v>145.0</v>
      </c>
      <c r="J102" s="37">
        <v>1221.66</v>
      </c>
      <c r="K102" s="2">
        <v>55.0</v>
      </c>
      <c r="L102" s="2">
        <v>320.0</v>
      </c>
      <c r="M102" s="37">
        <v>1651.3</v>
      </c>
    </row>
    <row r="103" ht="14.25" customHeight="1">
      <c r="A103" t="s">
        <v>168</v>
      </c>
      <c r="B103" t="s">
        <v>61</v>
      </c>
      <c r="C103" t="s">
        <v>75</v>
      </c>
      <c r="D103" t="s">
        <v>63</v>
      </c>
      <c r="E103">
        <v>22.0</v>
      </c>
      <c r="F103">
        <v>23.0</v>
      </c>
      <c r="G103" s="2" t="s">
        <v>67</v>
      </c>
      <c r="H103" s="2">
        <v>64.0</v>
      </c>
      <c r="I103" s="2">
        <v>144.0</v>
      </c>
      <c r="J103" s="37">
        <v>1624.64</v>
      </c>
      <c r="K103" s="2">
        <v>76.0</v>
      </c>
      <c r="L103" s="2">
        <v>369.0</v>
      </c>
      <c r="M103" s="37">
        <v>2186.66</v>
      </c>
    </row>
    <row r="104" ht="14.25" customHeight="1">
      <c r="A104" t="s">
        <v>169</v>
      </c>
      <c r="B104" t="s">
        <v>61</v>
      </c>
      <c r="C104" t="s">
        <v>75</v>
      </c>
      <c r="D104" t="s">
        <v>63</v>
      </c>
      <c r="E104">
        <v>22.0</v>
      </c>
      <c r="F104">
        <v>23.0</v>
      </c>
      <c r="G104" s="2" t="s">
        <v>67</v>
      </c>
      <c r="H104" s="2">
        <v>64.0</v>
      </c>
      <c r="I104" s="2">
        <v>144.0</v>
      </c>
      <c r="J104" s="37">
        <v>1624.64</v>
      </c>
      <c r="K104" s="2">
        <v>76.0</v>
      </c>
      <c r="L104" s="2">
        <v>369.0</v>
      </c>
      <c r="M104" s="37">
        <v>2186.66</v>
      </c>
    </row>
    <row r="105" ht="14.25" customHeight="1">
      <c r="A105" t="s">
        <v>170</v>
      </c>
      <c r="B105" t="s">
        <v>61</v>
      </c>
      <c r="C105" t="s">
        <v>75</v>
      </c>
      <c r="D105" t="s">
        <v>63</v>
      </c>
      <c r="E105">
        <v>7.3</v>
      </c>
      <c r="F105">
        <v>7.5</v>
      </c>
      <c r="G105" s="2" t="s">
        <v>67</v>
      </c>
      <c r="H105" s="2">
        <v>24.0</v>
      </c>
      <c r="I105" s="2">
        <v>64.0</v>
      </c>
      <c r="J105" s="37">
        <v>622.24</v>
      </c>
      <c r="K105" s="2">
        <v>28.0</v>
      </c>
      <c r="L105" s="2">
        <v>138.0</v>
      </c>
      <c r="M105" s="37">
        <v>808.28</v>
      </c>
    </row>
    <row r="106" ht="14.25" customHeight="1">
      <c r="A106" t="s">
        <v>171</v>
      </c>
      <c r="B106" t="s">
        <v>61</v>
      </c>
      <c r="C106" t="s">
        <v>75</v>
      </c>
      <c r="D106" t="s">
        <v>63</v>
      </c>
      <c r="E106">
        <v>10.2</v>
      </c>
      <c r="F106">
        <v>12.0</v>
      </c>
      <c r="G106" s="2" t="s">
        <v>67</v>
      </c>
      <c r="H106" s="2">
        <v>36.0</v>
      </c>
      <c r="I106" s="2">
        <v>71.0</v>
      </c>
      <c r="J106" s="37">
        <v>900.86</v>
      </c>
      <c r="K106" s="2">
        <v>41.0</v>
      </c>
      <c r="L106" s="2">
        <v>175.0</v>
      </c>
      <c r="M106" s="37">
        <v>1148.3600000000001</v>
      </c>
    </row>
    <row r="107" ht="14.25" customHeight="1">
      <c r="A107" t="s">
        <v>172</v>
      </c>
      <c r="B107" t="s">
        <v>61</v>
      </c>
      <c r="C107" t="s">
        <v>75</v>
      </c>
      <c r="D107" t="s">
        <v>63</v>
      </c>
      <c r="E107">
        <v>17.0</v>
      </c>
      <c r="F107">
        <v>18.0</v>
      </c>
      <c r="G107" s="2" t="s">
        <v>67</v>
      </c>
      <c r="H107" s="2">
        <v>55.0</v>
      </c>
      <c r="I107" s="2">
        <v>113.0</v>
      </c>
      <c r="J107" s="37">
        <v>1382.2</v>
      </c>
      <c r="K107" s="2">
        <v>64.0</v>
      </c>
      <c r="L107" s="2">
        <v>288.0</v>
      </c>
      <c r="M107" s="37">
        <v>1811.8400000000001</v>
      </c>
    </row>
    <row r="108" ht="14.25" customHeight="1">
      <c r="A108" t="s">
        <v>173</v>
      </c>
      <c r="B108" t="s">
        <v>61</v>
      </c>
      <c r="C108" t="s">
        <v>75</v>
      </c>
      <c r="D108" t="s">
        <v>63</v>
      </c>
      <c r="E108">
        <v>12.6</v>
      </c>
      <c r="F108">
        <v>14.5</v>
      </c>
      <c r="G108" s="2" t="s">
        <v>67</v>
      </c>
      <c r="H108" s="2">
        <v>45.0</v>
      </c>
      <c r="I108" s="2">
        <v>88.0</v>
      </c>
      <c r="J108" s="37">
        <v>1125.1000000000001</v>
      </c>
      <c r="K108" s="2">
        <v>52.0</v>
      </c>
      <c r="L108" s="2">
        <v>217.0</v>
      </c>
      <c r="M108" s="37">
        <v>1450.02</v>
      </c>
    </row>
    <row r="109" ht="14.25" customHeight="1">
      <c r="A109" t="s">
        <v>174</v>
      </c>
      <c r="B109" t="s">
        <v>61</v>
      </c>
      <c r="C109" t="s">
        <v>75</v>
      </c>
      <c r="D109" t="s">
        <v>63</v>
      </c>
      <c r="E109">
        <v>14.0</v>
      </c>
      <c r="F109">
        <v>15.5</v>
      </c>
      <c r="G109" s="2" t="s">
        <v>67</v>
      </c>
      <c r="H109" s="2">
        <v>48.0</v>
      </c>
      <c r="I109" s="2">
        <v>114.0</v>
      </c>
      <c r="J109" s="37">
        <v>1226.28</v>
      </c>
      <c r="K109" s="2">
        <v>56.0</v>
      </c>
      <c r="L109" s="2">
        <v>257.0</v>
      </c>
      <c r="M109" s="37">
        <v>1591.8600000000001</v>
      </c>
    </row>
    <row r="110" ht="14.25" customHeight="1">
      <c r="A110" t="s">
        <v>175</v>
      </c>
      <c r="B110" t="s">
        <v>61</v>
      </c>
      <c r="C110" t="s">
        <v>62</v>
      </c>
      <c r="D110" t="s">
        <v>63</v>
      </c>
      <c r="E110">
        <v>2.63</v>
      </c>
      <c r="F110">
        <v>2.7</v>
      </c>
      <c r="G110" s="2" t="s">
        <v>67</v>
      </c>
      <c r="H110" s="2">
        <v>8.0</v>
      </c>
      <c r="I110" s="2">
        <v>68.0</v>
      </c>
      <c r="J110" s="37">
        <v>268.08000000000004</v>
      </c>
      <c r="K110" s="2">
        <v>9.0</v>
      </c>
      <c r="L110" s="2">
        <v>89.0</v>
      </c>
      <c r="M110" s="37">
        <v>317.84000000000003</v>
      </c>
    </row>
    <row r="111" ht="14.25" customHeight="1">
      <c r="A111" t="s">
        <v>176</v>
      </c>
      <c r="B111" t="s">
        <v>61</v>
      </c>
      <c r="C111" t="s">
        <v>62</v>
      </c>
      <c r="D111" t="s">
        <v>63</v>
      </c>
      <c r="E111">
        <v>3.5</v>
      </c>
      <c r="F111">
        <v>3.9</v>
      </c>
      <c r="G111" s="2" t="s">
        <v>67</v>
      </c>
      <c r="H111" s="2">
        <v>11.0</v>
      </c>
      <c r="I111" s="2">
        <v>61.0</v>
      </c>
      <c r="J111" s="37">
        <v>326.36</v>
      </c>
      <c r="K111" s="2">
        <v>12.0</v>
      </c>
      <c r="L111" s="2">
        <v>89.0</v>
      </c>
      <c r="M111" s="37">
        <v>385.21999999999997</v>
      </c>
    </row>
    <row r="112" ht="14.25" customHeight="1">
      <c r="A112" t="s">
        <v>177</v>
      </c>
      <c r="B112" t="s">
        <v>61</v>
      </c>
      <c r="C112" t="s">
        <v>62</v>
      </c>
      <c r="D112" t="s">
        <v>63</v>
      </c>
      <c r="E112">
        <v>5.05</v>
      </c>
      <c r="F112">
        <v>6.0</v>
      </c>
      <c r="G112" s="2" t="s">
        <v>67</v>
      </c>
      <c r="H112" s="2">
        <v>19.0</v>
      </c>
      <c r="I112" s="2">
        <v>118.0</v>
      </c>
      <c r="J112" s="37">
        <v>580.14</v>
      </c>
      <c r="K112" s="2">
        <v>21.0</v>
      </c>
      <c r="L112" s="2">
        <v>164.0</v>
      </c>
      <c r="M112" s="37">
        <v>684.86</v>
      </c>
    </row>
    <row r="113" ht="14.25" customHeight="1">
      <c r="A113" t="s">
        <v>178</v>
      </c>
      <c r="B113" t="s">
        <v>61</v>
      </c>
      <c r="C113" t="s">
        <v>62</v>
      </c>
      <c r="D113" t="s">
        <v>63</v>
      </c>
      <c r="E113">
        <v>6.0</v>
      </c>
      <c r="F113">
        <v>6.6</v>
      </c>
      <c r="G113" s="2" t="s">
        <v>67</v>
      </c>
      <c r="H113" s="2">
        <v>20.0</v>
      </c>
      <c r="I113" s="2">
        <v>85.0</v>
      </c>
      <c r="J113" s="37">
        <v>559.7</v>
      </c>
      <c r="K113" s="2">
        <v>23.0</v>
      </c>
      <c r="L113" s="2">
        <v>140.0</v>
      </c>
      <c r="M113" s="37">
        <v>698.58</v>
      </c>
    </row>
    <row r="114" ht="14.25" customHeight="1">
      <c r="A114" t="s">
        <v>179</v>
      </c>
      <c r="B114" t="s">
        <v>61</v>
      </c>
      <c r="C114" t="s">
        <v>62</v>
      </c>
      <c r="D114" t="s">
        <v>63</v>
      </c>
      <c r="E114">
        <v>7.2</v>
      </c>
      <c r="F114">
        <v>8.2</v>
      </c>
      <c r="G114" s="2" t="s">
        <v>67</v>
      </c>
      <c r="H114" s="2">
        <v>24.0</v>
      </c>
      <c r="I114" s="2">
        <v>71.0</v>
      </c>
      <c r="J114" s="37">
        <v>631.3399999999999</v>
      </c>
      <c r="K114" s="2">
        <v>28.0</v>
      </c>
      <c r="L114" s="2">
        <v>137.0</v>
      </c>
      <c r="M114" s="37">
        <v>806.98</v>
      </c>
    </row>
    <row r="115" ht="14.25" customHeight="1">
      <c r="A115" t="s">
        <v>180</v>
      </c>
      <c r="B115" t="s">
        <v>61</v>
      </c>
      <c r="C115" t="s">
        <v>62</v>
      </c>
      <c r="D115" t="s">
        <v>63</v>
      </c>
      <c r="E115">
        <v>8.0</v>
      </c>
      <c r="F115">
        <v>9.0</v>
      </c>
      <c r="G115" s="2" t="s">
        <v>67</v>
      </c>
      <c r="H115" s="2">
        <v>26.0</v>
      </c>
      <c r="I115" s="2">
        <v>32.0</v>
      </c>
      <c r="J115" s="37">
        <v>625.5600000000001</v>
      </c>
      <c r="K115" s="2">
        <v>30.0</v>
      </c>
      <c r="L115" s="2">
        <v>105.0</v>
      </c>
      <c r="M115" s="37">
        <v>810.3000000000001</v>
      </c>
    </row>
    <row r="116" ht="14.25" customHeight="1">
      <c r="A116" t="s">
        <v>181</v>
      </c>
      <c r="B116" t="s">
        <v>61</v>
      </c>
      <c r="C116" t="s">
        <v>62</v>
      </c>
      <c r="D116" t="s">
        <v>63</v>
      </c>
      <c r="E116">
        <v>9.0</v>
      </c>
      <c r="F116">
        <v>9.8</v>
      </c>
      <c r="G116" s="2" t="s">
        <v>67</v>
      </c>
      <c r="H116" s="2">
        <v>28.0</v>
      </c>
      <c r="I116" s="2">
        <v>72.0</v>
      </c>
      <c r="J116" s="37">
        <v>722.48</v>
      </c>
      <c r="K116" s="2">
        <v>33.0</v>
      </c>
      <c r="L116" s="2">
        <v>154.0</v>
      </c>
      <c r="M116" s="37">
        <v>941.3800000000001</v>
      </c>
    </row>
    <row r="117" ht="14.25" customHeight="1">
      <c r="A117" t="s">
        <v>182</v>
      </c>
      <c r="B117" t="s">
        <v>61</v>
      </c>
      <c r="C117" t="s">
        <v>62</v>
      </c>
      <c r="D117" t="s">
        <v>63</v>
      </c>
      <c r="E117">
        <v>10.0</v>
      </c>
      <c r="F117">
        <v>10.5</v>
      </c>
      <c r="G117" s="2" t="s">
        <v>67</v>
      </c>
      <c r="H117" s="2">
        <v>32.0</v>
      </c>
      <c r="I117" s="2">
        <v>55.0</v>
      </c>
      <c r="J117" s="37">
        <v>790.22</v>
      </c>
      <c r="K117" s="2">
        <v>37.0</v>
      </c>
      <c r="L117" s="2">
        <v>157.0</v>
      </c>
      <c r="M117" s="37">
        <v>1035.12</v>
      </c>
    </row>
    <row r="118" ht="14.25" customHeight="1">
      <c r="A118" t="s">
        <v>183</v>
      </c>
      <c r="B118" t="s">
        <v>61</v>
      </c>
      <c r="C118" t="s">
        <v>62</v>
      </c>
      <c r="D118" t="s">
        <v>63</v>
      </c>
      <c r="E118">
        <v>12.9</v>
      </c>
      <c r="F118">
        <v>13.3</v>
      </c>
      <c r="G118" s="2" t="s">
        <v>67</v>
      </c>
      <c r="H118" s="2">
        <v>42.0</v>
      </c>
      <c r="I118" s="2">
        <v>133.0</v>
      </c>
      <c r="J118" s="37">
        <v>1116.22</v>
      </c>
      <c r="K118" s="2">
        <v>48.0</v>
      </c>
      <c r="L118" s="2">
        <v>266.0</v>
      </c>
      <c r="M118" s="37">
        <v>1423.8799999999999</v>
      </c>
    </row>
    <row r="119" ht="14.25" customHeight="1">
      <c r="A119" t="s">
        <v>184</v>
      </c>
      <c r="B119" t="s">
        <v>61</v>
      </c>
      <c r="C119" t="s">
        <v>62</v>
      </c>
      <c r="D119" t="s">
        <v>63</v>
      </c>
      <c r="E119">
        <v>14.1</v>
      </c>
      <c r="F119">
        <v>14.5</v>
      </c>
      <c r="G119" s="2" t="s">
        <v>67</v>
      </c>
      <c r="H119" s="2">
        <v>45.0</v>
      </c>
      <c r="I119" s="2">
        <v>89.0</v>
      </c>
      <c r="J119" s="37">
        <v>1126.4</v>
      </c>
      <c r="K119" s="2">
        <v>52.0</v>
      </c>
      <c r="L119" s="2">
        <v>234.0</v>
      </c>
      <c r="M119" s="37">
        <v>1472.1200000000001</v>
      </c>
    </row>
    <row r="120" ht="14.25" customHeight="1">
      <c r="A120" t="s">
        <v>185</v>
      </c>
      <c r="B120" t="s">
        <v>61</v>
      </c>
      <c r="C120" t="s">
        <v>75</v>
      </c>
      <c r="D120" t="s">
        <v>82</v>
      </c>
      <c r="E120">
        <v>14.8</v>
      </c>
      <c r="F120">
        <v>15.0</v>
      </c>
      <c r="G120" s="2" t="s">
        <v>67</v>
      </c>
      <c r="H120" s="2">
        <v>40.0</v>
      </c>
      <c r="I120" s="2">
        <v>103.0</v>
      </c>
      <c r="J120" s="37">
        <v>1032.3000000000002</v>
      </c>
      <c r="K120" s="2">
        <v>48.0</v>
      </c>
      <c r="L120" s="2">
        <v>255.0</v>
      </c>
      <c r="M120" s="37">
        <v>1409.58</v>
      </c>
    </row>
    <row r="121" ht="14.25" customHeight="1">
      <c r="A121" t="s">
        <v>186</v>
      </c>
      <c r="B121" t="s">
        <v>61</v>
      </c>
      <c r="C121" t="s">
        <v>62</v>
      </c>
      <c r="D121" t="s">
        <v>63</v>
      </c>
      <c r="E121">
        <v>2.65</v>
      </c>
      <c r="F121">
        <v>2.75</v>
      </c>
      <c r="G121" s="2" t="s">
        <v>67</v>
      </c>
      <c r="H121" s="2">
        <v>8.0</v>
      </c>
      <c r="I121" s="2">
        <v>81.0</v>
      </c>
      <c r="J121" s="37">
        <v>284.98</v>
      </c>
      <c r="K121" s="2">
        <v>9.0</v>
      </c>
      <c r="L121" s="2">
        <v>102.0</v>
      </c>
      <c r="M121" s="37">
        <v>334.74</v>
      </c>
    </row>
    <row r="122" ht="14.25" customHeight="1">
      <c r="A122" t="s">
        <v>187</v>
      </c>
      <c r="B122" t="s">
        <v>61</v>
      </c>
      <c r="C122" t="s">
        <v>62</v>
      </c>
      <c r="D122" t="s">
        <v>63</v>
      </c>
      <c r="E122">
        <v>3.5</v>
      </c>
      <c r="F122">
        <v>3.7</v>
      </c>
      <c r="G122" s="2" t="s">
        <v>67</v>
      </c>
      <c r="H122" s="2">
        <v>10.0</v>
      </c>
      <c r="I122" s="2">
        <v>67.0</v>
      </c>
      <c r="J122" s="37">
        <v>311.70000000000005</v>
      </c>
      <c r="K122" s="2">
        <v>12.0</v>
      </c>
      <c r="L122" s="2">
        <v>95.0</v>
      </c>
      <c r="M122" s="37">
        <v>393.02</v>
      </c>
    </row>
    <row r="123" ht="14.25" customHeight="1">
      <c r="A123" t="s">
        <v>188</v>
      </c>
      <c r="B123" t="s">
        <v>61</v>
      </c>
      <c r="C123" t="s">
        <v>62</v>
      </c>
      <c r="D123" t="s">
        <v>63</v>
      </c>
      <c r="E123">
        <v>8.5</v>
      </c>
      <c r="F123">
        <v>9.45</v>
      </c>
      <c r="G123" s="2" t="s">
        <v>64</v>
      </c>
      <c r="H123" s="2">
        <v>0.0</v>
      </c>
      <c r="I123" s="2">
        <v>0.0</v>
      </c>
      <c r="J123" s="37">
        <v>0.0</v>
      </c>
      <c r="K123" s="2">
        <v>0.0</v>
      </c>
      <c r="L123" s="2">
        <v>0.0</v>
      </c>
      <c r="M123" s="37">
        <v>0.0</v>
      </c>
    </row>
    <row r="124" ht="14.25" customHeight="1">
      <c r="A124" t="s">
        <v>189</v>
      </c>
      <c r="B124" t="s">
        <v>61</v>
      </c>
      <c r="C124" t="s">
        <v>62</v>
      </c>
      <c r="D124" t="s">
        <v>63</v>
      </c>
      <c r="E124">
        <v>7.2</v>
      </c>
      <c r="F124">
        <v>8.0</v>
      </c>
      <c r="G124" s="2" t="s">
        <v>67</v>
      </c>
      <c r="H124" s="2">
        <v>22.0</v>
      </c>
      <c r="I124" s="2">
        <v>99.0</v>
      </c>
      <c r="J124" s="37">
        <v>622.82</v>
      </c>
      <c r="K124" s="2">
        <v>26.0</v>
      </c>
      <c r="L124" s="2">
        <v>165.0</v>
      </c>
      <c r="M124" s="37">
        <v>798.46</v>
      </c>
    </row>
    <row r="125" ht="14.25" customHeight="1">
      <c r="A125" t="s">
        <v>190</v>
      </c>
      <c r="B125" t="s">
        <v>61</v>
      </c>
      <c r="C125" t="s">
        <v>62</v>
      </c>
      <c r="D125" t="s">
        <v>63</v>
      </c>
      <c r="E125">
        <v>5.0</v>
      </c>
      <c r="F125">
        <v>5.0</v>
      </c>
      <c r="G125" s="2" t="s">
        <v>67</v>
      </c>
      <c r="H125" s="2">
        <v>16.0</v>
      </c>
      <c r="I125" s="2">
        <v>113.0</v>
      </c>
      <c r="J125" s="37">
        <v>506.26</v>
      </c>
      <c r="K125" s="2">
        <v>18.0</v>
      </c>
      <c r="L125" s="2">
        <v>159.0</v>
      </c>
      <c r="M125" s="37">
        <v>610.98</v>
      </c>
    </row>
    <row r="126" ht="14.25" customHeight="1">
      <c r="A126" t="s">
        <v>191</v>
      </c>
      <c r="B126" t="s">
        <v>61</v>
      </c>
      <c r="C126" t="s">
        <v>75</v>
      </c>
      <c r="D126" t="s">
        <v>63</v>
      </c>
      <c r="E126">
        <v>24.71</v>
      </c>
      <c r="F126">
        <v>25.25</v>
      </c>
      <c r="G126" s="2" t="s">
        <v>64</v>
      </c>
      <c r="H126" s="2">
        <v>0.0</v>
      </c>
      <c r="I126" s="2">
        <v>0.0</v>
      </c>
      <c r="J126" s="37">
        <v>0.0</v>
      </c>
      <c r="K126" s="2">
        <v>0.0</v>
      </c>
      <c r="L126" s="2">
        <v>0.0</v>
      </c>
      <c r="M126" s="37">
        <v>0.0</v>
      </c>
    </row>
    <row r="127" ht="14.25" customHeight="1">
      <c r="A127" t="s">
        <v>192</v>
      </c>
      <c r="B127" t="s">
        <v>61</v>
      </c>
      <c r="C127" t="s">
        <v>75</v>
      </c>
      <c r="D127" t="s">
        <v>82</v>
      </c>
      <c r="E127">
        <v>24.71</v>
      </c>
      <c r="F127">
        <v>25.25</v>
      </c>
      <c r="G127" s="2" t="s">
        <v>64</v>
      </c>
      <c r="H127" s="2">
        <v>0.0</v>
      </c>
      <c r="I127" s="2">
        <v>0.0</v>
      </c>
      <c r="J127" s="37">
        <v>0.0</v>
      </c>
      <c r="K127" s="2">
        <v>0.0</v>
      </c>
      <c r="L127" s="2">
        <v>0.0</v>
      </c>
      <c r="M127" s="37">
        <v>0.0</v>
      </c>
    </row>
    <row r="128" ht="14.25" customHeight="1">
      <c r="A128" t="s">
        <v>193</v>
      </c>
      <c r="B128" t="s">
        <v>194</v>
      </c>
      <c r="C128" t="s">
        <v>62</v>
      </c>
      <c r="D128" t="s">
        <v>63</v>
      </c>
      <c r="E128">
        <v>2.64</v>
      </c>
      <c r="F128">
        <v>3.3</v>
      </c>
      <c r="G128" s="2" t="s">
        <v>67</v>
      </c>
      <c r="H128" s="2">
        <v>8.0</v>
      </c>
      <c r="I128" s="2">
        <v>50.0</v>
      </c>
      <c r="J128" s="37">
        <v>244.68</v>
      </c>
      <c r="K128" s="2">
        <v>9.0</v>
      </c>
      <c r="L128" s="2">
        <v>71.0</v>
      </c>
      <c r="M128" s="37">
        <v>294.44</v>
      </c>
    </row>
    <row r="129" ht="14.25" customHeight="1">
      <c r="A129" t="s">
        <v>195</v>
      </c>
      <c r="B129" t="s">
        <v>196</v>
      </c>
      <c r="C129" t="s">
        <v>75</v>
      </c>
      <c r="D129" t="s">
        <v>82</v>
      </c>
      <c r="E129">
        <v>20.96</v>
      </c>
      <c r="F129">
        <v>23.39</v>
      </c>
      <c r="G129" s="2" t="s">
        <v>64</v>
      </c>
      <c r="H129" s="2">
        <v>0.0</v>
      </c>
      <c r="I129" s="2">
        <v>0.0</v>
      </c>
      <c r="J129" s="37">
        <v>0.0</v>
      </c>
      <c r="K129" s="2">
        <v>0.0</v>
      </c>
      <c r="L129" s="2">
        <v>0.0</v>
      </c>
      <c r="M129" s="37">
        <v>0.0</v>
      </c>
    </row>
    <row r="130" ht="14.25" customHeight="1">
      <c r="A130" t="s">
        <v>197</v>
      </c>
      <c r="B130" t="s">
        <v>198</v>
      </c>
      <c r="C130" t="s">
        <v>75</v>
      </c>
      <c r="D130" t="s">
        <v>63</v>
      </c>
      <c r="E130">
        <v>10.0</v>
      </c>
      <c r="F130">
        <v>10.5</v>
      </c>
      <c r="G130" s="2" t="s">
        <v>64</v>
      </c>
      <c r="H130" s="2">
        <v>0.0</v>
      </c>
      <c r="I130" s="2">
        <v>0.0</v>
      </c>
      <c r="J130" s="37">
        <v>0.0</v>
      </c>
      <c r="K130" s="2">
        <v>0.0</v>
      </c>
      <c r="L130" s="2">
        <v>0.0</v>
      </c>
      <c r="M130" s="37">
        <v>0.0</v>
      </c>
    </row>
    <row r="131" ht="14.25" customHeight="1">
      <c r="A131" t="s">
        <v>199</v>
      </c>
      <c r="B131" t="s">
        <v>198</v>
      </c>
      <c r="C131" t="s">
        <v>75</v>
      </c>
      <c r="D131" t="s">
        <v>63</v>
      </c>
      <c r="E131">
        <v>10.0</v>
      </c>
      <c r="F131">
        <v>10.5</v>
      </c>
      <c r="G131" s="2" t="s">
        <v>64</v>
      </c>
      <c r="H131" s="2">
        <v>0.0</v>
      </c>
      <c r="I131" s="2">
        <v>0.0</v>
      </c>
      <c r="J131" s="37">
        <v>0.0</v>
      </c>
      <c r="K131" s="2">
        <v>0.0</v>
      </c>
      <c r="L131" s="2">
        <v>0.0</v>
      </c>
      <c r="M131" s="37">
        <v>0.0</v>
      </c>
    </row>
    <row r="132" ht="14.25" customHeight="1">
      <c r="A132" t="s">
        <v>200</v>
      </c>
      <c r="B132" t="s">
        <v>198</v>
      </c>
      <c r="C132" t="s">
        <v>75</v>
      </c>
      <c r="D132" t="s">
        <v>63</v>
      </c>
      <c r="E132">
        <v>10.0</v>
      </c>
      <c r="F132">
        <v>10.5</v>
      </c>
      <c r="G132" s="2" t="s">
        <v>64</v>
      </c>
      <c r="H132" s="2">
        <v>0.0</v>
      </c>
      <c r="I132" s="2">
        <v>0.0</v>
      </c>
      <c r="J132" s="37">
        <v>0.0</v>
      </c>
      <c r="K132" s="2">
        <v>0.0</v>
      </c>
      <c r="L132" s="2">
        <v>0.0</v>
      </c>
      <c r="M132" s="37">
        <v>0.0</v>
      </c>
    </row>
    <row r="133" ht="14.25" customHeight="1">
      <c r="A133" t="s">
        <v>201</v>
      </c>
      <c r="B133" t="s">
        <v>198</v>
      </c>
      <c r="C133" t="s">
        <v>75</v>
      </c>
      <c r="D133" t="s">
        <v>63</v>
      </c>
      <c r="E133">
        <v>17.0</v>
      </c>
      <c r="F133">
        <v>15.8</v>
      </c>
      <c r="G133" s="2" t="s">
        <v>67</v>
      </c>
      <c r="H133" s="2">
        <v>50.0</v>
      </c>
      <c r="I133" s="2">
        <v>158.0</v>
      </c>
      <c r="J133" s="37">
        <v>1328.4</v>
      </c>
      <c r="K133" s="2">
        <v>58.0</v>
      </c>
      <c r="L133" s="2">
        <v>332.0</v>
      </c>
      <c r="M133" s="37">
        <v>1734.2800000000002</v>
      </c>
    </row>
    <row r="134" ht="14.25" customHeight="1">
      <c r="A134" t="s">
        <v>202</v>
      </c>
      <c r="B134" t="s">
        <v>198</v>
      </c>
      <c r="C134" t="s">
        <v>75</v>
      </c>
      <c r="D134" t="s">
        <v>63</v>
      </c>
      <c r="E134">
        <v>17.0</v>
      </c>
      <c r="F134">
        <v>15.8</v>
      </c>
      <c r="G134" s="2" t="s">
        <v>67</v>
      </c>
      <c r="H134" s="2">
        <v>50.0</v>
      </c>
      <c r="I134" s="2">
        <v>158.0</v>
      </c>
      <c r="J134" s="37">
        <v>1328.4</v>
      </c>
      <c r="K134" s="2">
        <v>58.0</v>
      </c>
      <c r="L134" s="2">
        <v>332.0</v>
      </c>
      <c r="M134" s="37">
        <v>1734.2800000000002</v>
      </c>
    </row>
    <row r="135" ht="14.25" customHeight="1">
      <c r="A135" t="s">
        <v>200</v>
      </c>
      <c r="B135" t="s">
        <v>198</v>
      </c>
      <c r="C135" t="s">
        <v>75</v>
      </c>
      <c r="D135" t="s">
        <v>63</v>
      </c>
      <c r="E135">
        <v>17.0</v>
      </c>
      <c r="F135">
        <v>15.8</v>
      </c>
      <c r="G135" s="2" t="s">
        <v>67</v>
      </c>
      <c r="H135" s="2">
        <v>0.0</v>
      </c>
      <c r="I135" s="2">
        <v>0.0</v>
      </c>
      <c r="J135" s="37">
        <v>0.0</v>
      </c>
      <c r="K135" s="2">
        <v>0.0</v>
      </c>
      <c r="L135" s="2">
        <v>0.0</v>
      </c>
      <c r="M135" s="37">
        <v>0.0</v>
      </c>
    </row>
    <row r="136" ht="14.25" customHeight="1">
      <c r="A136" t="s">
        <v>203</v>
      </c>
      <c r="B136" t="s">
        <v>204</v>
      </c>
      <c r="C136" t="s">
        <v>75</v>
      </c>
      <c r="D136" t="s">
        <v>82</v>
      </c>
      <c r="E136">
        <v>36.1</v>
      </c>
      <c r="F136">
        <v>36.2</v>
      </c>
      <c r="G136" s="2" t="s">
        <v>64</v>
      </c>
      <c r="H136" s="2">
        <v>0.0</v>
      </c>
      <c r="I136" s="2">
        <v>0.0</v>
      </c>
      <c r="J136" s="37">
        <v>0.0</v>
      </c>
      <c r="K136" s="2">
        <v>0.0</v>
      </c>
      <c r="L136" s="2">
        <v>0.0</v>
      </c>
      <c r="M136" s="37">
        <v>0.0</v>
      </c>
    </row>
    <row r="137" ht="14.25" customHeight="1">
      <c r="A137" t="s">
        <v>205</v>
      </c>
      <c r="B137" t="s">
        <v>204</v>
      </c>
      <c r="C137" t="s">
        <v>75</v>
      </c>
      <c r="D137" t="s">
        <v>82</v>
      </c>
      <c r="E137">
        <v>36.1</v>
      </c>
      <c r="F137">
        <v>36.2</v>
      </c>
      <c r="G137" s="2" t="s">
        <v>64</v>
      </c>
      <c r="H137" s="2">
        <v>0.0</v>
      </c>
      <c r="I137" s="2">
        <v>0.0</v>
      </c>
      <c r="J137" s="37">
        <v>0.0</v>
      </c>
      <c r="K137" s="2">
        <v>0.0</v>
      </c>
      <c r="L137" s="2">
        <v>0.0</v>
      </c>
      <c r="M137" s="37">
        <v>0.0</v>
      </c>
    </row>
    <row r="138" ht="14.25" customHeight="1">
      <c r="A138" t="s">
        <v>206</v>
      </c>
      <c r="B138" t="s">
        <v>204</v>
      </c>
      <c r="C138" t="s">
        <v>75</v>
      </c>
      <c r="D138" t="s">
        <v>82</v>
      </c>
      <c r="E138">
        <v>36.1</v>
      </c>
      <c r="F138">
        <v>36.2</v>
      </c>
      <c r="G138" s="2" t="s">
        <v>64</v>
      </c>
      <c r="H138" s="2">
        <v>0.0</v>
      </c>
      <c r="I138" s="2">
        <v>0.0</v>
      </c>
      <c r="J138" s="37">
        <v>0.0</v>
      </c>
      <c r="K138" s="2">
        <v>0.0</v>
      </c>
      <c r="L138" s="2">
        <v>0.0</v>
      </c>
      <c r="M138" s="37">
        <v>0.0</v>
      </c>
    </row>
    <row r="139" ht="14.25" customHeight="1">
      <c r="A139" t="s">
        <v>207</v>
      </c>
      <c r="B139" t="s">
        <v>204</v>
      </c>
      <c r="C139" t="s">
        <v>75</v>
      </c>
      <c r="D139" t="s">
        <v>82</v>
      </c>
      <c r="E139">
        <v>13.3</v>
      </c>
      <c r="F139">
        <v>13.5</v>
      </c>
      <c r="G139" s="2" t="s">
        <v>64</v>
      </c>
      <c r="H139" s="2">
        <v>0.0</v>
      </c>
      <c r="I139" s="2">
        <v>0.0</v>
      </c>
      <c r="J139" s="37">
        <v>0.0</v>
      </c>
      <c r="K139" s="2">
        <v>0.0</v>
      </c>
      <c r="L139" s="2">
        <v>0.0</v>
      </c>
      <c r="M139" s="37">
        <v>0.0</v>
      </c>
    </row>
    <row r="140" ht="14.25" customHeight="1">
      <c r="A140" t="s">
        <v>208</v>
      </c>
      <c r="B140" t="s">
        <v>204</v>
      </c>
      <c r="C140" t="s">
        <v>75</v>
      </c>
      <c r="D140" t="s">
        <v>82</v>
      </c>
      <c r="E140">
        <v>13.3</v>
      </c>
      <c r="F140">
        <v>13.5</v>
      </c>
      <c r="G140" s="2" t="s">
        <v>64</v>
      </c>
      <c r="H140" s="2">
        <v>0.0</v>
      </c>
      <c r="I140" s="2">
        <v>0.0</v>
      </c>
      <c r="J140" s="37">
        <v>0.0</v>
      </c>
      <c r="K140" s="2">
        <v>0.0</v>
      </c>
      <c r="L140" s="2">
        <v>0.0</v>
      </c>
      <c r="M140" s="37">
        <v>0.0</v>
      </c>
    </row>
    <row r="141" ht="14.25" customHeight="1">
      <c r="A141" t="s">
        <v>209</v>
      </c>
      <c r="B141" t="s">
        <v>204</v>
      </c>
      <c r="C141" t="s">
        <v>75</v>
      </c>
      <c r="D141" t="s">
        <v>82</v>
      </c>
      <c r="E141">
        <v>17.9</v>
      </c>
      <c r="F141">
        <v>18.5</v>
      </c>
      <c r="G141" s="2" t="s">
        <v>64</v>
      </c>
      <c r="H141" s="2">
        <v>0.0</v>
      </c>
      <c r="I141" s="2">
        <v>0.0</v>
      </c>
      <c r="J141" s="37">
        <v>0.0</v>
      </c>
      <c r="K141" s="2">
        <v>0.0</v>
      </c>
      <c r="L141" s="2">
        <v>0.0</v>
      </c>
      <c r="M141" s="37">
        <v>0.0</v>
      </c>
    </row>
    <row r="142" ht="14.25" customHeight="1">
      <c r="A142" t="s">
        <v>210</v>
      </c>
      <c r="B142" t="s">
        <v>204</v>
      </c>
      <c r="C142" t="s">
        <v>75</v>
      </c>
      <c r="D142" t="s">
        <v>82</v>
      </c>
      <c r="E142">
        <v>17.9</v>
      </c>
      <c r="F142">
        <v>18.5</v>
      </c>
      <c r="G142" s="2" t="s">
        <v>64</v>
      </c>
      <c r="H142" s="2">
        <v>0.0</v>
      </c>
      <c r="I142" s="2">
        <v>0.0</v>
      </c>
      <c r="J142" s="37">
        <v>0.0</v>
      </c>
      <c r="K142" s="2">
        <v>0.0</v>
      </c>
      <c r="L142" s="2">
        <v>0.0</v>
      </c>
      <c r="M142" s="37">
        <v>0.0</v>
      </c>
    </row>
    <row r="143" ht="14.25" customHeight="1">
      <c r="A143" t="s">
        <v>211</v>
      </c>
      <c r="B143" t="s">
        <v>204</v>
      </c>
      <c r="C143" t="s">
        <v>75</v>
      </c>
      <c r="D143" t="s">
        <v>82</v>
      </c>
      <c r="E143">
        <v>24.4</v>
      </c>
      <c r="F143">
        <v>24.8</v>
      </c>
      <c r="G143" s="2" t="s">
        <v>64</v>
      </c>
      <c r="H143" s="2">
        <v>0.0</v>
      </c>
      <c r="I143" s="2">
        <v>0.0</v>
      </c>
      <c r="J143" s="37">
        <v>0.0</v>
      </c>
      <c r="K143" s="2">
        <v>0.0</v>
      </c>
      <c r="L143" s="2">
        <v>0.0</v>
      </c>
      <c r="M143" s="37">
        <v>0.0</v>
      </c>
    </row>
    <row r="144" ht="14.25" customHeight="1">
      <c r="A144" t="s">
        <v>212</v>
      </c>
      <c r="B144" t="s">
        <v>204</v>
      </c>
      <c r="C144" t="s">
        <v>75</v>
      </c>
      <c r="D144" t="s">
        <v>82</v>
      </c>
      <c r="E144">
        <v>24.4</v>
      </c>
      <c r="F144">
        <v>24.8</v>
      </c>
      <c r="G144" s="2" t="s">
        <v>64</v>
      </c>
      <c r="H144" s="2">
        <v>0.0</v>
      </c>
      <c r="I144" s="2">
        <v>0.0</v>
      </c>
      <c r="J144" s="37">
        <v>0.0</v>
      </c>
      <c r="K144" s="2">
        <v>0.0</v>
      </c>
      <c r="L144" s="2">
        <v>0.0</v>
      </c>
      <c r="M144" s="37">
        <v>0.0</v>
      </c>
    </row>
    <row r="145" ht="14.25" customHeight="1">
      <c r="A145" t="s">
        <v>213</v>
      </c>
      <c r="B145" t="s">
        <v>204</v>
      </c>
      <c r="C145" t="s">
        <v>75</v>
      </c>
      <c r="D145" t="s">
        <v>82</v>
      </c>
      <c r="E145">
        <v>31.7</v>
      </c>
      <c r="F145">
        <v>32.1</v>
      </c>
      <c r="G145" s="2" t="s">
        <v>64</v>
      </c>
      <c r="H145" s="2">
        <v>0.0</v>
      </c>
      <c r="I145" s="2">
        <v>0.0</v>
      </c>
      <c r="J145" s="37">
        <v>0.0</v>
      </c>
      <c r="K145" s="2">
        <v>0.0</v>
      </c>
      <c r="L145" s="2">
        <v>0.0</v>
      </c>
      <c r="M145" s="37">
        <v>0.0</v>
      </c>
    </row>
    <row r="146" ht="14.25" customHeight="1">
      <c r="A146" t="s">
        <v>214</v>
      </c>
      <c r="B146" t="s">
        <v>204</v>
      </c>
      <c r="C146" t="s">
        <v>75</v>
      </c>
      <c r="D146" t="s">
        <v>82</v>
      </c>
      <c r="E146">
        <v>31.7</v>
      </c>
      <c r="F146">
        <v>32.1</v>
      </c>
      <c r="G146" s="2" t="s">
        <v>64</v>
      </c>
      <c r="H146" s="2">
        <v>0.0</v>
      </c>
      <c r="I146" s="2">
        <v>0.0</v>
      </c>
      <c r="J146" s="37">
        <v>0.0</v>
      </c>
      <c r="K146" s="2">
        <v>0.0</v>
      </c>
      <c r="L146" s="2">
        <v>0.0</v>
      </c>
      <c r="M146" s="37">
        <v>0.0</v>
      </c>
    </row>
    <row r="147" ht="14.25" customHeight="1">
      <c r="A147" t="s">
        <v>215</v>
      </c>
      <c r="B147" t="s">
        <v>204</v>
      </c>
      <c r="C147" t="s">
        <v>75</v>
      </c>
      <c r="D147" t="s">
        <v>82</v>
      </c>
      <c r="E147">
        <v>43.3</v>
      </c>
      <c r="F147">
        <v>43.6</v>
      </c>
      <c r="G147" s="2" t="s">
        <v>64</v>
      </c>
      <c r="H147" s="2">
        <v>0.0</v>
      </c>
      <c r="I147" s="2">
        <v>0.0</v>
      </c>
      <c r="J147" s="37">
        <v>0.0</v>
      </c>
      <c r="K147" s="2">
        <v>0.0</v>
      </c>
      <c r="L147" s="2">
        <v>0.0</v>
      </c>
      <c r="M147" s="37">
        <v>0.0</v>
      </c>
    </row>
    <row r="148" ht="14.25" customHeight="1">
      <c r="A148" t="s">
        <v>216</v>
      </c>
      <c r="B148" t="s">
        <v>204</v>
      </c>
      <c r="C148" t="s">
        <v>75</v>
      </c>
      <c r="D148" t="s">
        <v>82</v>
      </c>
      <c r="E148">
        <v>43.3</v>
      </c>
      <c r="F148">
        <v>43.6</v>
      </c>
      <c r="G148" s="2" t="s">
        <v>64</v>
      </c>
      <c r="H148" s="2">
        <v>0.0</v>
      </c>
      <c r="I148" s="2">
        <v>0.0</v>
      </c>
      <c r="J148" s="37">
        <v>0.0</v>
      </c>
      <c r="K148" s="2">
        <v>0.0</v>
      </c>
      <c r="L148" s="2">
        <v>0.0</v>
      </c>
      <c r="M148" s="37">
        <v>0.0</v>
      </c>
    </row>
    <row r="149" ht="14.25" customHeight="1">
      <c r="A149" t="s">
        <v>217</v>
      </c>
      <c r="B149" t="s">
        <v>204</v>
      </c>
      <c r="C149" t="s">
        <v>75</v>
      </c>
      <c r="D149" t="s">
        <v>82</v>
      </c>
      <c r="E149">
        <v>60.5</v>
      </c>
      <c r="F149">
        <v>63.0</v>
      </c>
      <c r="G149" s="2" t="s">
        <v>64</v>
      </c>
      <c r="H149" s="2">
        <v>0.0</v>
      </c>
      <c r="I149" s="2">
        <v>0.0</v>
      </c>
      <c r="J149" s="37">
        <v>0.0</v>
      </c>
      <c r="K149" s="2">
        <v>0.0</v>
      </c>
      <c r="L149" s="2">
        <v>0.0</v>
      </c>
      <c r="M149" s="37">
        <v>0.0</v>
      </c>
    </row>
    <row r="150" ht="14.25" customHeight="1">
      <c r="A150" t="s">
        <v>218</v>
      </c>
      <c r="B150" t="s">
        <v>204</v>
      </c>
      <c r="C150" t="s">
        <v>75</v>
      </c>
      <c r="D150" t="s">
        <v>82</v>
      </c>
      <c r="E150">
        <v>60.5</v>
      </c>
      <c r="F150">
        <v>63.0</v>
      </c>
      <c r="G150" s="2" t="s">
        <v>64</v>
      </c>
      <c r="H150" s="2">
        <v>0.0</v>
      </c>
      <c r="I150" s="2">
        <v>0.0</v>
      </c>
      <c r="J150" s="37">
        <v>0.0</v>
      </c>
      <c r="K150" s="2">
        <v>0.0</v>
      </c>
      <c r="L150" s="2">
        <v>0.0</v>
      </c>
      <c r="M150" s="37">
        <v>0.0</v>
      </c>
    </row>
    <row r="151" ht="14.25" customHeight="1">
      <c r="A151" t="s">
        <v>219</v>
      </c>
      <c r="B151" t="s">
        <v>204</v>
      </c>
      <c r="C151" t="s">
        <v>75</v>
      </c>
      <c r="D151" t="s">
        <v>82</v>
      </c>
      <c r="E151">
        <v>13.3</v>
      </c>
      <c r="F151">
        <v>13.5</v>
      </c>
      <c r="G151" s="2" t="s">
        <v>64</v>
      </c>
      <c r="H151" s="2">
        <v>0.0</v>
      </c>
      <c r="I151" s="2">
        <v>0.0</v>
      </c>
      <c r="J151" s="37">
        <v>0.0</v>
      </c>
      <c r="K151" s="2">
        <v>0.0</v>
      </c>
      <c r="L151" s="2">
        <v>0.0</v>
      </c>
      <c r="M151" s="37">
        <v>0.0</v>
      </c>
    </row>
    <row r="152" ht="14.25" customHeight="1">
      <c r="A152" t="s">
        <v>220</v>
      </c>
      <c r="B152" t="s">
        <v>204</v>
      </c>
      <c r="C152" t="s">
        <v>75</v>
      </c>
      <c r="D152" t="s">
        <v>82</v>
      </c>
      <c r="E152">
        <v>17.9</v>
      </c>
      <c r="F152">
        <v>18.5</v>
      </c>
      <c r="G152" s="2" t="s">
        <v>64</v>
      </c>
      <c r="H152" s="2">
        <v>0.0</v>
      </c>
      <c r="I152" s="2">
        <v>0.0</v>
      </c>
      <c r="J152" s="37">
        <v>0.0</v>
      </c>
      <c r="K152" s="2">
        <v>0.0</v>
      </c>
      <c r="L152" s="2">
        <v>0.0</v>
      </c>
      <c r="M152" s="37">
        <v>0.0</v>
      </c>
    </row>
    <row r="153" ht="14.25" customHeight="1">
      <c r="A153" t="s">
        <v>221</v>
      </c>
      <c r="B153" t="s">
        <v>204</v>
      </c>
      <c r="C153" t="s">
        <v>75</v>
      </c>
      <c r="D153" t="s">
        <v>82</v>
      </c>
      <c r="E153">
        <v>31.7</v>
      </c>
      <c r="F153">
        <v>32.1</v>
      </c>
      <c r="G153" s="2" t="s">
        <v>64</v>
      </c>
      <c r="H153" s="2">
        <v>0.0</v>
      </c>
      <c r="I153" s="2">
        <v>0.0</v>
      </c>
      <c r="J153" s="37">
        <v>0.0</v>
      </c>
      <c r="K153" s="2">
        <v>0.0</v>
      </c>
      <c r="L153" s="2">
        <v>0.0</v>
      </c>
      <c r="M153" s="37">
        <v>0.0</v>
      </c>
    </row>
    <row r="154" ht="14.25" customHeight="1">
      <c r="A154" t="s">
        <v>222</v>
      </c>
      <c r="B154" t="s">
        <v>204</v>
      </c>
      <c r="C154" t="s">
        <v>75</v>
      </c>
      <c r="D154" t="s">
        <v>82</v>
      </c>
      <c r="E154">
        <v>24.4</v>
      </c>
      <c r="F154">
        <v>24.8</v>
      </c>
      <c r="G154" s="2" t="s">
        <v>64</v>
      </c>
      <c r="H154" s="2">
        <v>0.0</v>
      </c>
      <c r="I154" s="2">
        <v>0.0</v>
      </c>
      <c r="J154" s="37">
        <v>0.0</v>
      </c>
      <c r="K154" s="2">
        <v>0.0</v>
      </c>
      <c r="L154" s="2">
        <v>0.0</v>
      </c>
      <c r="M154" s="37">
        <v>0.0</v>
      </c>
    </row>
    <row r="155" ht="14.25" customHeight="1">
      <c r="A155" t="s">
        <v>223</v>
      </c>
      <c r="B155" t="s">
        <v>204</v>
      </c>
      <c r="C155" t="s">
        <v>75</v>
      </c>
      <c r="D155" t="s">
        <v>82</v>
      </c>
      <c r="E155">
        <v>43.3</v>
      </c>
      <c r="F155">
        <v>43.6</v>
      </c>
      <c r="G155" s="2" t="s">
        <v>64</v>
      </c>
      <c r="H155" s="2">
        <v>0.0</v>
      </c>
      <c r="I155" s="2">
        <v>0.0</v>
      </c>
      <c r="J155" s="37">
        <v>0.0</v>
      </c>
      <c r="K155" s="2">
        <v>0.0</v>
      </c>
      <c r="L155" s="2">
        <v>0.0</v>
      </c>
      <c r="M155" s="37">
        <v>0.0</v>
      </c>
    </row>
    <row r="156" ht="14.25" customHeight="1">
      <c r="A156" t="s">
        <v>224</v>
      </c>
      <c r="B156" t="s">
        <v>204</v>
      </c>
      <c r="C156" t="s">
        <v>75</v>
      </c>
      <c r="D156" t="s">
        <v>82</v>
      </c>
      <c r="E156">
        <v>60.5</v>
      </c>
      <c r="F156">
        <v>63.0</v>
      </c>
      <c r="G156" s="2" t="s">
        <v>64</v>
      </c>
      <c r="H156" s="2">
        <v>0.0</v>
      </c>
      <c r="I156" s="2">
        <v>0.0</v>
      </c>
      <c r="J156" s="37">
        <v>0.0</v>
      </c>
      <c r="K156" s="2">
        <v>0.0</v>
      </c>
      <c r="L156" s="2">
        <v>0.0</v>
      </c>
      <c r="M156" s="37">
        <v>0.0</v>
      </c>
    </row>
    <row r="157" ht="14.25" customHeight="1">
      <c r="A157" t="s">
        <v>225</v>
      </c>
      <c r="B157" t="s">
        <v>204</v>
      </c>
      <c r="C157" t="s">
        <v>75</v>
      </c>
      <c r="D157" t="s">
        <v>82</v>
      </c>
      <c r="E157">
        <v>13.6</v>
      </c>
      <c r="F157">
        <v>13.8</v>
      </c>
      <c r="G157" s="2" t="s">
        <v>64</v>
      </c>
      <c r="H157" s="2">
        <v>0.0</v>
      </c>
      <c r="I157" s="2">
        <v>0.0</v>
      </c>
      <c r="J157" s="37">
        <v>0.0</v>
      </c>
      <c r="K157" s="2">
        <v>0.0</v>
      </c>
      <c r="L157" s="2">
        <v>0.0</v>
      </c>
      <c r="M157" s="37">
        <v>0.0</v>
      </c>
    </row>
    <row r="158" ht="14.25" customHeight="1">
      <c r="A158" t="s">
        <v>226</v>
      </c>
      <c r="B158" t="s">
        <v>204</v>
      </c>
      <c r="C158" t="s">
        <v>75</v>
      </c>
      <c r="D158" t="s">
        <v>82</v>
      </c>
      <c r="E158">
        <v>18.1</v>
      </c>
      <c r="F158">
        <v>18.7</v>
      </c>
      <c r="G158" s="2" t="s">
        <v>64</v>
      </c>
      <c r="H158" s="2">
        <v>0.0</v>
      </c>
      <c r="I158" s="2">
        <v>0.0</v>
      </c>
      <c r="J158" s="37">
        <v>0.0</v>
      </c>
      <c r="K158" s="2">
        <v>0.0</v>
      </c>
      <c r="L158" s="2">
        <v>0.0</v>
      </c>
      <c r="M158" s="37">
        <v>0.0</v>
      </c>
    </row>
    <row r="159" ht="14.25" customHeight="1">
      <c r="A159" t="s">
        <v>227</v>
      </c>
      <c r="B159" t="s">
        <v>204</v>
      </c>
      <c r="C159" t="s">
        <v>75</v>
      </c>
      <c r="D159" t="s">
        <v>82</v>
      </c>
      <c r="E159">
        <v>24.5</v>
      </c>
      <c r="F159">
        <v>24.9</v>
      </c>
      <c r="G159" s="2" t="s">
        <v>64</v>
      </c>
      <c r="H159" s="2">
        <v>0.0</v>
      </c>
      <c r="I159" s="2">
        <v>0.0</v>
      </c>
      <c r="J159" s="37">
        <v>0.0</v>
      </c>
      <c r="K159" s="2">
        <v>0.0</v>
      </c>
      <c r="L159" s="2">
        <v>0.0</v>
      </c>
      <c r="M159" s="37">
        <v>0.0</v>
      </c>
    </row>
    <row r="160" ht="14.25" customHeight="1">
      <c r="A160" t="s">
        <v>228</v>
      </c>
      <c r="B160" t="s">
        <v>204</v>
      </c>
      <c r="C160" t="s">
        <v>75</v>
      </c>
      <c r="D160" t="s">
        <v>82</v>
      </c>
      <c r="E160">
        <v>31.8</v>
      </c>
      <c r="F160">
        <v>32.2</v>
      </c>
      <c r="G160" s="2" t="s">
        <v>64</v>
      </c>
      <c r="H160" s="2">
        <v>0.0</v>
      </c>
      <c r="I160" s="2">
        <v>0.0</v>
      </c>
      <c r="J160" s="37">
        <v>0.0</v>
      </c>
      <c r="K160" s="2">
        <v>0.0</v>
      </c>
      <c r="L160" s="2">
        <v>0.0</v>
      </c>
      <c r="M160" s="37">
        <v>0.0</v>
      </c>
    </row>
    <row r="161" ht="14.25" customHeight="1">
      <c r="A161" t="s">
        <v>229</v>
      </c>
      <c r="B161" t="s">
        <v>204</v>
      </c>
      <c r="C161" t="s">
        <v>75</v>
      </c>
      <c r="D161" t="s">
        <v>82</v>
      </c>
      <c r="E161">
        <v>36.2</v>
      </c>
      <c r="F161">
        <v>36.3</v>
      </c>
      <c r="G161" s="2" t="s">
        <v>64</v>
      </c>
      <c r="H161" s="2">
        <v>0.0</v>
      </c>
      <c r="I161" s="2">
        <v>0.0</v>
      </c>
      <c r="J161" s="37">
        <v>0.0</v>
      </c>
      <c r="K161" s="2">
        <v>0.0</v>
      </c>
      <c r="L161" s="2">
        <v>0.0</v>
      </c>
      <c r="M161" s="37">
        <v>0.0</v>
      </c>
    </row>
    <row r="162" ht="14.25" customHeight="1">
      <c r="A162" t="s">
        <v>230</v>
      </c>
      <c r="B162" t="s">
        <v>204</v>
      </c>
      <c r="C162" t="s">
        <v>75</v>
      </c>
      <c r="D162" t="s">
        <v>82</v>
      </c>
      <c r="E162">
        <v>43.4</v>
      </c>
      <c r="F162">
        <v>43.7</v>
      </c>
      <c r="G162" s="2" t="s">
        <v>64</v>
      </c>
      <c r="H162" s="2">
        <v>0.0</v>
      </c>
      <c r="I162" s="2">
        <v>0.0</v>
      </c>
      <c r="J162" s="37">
        <v>0.0</v>
      </c>
      <c r="K162" s="2">
        <v>0.0</v>
      </c>
      <c r="L162" s="2">
        <v>0.0</v>
      </c>
      <c r="M162" s="37">
        <v>0.0</v>
      </c>
    </row>
    <row r="163" ht="14.25" customHeight="1">
      <c r="A163" t="s">
        <v>231</v>
      </c>
      <c r="B163" t="s">
        <v>204</v>
      </c>
      <c r="C163" t="s">
        <v>75</v>
      </c>
      <c r="D163" t="s">
        <v>82</v>
      </c>
      <c r="E163">
        <v>60.6</v>
      </c>
      <c r="F163">
        <v>63.1</v>
      </c>
      <c r="G163" s="2" t="s">
        <v>64</v>
      </c>
      <c r="H163" s="2">
        <v>0.0</v>
      </c>
      <c r="I163" s="2">
        <v>0.0</v>
      </c>
      <c r="J163" s="37">
        <v>0.0</v>
      </c>
      <c r="K163" s="2">
        <v>0.0</v>
      </c>
      <c r="L163" s="2">
        <v>0.0</v>
      </c>
      <c r="M163" s="37">
        <v>0.0</v>
      </c>
    </row>
    <row r="164" ht="14.25" customHeight="1">
      <c r="A164" t="s">
        <v>232</v>
      </c>
      <c r="B164" t="s">
        <v>204</v>
      </c>
      <c r="C164" t="s">
        <v>75</v>
      </c>
      <c r="D164" t="s">
        <v>82</v>
      </c>
      <c r="E164">
        <v>13.6</v>
      </c>
      <c r="F164">
        <v>13.8</v>
      </c>
      <c r="G164" s="2" t="s">
        <v>64</v>
      </c>
      <c r="H164" s="2">
        <v>0.0</v>
      </c>
      <c r="I164" s="2">
        <v>0.0</v>
      </c>
      <c r="J164" s="37">
        <v>0.0</v>
      </c>
      <c r="K164" s="2">
        <v>0.0</v>
      </c>
      <c r="L164" s="2">
        <v>0.0</v>
      </c>
      <c r="M164" s="37">
        <v>0.0</v>
      </c>
    </row>
    <row r="165" ht="14.25" customHeight="1">
      <c r="A165" t="s">
        <v>233</v>
      </c>
      <c r="B165" t="s">
        <v>204</v>
      </c>
      <c r="C165" t="s">
        <v>75</v>
      </c>
      <c r="D165" t="s">
        <v>82</v>
      </c>
      <c r="E165">
        <v>13.6</v>
      </c>
      <c r="F165">
        <v>13.8</v>
      </c>
      <c r="G165" s="2" t="s">
        <v>64</v>
      </c>
      <c r="H165" s="2">
        <v>0.0</v>
      </c>
      <c r="I165" s="2">
        <v>0.0</v>
      </c>
      <c r="J165" s="37">
        <v>0.0</v>
      </c>
      <c r="K165" s="2">
        <v>0.0</v>
      </c>
      <c r="L165" s="2">
        <v>0.0</v>
      </c>
      <c r="M165" s="37">
        <v>0.0</v>
      </c>
    </row>
    <row r="166" ht="14.25" customHeight="1">
      <c r="A166" t="s">
        <v>234</v>
      </c>
      <c r="B166" t="s">
        <v>204</v>
      </c>
      <c r="C166" t="s">
        <v>75</v>
      </c>
      <c r="D166" t="s">
        <v>82</v>
      </c>
      <c r="E166">
        <v>18.1</v>
      </c>
      <c r="F166">
        <v>18.7</v>
      </c>
      <c r="G166" s="2" t="s">
        <v>64</v>
      </c>
      <c r="H166" s="2">
        <v>0.0</v>
      </c>
      <c r="I166" s="2">
        <v>0.0</v>
      </c>
      <c r="J166" s="37">
        <v>0.0</v>
      </c>
      <c r="K166" s="2">
        <v>0.0</v>
      </c>
      <c r="L166" s="2">
        <v>0.0</v>
      </c>
      <c r="M166" s="37">
        <v>0.0</v>
      </c>
    </row>
    <row r="167" ht="14.25" customHeight="1">
      <c r="A167" t="s">
        <v>235</v>
      </c>
      <c r="B167" t="s">
        <v>204</v>
      </c>
      <c r="C167" t="s">
        <v>75</v>
      </c>
      <c r="D167" t="s">
        <v>82</v>
      </c>
      <c r="E167">
        <v>18.1</v>
      </c>
      <c r="F167">
        <v>18.7</v>
      </c>
      <c r="G167" s="2" t="s">
        <v>64</v>
      </c>
      <c r="H167" s="2">
        <v>0.0</v>
      </c>
      <c r="I167" s="2">
        <v>0.0</v>
      </c>
      <c r="J167" s="37">
        <v>0.0</v>
      </c>
      <c r="K167" s="2">
        <v>0.0</v>
      </c>
      <c r="L167" s="2">
        <v>0.0</v>
      </c>
      <c r="M167" s="37">
        <v>0.0</v>
      </c>
    </row>
    <row r="168" ht="14.25" customHeight="1">
      <c r="A168" t="s">
        <v>236</v>
      </c>
      <c r="B168" t="s">
        <v>204</v>
      </c>
      <c r="C168" t="s">
        <v>75</v>
      </c>
      <c r="D168" t="s">
        <v>82</v>
      </c>
      <c r="E168">
        <v>24.5</v>
      </c>
      <c r="F168">
        <v>24.9</v>
      </c>
      <c r="G168" s="2" t="s">
        <v>64</v>
      </c>
      <c r="H168" s="2">
        <v>0.0</v>
      </c>
      <c r="I168" s="2">
        <v>0.0</v>
      </c>
      <c r="J168" s="37">
        <v>0.0</v>
      </c>
      <c r="K168" s="2">
        <v>0.0</v>
      </c>
      <c r="L168" s="2">
        <v>0.0</v>
      </c>
      <c r="M168" s="37">
        <v>0.0</v>
      </c>
    </row>
    <row r="169" ht="14.25" customHeight="1">
      <c r="A169" t="s">
        <v>237</v>
      </c>
      <c r="B169" t="s">
        <v>204</v>
      </c>
      <c r="C169" t="s">
        <v>75</v>
      </c>
      <c r="D169" t="s">
        <v>82</v>
      </c>
      <c r="E169">
        <v>24.5</v>
      </c>
      <c r="F169">
        <v>24.9</v>
      </c>
      <c r="G169" s="2" t="s">
        <v>64</v>
      </c>
      <c r="H169" s="2">
        <v>0.0</v>
      </c>
      <c r="I169" s="2">
        <v>0.0</v>
      </c>
      <c r="J169" s="37">
        <v>0.0</v>
      </c>
      <c r="K169" s="2">
        <v>0.0</v>
      </c>
      <c r="L169" s="2">
        <v>0.0</v>
      </c>
      <c r="M169" s="37">
        <v>0.0</v>
      </c>
    </row>
    <row r="170" ht="14.25" customHeight="1">
      <c r="A170" t="s">
        <v>238</v>
      </c>
      <c r="B170" t="s">
        <v>204</v>
      </c>
      <c r="C170" t="s">
        <v>75</v>
      </c>
      <c r="D170" t="s">
        <v>82</v>
      </c>
      <c r="E170">
        <v>31.8</v>
      </c>
      <c r="F170">
        <v>32.2</v>
      </c>
      <c r="G170" s="2" t="s">
        <v>64</v>
      </c>
      <c r="H170" s="2">
        <v>0.0</v>
      </c>
      <c r="I170" s="2">
        <v>0.0</v>
      </c>
      <c r="J170" s="37">
        <v>0.0</v>
      </c>
      <c r="K170" s="2">
        <v>0.0</v>
      </c>
      <c r="L170" s="2">
        <v>0.0</v>
      </c>
      <c r="M170" s="37">
        <v>0.0</v>
      </c>
    </row>
    <row r="171" ht="14.25" customHeight="1">
      <c r="A171" t="s">
        <v>239</v>
      </c>
      <c r="B171" t="s">
        <v>204</v>
      </c>
      <c r="C171" t="s">
        <v>75</v>
      </c>
      <c r="D171" t="s">
        <v>82</v>
      </c>
      <c r="E171">
        <v>31.8</v>
      </c>
      <c r="F171">
        <v>32.2</v>
      </c>
      <c r="G171" s="2" t="s">
        <v>64</v>
      </c>
      <c r="H171" s="2">
        <v>0.0</v>
      </c>
      <c r="I171" s="2">
        <v>0.0</v>
      </c>
      <c r="J171" s="37">
        <v>0.0</v>
      </c>
      <c r="K171" s="2">
        <v>0.0</v>
      </c>
      <c r="L171" s="2">
        <v>0.0</v>
      </c>
      <c r="M171" s="37">
        <v>0.0</v>
      </c>
    </row>
    <row r="172" ht="14.25" customHeight="1">
      <c r="A172" t="s">
        <v>240</v>
      </c>
      <c r="B172" t="s">
        <v>204</v>
      </c>
      <c r="C172" t="s">
        <v>75</v>
      </c>
      <c r="D172" t="s">
        <v>82</v>
      </c>
      <c r="E172">
        <v>36.2</v>
      </c>
      <c r="F172">
        <v>36.3</v>
      </c>
      <c r="G172" s="2" t="s">
        <v>64</v>
      </c>
      <c r="H172" s="2">
        <v>0.0</v>
      </c>
      <c r="I172" s="2">
        <v>0.0</v>
      </c>
      <c r="J172" s="37">
        <v>0.0</v>
      </c>
      <c r="K172" s="2">
        <v>0.0</v>
      </c>
      <c r="L172" s="2">
        <v>0.0</v>
      </c>
      <c r="M172" s="37">
        <v>0.0</v>
      </c>
    </row>
    <row r="173" ht="14.25" customHeight="1">
      <c r="A173" t="s">
        <v>241</v>
      </c>
      <c r="B173" t="s">
        <v>204</v>
      </c>
      <c r="C173" t="s">
        <v>75</v>
      </c>
      <c r="D173" t="s">
        <v>82</v>
      </c>
      <c r="E173">
        <v>36.2</v>
      </c>
      <c r="F173">
        <v>36.3</v>
      </c>
      <c r="G173" s="2" t="s">
        <v>64</v>
      </c>
      <c r="H173" s="2">
        <v>0.0</v>
      </c>
      <c r="I173" s="2">
        <v>0.0</v>
      </c>
      <c r="J173" s="37">
        <v>0.0</v>
      </c>
      <c r="K173" s="2">
        <v>0.0</v>
      </c>
      <c r="L173" s="2">
        <v>0.0</v>
      </c>
      <c r="M173" s="37">
        <v>0.0</v>
      </c>
    </row>
    <row r="174" ht="14.25" customHeight="1">
      <c r="A174" t="s">
        <v>242</v>
      </c>
      <c r="B174" t="s">
        <v>204</v>
      </c>
      <c r="C174" t="s">
        <v>75</v>
      </c>
      <c r="D174" t="s">
        <v>82</v>
      </c>
      <c r="E174">
        <v>43.4</v>
      </c>
      <c r="F174">
        <v>43.7</v>
      </c>
      <c r="G174" s="2" t="s">
        <v>64</v>
      </c>
      <c r="H174" s="2">
        <v>0.0</v>
      </c>
      <c r="I174" s="2">
        <v>0.0</v>
      </c>
      <c r="J174" s="37">
        <v>0.0</v>
      </c>
      <c r="K174" s="2">
        <v>0.0</v>
      </c>
      <c r="L174" s="2">
        <v>0.0</v>
      </c>
      <c r="M174" s="37">
        <v>0.0</v>
      </c>
    </row>
    <row r="175" ht="14.25" customHeight="1">
      <c r="A175" t="s">
        <v>243</v>
      </c>
      <c r="B175" t="s">
        <v>204</v>
      </c>
      <c r="C175" t="s">
        <v>75</v>
      </c>
      <c r="D175" t="s">
        <v>82</v>
      </c>
      <c r="E175">
        <v>43.4</v>
      </c>
      <c r="F175">
        <v>43.7</v>
      </c>
      <c r="G175" s="2" t="s">
        <v>64</v>
      </c>
      <c r="H175" s="2">
        <v>0.0</v>
      </c>
      <c r="I175" s="2">
        <v>0.0</v>
      </c>
      <c r="J175" s="37">
        <v>0.0</v>
      </c>
      <c r="K175" s="2">
        <v>0.0</v>
      </c>
      <c r="L175" s="2">
        <v>0.0</v>
      </c>
      <c r="M175" s="37">
        <v>0.0</v>
      </c>
    </row>
    <row r="176" ht="14.25" customHeight="1">
      <c r="A176" t="s">
        <v>244</v>
      </c>
      <c r="B176" t="s">
        <v>204</v>
      </c>
      <c r="C176" t="s">
        <v>75</v>
      </c>
      <c r="D176" t="s">
        <v>82</v>
      </c>
      <c r="E176">
        <v>60.6</v>
      </c>
      <c r="F176">
        <v>63.1</v>
      </c>
      <c r="G176" s="2" t="s">
        <v>64</v>
      </c>
      <c r="H176" s="2">
        <v>0.0</v>
      </c>
      <c r="I176" s="2">
        <v>0.0</v>
      </c>
      <c r="J176" s="37">
        <v>0.0</v>
      </c>
      <c r="K176" s="2">
        <v>0.0</v>
      </c>
      <c r="L176" s="2">
        <v>0.0</v>
      </c>
      <c r="M176" s="37">
        <v>0.0</v>
      </c>
    </row>
    <row r="177" ht="14.25" customHeight="1">
      <c r="A177" t="s">
        <v>245</v>
      </c>
      <c r="B177" t="s">
        <v>204</v>
      </c>
      <c r="C177" t="s">
        <v>75</v>
      </c>
      <c r="D177" t="s">
        <v>82</v>
      </c>
      <c r="E177">
        <v>60.6</v>
      </c>
      <c r="F177">
        <v>63.1</v>
      </c>
      <c r="G177" s="2" t="s">
        <v>64</v>
      </c>
      <c r="H177" s="2">
        <v>0.0</v>
      </c>
      <c r="I177" s="2">
        <v>0.0</v>
      </c>
      <c r="J177" s="37">
        <v>0.0</v>
      </c>
      <c r="K177" s="2">
        <v>0.0</v>
      </c>
      <c r="L177" s="2">
        <v>0.0</v>
      </c>
      <c r="M177" s="37">
        <v>0.0</v>
      </c>
    </row>
    <row r="178" ht="14.25" customHeight="1">
      <c r="A178" t="s">
        <v>246</v>
      </c>
      <c r="B178" t="s">
        <v>204</v>
      </c>
      <c r="C178" t="s">
        <v>75</v>
      </c>
      <c r="D178" t="s">
        <v>82</v>
      </c>
      <c r="E178">
        <v>14.86</v>
      </c>
      <c r="F178">
        <v>12.97</v>
      </c>
      <c r="G178" s="2" t="s">
        <v>64</v>
      </c>
      <c r="H178" s="2">
        <v>0.0</v>
      </c>
      <c r="I178" s="2">
        <v>0.0</v>
      </c>
      <c r="J178" s="37">
        <v>0.0</v>
      </c>
      <c r="K178" s="2">
        <v>0.0</v>
      </c>
      <c r="L178" s="2">
        <v>0.0</v>
      </c>
      <c r="M178" s="37">
        <v>0.0</v>
      </c>
    </row>
    <row r="179" ht="14.25" customHeight="1">
      <c r="A179" t="s">
        <v>247</v>
      </c>
      <c r="B179" t="s">
        <v>204</v>
      </c>
      <c r="C179" t="s">
        <v>75</v>
      </c>
      <c r="D179" t="s">
        <v>82</v>
      </c>
      <c r="E179">
        <v>18.8</v>
      </c>
      <c r="F179">
        <v>16.42</v>
      </c>
      <c r="G179" s="2" t="s">
        <v>64</v>
      </c>
      <c r="H179" s="2">
        <v>0.0</v>
      </c>
      <c r="I179" s="2">
        <v>0.0</v>
      </c>
      <c r="J179" s="37">
        <v>0.0</v>
      </c>
      <c r="K179" s="2">
        <v>0.0</v>
      </c>
      <c r="L179" s="2">
        <v>0.0</v>
      </c>
      <c r="M179" s="37">
        <v>0.0</v>
      </c>
    </row>
    <row r="180" ht="14.25" customHeight="1">
      <c r="A180" t="s">
        <v>248</v>
      </c>
      <c r="B180" t="s">
        <v>204</v>
      </c>
      <c r="C180" t="s">
        <v>75</v>
      </c>
      <c r="D180" t="s">
        <v>82</v>
      </c>
      <c r="E180">
        <v>26.3</v>
      </c>
      <c r="F180">
        <v>22.93</v>
      </c>
      <c r="G180" s="2" t="s">
        <v>64</v>
      </c>
      <c r="H180" s="2">
        <v>0.0</v>
      </c>
      <c r="I180" s="2">
        <v>0.0</v>
      </c>
      <c r="J180" s="37">
        <v>0.0</v>
      </c>
      <c r="K180" s="2">
        <v>0.0</v>
      </c>
      <c r="L180" s="2">
        <v>0.0</v>
      </c>
      <c r="M180" s="37">
        <v>0.0</v>
      </c>
    </row>
    <row r="181" ht="14.25" customHeight="1">
      <c r="A181" t="s">
        <v>249</v>
      </c>
      <c r="B181" t="s">
        <v>204</v>
      </c>
      <c r="C181" t="s">
        <v>75</v>
      </c>
      <c r="D181" t="s">
        <v>82</v>
      </c>
      <c r="E181">
        <v>33.93</v>
      </c>
      <c r="F181">
        <v>29.57</v>
      </c>
      <c r="G181" s="2" t="s">
        <v>64</v>
      </c>
      <c r="H181" s="2">
        <v>0.0</v>
      </c>
      <c r="I181" s="2">
        <v>0.0</v>
      </c>
      <c r="J181" s="37">
        <v>0.0</v>
      </c>
      <c r="K181" s="2">
        <v>0.0</v>
      </c>
      <c r="L181" s="2">
        <v>0.0</v>
      </c>
      <c r="M181" s="37">
        <v>0.0</v>
      </c>
    </row>
    <row r="182" ht="14.25" customHeight="1">
      <c r="A182" t="s">
        <v>250</v>
      </c>
      <c r="B182" t="s">
        <v>204</v>
      </c>
      <c r="C182" t="s">
        <v>75</v>
      </c>
      <c r="D182" t="s">
        <v>82</v>
      </c>
      <c r="E182">
        <v>36.22</v>
      </c>
      <c r="F182">
        <v>33.87</v>
      </c>
      <c r="G182" s="2" t="s">
        <v>64</v>
      </c>
      <c r="H182" s="2">
        <v>0.0</v>
      </c>
      <c r="I182" s="2">
        <v>0.0</v>
      </c>
      <c r="J182" s="37">
        <v>0.0</v>
      </c>
      <c r="K182" s="2">
        <v>0.0</v>
      </c>
      <c r="L182" s="2">
        <v>0.0</v>
      </c>
      <c r="M182" s="37">
        <v>0.0</v>
      </c>
    </row>
    <row r="183" ht="14.25" customHeight="1">
      <c r="A183" t="s">
        <v>251</v>
      </c>
      <c r="B183" t="s">
        <v>204</v>
      </c>
      <c r="C183" t="s">
        <v>75</v>
      </c>
      <c r="D183" t="s">
        <v>82</v>
      </c>
      <c r="E183">
        <v>46.66</v>
      </c>
      <c r="F183">
        <v>40.95</v>
      </c>
      <c r="G183" s="2" t="s">
        <v>64</v>
      </c>
      <c r="H183" s="2">
        <v>0.0</v>
      </c>
      <c r="I183" s="2">
        <v>0.0</v>
      </c>
      <c r="J183" s="37">
        <v>0.0</v>
      </c>
      <c r="K183" s="2">
        <v>0.0</v>
      </c>
      <c r="L183" s="2">
        <v>0.0</v>
      </c>
      <c r="M183" s="37">
        <v>0.0</v>
      </c>
    </row>
    <row r="184" ht="14.25" customHeight="1">
      <c r="A184" t="s">
        <v>252</v>
      </c>
      <c r="B184" t="s">
        <v>204</v>
      </c>
      <c r="C184" t="s">
        <v>75</v>
      </c>
      <c r="D184" t="s">
        <v>82</v>
      </c>
      <c r="E184">
        <v>50.66</v>
      </c>
      <c r="F184">
        <v>44.41</v>
      </c>
      <c r="G184" s="2" t="s">
        <v>64</v>
      </c>
      <c r="H184" s="2">
        <v>0.0</v>
      </c>
      <c r="I184" s="2">
        <v>0.0</v>
      </c>
      <c r="J184" s="37">
        <v>0.0</v>
      </c>
      <c r="K184" s="2">
        <v>0.0</v>
      </c>
      <c r="L184" s="2">
        <v>0.0</v>
      </c>
      <c r="M184" s="37">
        <v>0.0</v>
      </c>
    </row>
    <row r="185" ht="14.25" customHeight="1">
      <c r="A185" t="s">
        <v>253</v>
      </c>
      <c r="B185" t="s">
        <v>204</v>
      </c>
      <c r="C185" t="s">
        <v>75</v>
      </c>
      <c r="D185" t="s">
        <v>82</v>
      </c>
      <c r="E185">
        <v>61.09</v>
      </c>
      <c r="F185">
        <v>61.38</v>
      </c>
      <c r="G185" s="2" t="s">
        <v>64</v>
      </c>
      <c r="H185" s="2">
        <v>0.0</v>
      </c>
      <c r="I185" s="2">
        <v>0.0</v>
      </c>
      <c r="J185" s="37">
        <v>0.0</v>
      </c>
      <c r="K185" s="2">
        <v>0.0</v>
      </c>
      <c r="L185" s="2">
        <v>0.0</v>
      </c>
      <c r="M185" s="37">
        <v>0.0</v>
      </c>
    </row>
    <row r="186" ht="14.25" customHeight="1">
      <c r="A186" t="s">
        <v>254</v>
      </c>
      <c r="B186" t="s">
        <v>204</v>
      </c>
      <c r="C186" t="s">
        <v>75</v>
      </c>
      <c r="D186" t="s">
        <v>82</v>
      </c>
      <c r="E186">
        <v>51.2</v>
      </c>
      <c r="F186">
        <v>50.16</v>
      </c>
      <c r="G186" s="2" t="s">
        <v>64</v>
      </c>
      <c r="H186" s="2">
        <v>0.0</v>
      </c>
      <c r="I186" s="2">
        <v>0.0</v>
      </c>
      <c r="J186" s="37">
        <v>0.0</v>
      </c>
      <c r="K186" s="2">
        <v>0.0</v>
      </c>
      <c r="L186" s="2">
        <v>0.0</v>
      </c>
      <c r="M186" s="37">
        <v>0.0</v>
      </c>
    </row>
    <row r="187" ht="14.25" customHeight="1">
      <c r="A187" t="s">
        <v>255</v>
      </c>
      <c r="B187" t="s">
        <v>204</v>
      </c>
      <c r="C187" t="s">
        <v>75</v>
      </c>
      <c r="D187" t="s">
        <v>82</v>
      </c>
      <c r="E187">
        <v>51.2</v>
      </c>
      <c r="F187">
        <v>50.16</v>
      </c>
      <c r="G187" s="2" t="s">
        <v>64</v>
      </c>
      <c r="H187" s="2">
        <v>0.0</v>
      </c>
      <c r="I187" s="2">
        <v>0.0</v>
      </c>
      <c r="J187" s="37">
        <v>0.0</v>
      </c>
      <c r="K187" s="2">
        <v>0.0</v>
      </c>
      <c r="L187" s="2">
        <v>0.0</v>
      </c>
      <c r="M187" s="37">
        <v>0.0</v>
      </c>
    </row>
    <row r="188" ht="14.25" customHeight="1">
      <c r="A188" t="s">
        <v>256</v>
      </c>
      <c r="B188" t="s">
        <v>257</v>
      </c>
      <c r="C188" t="s">
        <v>62</v>
      </c>
      <c r="D188" t="s">
        <v>258</v>
      </c>
      <c r="E188">
        <v>2.477</v>
      </c>
      <c r="F188">
        <v>2.341</v>
      </c>
      <c r="G188" s="2" t="s">
        <v>64</v>
      </c>
      <c r="H188" s="2">
        <v>0.0</v>
      </c>
      <c r="I188" s="2">
        <v>0.0</v>
      </c>
      <c r="J188" s="37">
        <v>0.0</v>
      </c>
      <c r="K188" s="2">
        <v>0.0</v>
      </c>
      <c r="L188" s="2">
        <v>0.0</v>
      </c>
      <c r="M188" s="37">
        <v>0.0</v>
      </c>
    </row>
    <row r="189" ht="14.25" customHeight="1">
      <c r="A189" t="s">
        <v>259</v>
      </c>
      <c r="B189" t="s">
        <v>260</v>
      </c>
      <c r="C189" t="s">
        <v>62</v>
      </c>
      <c r="D189" t="s">
        <v>63</v>
      </c>
      <c r="E189">
        <v>3.5</v>
      </c>
      <c r="F189">
        <v>4.5</v>
      </c>
      <c r="G189" s="2" t="s">
        <v>64</v>
      </c>
      <c r="H189" s="2">
        <v>0.0</v>
      </c>
      <c r="I189" s="2">
        <v>0.0</v>
      </c>
      <c r="J189" s="37">
        <v>0.0</v>
      </c>
      <c r="K189" s="2">
        <v>0.0</v>
      </c>
      <c r="L189" s="2">
        <v>0.0</v>
      </c>
      <c r="M189" s="37">
        <v>0.0</v>
      </c>
    </row>
    <row r="190" ht="14.25" customHeight="1">
      <c r="A190" t="s">
        <v>261</v>
      </c>
      <c r="B190" t="s">
        <v>260</v>
      </c>
      <c r="C190" t="s">
        <v>62</v>
      </c>
      <c r="D190" t="s">
        <v>63</v>
      </c>
      <c r="E190">
        <v>5.2</v>
      </c>
      <c r="F190">
        <v>5.2</v>
      </c>
      <c r="G190" s="2" t="s">
        <v>67</v>
      </c>
      <c r="H190" s="2">
        <v>15.0</v>
      </c>
      <c r="I190" s="2">
        <v>63.0</v>
      </c>
      <c r="J190" s="37">
        <v>418.80000000000007</v>
      </c>
      <c r="K190" s="2">
        <v>17.0</v>
      </c>
      <c r="L190" s="2">
        <v>111.0</v>
      </c>
      <c r="M190" s="37">
        <v>526.12</v>
      </c>
    </row>
    <row r="191" ht="14.25" customHeight="1">
      <c r="A191" t="s">
        <v>262</v>
      </c>
      <c r="B191" t="s">
        <v>260</v>
      </c>
      <c r="C191" t="s">
        <v>62</v>
      </c>
      <c r="D191" t="s">
        <v>63</v>
      </c>
      <c r="E191">
        <v>2.64</v>
      </c>
      <c r="F191">
        <v>4.05</v>
      </c>
      <c r="G191" s="2" t="s">
        <v>64</v>
      </c>
      <c r="H191" s="2">
        <v>0.0</v>
      </c>
      <c r="I191" s="2">
        <v>0.0</v>
      </c>
      <c r="J191" s="37">
        <v>0.0</v>
      </c>
      <c r="K191" s="2">
        <v>0.0</v>
      </c>
      <c r="L191" s="2">
        <v>0.0</v>
      </c>
      <c r="M191" s="37">
        <v>0.0</v>
      </c>
    </row>
    <row r="192" ht="14.25" customHeight="1">
      <c r="A192" t="s">
        <v>263</v>
      </c>
      <c r="B192" t="s">
        <v>260</v>
      </c>
      <c r="C192" t="s">
        <v>62</v>
      </c>
      <c r="D192" t="s">
        <v>63</v>
      </c>
      <c r="E192">
        <v>2.64</v>
      </c>
      <c r="F192">
        <v>2.9</v>
      </c>
      <c r="G192" s="2" t="s">
        <v>67</v>
      </c>
      <c r="H192" s="2">
        <v>7.0</v>
      </c>
      <c r="I192" s="2">
        <v>15.0</v>
      </c>
      <c r="J192" s="37">
        <v>176.72</v>
      </c>
      <c r="K192" s="2">
        <v>9.0</v>
      </c>
      <c r="L192" s="2">
        <v>36.0</v>
      </c>
      <c r="M192" s="37">
        <v>248.94000000000003</v>
      </c>
    </row>
    <row r="193" ht="14.25" customHeight="1">
      <c r="A193" t="s">
        <v>264</v>
      </c>
      <c r="B193" t="s">
        <v>260</v>
      </c>
      <c r="C193" t="s">
        <v>62</v>
      </c>
      <c r="D193" t="s">
        <v>63</v>
      </c>
      <c r="E193">
        <v>5.3</v>
      </c>
      <c r="F193">
        <v>5.3</v>
      </c>
      <c r="G193" s="2" t="s">
        <v>67</v>
      </c>
      <c r="H193" s="2">
        <v>15.0</v>
      </c>
      <c r="I193" s="2">
        <v>4.0</v>
      </c>
      <c r="J193" s="37">
        <v>342.1</v>
      </c>
      <c r="K193" s="2">
        <v>18.0</v>
      </c>
      <c r="L193" s="2">
        <v>53.0</v>
      </c>
      <c r="M193" s="37">
        <v>473.18000000000006</v>
      </c>
    </row>
    <row r="194" ht="14.25" customHeight="1">
      <c r="A194" t="s">
        <v>265</v>
      </c>
      <c r="B194" t="s">
        <v>260</v>
      </c>
      <c r="C194" t="s">
        <v>62</v>
      </c>
      <c r="D194" t="s">
        <v>63</v>
      </c>
      <c r="E194">
        <v>3.5</v>
      </c>
      <c r="F194">
        <v>4.0</v>
      </c>
      <c r="G194" s="2" t="s">
        <v>64</v>
      </c>
      <c r="H194" s="2">
        <v>0.0</v>
      </c>
      <c r="I194" s="2">
        <v>0.0</v>
      </c>
      <c r="J194" s="37">
        <v>0.0</v>
      </c>
      <c r="K194" s="2">
        <v>0.0</v>
      </c>
      <c r="L194" s="2">
        <v>0.0</v>
      </c>
      <c r="M194" s="37">
        <v>0.0</v>
      </c>
    </row>
    <row r="195" ht="14.25" customHeight="1">
      <c r="A195" t="s">
        <v>266</v>
      </c>
      <c r="B195" t="s">
        <v>267</v>
      </c>
      <c r="C195" t="s">
        <v>62</v>
      </c>
      <c r="D195" t="s">
        <v>268</v>
      </c>
      <c r="E195">
        <v>2.637</v>
      </c>
      <c r="F195">
        <v>2.14</v>
      </c>
      <c r="G195" s="2" t="s">
        <v>64</v>
      </c>
      <c r="H195" s="2">
        <v>0.0</v>
      </c>
      <c r="I195" s="2">
        <v>0.0</v>
      </c>
      <c r="J195" s="37">
        <v>0.0</v>
      </c>
      <c r="K195" s="2">
        <v>0.0</v>
      </c>
      <c r="L195" s="2">
        <v>0.0</v>
      </c>
      <c r="M195" s="37">
        <v>0.0</v>
      </c>
    </row>
    <row r="196" ht="14.25" customHeight="1">
      <c r="A196" t="s">
        <v>269</v>
      </c>
      <c r="B196" t="s">
        <v>267</v>
      </c>
      <c r="C196" t="s">
        <v>62</v>
      </c>
      <c r="D196" t="s">
        <v>268</v>
      </c>
      <c r="E196">
        <v>2.637</v>
      </c>
      <c r="F196">
        <v>2.14</v>
      </c>
      <c r="G196" s="2" t="s">
        <v>64</v>
      </c>
      <c r="H196" s="2">
        <v>0.0</v>
      </c>
      <c r="I196" s="2">
        <v>0.0</v>
      </c>
      <c r="J196" s="37">
        <v>0.0</v>
      </c>
      <c r="K196" s="2">
        <v>0.0</v>
      </c>
      <c r="L196" s="2">
        <v>0.0</v>
      </c>
      <c r="M196" s="37">
        <v>0.0</v>
      </c>
    </row>
    <row r="197" ht="14.25" customHeight="1">
      <c r="A197" t="s">
        <v>270</v>
      </c>
      <c r="B197" t="s">
        <v>267</v>
      </c>
      <c r="C197" t="s">
        <v>62</v>
      </c>
      <c r="D197" t="s">
        <v>268</v>
      </c>
      <c r="E197">
        <v>2.637</v>
      </c>
      <c r="F197">
        <v>2.14</v>
      </c>
      <c r="G197" s="2" t="s">
        <v>64</v>
      </c>
      <c r="H197" s="2">
        <v>0.0</v>
      </c>
      <c r="I197" s="2">
        <v>0.0</v>
      </c>
      <c r="J197" s="37">
        <v>0.0</v>
      </c>
      <c r="K197" s="2">
        <v>0.0</v>
      </c>
      <c r="L197" s="2">
        <v>0.0</v>
      </c>
      <c r="M197" s="37">
        <v>0.0</v>
      </c>
    </row>
    <row r="198" ht="14.25" customHeight="1">
      <c r="A198" t="s">
        <v>271</v>
      </c>
      <c r="B198" t="s">
        <v>267</v>
      </c>
      <c r="C198" t="s">
        <v>62</v>
      </c>
      <c r="D198" t="s">
        <v>268</v>
      </c>
      <c r="E198">
        <v>2.637</v>
      </c>
      <c r="F198">
        <v>2.14</v>
      </c>
      <c r="G198" s="2" t="s">
        <v>64</v>
      </c>
      <c r="H198" s="2">
        <v>0.0</v>
      </c>
      <c r="I198" s="2">
        <v>0.0</v>
      </c>
      <c r="J198" s="37">
        <v>0.0</v>
      </c>
      <c r="K198" s="2">
        <v>0.0</v>
      </c>
      <c r="L198" s="2">
        <v>0.0</v>
      </c>
      <c r="M198" s="37">
        <v>0.0</v>
      </c>
    </row>
    <row r="199" ht="14.25" customHeight="1">
      <c r="A199" t="s">
        <v>272</v>
      </c>
      <c r="B199" t="s">
        <v>267</v>
      </c>
      <c r="C199" t="s">
        <v>62</v>
      </c>
      <c r="D199" t="s">
        <v>268</v>
      </c>
      <c r="E199">
        <v>2.637</v>
      </c>
      <c r="F199">
        <v>2.14</v>
      </c>
      <c r="G199" s="2" t="s">
        <v>64</v>
      </c>
      <c r="H199" s="2">
        <v>0.0</v>
      </c>
      <c r="I199" s="2">
        <v>0.0</v>
      </c>
      <c r="J199" s="37">
        <v>0.0</v>
      </c>
      <c r="K199" s="2">
        <v>0.0</v>
      </c>
      <c r="L199" s="2">
        <v>0.0</v>
      </c>
      <c r="M199" s="37">
        <v>0.0</v>
      </c>
    </row>
    <row r="200" ht="14.25" customHeight="1">
      <c r="A200" t="s">
        <v>273</v>
      </c>
      <c r="B200" t="s">
        <v>267</v>
      </c>
      <c r="C200" t="s">
        <v>62</v>
      </c>
      <c r="D200" t="s">
        <v>268</v>
      </c>
      <c r="E200">
        <v>3.5</v>
      </c>
      <c r="F200">
        <v>2.83</v>
      </c>
      <c r="G200" s="2" t="s">
        <v>64</v>
      </c>
      <c r="H200" s="2">
        <v>0.0</v>
      </c>
      <c r="I200" s="2">
        <v>0.0</v>
      </c>
      <c r="J200" s="37">
        <v>0.0</v>
      </c>
      <c r="K200" s="2">
        <v>0.0</v>
      </c>
      <c r="L200" s="2">
        <v>0.0</v>
      </c>
      <c r="M200" s="37">
        <v>0.0</v>
      </c>
    </row>
    <row r="201" ht="14.25" customHeight="1">
      <c r="A201" t="s">
        <v>274</v>
      </c>
      <c r="B201" t="s">
        <v>267</v>
      </c>
      <c r="C201" t="s">
        <v>62</v>
      </c>
      <c r="D201" t="s">
        <v>268</v>
      </c>
      <c r="E201">
        <v>3.5</v>
      </c>
      <c r="F201">
        <v>2.83</v>
      </c>
      <c r="G201" s="2" t="s">
        <v>64</v>
      </c>
      <c r="H201" s="2">
        <v>0.0</v>
      </c>
      <c r="I201" s="2">
        <v>0.0</v>
      </c>
      <c r="J201" s="37">
        <v>0.0</v>
      </c>
      <c r="K201" s="2">
        <v>0.0</v>
      </c>
      <c r="L201" s="2">
        <v>0.0</v>
      </c>
      <c r="M201" s="37">
        <v>0.0</v>
      </c>
    </row>
    <row r="202" ht="14.25" customHeight="1">
      <c r="A202" t="s">
        <v>275</v>
      </c>
      <c r="B202" t="s">
        <v>267</v>
      </c>
      <c r="C202" t="s">
        <v>62</v>
      </c>
      <c r="D202" t="s">
        <v>268</v>
      </c>
      <c r="E202">
        <v>3.5</v>
      </c>
      <c r="F202">
        <v>2.83</v>
      </c>
      <c r="G202" s="2" t="s">
        <v>64</v>
      </c>
      <c r="H202" s="2">
        <v>0.0</v>
      </c>
      <c r="I202" s="2">
        <v>0.0</v>
      </c>
      <c r="J202" s="37">
        <v>0.0</v>
      </c>
      <c r="K202" s="2">
        <v>0.0</v>
      </c>
      <c r="L202" s="2">
        <v>0.0</v>
      </c>
      <c r="M202" s="37">
        <v>0.0</v>
      </c>
    </row>
    <row r="203" ht="14.25" customHeight="1">
      <c r="A203" t="s">
        <v>276</v>
      </c>
      <c r="B203" t="s">
        <v>267</v>
      </c>
      <c r="C203" t="s">
        <v>62</v>
      </c>
      <c r="D203" t="s">
        <v>268</v>
      </c>
      <c r="E203">
        <v>3.5</v>
      </c>
      <c r="F203">
        <v>2.83</v>
      </c>
      <c r="G203" s="2" t="s">
        <v>64</v>
      </c>
      <c r="H203" s="2">
        <v>0.0</v>
      </c>
      <c r="I203" s="2">
        <v>0.0</v>
      </c>
      <c r="J203" s="37">
        <v>0.0</v>
      </c>
      <c r="K203" s="2">
        <v>0.0</v>
      </c>
      <c r="L203" s="2">
        <v>0.0</v>
      </c>
      <c r="M203" s="37">
        <v>0.0</v>
      </c>
    </row>
    <row r="204" ht="14.25" customHeight="1">
      <c r="A204" t="s">
        <v>277</v>
      </c>
      <c r="B204" t="s">
        <v>267</v>
      </c>
      <c r="C204" t="s">
        <v>62</v>
      </c>
      <c r="D204" t="s">
        <v>268</v>
      </c>
      <c r="E204">
        <v>3.5</v>
      </c>
      <c r="F204">
        <v>2.83</v>
      </c>
      <c r="G204" s="2" t="s">
        <v>64</v>
      </c>
      <c r="H204" s="2">
        <v>0.0</v>
      </c>
      <c r="I204" s="2">
        <v>0.0</v>
      </c>
      <c r="J204" s="37">
        <v>0.0</v>
      </c>
      <c r="K204" s="2">
        <v>0.0</v>
      </c>
      <c r="L204" s="2">
        <v>0.0</v>
      </c>
      <c r="M204" s="37">
        <v>0.0</v>
      </c>
    </row>
    <row r="205" ht="14.25" customHeight="1">
      <c r="A205" t="s">
        <v>278</v>
      </c>
      <c r="B205" t="s">
        <v>267</v>
      </c>
      <c r="C205" t="s">
        <v>62</v>
      </c>
      <c r="D205" t="s">
        <v>268</v>
      </c>
      <c r="E205">
        <v>4.1</v>
      </c>
      <c r="F205">
        <v>3.25</v>
      </c>
      <c r="G205" s="2" t="s">
        <v>64</v>
      </c>
      <c r="H205" s="2">
        <v>0.0</v>
      </c>
      <c r="I205" s="2">
        <v>0.0</v>
      </c>
      <c r="J205" s="37">
        <v>0.0</v>
      </c>
      <c r="K205" s="2">
        <v>0.0</v>
      </c>
      <c r="L205" s="2">
        <v>0.0</v>
      </c>
      <c r="M205" s="37">
        <v>0.0</v>
      </c>
    </row>
    <row r="206" ht="14.25" customHeight="1">
      <c r="A206" t="s">
        <v>279</v>
      </c>
      <c r="B206" t="s">
        <v>267</v>
      </c>
      <c r="C206" t="s">
        <v>62</v>
      </c>
      <c r="D206" t="s">
        <v>268</v>
      </c>
      <c r="E206">
        <v>4.1</v>
      </c>
      <c r="F206">
        <v>3.25</v>
      </c>
      <c r="G206" s="2" t="s">
        <v>64</v>
      </c>
      <c r="H206" s="2">
        <v>0.0</v>
      </c>
      <c r="I206" s="2">
        <v>0.0</v>
      </c>
      <c r="J206" s="37">
        <v>0.0</v>
      </c>
      <c r="K206" s="2">
        <v>0.0</v>
      </c>
      <c r="L206" s="2">
        <v>0.0</v>
      </c>
      <c r="M206" s="37">
        <v>0.0</v>
      </c>
    </row>
    <row r="207" ht="14.25" customHeight="1">
      <c r="A207" t="s">
        <v>280</v>
      </c>
      <c r="B207" t="s">
        <v>267</v>
      </c>
      <c r="C207" t="s">
        <v>62</v>
      </c>
      <c r="D207" t="s">
        <v>268</v>
      </c>
      <c r="E207">
        <v>4.1</v>
      </c>
      <c r="F207">
        <v>3.25</v>
      </c>
      <c r="G207" s="2" t="s">
        <v>64</v>
      </c>
      <c r="H207" s="2">
        <v>0.0</v>
      </c>
      <c r="I207" s="2">
        <v>0.0</v>
      </c>
      <c r="J207" s="37">
        <v>0.0</v>
      </c>
      <c r="K207" s="2">
        <v>0.0</v>
      </c>
      <c r="L207" s="2">
        <v>0.0</v>
      </c>
      <c r="M207" s="37">
        <v>0.0</v>
      </c>
    </row>
    <row r="208" ht="14.25" customHeight="1">
      <c r="A208" t="s">
        <v>281</v>
      </c>
      <c r="B208" t="s">
        <v>267</v>
      </c>
      <c r="C208" t="s">
        <v>62</v>
      </c>
      <c r="D208" t="s">
        <v>268</v>
      </c>
      <c r="E208">
        <v>4.1</v>
      </c>
      <c r="F208">
        <v>3.25</v>
      </c>
      <c r="G208" s="2" t="s">
        <v>64</v>
      </c>
      <c r="H208" s="2">
        <v>0.0</v>
      </c>
      <c r="I208" s="2">
        <v>0.0</v>
      </c>
      <c r="J208" s="37">
        <v>0.0</v>
      </c>
      <c r="K208" s="2">
        <v>0.0</v>
      </c>
      <c r="L208" s="2">
        <v>0.0</v>
      </c>
      <c r="M208" s="37">
        <v>0.0</v>
      </c>
    </row>
    <row r="209" ht="14.25" customHeight="1">
      <c r="A209" t="s">
        <v>282</v>
      </c>
      <c r="B209" t="s">
        <v>267</v>
      </c>
      <c r="C209" t="s">
        <v>62</v>
      </c>
      <c r="D209" t="s">
        <v>268</v>
      </c>
      <c r="E209">
        <v>4.1</v>
      </c>
      <c r="F209">
        <v>3.25</v>
      </c>
      <c r="G209" s="2" t="s">
        <v>64</v>
      </c>
      <c r="H209" s="2">
        <v>0.0</v>
      </c>
      <c r="I209" s="2">
        <v>0.0</v>
      </c>
      <c r="J209" s="37">
        <v>0.0</v>
      </c>
      <c r="K209" s="2">
        <v>0.0</v>
      </c>
      <c r="L209" s="2">
        <v>0.0</v>
      </c>
      <c r="M209" s="37">
        <v>0.0</v>
      </c>
    </row>
    <row r="210" ht="14.25" customHeight="1">
      <c r="A210" t="s">
        <v>283</v>
      </c>
      <c r="B210" t="s">
        <v>284</v>
      </c>
      <c r="C210" t="s">
        <v>75</v>
      </c>
      <c r="D210" t="s">
        <v>82</v>
      </c>
      <c r="E210">
        <v>11.38</v>
      </c>
      <c r="F210">
        <v>11.74</v>
      </c>
      <c r="G210" s="2" t="s">
        <v>64</v>
      </c>
      <c r="H210" s="2">
        <v>0.0</v>
      </c>
      <c r="I210" s="2">
        <v>0.0</v>
      </c>
      <c r="J210" s="37">
        <v>0.0</v>
      </c>
      <c r="K210" s="2">
        <v>0.0</v>
      </c>
      <c r="L210" s="2">
        <v>0.0</v>
      </c>
      <c r="M210" s="37">
        <v>0.0</v>
      </c>
    </row>
    <row r="211" ht="14.25" customHeight="1">
      <c r="A211" t="s">
        <v>285</v>
      </c>
      <c r="B211" t="s">
        <v>284</v>
      </c>
      <c r="C211" t="s">
        <v>75</v>
      </c>
      <c r="D211" t="s">
        <v>82</v>
      </c>
      <c r="E211">
        <v>11.38</v>
      </c>
      <c r="F211">
        <v>11.74</v>
      </c>
      <c r="G211" s="2" t="s">
        <v>64</v>
      </c>
      <c r="H211" s="2">
        <v>0.0</v>
      </c>
      <c r="I211" s="2">
        <v>0.0</v>
      </c>
      <c r="J211" s="37">
        <v>0.0</v>
      </c>
      <c r="K211" s="2">
        <v>0.0</v>
      </c>
      <c r="L211" s="2">
        <v>0.0</v>
      </c>
      <c r="M211" s="37">
        <v>0.0</v>
      </c>
    </row>
    <row r="212" ht="14.25" customHeight="1">
      <c r="A212" t="s">
        <v>286</v>
      </c>
      <c r="B212" t="s">
        <v>284</v>
      </c>
      <c r="C212" t="s">
        <v>75</v>
      </c>
      <c r="D212" t="s">
        <v>82</v>
      </c>
      <c r="E212">
        <v>11.38</v>
      </c>
      <c r="F212">
        <v>11.74</v>
      </c>
      <c r="G212" s="2" t="s">
        <v>64</v>
      </c>
      <c r="H212" s="2">
        <v>0.0</v>
      </c>
      <c r="I212" s="2">
        <v>0.0</v>
      </c>
      <c r="J212" s="37">
        <v>0.0</v>
      </c>
      <c r="K212" s="2">
        <v>0.0</v>
      </c>
      <c r="L212" s="2">
        <v>0.0</v>
      </c>
      <c r="M212" s="37">
        <v>0.0</v>
      </c>
    </row>
    <row r="213" ht="14.25" customHeight="1">
      <c r="A213" t="s">
        <v>287</v>
      </c>
      <c r="B213" t="s">
        <v>284</v>
      </c>
      <c r="C213" t="s">
        <v>75</v>
      </c>
      <c r="D213" t="s">
        <v>82</v>
      </c>
      <c r="E213">
        <v>11.38</v>
      </c>
      <c r="F213">
        <v>11.74</v>
      </c>
      <c r="G213" s="2" t="s">
        <v>64</v>
      </c>
      <c r="H213" s="2">
        <v>0.0</v>
      </c>
      <c r="I213" s="2">
        <v>0.0</v>
      </c>
      <c r="J213" s="37">
        <v>0.0</v>
      </c>
      <c r="K213" s="2">
        <v>0.0</v>
      </c>
      <c r="L213" s="2">
        <v>0.0</v>
      </c>
      <c r="M213" s="37">
        <v>0.0</v>
      </c>
    </row>
    <row r="214" ht="14.25" customHeight="1">
      <c r="A214" t="s">
        <v>288</v>
      </c>
      <c r="B214" t="s">
        <v>284</v>
      </c>
      <c r="C214" t="s">
        <v>75</v>
      </c>
      <c r="D214" t="s">
        <v>82</v>
      </c>
      <c r="E214">
        <v>11.38</v>
      </c>
      <c r="F214">
        <v>11.74</v>
      </c>
      <c r="G214" s="2" t="s">
        <v>64</v>
      </c>
      <c r="H214" s="2">
        <v>0.0</v>
      </c>
      <c r="I214" s="2">
        <v>0.0</v>
      </c>
      <c r="J214" s="37">
        <v>0.0</v>
      </c>
      <c r="K214" s="2">
        <v>0.0</v>
      </c>
      <c r="L214" s="2">
        <v>0.0</v>
      </c>
      <c r="M214" s="37">
        <v>0.0</v>
      </c>
    </row>
    <row r="215" ht="14.25" customHeight="1">
      <c r="A215" t="s">
        <v>289</v>
      </c>
      <c r="B215" t="s">
        <v>284</v>
      </c>
      <c r="C215" t="s">
        <v>75</v>
      </c>
      <c r="D215" t="s">
        <v>82</v>
      </c>
      <c r="E215">
        <v>11.38</v>
      </c>
      <c r="F215">
        <v>11.74</v>
      </c>
      <c r="G215" s="2" t="s">
        <v>64</v>
      </c>
      <c r="H215" s="2">
        <v>0.0</v>
      </c>
      <c r="I215" s="2">
        <v>0.0</v>
      </c>
      <c r="J215" s="37">
        <v>0.0</v>
      </c>
      <c r="K215" s="2">
        <v>0.0</v>
      </c>
      <c r="L215" s="2">
        <v>0.0</v>
      </c>
      <c r="M215" s="37">
        <v>0.0</v>
      </c>
    </row>
    <row r="216" ht="14.25" customHeight="1">
      <c r="A216" t="s">
        <v>290</v>
      </c>
      <c r="B216" t="s">
        <v>284</v>
      </c>
      <c r="C216" t="s">
        <v>75</v>
      </c>
      <c r="D216" t="s">
        <v>82</v>
      </c>
      <c r="E216">
        <v>11.38</v>
      </c>
      <c r="F216">
        <v>11.74</v>
      </c>
      <c r="G216" s="2" t="s">
        <v>64</v>
      </c>
      <c r="H216" s="2">
        <v>0.0</v>
      </c>
      <c r="I216" s="2">
        <v>0.0</v>
      </c>
      <c r="J216" s="37">
        <v>0.0</v>
      </c>
      <c r="K216" s="2">
        <v>0.0</v>
      </c>
      <c r="L216" s="2">
        <v>0.0</v>
      </c>
      <c r="M216" s="37">
        <v>0.0</v>
      </c>
    </row>
    <row r="217" ht="14.25" customHeight="1">
      <c r="A217" t="s">
        <v>291</v>
      </c>
      <c r="B217" t="s">
        <v>284</v>
      </c>
      <c r="C217" t="s">
        <v>75</v>
      </c>
      <c r="D217" t="s">
        <v>63</v>
      </c>
      <c r="E217">
        <v>11.38</v>
      </c>
      <c r="F217">
        <v>11.74</v>
      </c>
      <c r="G217" s="2" t="s">
        <v>64</v>
      </c>
      <c r="H217" s="2">
        <v>0.0</v>
      </c>
      <c r="I217" s="2">
        <v>0.0</v>
      </c>
      <c r="J217" s="37">
        <v>0.0</v>
      </c>
      <c r="K217" s="2">
        <v>0.0</v>
      </c>
      <c r="L217" s="2">
        <v>0.0</v>
      </c>
      <c r="M217" s="37">
        <v>0.0</v>
      </c>
    </row>
    <row r="218" ht="14.25" customHeight="1">
      <c r="A218" t="s">
        <v>292</v>
      </c>
      <c r="B218" t="s">
        <v>284</v>
      </c>
      <c r="C218" t="s">
        <v>75</v>
      </c>
      <c r="D218" t="s">
        <v>63</v>
      </c>
      <c r="E218">
        <v>11.38</v>
      </c>
      <c r="F218">
        <v>11.74</v>
      </c>
      <c r="G218" s="2" t="s">
        <v>64</v>
      </c>
      <c r="H218" s="2">
        <v>0.0</v>
      </c>
      <c r="I218" s="2">
        <v>0.0</v>
      </c>
      <c r="J218" s="37">
        <v>0.0</v>
      </c>
      <c r="K218" s="2">
        <v>0.0</v>
      </c>
      <c r="L218" s="2">
        <v>0.0</v>
      </c>
      <c r="M218" s="37">
        <v>0.0</v>
      </c>
    </row>
    <row r="219" ht="14.25" customHeight="1">
      <c r="A219" t="s">
        <v>293</v>
      </c>
      <c r="B219" t="s">
        <v>284</v>
      </c>
      <c r="C219" t="s">
        <v>75</v>
      </c>
      <c r="D219" t="s">
        <v>63</v>
      </c>
      <c r="E219">
        <v>11.38</v>
      </c>
      <c r="F219">
        <v>11.74</v>
      </c>
      <c r="G219" s="2" t="s">
        <v>64</v>
      </c>
      <c r="H219" s="2">
        <v>0.0</v>
      </c>
      <c r="I219" s="2">
        <v>0.0</v>
      </c>
      <c r="J219" s="37">
        <v>0.0</v>
      </c>
      <c r="K219" s="2">
        <v>0.0</v>
      </c>
      <c r="L219" s="2">
        <v>0.0</v>
      </c>
      <c r="M219" s="37">
        <v>0.0</v>
      </c>
    </row>
    <row r="220" ht="14.25" customHeight="1">
      <c r="A220" t="s">
        <v>294</v>
      </c>
      <c r="B220" t="s">
        <v>284</v>
      </c>
      <c r="C220" t="s">
        <v>75</v>
      </c>
      <c r="D220" t="s">
        <v>63</v>
      </c>
      <c r="E220">
        <v>11.38</v>
      </c>
      <c r="F220">
        <v>11.74</v>
      </c>
      <c r="G220" s="2" t="s">
        <v>64</v>
      </c>
      <c r="H220" s="2">
        <v>0.0</v>
      </c>
      <c r="I220" s="2">
        <v>0.0</v>
      </c>
      <c r="J220" s="37">
        <v>0.0</v>
      </c>
      <c r="K220" s="2">
        <v>0.0</v>
      </c>
      <c r="L220" s="2">
        <v>0.0</v>
      </c>
      <c r="M220" s="37">
        <v>0.0</v>
      </c>
    </row>
    <row r="221" ht="14.25" customHeight="1">
      <c r="A221" t="s">
        <v>295</v>
      </c>
      <c r="B221" t="s">
        <v>284</v>
      </c>
      <c r="C221" t="s">
        <v>75</v>
      </c>
      <c r="D221" t="s">
        <v>82</v>
      </c>
      <c r="E221">
        <v>16.01</v>
      </c>
      <c r="F221">
        <v>14.22</v>
      </c>
      <c r="G221" s="2" t="s">
        <v>64</v>
      </c>
      <c r="H221" s="2">
        <v>0.0</v>
      </c>
      <c r="I221" s="2">
        <v>0.0</v>
      </c>
      <c r="J221" s="37">
        <v>0.0</v>
      </c>
      <c r="K221" s="2">
        <v>0.0</v>
      </c>
      <c r="L221" s="2">
        <v>0.0</v>
      </c>
      <c r="M221" s="37">
        <v>0.0</v>
      </c>
    </row>
    <row r="222" ht="14.25" customHeight="1">
      <c r="A222" t="s">
        <v>296</v>
      </c>
      <c r="B222" t="s">
        <v>284</v>
      </c>
      <c r="C222" t="s">
        <v>75</v>
      </c>
      <c r="D222" t="s">
        <v>82</v>
      </c>
      <c r="E222">
        <v>16.01</v>
      </c>
      <c r="F222">
        <v>14.22</v>
      </c>
      <c r="G222" s="2" t="s">
        <v>64</v>
      </c>
      <c r="H222" s="2">
        <v>0.0</v>
      </c>
      <c r="I222" s="2">
        <v>0.0</v>
      </c>
      <c r="J222" s="37">
        <v>0.0</v>
      </c>
      <c r="K222" s="2">
        <v>0.0</v>
      </c>
      <c r="L222" s="2">
        <v>0.0</v>
      </c>
      <c r="M222" s="37">
        <v>0.0</v>
      </c>
    </row>
    <row r="223" ht="14.25" customHeight="1">
      <c r="A223" t="s">
        <v>297</v>
      </c>
      <c r="B223" t="s">
        <v>284</v>
      </c>
      <c r="C223" t="s">
        <v>75</v>
      </c>
      <c r="D223" t="s">
        <v>82</v>
      </c>
      <c r="E223">
        <v>16.01</v>
      </c>
      <c r="F223">
        <v>14.22</v>
      </c>
      <c r="G223" s="2" t="s">
        <v>64</v>
      </c>
      <c r="H223" s="2">
        <v>0.0</v>
      </c>
      <c r="I223" s="2">
        <v>0.0</v>
      </c>
      <c r="J223" s="37">
        <v>0.0</v>
      </c>
      <c r="K223" s="2">
        <v>0.0</v>
      </c>
      <c r="L223" s="2">
        <v>0.0</v>
      </c>
      <c r="M223" s="37">
        <v>0.0</v>
      </c>
    </row>
    <row r="224" ht="14.25" customHeight="1">
      <c r="A224" t="s">
        <v>298</v>
      </c>
      <c r="B224" t="s">
        <v>284</v>
      </c>
      <c r="C224" t="s">
        <v>75</v>
      </c>
      <c r="D224" t="s">
        <v>82</v>
      </c>
      <c r="E224">
        <v>16.01</v>
      </c>
      <c r="F224">
        <v>14.22</v>
      </c>
      <c r="G224" s="2" t="s">
        <v>64</v>
      </c>
      <c r="H224" s="2">
        <v>0.0</v>
      </c>
      <c r="I224" s="2">
        <v>0.0</v>
      </c>
      <c r="J224" s="37">
        <v>0.0</v>
      </c>
      <c r="K224" s="2">
        <v>0.0</v>
      </c>
      <c r="L224" s="2">
        <v>0.0</v>
      </c>
      <c r="M224" s="37">
        <v>0.0</v>
      </c>
    </row>
    <row r="225" ht="14.25" customHeight="1">
      <c r="A225" t="s">
        <v>299</v>
      </c>
      <c r="B225" t="s">
        <v>284</v>
      </c>
      <c r="C225" t="s">
        <v>75</v>
      </c>
      <c r="D225" t="s">
        <v>82</v>
      </c>
      <c r="E225">
        <v>16.01</v>
      </c>
      <c r="F225">
        <v>14.22</v>
      </c>
      <c r="G225" s="2" t="s">
        <v>64</v>
      </c>
      <c r="H225" s="2">
        <v>0.0</v>
      </c>
      <c r="I225" s="2">
        <v>0.0</v>
      </c>
      <c r="J225" s="37">
        <v>0.0</v>
      </c>
      <c r="K225" s="2">
        <v>0.0</v>
      </c>
      <c r="L225" s="2">
        <v>0.0</v>
      </c>
      <c r="M225" s="37">
        <v>0.0</v>
      </c>
    </row>
    <row r="226" ht="14.25" customHeight="1">
      <c r="A226" t="s">
        <v>300</v>
      </c>
      <c r="B226" t="s">
        <v>284</v>
      </c>
      <c r="C226" t="s">
        <v>75</v>
      </c>
      <c r="D226" t="s">
        <v>82</v>
      </c>
      <c r="E226">
        <v>16.01</v>
      </c>
      <c r="F226">
        <v>14.22</v>
      </c>
      <c r="G226" s="2" t="s">
        <v>64</v>
      </c>
      <c r="H226" s="2">
        <v>0.0</v>
      </c>
      <c r="I226" s="2">
        <v>0.0</v>
      </c>
      <c r="J226" s="37">
        <v>0.0</v>
      </c>
      <c r="K226" s="2">
        <v>0.0</v>
      </c>
      <c r="L226" s="2">
        <v>0.0</v>
      </c>
      <c r="M226" s="37">
        <v>0.0</v>
      </c>
    </row>
    <row r="227" ht="14.25" customHeight="1">
      <c r="A227" t="s">
        <v>301</v>
      </c>
      <c r="B227" t="s">
        <v>284</v>
      </c>
      <c r="C227" t="s">
        <v>75</v>
      </c>
      <c r="D227" t="s">
        <v>82</v>
      </c>
      <c r="E227">
        <v>16.01</v>
      </c>
      <c r="F227">
        <v>14.22</v>
      </c>
      <c r="G227" s="2" t="s">
        <v>64</v>
      </c>
      <c r="H227" s="2">
        <v>0.0</v>
      </c>
      <c r="I227" s="2">
        <v>0.0</v>
      </c>
      <c r="J227" s="37">
        <v>0.0</v>
      </c>
      <c r="K227" s="2">
        <v>0.0</v>
      </c>
      <c r="L227" s="2">
        <v>0.0</v>
      </c>
      <c r="M227" s="37">
        <v>0.0</v>
      </c>
    </row>
    <row r="228" ht="14.25" customHeight="1">
      <c r="A228" t="s">
        <v>302</v>
      </c>
      <c r="B228" t="s">
        <v>284</v>
      </c>
      <c r="C228" t="s">
        <v>75</v>
      </c>
      <c r="D228" t="s">
        <v>63</v>
      </c>
      <c r="E228">
        <v>16.01</v>
      </c>
      <c r="F228">
        <v>14.22</v>
      </c>
      <c r="G228" s="2" t="s">
        <v>64</v>
      </c>
      <c r="H228" s="2">
        <v>0.0</v>
      </c>
      <c r="I228" s="2">
        <v>0.0</v>
      </c>
      <c r="J228" s="37">
        <v>0.0</v>
      </c>
      <c r="K228" s="2">
        <v>0.0</v>
      </c>
      <c r="L228" s="2">
        <v>0.0</v>
      </c>
      <c r="M228" s="37">
        <v>0.0</v>
      </c>
    </row>
    <row r="229" ht="14.25" customHeight="1">
      <c r="A229" t="s">
        <v>303</v>
      </c>
      <c r="B229" t="s">
        <v>284</v>
      </c>
      <c r="C229" t="s">
        <v>75</v>
      </c>
      <c r="D229" t="s">
        <v>63</v>
      </c>
      <c r="E229">
        <v>16.01</v>
      </c>
      <c r="F229">
        <v>14.22</v>
      </c>
      <c r="G229" s="2" t="s">
        <v>64</v>
      </c>
      <c r="H229" s="2">
        <v>0.0</v>
      </c>
      <c r="I229" s="2">
        <v>0.0</v>
      </c>
      <c r="J229" s="37">
        <v>0.0</v>
      </c>
      <c r="K229" s="2">
        <v>0.0</v>
      </c>
      <c r="L229" s="2">
        <v>0.0</v>
      </c>
      <c r="M229" s="37">
        <v>0.0</v>
      </c>
    </row>
    <row r="230" ht="14.25" customHeight="1">
      <c r="A230" t="s">
        <v>304</v>
      </c>
      <c r="B230" t="s">
        <v>284</v>
      </c>
      <c r="C230" t="s">
        <v>75</v>
      </c>
      <c r="D230" t="s">
        <v>63</v>
      </c>
      <c r="E230">
        <v>16.01</v>
      </c>
      <c r="F230">
        <v>14.22</v>
      </c>
      <c r="G230" s="2" t="s">
        <v>64</v>
      </c>
      <c r="H230" s="2">
        <v>0.0</v>
      </c>
      <c r="I230" s="2">
        <v>0.0</v>
      </c>
      <c r="J230" s="37">
        <v>0.0</v>
      </c>
      <c r="K230" s="2">
        <v>0.0</v>
      </c>
      <c r="L230" s="2">
        <v>0.0</v>
      </c>
      <c r="M230" s="37">
        <v>0.0</v>
      </c>
    </row>
    <row r="231" ht="14.25" customHeight="1">
      <c r="A231" t="s">
        <v>305</v>
      </c>
      <c r="B231" t="s">
        <v>284</v>
      </c>
      <c r="C231" t="s">
        <v>75</v>
      </c>
      <c r="D231" t="s">
        <v>63</v>
      </c>
      <c r="E231">
        <v>16.01</v>
      </c>
      <c r="F231">
        <v>14.22</v>
      </c>
      <c r="G231" s="2" t="s">
        <v>64</v>
      </c>
      <c r="H231" s="2">
        <v>0.0</v>
      </c>
      <c r="I231" s="2">
        <v>0.0</v>
      </c>
      <c r="J231" s="37">
        <v>0.0</v>
      </c>
      <c r="K231" s="2">
        <v>0.0</v>
      </c>
      <c r="L231" s="2">
        <v>0.0</v>
      </c>
      <c r="M231" s="37">
        <v>0.0</v>
      </c>
    </row>
    <row r="232" ht="14.25" customHeight="1">
      <c r="A232" t="s">
        <v>306</v>
      </c>
      <c r="B232" t="s">
        <v>284</v>
      </c>
      <c r="C232" t="s">
        <v>75</v>
      </c>
      <c r="D232" t="s">
        <v>82</v>
      </c>
      <c r="E232">
        <v>18.74</v>
      </c>
      <c r="F232">
        <v>16.06</v>
      </c>
      <c r="G232" s="2" t="s">
        <v>64</v>
      </c>
      <c r="H232" s="2">
        <v>0.0</v>
      </c>
      <c r="I232" s="2">
        <v>0.0</v>
      </c>
      <c r="J232" s="37">
        <v>0.0</v>
      </c>
      <c r="K232" s="2">
        <v>0.0</v>
      </c>
      <c r="L232" s="2">
        <v>0.0</v>
      </c>
      <c r="M232" s="37">
        <v>0.0</v>
      </c>
    </row>
    <row r="233" ht="14.25" customHeight="1">
      <c r="A233" t="s">
        <v>307</v>
      </c>
      <c r="B233" t="s">
        <v>284</v>
      </c>
      <c r="C233" t="s">
        <v>75</v>
      </c>
      <c r="D233" t="s">
        <v>82</v>
      </c>
      <c r="E233">
        <v>18.74</v>
      </c>
      <c r="F233">
        <v>16.06</v>
      </c>
      <c r="G233" s="2" t="s">
        <v>64</v>
      </c>
      <c r="H233" s="2">
        <v>0.0</v>
      </c>
      <c r="I233" s="2">
        <v>0.0</v>
      </c>
      <c r="J233" s="37">
        <v>0.0</v>
      </c>
      <c r="K233" s="2">
        <v>0.0</v>
      </c>
      <c r="L233" s="2">
        <v>0.0</v>
      </c>
      <c r="M233" s="37">
        <v>0.0</v>
      </c>
    </row>
    <row r="234" ht="14.25" customHeight="1">
      <c r="A234" t="s">
        <v>308</v>
      </c>
      <c r="B234" t="s">
        <v>284</v>
      </c>
      <c r="C234" t="s">
        <v>75</v>
      </c>
      <c r="D234" t="s">
        <v>82</v>
      </c>
      <c r="E234">
        <v>18.74</v>
      </c>
      <c r="F234">
        <v>16.06</v>
      </c>
      <c r="G234" s="2" t="s">
        <v>64</v>
      </c>
      <c r="H234" s="2">
        <v>0.0</v>
      </c>
      <c r="I234" s="2">
        <v>0.0</v>
      </c>
      <c r="J234" s="37">
        <v>0.0</v>
      </c>
      <c r="K234" s="2">
        <v>0.0</v>
      </c>
      <c r="L234" s="2">
        <v>0.0</v>
      </c>
      <c r="M234" s="37">
        <v>0.0</v>
      </c>
    </row>
    <row r="235" ht="14.25" customHeight="1">
      <c r="A235" t="s">
        <v>309</v>
      </c>
      <c r="B235" t="s">
        <v>284</v>
      </c>
      <c r="C235" t="s">
        <v>75</v>
      </c>
      <c r="D235" t="s">
        <v>82</v>
      </c>
      <c r="E235">
        <v>18.74</v>
      </c>
      <c r="F235">
        <v>16.06</v>
      </c>
      <c r="G235" s="2" t="s">
        <v>64</v>
      </c>
      <c r="H235" s="2">
        <v>0.0</v>
      </c>
      <c r="I235" s="2">
        <v>0.0</v>
      </c>
      <c r="J235" s="37">
        <v>0.0</v>
      </c>
      <c r="K235" s="2">
        <v>0.0</v>
      </c>
      <c r="L235" s="2">
        <v>0.0</v>
      </c>
      <c r="M235" s="37">
        <v>0.0</v>
      </c>
    </row>
    <row r="236" ht="14.25" customHeight="1">
      <c r="A236" t="s">
        <v>310</v>
      </c>
      <c r="B236" t="s">
        <v>284</v>
      </c>
      <c r="C236" t="s">
        <v>75</v>
      </c>
      <c r="D236" t="s">
        <v>82</v>
      </c>
      <c r="E236">
        <v>18.74</v>
      </c>
      <c r="F236">
        <v>16.06</v>
      </c>
      <c r="G236" s="2" t="s">
        <v>64</v>
      </c>
      <c r="H236" s="2">
        <v>0.0</v>
      </c>
      <c r="I236" s="2">
        <v>0.0</v>
      </c>
      <c r="J236" s="37">
        <v>0.0</v>
      </c>
      <c r="K236" s="2">
        <v>0.0</v>
      </c>
      <c r="L236" s="2">
        <v>0.0</v>
      </c>
      <c r="M236" s="37">
        <v>0.0</v>
      </c>
    </row>
    <row r="237" ht="14.25" customHeight="1">
      <c r="A237" t="s">
        <v>311</v>
      </c>
      <c r="B237" t="s">
        <v>284</v>
      </c>
      <c r="C237" t="s">
        <v>75</v>
      </c>
      <c r="D237" t="s">
        <v>82</v>
      </c>
      <c r="E237">
        <v>18.74</v>
      </c>
      <c r="F237">
        <v>16.06</v>
      </c>
      <c r="G237" s="2" t="s">
        <v>64</v>
      </c>
      <c r="H237" s="2">
        <v>0.0</v>
      </c>
      <c r="I237" s="2">
        <v>0.0</v>
      </c>
      <c r="J237" s="37">
        <v>0.0</v>
      </c>
      <c r="K237" s="2">
        <v>0.0</v>
      </c>
      <c r="L237" s="2">
        <v>0.0</v>
      </c>
      <c r="M237" s="37">
        <v>0.0</v>
      </c>
    </row>
    <row r="238" ht="14.25" customHeight="1">
      <c r="A238" t="s">
        <v>312</v>
      </c>
      <c r="B238" t="s">
        <v>284</v>
      </c>
      <c r="C238" t="s">
        <v>75</v>
      </c>
      <c r="D238" t="s">
        <v>82</v>
      </c>
      <c r="E238">
        <v>18.74</v>
      </c>
      <c r="F238">
        <v>16.06</v>
      </c>
      <c r="G238" s="2" t="s">
        <v>64</v>
      </c>
      <c r="H238" s="2">
        <v>0.0</v>
      </c>
      <c r="I238" s="2">
        <v>0.0</v>
      </c>
      <c r="J238" s="37">
        <v>0.0</v>
      </c>
      <c r="K238" s="2">
        <v>0.0</v>
      </c>
      <c r="L238" s="2">
        <v>0.0</v>
      </c>
      <c r="M238" s="37">
        <v>0.0</v>
      </c>
    </row>
    <row r="239" ht="14.25" customHeight="1">
      <c r="A239" t="s">
        <v>312</v>
      </c>
      <c r="B239" t="s">
        <v>284</v>
      </c>
      <c r="C239" t="s">
        <v>75</v>
      </c>
      <c r="D239" t="s">
        <v>82</v>
      </c>
      <c r="E239">
        <v>18.74</v>
      </c>
      <c r="F239">
        <v>16.06</v>
      </c>
      <c r="G239" s="2" t="s">
        <v>64</v>
      </c>
      <c r="H239" s="2">
        <v>0.0</v>
      </c>
      <c r="I239" s="2">
        <v>0.0</v>
      </c>
      <c r="J239" s="37">
        <v>0.0</v>
      </c>
      <c r="K239" s="2">
        <v>0.0</v>
      </c>
      <c r="L239" s="2">
        <v>0.0</v>
      </c>
      <c r="M239" s="37">
        <v>0.0</v>
      </c>
    </row>
    <row r="240" ht="14.25" customHeight="1">
      <c r="A240" t="s">
        <v>313</v>
      </c>
      <c r="B240" t="s">
        <v>284</v>
      </c>
      <c r="C240" t="s">
        <v>75</v>
      </c>
      <c r="D240" t="s">
        <v>63</v>
      </c>
      <c r="E240">
        <v>18.74</v>
      </c>
      <c r="F240">
        <v>16.06</v>
      </c>
      <c r="G240" s="2" t="s">
        <v>64</v>
      </c>
      <c r="H240" s="2">
        <v>0.0</v>
      </c>
      <c r="I240" s="2">
        <v>0.0</v>
      </c>
      <c r="J240" s="37">
        <v>0.0</v>
      </c>
      <c r="K240" s="2">
        <v>0.0</v>
      </c>
      <c r="L240" s="2">
        <v>0.0</v>
      </c>
      <c r="M240" s="37">
        <v>0.0</v>
      </c>
    </row>
    <row r="241" ht="14.25" customHeight="1">
      <c r="A241" t="s">
        <v>314</v>
      </c>
      <c r="B241" t="s">
        <v>284</v>
      </c>
      <c r="C241" t="s">
        <v>75</v>
      </c>
      <c r="D241" t="s">
        <v>63</v>
      </c>
      <c r="E241">
        <v>18.74</v>
      </c>
      <c r="F241">
        <v>16.06</v>
      </c>
      <c r="G241" s="2" t="s">
        <v>64</v>
      </c>
      <c r="H241" s="2">
        <v>0.0</v>
      </c>
      <c r="I241" s="2">
        <v>0.0</v>
      </c>
      <c r="J241" s="37">
        <v>0.0</v>
      </c>
      <c r="K241" s="2">
        <v>0.0</v>
      </c>
      <c r="L241" s="2">
        <v>0.0</v>
      </c>
      <c r="M241" s="37">
        <v>0.0</v>
      </c>
    </row>
    <row r="242" ht="14.25" customHeight="1">
      <c r="A242" t="s">
        <v>315</v>
      </c>
      <c r="B242" t="s">
        <v>284</v>
      </c>
      <c r="C242" t="s">
        <v>75</v>
      </c>
      <c r="D242" t="s">
        <v>63</v>
      </c>
      <c r="E242">
        <v>18.74</v>
      </c>
      <c r="F242">
        <v>16.06</v>
      </c>
      <c r="G242" s="2" t="s">
        <v>64</v>
      </c>
      <c r="H242" s="2">
        <v>0.0</v>
      </c>
      <c r="I242" s="2">
        <v>0.0</v>
      </c>
      <c r="J242" s="37">
        <v>0.0</v>
      </c>
      <c r="K242" s="2">
        <v>0.0</v>
      </c>
      <c r="L242" s="2">
        <v>0.0</v>
      </c>
      <c r="M242" s="37">
        <v>0.0</v>
      </c>
    </row>
    <row r="243" ht="14.25" customHeight="1">
      <c r="A243" t="s">
        <v>316</v>
      </c>
      <c r="B243" t="s">
        <v>284</v>
      </c>
      <c r="C243" t="s">
        <v>75</v>
      </c>
      <c r="D243" t="s">
        <v>63</v>
      </c>
      <c r="E243">
        <v>18.74</v>
      </c>
      <c r="F243">
        <v>16.06</v>
      </c>
      <c r="G243" s="2" t="s">
        <v>64</v>
      </c>
      <c r="H243" s="2">
        <v>0.0</v>
      </c>
      <c r="I243" s="2">
        <v>0.0</v>
      </c>
      <c r="J243" s="37">
        <v>0.0</v>
      </c>
      <c r="K243" s="2">
        <v>0.0</v>
      </c>
      <c r="L243" s="2">
        <v>0.0</v>
      </c>
      <c r="M243" s="37">
        <v>0.0</v>
      </c>
    </row>
    <row r="244" ht="14.25" customHeight="1">
      <c r="A244" t="s">
        <v>317</v>
      </c>
      <c r="B244" t="s">
        <v>284</v>
      </c>
      <c r="C244" t="s">
        <v>75</v>
      </c>
      <c r="D244" t="s">
        <v>82</v>
      </c>
      <c r="E244">
        <v>16.01</v>
      </c>
      <c r="F244">
        <v>14.22</v>
      </c>
      <c r="G244" s="2" t="s">
        <v>64</v>
      </c>
      <c r="H244" s="2">
        <v>0.0</v>
      </c>
      <c r="I244" s="2">
        <v>0.0</v>
      </c>
      <c r="J244" s="37">
        <v>0.0</v>
      </c>
      <c r="K244" s="2">
        <v>0.0</v>
      </c>
      <c r="L244" s="2">
        <v>0.0</v>
      </c>
      <c r="M244" s="37">
        <v>0.0</v>
      </c>
    </row>
    <row r="245" ht="14.25" customHeight="1">
      <c r="A245" t="s">
        <v>318</v>
      </c>
      <c r="B245" t="s">
        <v>284</v>
      </c>
      <c r="C245" t="s">
        <v>75</v>
      </c>
      <c r="D245" t="s">
        <v>82</v>
      </c>
      <c r="E245">
        <v>16.01</v>
      </c>
      <c r="F245">
        <v>14.22</v>
      </c>
      <c r="G245" s="2" t="s">
        <v>64</v>
      </c>
      <c r="H245" s="2">
        <v>0.0</v>
      </c>
      <c r="I245" s="2">
        <v>0.0</v>
      </c>
      <c r="J245" s="37">
        <v>0.0</v>
      </c>
      <c r="K245" s="2">
        <v>0.0</v>
      </c>
      <c r="L245" s="2">
        <v>0.0</v>
      </c>
      <c r="M245" s="37">
        <v>0.0</v>
      </c>
    </row>
    <row r="246" ht="14.25" customHeight="1">
      <c r="A246" t="s">
        <v>319</v>
      </c>
      <c r="B246" t="s">
        <v>284</v>
      </c>
      <c r="C246" t="s">
        <v>75</v>
      </c>
      <c r="D246" t="s">
        <v>82</v>
      </c>
      <c r="E246">
        <v>16.01</v>
      </c>
      <c r="F246">
        <v>14.22</v>
      </c>
      <c r="G246" s="2" t="s">
        <v>64</v>
      </c>
      <c r="H246" s="2">
        <v>0.0</v>
      </c>
      <c r="I246" s="2">
        <v>0.0</v>
      </c>
      <c r="J246" s="37">
        <v>0.0</v>
      </c>
      <c r="K246" s="2">
        <v>0.0</v>
      </c>
      <c r="L246" s="2">
        <v>0.0</v>
      </c>
      <c r="M246" s="37">
        <v>0.0</v>
      </c>
    </row>
    <row r="247" ht="14.25" customHeight="1">
      <c r="A247" t="s">
        <v>320</v>
      </c>
      <c r="B247" t="s">
        <v>284</v>
      </c>
      <c r="C247" t="s">
        <v>75</v>
      </c>
      <c r="D247" t="s">
        <v>82</v>
      </c>
      <c r="E247">
        <v>16.01</v>
      </c>
      <c r="F247">
        <v>14.22</v>
      </c>
      <c r="G247" s="2" t="s">
        <v>64</v>
      </c>
      <c r="H247" s="2">
        <v>0.0</v>
      </c>
      <c r="I247" s="2">
        <v>0.0</v>
      </c>
      <c r="J247" s="37">
        <v>0.0</v>
      </c>
      <c r="K247" s="2">
        <v>0.0</v>
      </c>
      <c r="L247" s="2">
        <v>0.0</v>
      </c>
      <c r="M247" s="37">
        <v>0.0</v>
      </c>
    </row>
    <row r="248" ht="14.25" customHeight="1">
      <c r="A248" t="s">
        <v>321</v>
      </c>
      <c r="B248" t="s">
        <v>284</v>
      </c>
      <c r="C248" t="s">
        <v>75</v>
      </c>
      <c r="D248" t="s">
        <v>82</v>
      </c>
      <c r="E248">
        <v>16.01</v>
      </c>
      <c r="F248">
        <v>14.22</v>
      </c>
      <c r="G248" s="2" t="s">
        <v>64</v>
      </c>
      <c r="H248" s="2">
        <v>0.0</v>
      </c>
      <c r="I248" s="2">
        <v>0.0</v>
      </c>
      <c r="J248" s="37">
        <v>0.0</v>
      </c>
      <c r="K248" s="2">
        <v>0.0</v>
      </c>
      <c r="L248" s="2">
        <v>0.0</v>
      </c>
      <c r="M248" s="37">
        <v>0.0</v>
      </c>
    </row>
    <row r="249" ht="14.25" customHeight="1">
      <c r="A249" t="s">
        <v>322</v>
      </c>
      <c r="B249" t="s">
        <v>284</v>
      </c>
      <c r="C249" t="s">
        <v>75</v>
      </c>
      <c r="D249" t="s">
        <v>82</v>
      </c>
      <c r="E249">
        <v>16.01</v>
      </c>
      <c r="F249">
        <v>14.22</v>
      </c>
      <c r="G249" s="2" t="s">
        <v>64</v>
      </c>
      <c r="H249" s="2">
        <v>0.0</v>
      </c>
      <c r="I249" s="2">
        <v>0.0</v>
      </c>
      <c r="J249" s="37">
        <v>0.0</v>
      </c>
      <c r="K249" s="2">
        <v>0.0</v>
      </c>
      <c r="L249" s="2">
        <v>0.0</v>
      </c>
      <c r="M249" s="37">
        <v>0.0</v>
      </c>
    </row>
    <row r="250" ht="14.25" customHeight="1">
      <c r="A250" t="s">
        <v>323</v>
      </c>
      <c r="B250" t="s">
        <v>284</v>
      </c>
      <c r="C250" t="s">
        <v>75</v>
      </c>
      <c r="D250" t="s">
        <v>82</v>
      </c>
      <c r="E250">
        <v>16.01</v>
      </c>
      <c r="F250">
        <v>14.22</v>
      </c>
      <c r="G250" s="2" t="s">
        <v>64</v>
      </c>
      <c r="H250" s="2">
        <v>0.0</v>
      </c>
      <c r="I250" s="2">
        <v>0.0</v>
      </c>
      <c r="J250" s="37">
        <v>0.0</v>
      </c>
      <c r="K250" s="2">
        <v>0.0</v>
      </c>
      <c r="L250" s="2">
        <v>0.0</v>
      </c>
      <c r="M250" s="37">
        <v>0.0</v>
      </c>
    </row>
    <row r="251" ht="14.25" customHeight="1">
      <c r="A251" t="s">
        <v>324</v>
      </c>
      <c r="B251" t="s">
        <v>284</v>
      </c>
      <c r="C251" t="s">
        <v>75</v>
      </c>
      <c r="D251" t="s">
        <v>82</v>
      </c>
      <c r="E251">
        <v>16.01</v>
      </c>
      <c r="F251">
        <v>14.22</v>
      </c>
      <c r="G251" s="2" t="s">
        <v>64</v>
      </c>
      <c r="H251" s="2">
        <v>0.0</v>
      </c>
      <c r="I251" s="2">
        <v>0.0</v>
      </c>
      <c r="J251" s="37">
        <v>0.0</v>
      </c>
      <c r="K251" s="2">
        <v>0.0</v>
      </c>
      <c r="L251" s="2">
        <v>0.0</v>
      </c>
      <c r="M251" s="37">
        <v>0.0</v>
      </c>
    </row>
    <row r="252" ht="14.25" customHeight="1">
      <c r="A252" t="s">
        <v>325</v>
      </c>
      <c r="B252" t="s">
        <v>284</v>
      </c>
      <c r="C252" t="s">
        <v>75</v>
      </c>
      <c r="D252" t="s">
        <v>82</v>
      </c>
      <c r="E252">
        <v>16.01</v>
      </c>
      <c r="F252">
        <v>14.22</v>
      </c>
      <c r="G252" s="2" t="s">
        <v>64</v>
      </c>
      <c r="H252" s="2">
        <v>0.0</v>
      </c>
      <c r="I252" s="2">
        <v>0.0</v>
      </c>
      <c r="J252" s="37">
        <v>0.0</v>
      </c>
      <c r="K252" s="2">
        <v>0.0</v>
      </c>
      <c r="L252" s="2">
        <v>0.0</v>
      </c>
      <c r="M252" s="37">
        <v>0.0</v>
      </c>
    </row>
    <row r="253" ht="14.25" customHeight="1">
      <c r="A253" t="s">
        <v>326</v>
      </c>
      <c r="B253" t="s">
        <v>284</v>
      </c>
      <c r="C253" t="s">
        <v>75</v>
      </c>
      <c r="D253" t="s">
        <v>82</v>
      </c>
      <c r="E253">
        <v>16.01</v>
      </c>
      <c r="F253">
        <v>14.22</v>
      </c>
      <c r="G253" s="2" t="s">
        <v>64</v>
      </c>
      <c r="H253" s="2">
        <v>0.0</v>
      </c>
      <c r="I253" s="2">
        <v>0.0</v>
      </c>
      <c r="J253" s="37">
        <v>0.0</v>
      </c>
      <c r="K253" s="2">
        <v>0.0</v>
      </c>
      <c r="L253" s="2">
        <v>0.0</v>
      </c>
      <c r="M253" s="37">
        <v>0.0</v>
      </c>
    </row>
    <row r="254" ht="14.25" customHeight="1">
      <c r="A254" t="s">
        <v>327</v>
      </c>
      <c r="B254" t="s">
        <v>284</v>
      </c>
      <c r="C254" t="s">
        <v>75</v>
      </c>
      <c r="D254" t="s">
        <v>82</v>
      </c>
      <c r="E254">
        <v>22.45</v>
      </c>
      <c r="F254">
        <v>18.89</v>
      </c>
      <c r="G254" s="2" t="s">
        <v>64</v>
      </c>
      <c r="H254" s="2">
        <v>0.0</v>
      </c>
      <c r="I254" s="2">
        <v>0.0</v>
      </c>
      <c r="J254" s="37">
        <v>0.0</v>
      </c>
      <c r="K254" s="2">
        <v>0.0</v>
      </c>
      <c r="L254" s="2">
        <v>0.0</v>
      </c>
      <c r="M254" s="37">
        <v>0.0</v>
      </c>
    </row>
    <row r="255" ht="14.25" customHeight="1">
      <c r="A255" t="s">
        <v>328</v>
      </c>
      <c r="B255" t="s">
        <v>284</v>
      </c>
      <c r="C255" t="s">
        <v>75</v>
      </c>
      <c r="D255" t="s">
        <v>82</v>
      </c>
      <c r="E255">
        <v>22.45</v>
      </c>
      <c r="F255">
        <v>18.89</v>
      </c>
      <c r="G255" s="2" t="s">
        <v>64</v>
      </c>
      <c r="H255" s="2">
        <v>0.0</v>
      </c>
      <c r="I255" s="2">
        <v>0.0</v>
      </c>
      <c r="J255" s="37">
        <v>0.0</v>
      </c>
      <c r="K255" s="2">
        <v>0.0</v>
      </c>
      <c r="L255" s="2">
        <v>0.0</v>
      </c>
      <c r="M255" s="37">
        <v>0.0</v>
      </c>
    </row>
    <row r="256" ht="14.25" customHeight="1">
      <c r="A256" t="s">
        <v>329</v>
      </c>
      <c r="B256" t="s">
        <v>284</v>
      </c>
      <c r="C256" t="s">
        <v>75</v>
      </c>
      <c r="D256" t="s">
        <v>82</v>
      </c>
      <c r="E256">
        <v>22.45</v>
      </c>
      <c r="F256">
        <v>18.89</v>
      </c>
      <c r="G256" s="2" t="s">
        <v>64</v>
      </c>
      <c r="H256" s="2">
        <v>0.0</v>
      </c>
      <c r="I256" s="2">
        <v>0.0</v>
      </c>
      <c r="J256" s="37">
        <v>0.0</v>
      </c>
      <c r="K256" s="2">
        <v>0.0</v>
      </c>
      <c r="L256" s="2">
        <v>0.0</v>
      </c>
      <c r="M256" s="37">
        <v>0.0</v>
      </c>
    </row>
    <row r="257" ht="14.25" customHeight="1">
      <c r="A257" t="s">
        <v>330</v>
      </c>
      <c r="B257" t="s">
        <v>284</v>
      </c>
      <c r="C257" t="s">
        <v>75</v>
      </c>
      <c r="D257" t="s">
        <v>82</v>
      </c>
      <c r="E257">
        <v>22.45</v>
      </c>
      <c r="F257">
        <v>18.89</v>
      </c>
      <c r="G257" s="2" t="s">
        <v>64</v>
      </c>
      <c r="H257" s="2">
        <v>0.0</v>
      </c>
      <c r="I257" s="2">
        <v>0.0</v>
      </c>
      <c r="J257" s="37">
        <v>0.0</v>
      </c>
      <c r="K257" s="2">
        <v>0.0</v>
      </c>
      <c r="L257" s="2">
        <v>0.0</v>
      </c>
      <c r="M257" s="37">
        <v>0.0</v>
      </c>
    </row>
    <row r="258" ht="14.25" customHeight="1">
      <c r="A258" t="s">
        <v>331</v>
      </c>
      <c r="B258" t="s">
        <v>284</v>
      </c>
      <c r="C258" t="s">
        <v>75</v>
      </c>
      <c r="D258" t="s">
        <v>82</v>
      </c>
      <c r="E258">
        <v>22.45</v>
      </c>
      <c r="F258">
        <v>18.89</v>
      </c>
      <c r="G258" s="2" t="s">
        <v>64</v>
      </c>
      <c r="H258" s="2">
        <v>0.0</v>
      </c>
      <c r="I258" s="2">
        <v>0.0</v>
      </c>
      <c r="J258" s="37">
        <v>0.0</v>
      </c>
      <c r="K258" s="2">
        <v>0.0</v>
      </c>
      <c r="L258" s="2">
        <v>0.0</v>
      </c>
      <c r="M258" s="37">
        <v>0.0</v>
      </c>
    </row>
    <row r="259" ht="14.25" customHeight="1">
      <c r="A259" t="s">
        <v>332</v>
      </c>
      <c r="B259" t="s">
        <v>284</v>
      </c>
      <c r="C259" t="s">
        <v>75</v>
      </c>
      <c r="D259" t="s">
        <v>82</v>
      </c>
      <c r="E259">
        <v>22.45</v>
      </c>
      <c r="F259">
        <v>18.89</v>
      </c>
      <c r="G259" s="2" t="s">
        <v>64</v>
      </c>
      <c r="H259" s="2">
        <v>0.0</v>
      </c>
      <c r="I259" s="2">
        <v>0.0</v>
      </c>
      <c r="J259" s="37">
        <v>0.0</v>
      </c>
      <c r="K259" s="2">
        <v>0.0</v>
      </c>
      <c r="L259" s="2">
        <v>0.0</v>
      </c>
      <c r="M259" s="37">
        <v>0.0</v>
      </c>
    </row>
    <row r="260" ht="14.25" customHeight="1">
      <c r="A260" t="s">
        <v>333</v>
      </c>
      <c r="B260" t="s">
        <v>284</v>
      </c>
      <c r="C260" t="s">
        <v>75</v>
      </c>
      <c r="D260" t="s">
        <v>82</v>
      </c>
      <c r="E260">
        <v>22.45</v>
      </c>
      <c r="F260">
        <v>18.89</v>
      </c>
      <c r="G260" s="2" t="s">
        <v>64</v>
      </c>
      <c r="H260" s="2">
        <v>0.0</v>
      </c>
      <c r="I260" s="2">
        <v>0.0</v>
      </c>
      <c r="J260" s="37">
        <v>0.0</v>
      </c>
      <c r="K260" s="2">
        <v>0.0</v>
      </c>
      <c r="L260" s="2">
        <v>0.0</v>
      </c>
      <c r="M260" s="37">
        <v>0.0</v>
      </c>
    </row>
    <row r="261" ht="14.25" customHeight="1">
      <c r="A261" t="s">
        <v>334</v>
      </c>
      <c r="B261" t="s">
        <v>284</v>
      </c>
      <c r="C261" t="s">
        <v>75</v>
      </c>
      <c r="D261" t="s">
        <v>63</v>
      </c>
      <c r="E261">
        <v>22.45</v>
      </c>
      <c r="F261">
        <v>18.89</v>
      </c>
      <c r="G261" s="2" t="s">
        <v>64</v>
      </c>
      <c r="H261" s="2">
        <v>0.0</v>
      </c>
      <c r="I261" s="2">
        <v>0.0</v>
      </c>
      <c r="J261" s="37">
        <v>0.0</v>
      </c>
      <c r="K261" s="2">
        <v>0.0</v>
      </c>
      <c r="L261" s="2">
        <v>0.0</v>
      </c>
      <c r="M261" s="37">
        <v>0.0</v>
      </c>
    </row>
    <row r="262" ht="14.25" customHeight="1">
      <c r="A262" t="s">
        <v>335</v>
      </c>
      <c r="B262" t="s">
        <v>284</v>
      </c>
      <c r="C262" t="s">
        <v>75</v>
      </c>
      <c r="D262" t="s">
        <v>63</v>
      </c>
      <c r="E262">
        <v>22.45</v>
      </c>
      <c r="F262">
        <v>18.89</v>
      </c>
      <c r="G262" s="2" t="s">
        <v>64</v>
      </c>
      <c r="H262" s="2">
        <v>0.0</v>
      </c>
      <c r="I262" s="2">
        <v>0.0</v>
      </c>
      <c r="J262" s="37">
        <v>0.0</v>
      </c>
      <c r="K262" s="2">
        <v>0.0</v>
      </c>
      <c r="L262" s="2">
        <v>0.0</v>
      </c>
      <c r="M262" s="37">
        <v>0.0</v>
      </c>
    </row>
    <row r="263" ht="14.25" customHeight="1">
      <c r="A263" t="s">
        <v>336</v>
      </c>
      <c r="B263" t="s">
        <v>284</v>
      </c>
      <c r="C263" t="s">
        <v>75</v>
      </c>
      <c r="D263" t="s">
        <v>63</v>
      </c>
      <c r="E263">
        <v>22.45</v>
      </c>
      <c r="F263">
        <v>18.89</v>
      </c>
      <c r="G263" s="2" t="s">
        <v>64</v>
      </c>
      <c r="H263" s="2">
        <v>0.0</v>
      </c>
      <c r="I263" s="2">
        <v>0.0</v>
      </c>
      <c r="J263" s="37">
        <v>0.0</v>
      </c>
      <c r="K263" s="2">
        <v>0.0</v>
      </c>
      <c r="L263" s="2">
        <v>0.0</v>
      </c>
      <c r="M263" s="37">
        <v>0.0</v>
      </c>
    </row>
    <row r="264" ht="14.25" customHeight="1">
      <c r="A264" t="s">
        <v>337</v>
      </c>
      <c r="B264" t="s">
        <v>284</v>
      </c>
      <c r="C264" t="s">
        <v>75</v>
      </c>
      <c r="D264" t="s">
        <v>63</v>
      </c>
      <c r="E264">
        <v>22.45</v>
      </c>
      <c r="F264">
        <v>18.89</v>
      </c>
      <c r="G264" s="2" t="s">
        <v>64</v>
      </c>
      <c r="H264" s="2">
        <v>0.0</v>
      </c>
      <c r="I264" s="2">
        <v>0.0</v>
      </c>
      <c r="J264" s="37">
        <v>0.0</v>
      </c>
      <c r="K264" s="2">
        <v>0.0</v>
      </c>
      <c r="L264" s="2">
        <v>0.0</v>
      </c>
      <c r="M264" s="37">
        <v>0.0</v>
      </c>
    </row>
    <row r="265" ht="14.25" customHeight="1">
      <c r="A265" t="s">
        <v>338</v>
      </c>
      <c r="B265" t="s">
        <v>284</v>
      </c>
      <c r="C265" t="s">
        <v>75</v>
      </c>
      <c r="D265" t="s">
        <v>82</v>
      </c>
      <c r="E265">
        <v>22.4</v>
      </c>
      <c r="F265">
        <v>22.73</v>
      </c>
      <c r="G265" s="2" t="s">
        <v>64</v>
      </c>
      <c r="H265" s="2">
        <v>0.0</v>
      </c>
      <c r="I265" s="2">
        <v>0.0</v>
      </c>
      <c r="J265" s="37">
        <v>0.0</v>
      </c>
      <c r="K265" s="2">
        <v>0.0</v>
      </c>
      <c r="L265" s="2">
        <v>0.0</v>
      </c>
      <c r="M265" s="37">
        <v>0.0</v>
      </c>
    </row>
    <row r="266" ht="14.25" customHeight="1">
      <c r="A266" t="s">
        <v>339</v>
      </c>
      <c r="B266" t="s">
        <v>284</v>
      </c>
      <c r="C266" t="s">
        <v>75</v>
      </c>
      <c r="D266" t="s">
        <v>82</v>
      </c>
      <c r="E266">
        <v>22.4</v>
      </c>
      <c r="F266">
        <v>22.73</v>
      </c>
      <c r="G266" s="2" t="s">
        <v>64</v>
      </c>
      <c r="H266" s="2">
        <v>0.0</v>
      </c>
      <c r="I266" s="2">
        <v>0.0</v>
      </c>
      <c r="J266" s="37">
        <v>0.0</v>
      </c>
      <c r="K266" s="2">
        <v>0.0</v>
      </c>
      <c r="L266" s="2">
        <v>0.0</v>
      </c>
      <c r="M266" s="37">
        <v>0.0</v>
      </c>
    </row>
    <row r="267" ht="14.25" customHeight="1">
      <c r="A267" t="s">
        <v>340</v>
      </c>
      <c r="B267" t="s">
        <v>284</v>
      </c>
      <c r="C267" t="s">
        <v>75</v>
      </c>
      <c r="D267" t="s">
        <v>82</v>
      </c>
      <c r="E267">
        <v>22.4</v>
      </c>
      <c r="F267">
        <v>22.73</v>
      </c>
      <c r="G267" s="2" t="s">
        <v>64</v>
      </c>
      <c r="H267" s="2">
        <v>0.0</v>
      </c>
      <c r="I267" s="2">
        <v>0.0</v>
      </c>
      <c r="J267" s="37">
        <v>0.0</v>
      </c>
      <c r="K267" s="2">
        <v>0.0</v>
      </c>
      <c r="L267" s="2">
        <v>0.0</v>
      </c>
      <c r="M267" s="37">
        <v>0.0</v>
      </c>
    </row>
    <row r="268" ht="14.25" customHeight="1">
      <c r="A268" t="s">
        <v>341</v>
      </c>
      <c r="B268" t="s">
        <v>284</v>
      </c>
      <c r="C268" t="s">
        <v>75</v>
      </c>
      <c r="D268" t="s">
        <v>82</v>
      </c>
      <c r="E268">
        <v>22.4</v>
      </c>
      <c r="F268">
        <v>22.73</v>
      </c>
      <c r="G268" s="2" t="s">
        <v>64</v>
      </c>
      <c r="H268" s="2">
        <v>0.0</v>
      </c>
      <c r="I268" s="2">
        <v>0.0</v>
      </c>
      <c r="J268" s="37">
        <v>0.0</v>
      </c>
      <c r="K268" s="2">
        <v>0.0</v>
      </c>
      <c r="L268" s="2">
        <v>0.0</v>
      </c>
      <c r="M268" s="37">
        <v>0.0</v>
      </c>
    </row>
    <row r="269" ht="14.25" customHeight="1">
      <c r="A269" t="s">
        <v>342</v>
      </c>
      <c r="B269" t="s">
        <v>284</v>
      </c>
      <c r="C269" t="s">
        <v>75</v>
      </c>
      <c r="D269" t="s">
        <v>82</v>
      </c>
      <c r="E269">
        <v>22.4</v>
      </c>
      <c r="F269">
        <v>22.73</v>
      </c>
      <c r="G269" s="2" t="s">
        <v>64</v>
      </c>
      <c r="H269" s="2">
        <v>0.0</v>
      </c>
      <c r="I269" s="2">
        <v>0.0</v>
      </c>
      <c r="J269" s="37">
        <v>0.0</v>
      </c>
      <c r="K269" s="2">
        <v>0.0</v>
      </c>
      <c r="L269" s="2">
        <v>0.0</v>
      </c>
      <c r="M269" s="37">
        <v>0.0</v>
      </c>
    </row>
    <row r="270" ht="14.25" customHeight="1">
      <c r="A270" t="s">
        <v>343</v>
      </c>
      <c r="B270" t="s">
        <v>284</v>
      </c>
      <c r="C270" t="s">
        <v>75</v>
      </c>
      <c r="D270" t="s">
        <v>82</v>
      </c>
      <c r="E270">
        <v>22.4</v>
      </c>
      <c r="F270">
        <v>22.73</v>
      </c>
      <c r="G270" s="2" t="s">
        <v>64</v>
      </c>
      <c r="H270" s="2">
        <v>0.0</v>
      </c>
      <c r="I270" s="2">
        <v>0.0</v>
      </c>
      <c r="J270" s="37">
        <v>0.0</v>
      </c>
      <c r="K270" s="2">
        <v>0.0</v>
      </c>
      <c r="L270" s="2">
        <v>0.0</v>
      </c>
      <c r="M270" s="37">
        <v>0.0</v>
      </c>
    </row>
    <row r="271" ht="14.25" customHeight="1">
      <c r="A271" t="s">
        <v>344</v>
      </c>
      <c r="B271" t="s">
        <v>284</v>
      </c>
      <c r="C271" t="s">
        <v>75</v>
      </c>
      <c r="D271" t="s">
        <v>82</v>
      </c>
      <c r="E271">
        <v>22.4</v>
      </c>
      <c r="F271">
        <v>22.73</v>
      </c>
      <c r="G271" s="2" t="s">
        <v>64</v>
      </c>
      <c r="H271" s="2">
        <v>0.0</v>
      </c>
      <c r="I271" s="2">
        <v>0.0</v>
      </c>
      <c r="J271" s="37">
        <v>0.0</v>
      </c>
      <c r="K271" s="2">
        <v>0.0</v>
      </c>
      <c r="L271" s="2">
        <v>0.0</v>
      </c>
      <c r="M271" s="37">
        <v>0.0</v>
      </c>
    </row>
    <row r="272" ht="14.25" customHeight="1">
      <c r="A272" t="s">
        <v>345</v>
      </c>
      <c r="B272" t="s">
        <v>284</v>
      </c>
      <c r="C272" t="s">
        <v>75</v>
      </c>
      <c r="D272" t="s">
        <v>63</v>
      </c>
      <c r="E272">
        <v>22.4</v>
      </c>
      <c r="F272">
        <v>22.73</v>
      </c>
      <c r="G272" s="2" t="s">
        <v>64</v>
      </c>
      <c r="H272" s="2">
        <v>0.0</v>
      </c>
      <c r="I272" s="2">
        <v>0.0</v>
      </c>
      <c r="J272" s="37">
        <v>0.0</v>
      </c>
      <c r="K272" s="2">
        <v>0.0</v>
      </c>
      <c r="L272" s="2">
        <v>0.0</v>
      </c>
      <c r="M272" s="37">
        <v>0.0</v>
      </c>
    </row>
    <row r="273" ht="14.25" customHeight="1">
      <c r="A273" t="s">
        <v>346</v>
      </c>
      <c r="B273" t="s">
        <v>284</v>
      </c>
      <c r="C273" t="s">
        <v>75</v>
      </c>
      <c r="D273" t="s">
        <v>63</v>
      </c>
      <c r="E273">
        <v>22.4</v>
      </c>
      <c r="F273">
        <v>22.73</v>
      </c>
      <c r="G273" s="2" t="s">
        <v>64</v>
      </c>
      <c r="H273" s="2">
        <v>0.0</v>
      </c>
      <c r="I273" s="2">
        <v>0.0</v>
      </c>
      <c r="J273" s="37">
        <v>0.0</v>
      </c>
      <c r="K273" s="2">
        <v>0.0</v>
      </c>
      <c r="L273" s="2">
        <v>0.0</v>
      </c>
      <c r="M273" s="37">
        <v>0.0</v>
      </c>
    </row>
    <row r="274" ht="14.25" customHeight="1">
      <c r="A274" t="s">
        <v>347</v>
      </c>
      <c r="B274" t="s">
        <v>284</v>
      </c>
      <c r="C274" t="s">
        <v>75</v>
      </c>
      <c r="D274" t="s">
        <v>63</v>
      </c>
      <c r="E274">
        <v>22.4</v>
      </c>
      <c r="F274">
        <v>22.73</v>
      </c>
      <c r="G274" s="2" t="s">
        <v>64</v>
      </c>
      <c r="H274" s="2">
        <v>0.0</v>
      </c>
      <c r="I274" s="2">
        <v>0.0</v>
      </c>
      <c r="J274" s="37">
        <v>0.0</v>
      </c>
      <c r="K274" s="2">
        <v>0.0</v>
      </c>
      <c r="L274" s="2">
        <v>0.0</v>
      </c>
      <c r="M274" s="37">
        <v>0.0</v>
      </c>
    </row>
    <row r="275" ht="14.25" customHeight="1">
      <c r="A275" t="s">
        <v>348</v>
      </c>
      <c r="B275" t="s">
        <v>284</v>
      </c>
      <c r="C275" t="s">
        <v>75</v>
      </c>
      <c r="D275" t="s">
        <v>63</v>
      </c>
      <c r="E275">
        <v>22.4</v>
      </c>
      <c r="F275">
        <v>22.73</v>
      </c>
      <c r="G275" s="2" t="s">
        <v>64</v>
      </c>
      <c r="H275" s="2">
        <v>0.0</v>
      </c>
      <c r="I275" s="2">
        <v>0.0</v>
      </c>
      <c r="J275" s="37">
        <v>0.0</v>
      </c>
      <c r="K275" s="2">
        <v>0.0</v>
      </c>
      <c r="L275" s="2">
        <v>0.0</v>
      </c>
      <c r="M275" s="37">
        <v>0.0</v>
      </c>
    </row>
    <row r="276" ht="14.25" customHeight="1">
      <c r="A276" t="s">
        <v>349</v>
      </c>
      <c r="B276" t="s">
        <v>284</v>
      </c>
      <c r="C276" t="s">
        <v>75</v>
      </c>
      <c r="D276" t="s">
        <v>82</v>
      </c>
      <c r="E276">
        <v>23.36</v>
      </c>
      <c r="F276">
        <v>20.36</v>
      </c>
      <c r="G276" s="2" t="s">
        <v>64</v>
      </c>
      <c r="H276" s="2">
        <v>0.0</v>
      </c>
      <c r="I276" s="2">
        <v>0.0</v>
      </c>
      <c r="J276" s="37">
        <v>0.0</v>
      </c>
      <c r="K276" s="2">
        <v>0.0</v>
      </c>
      <c r="L276" s="2">
        <v>0.0</v>
      </c>
      <c r="M276" s="37">
        <v>0.0</v>
      </c>
    </row>
    <row r="277" ht="14.25" customHeight="1">
      <c r="A277" t="s">
        <v>350</v>
      </c>
      <c r="B277" t="s">
        <v>284</v>
      </c>
      <c r="C277" t="s">
        <v>75</v>
      </c>
      <c r="D277" t="s">
        <v>82</v>
      </c>
      <c r="E277">
        <v>23.36</v>
      </c>
      <c r="F277">
        <v>20.36</v>
      </c>
      <c r="G277" s="2" t="s">
        <v>64</v>
      </c>
      <c r="H277" s="2">
        <v>0.0</v>
      </c>
      <c r="I277" s="2">
        <v>0.0</v>
      </c>
      <c r="J277" s="37">
        <v>0.0</v>
      </c>
      <c r="K277" s="2">
        <v>0.0</v>
      </c>
      <c r="L277" s="2">
        <v>0.0</v>
      </c>
      <c r="M277" s="37">
        <v>0.0</v>
      </c>
    </row>
    <row r="278" ht="14.25" customHeight="1">
      <c r="A278" t="s">
        <v>351</v>
      </c>
      <c r="B278" t="s">
        <v>284</v>
      </c>
      <c r="C278" t="s">
        <v>75</v>
      </c>
      <c r="D278" t="s">
        <v>82</v>
      </c>
      <c r="E278">
        <v>23.36</v>
      </c>
      <c r="F278">
        <v>20.36</v>
      </c>
      <c r="G278" s="2" t="s">
        <v>64</v>
      </c>
      <c r="H278" s="2">
        <v>0.0</v>
      </c>
      <c r="I278" s="2">
        <v>0.0</v>
      </c>
      <c r="J278" s="37">
        <v>0.0</v>
      </c>
      <c r="K278" s="2">
        <v>0.0</v>
      </c>
      <c r="L278" s="2">
        <v>0.0</v>
      </c>
      <c r="M278" s="37">
        <v>0.0</v>
      </c>
    </row>
    <row r="279" ht="14.25" customHeight="1">
      <c r="A279" t="s">
        <v>352</v>
      </c>
      <c r="B279" t="s">
        <v>284</v>
      </c>
      <c r="C279" t="s">
        <v>75</v>
      </c>
      <c r="D279" t="s">
        <v>82</v>
      </c>
      <c r="E279">
        <v>23.36</v>
      </c>
      <c r="F279">
        <v>20.36</v>
      </c>
      <c r="G279" s="2" t="s">
        <v>64</v>
      </c>
      <c r="H279" s="2">
        <v>0.0</v>
      </c>
      <c r="I279" s="2">
        <v>0.0</v>
      </c>
      <c r="J279" s="37">
        <v>0.0</v>
      </c>
      <c r="K279" s="2">
        <v>0.0</v>
      </c>
      <c r="L279" s="2">
        <v>0.0</v>
      </c>
      <c r="M279" s="37">
        <v>0.0</v>
      </c>
    </row>
    <row r="280" ht="14.25" customHeight="1">
      <c r="A280" t="s">
        <v>353</v>
      </c>
      <c r="B280" t="s">
        <v>284</v>
      </c>
      <c r="C280" t="s">
        <v>75</v>
      </c>
      <c r="D280" t="s">
        <v>82</v>
      </c>
      <c r="E280">
        <v>23.36</v>
      </c>
      <c r="F280">
        <v>20.36</v>
      </c>
      <c r="G280" s="2" t="s">
        <v>64</v>
      </c>
      <c r="H280" s="2">
        <v>0.0</v>
      </c>
      <c r="I280" s="2">
        <v>0.0</v>
      </c>
      <c r="J280" s="37">
        <v>0.0</v>
      </c>
      <c r="K280" s="2">
        <v>0.0</v>
      </c>
      <c r="L280" s="2">
        <v>0.0</v>
      </c>
      <c r="M280" s="37">
        <v>0.0</v>
      </c>
    </row>
    <row r="281" ht="14.25" customHeight="1">
      <c r="A281" t="s">
        <v>354</v>
      </c>
      <c r="B281" t="s">
        <v>284</v>
      </c>
      <c r="C281" t="s">
        <v>75</v>
      </c>
      <c r="D281" t="s">
        <v>63</v>
      </c>
      <c r="E281">
        <v>23.36</v>
      </c>
      <c r="F281">
        <v>20.36</v>
      </c>
      <c r="G281" s="2" t="s">
        <v>64</v>
      </c>
      <c r="H281" s="2">
        <v>0.0</v>
      </c>
      <c r="I281" s="2">
        <v>0.0</v>
      </c>
      <c r="J281" s="37">
        <v>0.0</v>
      </c>
      <c r="K281" s="2">
        <v>0.0</v>
      </c>
      <c r="L281" s="2">
        <v>0.0</v>
      </c>
      <c r="M281" s="37">
        <v>0.0</v>
      </c>
    </row>
    <row r="282" ht="14.25" customHeight="1">
      <c r="A282" t="s">
        <v>355</v>
      </c>
      <c r="B282" t="s">
        <v>284</v>
      </c>
      <c r="C282" t="s">
        <v>75</v>
      </c>
      <c r="D282" t="s">
        <v>63</v>
      </c>
      <c r="E282">
        <v>23.36</v>
      </c>
      <c r="F282">
        <v>20.36</v>
      </c>
      <c r="G282" s="2" t="s">
        <v>64</v>
      </c>
      <c r="H282" s="2">
        <v>0.0</v>
      </c>
      <c r="I282" s="2">
        <v>0.0</v>
      </c>
      <c r="J282" s="37">
        <v>0.0</v>
      </c>
      <c r="K282" s="2">
        <v>0.0</v>
      </c>
      <c r="L282" s="2">
        <v>0.0</v>
      </c>
      <c r="M282" s="37">
        <v>0.0</v>
      </c>
    </row>
    <row r="283" ht="14.25" customHeight="1">
      <c r="A283" t="s">
        <v>356</v>
      </c>
      <c r="B283" t="s">
        <v>284</v>
      </c>
      <c r="C283" t="s">
        <v>75</v>
      </c>
      <c r="D283" t="s">
        <v>63</v>
      </c>
      <c r="E283">
        <v>23.36</v>
      </c>
      <c r="F283">
        <v>20.36</v>
      </c>
      <c r="G283" s="2" t="s">
        <v>64</v>
      </c>
      <c r="H283" s="2">
        <v>0.0</v>
      </c>
      <c r="I283" s="2">
        <v>0.0</v>
      </c>
      <c r="J283" s="37">
        <v>0.0</v>
      </c>
      <c r="K283" s="2">
        <v>0.0</v>
      </c>
      <c r="L283" s="2">
        <v>0.0</v>
      </c>
      <c r="M283" s="37">
        <v>0.0</v>
      </c>
    </row>
    <row r="284" ht="14.25" customHeight="1">
      <c r="A284" t="s">
        <v>357</v>
      </c>
      <c r="B284" t="s">
        <v>284</v>
      </c>
      <c r="C284" t="s">
        <v>75</v>
      </c>
      <c r="D284" t="s">
        <v>63</v>
      </c>
      <c r="E284">
        <v>23.36</v>
      </c>
      <c r="F284">
        <v>20.36</v>
      </c>
      <c r="G284" s="2" t="s">
        <v>64</v>
      </c>
      <c r="H284" s="2">
        <v>0.0</v>
      </c>
      <c r="I284" s="2">
        <v>0.0</v>
      </c>
      <c r="J284" s="37">
        <v>0.0</v>
      </c>
      <c r="K284" s="2">
        <v>0.0</v>
      </c>
      <c r="L284" s="2">
        <v>0.0</v>
      </c>
      <c r="M284" s="37">
        <v>0.0</v>
      </c>
    </row>
    <row r="285" ht="14.25" customHeight="1">
      <c r="A285" t="s">
        <v>358</v>
      </c>
      <c r="B285" t="s">
        <v>284</v>
      </c>
      <c r="C285" t="s">
        <v>75</v>
      </c>
      <c r="D285" t="s">
        <v>63</v>
      </c>
      <c r="E285">
        <v>23.36</v>
      </c>
      <c r="F285">
        <v>20.36</v>
      </c>
      <c r="G285" s="2" t="s">
        <v>64</v>
      </c>
      <c r="H285" s="2">
        <v>0.0</v>
      </c>
      <c r="I285" s="2">
        <v>0.0</v>
      </c>
      <c r="J285" s="37">
        <v>0.0</v>
      </c>
      <c r="K285" s="2">
        <v>0.0</v>
      </c>
      <c r="L285" s="2">
        <v>0.0</v>
      </c>
      <c r="M285" s="37">
        <v>0.0</v>
      </c>
    </row>
    <row r="286" ht="14.25" customHeight="1">
      <c r="A286" t="s">
        <v>359</v>
      </c>
      <c r="B286" t="s">
        <v>284</v>
      </c>
      <c r="C286" t="s">
        <v>75</v>
      </c>
      <c r="D286" t="s">
        <v>63</v>
      </c>
      <c r="E286">
        <v>23.36</v>
      </c>
      <c r="F286">
        <v>20.36</v>
      </c>
      <c r="G286" s="2" t="s">
        <v>64</v>
      </c>
      <c r="H286" s="2">
        <v>0.0</v>
      </c>
      <c r="I286" s="2">
        <v>0.0</v>
      </c>
      <c r="J286" s="37">
        <v>0.0</v>
      </c>
      <c r="K286" s="2">
        <v>0.0</v>
      </c>
      <c r="L286" s="2">
        <v>0.0</v>
      </c>
      <c r="M286" s="37">
        <v>0.0</v>
      </c>
    </row>
    <row r="287" ht="14.25" customHeight="1">
      <c r="A287" t="s">
        <v>360</v>
      </c>
      <c r="B287" t="s">
        <v>284</v>
      </c>
      <c r="C287" t="s">
        <v>75</v>
      </c>
      <c r="D287" t="s">
        <v>82</v>
      </c>
      <c r="E287">
        <v>18.74</v>
      </c>
      <c r="F287">
        <v>16.06</v>
      </c>
      <c r="G287" s="2" t="s">
        <v>64</v>
      </c>
      <c r="H287" s="2">
        <v>0.0</v>
      </c>
      <c r="I287" s="2">
        <v>0.0</v>
      </c>
      <c r="J287" s="37">
        <v>0.0</v>
      </c>
      <c r="K287" s="2">
        <v>0.0</v>
      </c>
      <c r="L287" s="2">
        <v>0.0</v>
      </c>
      <c r="M287" s="37">
        <v>0.0</v>
      </c>
    </row>
    <row r="288" ht="14.25" customHeight="1">
      <c r="A288" t="s">
        <v>361</v>
      </c>
      <c r="B288" t="s">
        <v>284</v>
      </c>
      <c r="C288" t="s">
        <v>75</v>
      </c>
      <c r="D288" t="s">
        <v>82</v>
      </c>
      <c r="E288">
        <v>18.74</v>
      </c>
      <c r="F288">
        <v>16.06</v>
      </c>
      <c r="G288" s="2" t="s">
        <v>64</v>
      </c>
      <c r="H288" s="2">
        <v>0.0</v>
      </c>
      <c r="I288" s="2">
        <v>0.0</v>
      </c>
      <c r="J288" s="37">
        <v>0.0</v>
      </c>
      <c r="K288" s="2">
        <v>0.0</v>
      </c>
      <c r="L288" s="2">
        <v>0.0</v>
      </c>
      <c r="M288" s="37">
        <v>0.0</v>
      </c>
    </row>
    <row r="289" ht="14.25" customHeight="1">
      <c r="A289" t="s">
        <v>362</v>
      </c>
      <c r="B289" t="s">
        <v>284</v>
      </c>
      <c r="C289" t="s">
        <v>75</v>
      </c>
      <c r="D289" t="s">
        <v>82</v>
      </c>
      <c r="E289">
        <v>18.74</v>
      </c>
      <c r="F289">
        <v>16.06</v>
      </c>
      <c r="G289" s="2" t="s">
        <v>64</v>
      </c>
      <c r="H289" s="2">
        <v>0.0</v>
      </c>
      <c r="I289" s="2">
        <v>0.0</v>
      </c>
      <c r="J289" s="37">
        <v>0.0</v>
      </c>
      <c r="K289" s="2">
        <v>0.0</v>
      </c>
      <c r="L289" s="2">
        <v>0.0</v>
      </c>
      <c r="M289" s="37">
        <v>0.0</v>
      </c>
    </row>
    <row r="290" ht="14.25" customHeight="1">
      <c r="A290" t="s">
        <v>363</v>
      </c>
      <c r="B290" t="s">
        <v>284</v>
      </c>
      <c r="C290" t="s">
        <v>75</v>
      </c>
      <c r="D290" t="s">
        <v>82</v>
      </c>
      <c r="E290">
        <v>18.74</v>
      </c>
      <c r="F290">
        <v>16.06</v>
      </c>
      <c r="G290" s="2" t="s">
        <v>64</v>
      </c>
      <c r="H290" s="2">
        <v>0.0</v>
      </c>
      <c r="I290" s="2">
        <v>0.0</v>
      </c>
      <c r="J290" s="37">
        <v>0.0</v>
      </c>
      <c r="K290" s="2">
        <v>0.0</v>
      </c>
      <c r="L290" s="2">
        <v>0.0</v>
      </c>
      <c r="M290" s="37">
        <v>0.0</v>
      </c>
    </row>
    <row r="291" ht="14.25" customHeight="1">
      <c r="A291" t="s">
        <v>364</v>
      </c>
      <c r="B291" t="s">
        <v>284</v>
      </c>
      <c r="C291" t="s">
        <v>75</v>
      </c>
      <c r="D291" t="s">
        <v>82</v>
      </c>
      <c r="E291">
        <v>18.74</v>
      </c>
      <c r="F291">
        <v>16.06</v>
      </c>
      <c r="G291" s="2" t="s">
        <v>64</v>
      </c>
      <c r="H291" s="2">
        <v>0.0</v>
      </c>
      <c r="I291" s="2">
        <v>0.0</v>
      </c>
      <c r="J291" s="37">
        <v>0.0</v>
      </c>
      <c r="K291" s="2">
        <v>0.0</v>
      </c>
      <c r="L291" s="2">
        <v>0.0</v>
      </c>
      <c r="M291" s="37">
        <v>0.0</v>
      </c>
    </row>
    <row r="292" ht="14.25" customHeight="1">
      <c r="A292" t="s">
        <v>365</v>
      </c>
      <c r="B292" t="s">
        <v>284</v>
      </c>
      <c r="C292" t="s">
        <v>75</v>
      </c>
      <c r="D292" t="s">
        <v>82</v>
      </c>
      <c r="E292">
        <v>18.74</v>
      </c>
      <c r="F292">
        <v>16.06</v>
      </c>
      <c r="G292" s="2" t="s">
        <v>64</v>
      </c>
      <c r="H292" s="2">
        <v>0.0</v>
      </c>
      <c r="I292" s="2">
        <v>0.0</v>
      </c>
      <c r="J292" s="37">
        <v>0.0</v>
      </c>
      <c r="K292" s="2">
        <v>0.0</v>
      </c>
      <c r="L292" s="2">
        <v>0.0</v>
      </c>
      <c r="M292" s="37">
        <v>0.0</v>
      </c>
    </row>
    <row r="293" ht="14.25" customHeight="1">
      <c r="A293" t="s">
        <v>366</v>
      </c>
      <c r="B293" t="s">
        <v>284</v>
      </c>
      <c r="C293" t="s">
        <v>75</v>
      </c>
      <c r="D293" t="s">
        <v>82</v>
      </c>
      <c r="E293">
        <v>18.74</v>
      </c>
      <c r="F293">
        <v>16.06</v>
      </c>
      <c r="G293" s="2" t="s">
        <v>64</v>
      </c>
      <c r="H293" s="2">
        <v>0.0</v>
      </c>
      <c r="I293" s="2">
        <v>0.0</v>
      </c>
      <c r="J293" s="37">
        <v>0.0</v>
      </c>
      <c r="K293" s="2">
        <v>0.0</v>
      </c>
      <c r="L293" s="2">
        <v>0.0</v>
      </c>
      <c r="M293" s="37">
        <v>0.0</v>
      </c>
    </row>
    <row r="294" ht="14.25" customHeight="1">
      <c r="A294" t="s">
        <v>367</v>
      </c>
      <c r="B294" t="s">
        <v>284</v>
      </c>
      <c r="C294" t="s">
        <v>75</v>
      </c>
      <c r="D294" t="s">
        <v>82</v>
      </c>
      <c r="E294">
        <v>18.74</v>
      </c>
      <c r="F294">
        <v>16.06</v>
      </c>
      <c r="G294" s="2" t="s">
        <v>64</v>
      </c>
      <c r="H294" s="2">
        <v>0.0</v>
      </c>
      <c r="I294" s="2">
        <v>0.0</v>
      </c>
      <c r="J294" s="37">
        <v>0.0</v>
      </c>
      <c r="K294" s="2">
        <v>0.0</v>
      </c>
      <c r="L294" s="2">
        <v>0.0</v>
      </c>
      <c r="M294" s="37">
        <v>0.0</v>
      </c>
    </row>
    <row r="295" ht="14.25" customHeight="1">
      <c r="A295" t="s">
        <v>368</v>
      </c>
      <c r="B295" t="s">
        <v>284</v>
      </c>
      <c r="C295" t="s">
        <v>75</v>
      </c>
      <c r="D295" t="s">
        <v>82</v>
      </c>
      <c r="E295">
        <v>18.74</v>
      </c>
      <c r="F295">
        <v>16.06</v>
      </c>
      <c r="G295" s="2" t="s">
        <v>64</v>
      </c>
      <c r="H295" s="2">
        <v>0.0</v>
      </c>
      <c r="I295" s="2">
        <v>0.0</v>
      </c>
      <c r="J295" s="37">
        <v>0.0</v>
      </c>
      <c r="K295" s="2">
        <v>0.0</v>
      </c>
      <c r="L295" s="2">
        <v>0.0</v>
      </c>
      <c r="M295" s="37">
        <v>0.0</v>
      </c>
    </row>
    <row r="296" ht="14.25" customHeight="1">
      <c r="A296" t="s">
        <v>369</v>
      </c>
      <c r="B296" t="s">
        <v>284</v>
      </c>
      <c r="C296" t="s">
        <v>75</v>
      </c>
      <c r="D296" t="s">
        <v>82</v>
      </c>
      <c r="E296">
        <v>18.74</v>
      </c>
      <c r="F296">
        <v>16.06</v>
      </c>
      <c r="G296" s="2" t="s">
        <v>64</v>
      </c>
      <c r="H296" s="2">
        <v>0.0</v>
      </c>
      <c r="I296" s="2">
        <v>0.0</v>
      </c>
      <c r="J296" s="37">
        <v>0.0</v>
      </c>
      <c r="K296" s="2">
        <v>0.0</v>
      </c>
      <c r="L296" s="2">
        <v>0.0</v>
      </c>
      <c r="M296" s="37">
        <v>0.0</v>
      </c>
    </row>
    <row r="297" ht="14.25" customHeight="1">
      <c r="A297" t="s">
        <v>370</v>
      </c>
      <c r="B297" t="s">
        <v>284</v>
      </c>
      <c r="C297" t="s">
        <v>75</v>
      </c>
      <c r="D297" t="s">
        <v>82</v>
      </c>
      <c r="E297">
        <v>11.38</v>
      </c>
      <c r="F297">
        <v>11.74</v>
      </c>
      <c r="G297" s="2" t="s">
        <v>64</v>
      </c>
      <c r="H297" s="2">
        <v>0.0</v>
      </c>
      <c r="I297" s="2">
        <v>0.0</v>
      </c>
      <c r="J297" s="37">
        <v>0.0</v>
      </c>
      <c r="K297" s="2">
        <v>0.0</v>
      </c>
      <c r="L297" s="2">
        <v>0.0</v>
      </c>
      <c r="M297" s="37">
        <v>0.0</v>
      </c>
    </row>
    <row r="298" ht="14.25" customHeight="1">
      <c r="A298" t="s">
        <v>371</v>
      </c>
      <c r="B298" t="s">
        <v>284</v>
      </c>
      <c r="C298" t="s">
        <v>75</v>
      </c>
      <c r="D298" t="s">
        <v>82</v>
      </c>
      <c r="E298">
        <v>11.38</v>
      </c>
      <c r="F298">
        <v>11.74</v>
      </c>
      <c r="G298" s="2" t="s">
        <v>64</v>
      </c>
      <c r="H298" s="2">
        <v>0.0</v>
      </c>
      <c r="I298" s="2">
        <v>0.0</v>
      </c>
      <c r="J298" s="37">
        <v>0.0</v>
      </c>
      <c r="K298" s="2">
        <v>0.0</v>
      </c>
      <c r="L298" s="2">
        <v>0.0</v>
      </c>
      <c r="M298" s="37">
        <v>0.0</v>
      </c>
    </row>
    <row r="299" ht="14.25" customHeight="1">
      <c r="A299" t="s">
        <v>372</v>
      </c>
      <c r="B299" t="s">
        <v>284</v>
      </c>
      <c r="C299" t="s">
        <v>75</v>
      </c>
      <c r="D299" t="s">
        <v>82</v>
      </c>
      <c r="E299">
        <v>11.38</v>
      </c>
      <c r="F299">
        <v>11.74</v>
      </c>
      <c r="G299" s="2" t="s">
        <v>64</v>
      </c>
      <c r="H299" s="2">
        <v>0.0</v>
      </c>
      <c r="I299" s="2">
        <v>0.0</v>
      </c>
      <c r="J299" s="37">
        <v>0.0</v>
      </c>
      <c r="K299" s="2">
        <v>0.0</v>
      </c>
      <c r="L299" s="2">
        <v>0.0</v>
      </c>
      <c r="M299" s="37">
        <v>0.0</v>
      </c>
    </row>
    <row r="300" ht="14.25" customHeight="1">
      <c r="A300" t="s">
        <v>373</v>
      </c>
      <c r="B300" t="s">
        <v>284</v>
      </c>
      <c r="C300" t="s">
        <v>75</v>
      </c>
      <c r="D300" t="s">
        <v>82</v>
      </c>
      <c r="E300">
        <v>11.38</v>
      </c>
      <c r="F300">
        <v>11.74</v>
      </c>
      <c r="G300" s="2" t="s">
        <v>64</v>
      </c>
      <c r="H300" s="2">
        <v>0.0</v>
      </c>
      <c r="I300" s="2">
        <v>0.0</v>
      </c>
      <c r="J300" s="37">
        <v>0.0</v>
      </c>
      <c r="K300" s="2">
        <v>0.0</v>
      </c>
      <c r="L300" s="2">
        <v>0.0</v>
      </c>
      <c r="M300" s="37">
        <v>0.0</v>
      </c>
    </row>
    <row r="301" ht="14.25" customHeight="1">
      <c r="A301" t="s">
        <v>374</v>
      </c>
      <c r="B301" t="s">
        <v>284</v>
      </c>
      <c r="C301" t="s">
        <v>75</v>
      </c>
      <c r="D301" t="s">
        <v>82</v>
      </c>
      <c r="E301">
        <v>11.38</v>
      </c>
      <c r="F301">
        <v>11.74</v>
      </c>
      <c r="G301" s="2" t="s">
        <v>64</v>
      </c>
      <c r="H301" s="2">
        <v>0.0</v>
      </c>
      <c r="I301" s="2">
        <v>0.0</v>
      </c>
      <c r="J301" s="37">
        <v>0.0</v>
      </c>
      <c r="K301" s="2">
        <v>0.0</v>
      </c>
      <c r="L301" s="2">
        <v>0.0</v>
      </c>
      <c r="M301" s="37">
        <v>0.0</v>
      </c>
    </row>
    <row r="302" ht="14.25" customHeight="1">
      <c r="A302" t="s">
        <v>375</v>
      </c>
      <c r="B302" t="s">
        <v>284</v>
      </c>
      <c r="C302" t="s">
        <v>75</v>
      </c>
      <c r="D302" t="s">
        <v>82</v>
      </c>
      <c r="E302">
        <v>11.38</v>
      </c>
      <c r="F302">
        <v>11.74</v>
      </c>
      <c r="G302" s="2" t="s">
        <v>64</v>
      </c>
      <c r="H302" s="2">
        <v>0.0</v>
      </c>
      <c r="I302" s="2">
        <v>0.0</v>
      </c>
      <c r="J302" s="37">
        <v>0.0</v>
      </c>
      <c r="K302" s="2">
        <v>0.0</v>
      </c>
      <c r="L302" s="2">
        <v>0.0</v>
      </c>
      <c r="M302" s="37">
        <v>0.0</v>
      </c>
    </row>
    <row r="303" ht="14.25" customHeight="1">
      <c r="A303" t="s">
        <v>376</v>
      </c>
      <c r="B303" t="s">
        <v>284</v>
      </c>
      <c r="C303" t="s">
        <v>75</v>
      </c>
      <c r="D303" t="s">
        <v>82</v>
      </c>
      <c r="E303">
        <v>11.38</v>
      </c>
      <c r="F303">
        <v>11.74</v>
      </c>
      <c r="G303" s="2" t="s">
        <v>64</v>
      </c>
      <c r="H303" s="2">
        <v>0.0</v>
      </c>
      <c r="I303" s="2">
        <v>0.0</v>
      </c>
      <c r="J303" s="37">
        <v>0.0</v>
      </c>
      <c r="K303" s="2">
        <v>0.0</v>
      </c>
      <c r="L303" s="2">
        <v>0.0</v>
      </c>
      <c r="M303" s="37">
        <v>0.0</v>
      </c>
    </row>
    <row r="304" ht="14.25" customHeight="1">
      <c r="A304" t="s">
        <v>377</v>
      </c>
      <c r="B304" t="s">
        <v>284</v>
      </c>
      <c r="C304" t="s">
        <v>75</v>
      </c>
      <c r="D304" t="s">
        <v>82</v>
      </c>
      <c r="E304">
        <v>11.38</v>
      </c>
      <c r="F304">
        <v>11.74</v>
      </c>
      <c r="G304" s="2" t="s">
        <v>64</v>
      </c>
      <c r="H304" s="2">
        <v>0.0</v>
      </c>
      <c r="I304" s="2">
        <v>0.0</v>
      </c>
      <c r="J304" s="37">
        <v>0.0</v>
      </c>
      <c r="K304" s="2">
        <v>0.0</v>
      </c>
      <c r="L304" s="2">
        <v>0.0</v>
      </c>
      <c r="M304" s="37">
        <v>0.0</v>
      </c>
    </row>
    <row r="305" ht="14.25" customHeight="1">
      <c r="A305" t="s">
        <v>378</v>
      </c>
      <c r="B305" t="s">
        <v>284</v>
      </c>
      <c r="C305" t="s">
        <v>75</v>
      </c>
      <c r="D305" t="s">
        <v>82</v>
      </c>
      <c r="E305">
        <v>11.38</v>
      </c>
      <c r="F305">
        <v>11.74</v>
      </c>
      <c r="G305" s="2" t="s">
        <v>64</v>
      </c>
      <c r="H305" s="2">
        <v>0.0</v>
      </c>
      <c r="I305" s="2">
        <v>0.0</v>
      </c>
      <c r="J305" s="37">
        <v>0.0</v>
      </c>
      <c r="K305" s="2">
        <v>0.0</v>
      </c>
      <c r="L305" s="2">
        <v>0.0</v>
      </c>
      <c r="M305" s="37">
        <v>0.0</v>
      </c>
    </row>
    <row r="306" ht="14.25" customHeight="1">
      <c r="A306" t="s">
        <v>379</v>
      </c>
      <c r="B306" t="s">
        <v>284</v>
      </c>
      <c r="C306" t="s">
        <v>75</v>
      </c>
      <c r="D306" t="s">
        <v>82</v>
      </c>
      <c r="E306">
        <v>11.38</v>
      </c>
      <c r="F306">
        <v>11.74</v>
      </c>
      <c r="G306" s="2" t="s">
        <v>64</v>
      </c>
      <c r="H306" s="2">
        <v>0.0</v>
      </c>
      <c r="I306" s="2">
        <v>0.0</v>
      </c>
      <c r="J306" s="37">
        <v>0.0</v>
      </c>
      <c r="K306" s="2">
        <v>0.0</v>
      </c>
      <c r="L306" s="2">
        <v>0.0</v>
      </c>
      <c r="M306" s="37">
        <v>0.0</v>
      </c>
    </row>
    <row r="307" ht="14.25" customHeight="1">
      <c r="A307" t="s">
        <v>380</v>
      </c>
      <c r="B307" t="s">
        <v>284</v>
      </c>
      <c r="C307" t="s">
        <v>75</v>
      </c>
      <c r="D307" t="s">
        <v>82</v>
      </c>
      <c r="E307">
        <v>22.45</v>
      </c>
      <c r="F307">
        <v>18.89</v>
      </c>
      <c r="G307" s="2" t="s">
        <v>64</v>
      </c>
      <c r="H307" s="2">
        <v>0.0</v>
      </c>
      <c r="I307" s="2">
        <v>0.0</v>
      </c>
      <c r="J307" s="37">
        <v>0.0</v>
      </c>
      <c r="K307" s="2">
        <v>0.0</v>
      </c>
      <c r="L307" s="2">
        <v>0.0</v>
      </c>
      <c r="M307" s="37">
        <v>0.0</v>
      </c>
    </row>
    <row r="308" ht="14.25" customHeight="1">
      <c r="A308" t="s">
        <v>381</v>
      </c>
      <c r="B308" t="s">
        <v>284</v>
      </c>
      <c r="C308" t="s">
        <v>75</v>
      </c>
      <c r="D308" t="s">
        <v>82</v>
      </c>
      <c r="E308">
        <v>22.45</v>
      </c>
      <c r="F308">
        <v>18.89</v>
      </c>
      <c r="G308" s="2" t="s">
        <v>64</v>
      </c>
      <c r="H308" s="2">
        <v>0.0</v>
      </c>
      <c r="I308" s="2">
        <v>0.0</v>
      </c>
      <c r="J308" s="37">
        <v>0.0</v>
      </c>
      <c r="K308" s="2">
        <v>0.0</v>
      </c>
      <c r="L308" s="2">
        <v>0.0</v>
      </c>
      <c r="M308" s="37">
        <v>0.0</v>
      </c>
    </row>
    <row r="309" ht="14.25" customHeight="1">
      <c r="A309" t="s">
        <v>382</v>
      </c>
      <c r="B309" t="s">
        <v>284</v>
      </c>
      <c r="C309" t="s">
        <v>75</v>
      </c>
      <c r="D309" t="s">
        <v>82</v>
      </c>
      <c r="E309">
        <v>22.45</v>
      </c>
      <c r="F309">
        <v>18.89</v>
      </c>
      <c r="G309" s="2" t="s">
        <v>64</v>
      </c>
      <c r="H309" s="2">
        <v>0.0</v>
      </c>
      <c r="I309" s="2">
        <v>0.0</v>
      </c>
      <c r="J309" s="37">
        <v>0.0</v>
      </c>
      <c r="K309" s="2">
        <v>0.0</v>
      </c>
      <c r="L309" s="2">
        <v>0.0</v>
      </c>
      <c r="M309" s="37">
        <v>0.0</v>
      </c>
    </row>
    <row r="310" ht="14.25" customHeight="1">
      <c r="A310" t="s">
        <v>383</v>
      </c>
      <c r="B310" t="s">
        <v>284</v>
      </c>
      <c r="C310" t="s">
        <v>75</v>
      </c>
      <c r="D310" t="s">
        <v>82</v>
      </c>
      <c r="E310">
        <v>22.45</v>
      </c>
      <c r="F310">
        <v>18.89</v>
      </c>
      <c r="G310" s="2" t="s">
        <v>64</v>
      </c>
      <c r="H310" s="2">
        <v>0.0</v>
      </c>
      <c r="I310" s="2">
        <v>0.0</v>
      </c>
      <c r="J310" s="37">
        <v>0.0</v>
      </c>
      <c r="K310" s="2">
        <v>0.0</v>
      </c>
      <c r="L310" s="2">
        <v>0.0</v>
      </c>
      <c r="M310" s="37">
        <v>0.0</v>
      </c>
    </row>
    <row r="311" ht="14.25" customHeight="1">
      <c r="A311" t="s">
        <v>384</v>
      </c>
      <c r="B311" t="s">
        <v>284</v>
      </c>
      <c r="C311" t="s">
        <v>75</v>
      </c>
      <c r="D311" t="s">
        <v>82</v>
      </c>
      <c r="E311">
        <v>22.45</v>
      </c>
      <c r="F311">
        <v>18.89</v>
      </c>
      <c r="G311" s="2" t="s">
        <v>64</v>
      </c>
      <c r="H311" s="2">
        <v>0.0</v>
      </c>
      <c r="I311" s="2">
        <v>0.0</v>
      </c>
      <c r="J311" s="37">
        <v>0.0</v>
      </c>
      <c r="K311" s="2">
        <v>0.0</v>
      </c>
      <c r="L311" s="2">
        <v>0.0</v>
      </c>
      <c r="M311" s="37">
        <v>0.0</v>
      </c>
    </row>
    <row r="312" ht="14.25" customHeight="1">
      <c r="A312" t="s">
        <v>385</v>
      </c>
      <c r="B312" t="s">
        <v>284</v>
      </c>
      <c r="C312" t="s">
        <v>75</v>
      </c>
      <c r="D312" t="s">
        <v>82</v>
      </c>
      <c r="E312">
        <v>22.45</v>
      </c>
      <c r="F312">
        <v>18.89</v>
      </c>
      <c r="G312" s="2" t="s">
        <v>64</v>
      </c>
      <c r="H312" s="2">
        <v>0.0</v>
      </c>
      <c r="I312" s="2">
        <v>0.0</v>
      </c>
      <c r="J312" s="37">
        <v>0.0</v>
      </c>
      <c r="K312" s="2">
        <v>0.0</v>
      </c>
      <c r="L312" s="2">
        <v>0.0</v>
      </c>
      <c r="M312" s="37">
        <v>0.0</v>
      </c>
    </row>
    <row r="313" ht="14.25" customHeight="1">
      <c r="A313" t="s">
        <v>386</v>
      </c>
      <c r="B313" t="s">
        <v>284</v>
      </c>
      <c r="C313" t="s">
        <v>75</v>
      </c>
      <c r="D313" t="s">
        <v>82</v>
      </c>
      <c r="E313">
        <v>22.45</v>
      </c>
      <c r="F313">
        <v>18.89</v>
      </c>
      <c r="G313" s="2" t="s">
        <v>64</v>
      </c>
      <c r="H313" s="2">
        <v>0.0</v>
      </c>
      <c r="I313" s="2">
        <v>0.0</v>
      </c>
      <c r="J313" s="37">
        <v>0.0</v>
      </c>
      <c r="K313" s="2">
        <v>0.0</v>
      </c>
      <c r="L313" s="2">
        <v>0.0</v>
      </c>
      <c r="M313" s="37">
        <v>0.0</v>
      </c>
    </row>
    <row r="314" ht="14.25" customHeight="1">
      <c r="A314" t="s">
        <v>387</v>
      </c>
      <c r="B314" t="s">
        <v>284</v>
      </c>
      <c r="C314" t="s">
        <v>75</v>
      </c>
      <c r="D314" t="s">
        <v>82</v>
      </c>
      <c r="E314">
        <v>22.45</v>
      </c>
      <c r="F314">
        <v>18.89</v>
      </c>
      <c r="G314" s="2" t="s">
        <v>64</v>
      </c>
      <c r="H314" s="2">
        <v>0.0</v>
      </c>
      <c r="I314" s="2">
        <v>0.0</v>
      </c>
      <c r="J314" s="37">
        <v>0.0</v>
      </c>
      <c r="K314" s="2">
        <v>0.0</v>
      </c>
      <c r="L314" s="2">
        <v>0.0</v>
      </c>
      <c r="M314" s="37">
        <v>0.0</v>
      </c>
    </row>
    <row r="315" ht="14.25" customHeight="1">
      <c r="A315" t="s">
        <v>388</v>
      </c>
      <c r="B315" t="s">
        <v>284</v>
      </c>
      <c r="C315" t="s">
        <v>75</v>
      </c>
      <c r="D315" t="s">
        <v>82</v>
      </c>
      <c r="E315">
        <v>22.45</v>
      </c>
      <c r="F315">
        <v>18.89</v>
      </c>
      <c r="G315" s="2" t="s">
        <v>64</v>
      </c>
      <c r="H315" s="2">
        <v>0.0</v>
      </c>
      <c r="I315" s="2">
        <v>0.0</v>
      </c>
      <c r="J315" s="37">
        <v>0.0</v>
      </c>
      <c r="K315" s="2">
        <v>0.0</v>
      </c>
      <c r="L315" s="2">
        <v>0.0</v>
      </c>
      <c r="M315" s="37">
        <v>0.0</v>
      </c>
    </row>
    <row r="316" ht="14.25" customHeight="1">
      <c r="A316" t="s">
        <v>389</v>
      </c>
      <c r="B316" t="s">
        <v>284</v>
      </c>
      <c r="C316" t="s">
        <v>75</v>
      </c>
      <c r="D316" t="s">
        <v>82</v>
      </c>
      <c r="E316">
        <v>22.45</v>
      </c>
      <c r="F316">
        <v>18.89</v>
      </c>
      <c r="G316" s="2" t="s">
        <v>64</v>
      </c>
      <c r="H316" s="2">
        <v>0.0</v>
      </c>
      <c r="I316" s="2">
        <v>0.0</v>
      </c>
      <c r="J316" s="37">
        <v>0.0</v>
      </c>
      <c r="K316" s="2">
        <v>0.0</v>
      </c>
      <c r="L316" s="2">
        <v>0.0</v>
      </c>
      <c r="M316" s="37">
        <v>0.0</v>
      </c>
    </row>
    <row r="317" ht="14.25" customHeight="1">
      <c r="A317" t="s">
        <v>390</v>
      </c>
      <c r="B317" t="s">
        <v>284</v>
      </c>
      <c r="C317" t="s">
        <v>75</v>
      </c>
      <c r="D317" t="s">
        <v>82</v>
      </c>
      <c r="E317">
        <v>32.14</v>
      </c>
      <c r="F317">
        <v>26.48</v>
      </c>
      <c r="G317" s="2" t="s">
        <v>64</v>
      </c>
      <c r="H317" s="2">
        <v>0.0</v>
      </c>
      <c r="I317" s="2">
        <v>0.0</v>
      </c>
      <c r="J317" s="37">
        <v>0.0</v>
      </c>
      <c r="K317" s="2">
        <v>0.0</v>
      </c>
      <c r="L317" s="2">
        <v>0.0</v>
      </c>
      <c r="M317" s="37">
        <v>0.0</v>
      </c>
    </row>
    <row r="318" ht="14.25" customHeight="1">
      <c r="A318" t="s">
        <v>391</v>
      </c>
      <c r="B318" t="s">
        <v>284</v>
      </c>
      <c r="C318" t="s">
        <v>75</v>
      </c>
      <c r="D318" t="s">
        <v>82</v>
      </c>
      <c r="E318">
        <v>32.14</v>
      </c>
      <c r="F318">
        <v>26.48</v>
      </c>
      <c r="G318" s="2" t="s">
        <v>64</v>
      </c>
      <c r="H318" s="2">
        <v>0.0</v>
      </c>
      <c r="I318" s="2">
        <v>0.0</v>
      </c>
      <c r="J318" s="37">
        <v>0.0</v>
      </c>
      <c r="K318" s="2">
        <v>0.0</v>
      </c>
      <c r="L318" s="2">
        <v>0.0</v>
      </c>
      <c r="M318" s="37">
        <v>0.0</v>
      </c>
    </row>
    <row r="319" ht="14.25" customHeight="1">
      <c r="A319" t="s">
        <v>392</v>
      </c>
      <c r="B319" t="s">
        <v>284</v>
      </c>
      <c r="C319" t="s">
        <v>75</v>
      </c>
      <c r="D319" t="s">
        <v>82</v>
      </c>
      <c r="E319">
        <v>32.14</v>
      </c>
      <c r="F319">
        <v>26.48</v>
      </c>
      <c r="G319" s="2" t="s">
        <v>64</v>
      </c>
      <c r="H319" s="2">
        <v>0.0</v>
      </c>
      <c r="I319" s="2">
        <v>0.0</v>
      </c>
      <c r="J319" s="37">
        <v>0.0</v>
      </c>
      <c r="K319" s="2">
        <v>0.0</v>
      </c>
      <c r="L319" s="2">
        <v>0.0</v>
      </c>
      <c r="M319" s="37">
        <v>0.0</v>
      </c>
    </row>
    <row r="320" ht="14.25" customHeight="1">
      <c r="A320" t="s">
        <v>393</v>
      </c>
      <c r="B320" t="s">
        <v>284</v>
      </c>
      <c r="C320" t="s">
        <v>75</v>
      </c>
      <c r="D320" t="s">
        <v>82</v>
      </c>
      <c r="E320">
        <v>32.14</v>
      </c>
      <c r="F320">
        <v>26.48</v>
      </c>
      <c r="G320" s="2" t="s">
        <v>64</v>
      </c>
      <c r="H320" s="2">
        <v>0.0</v>
      </c>
      <c r="I320" s="2">
        <v>0.0</v>
      </c>
      <c r="J320" s="37">
        <v>0.0</v>
      </c>
      <c r="K320" s="2">
        <v>0.0</v>
      </c>
      <c r="L320" s="2">
        <v>0.0</v>
      </c>
      <c r="M320" s="37">
        <v>0.0</v>
      </c>
    </row>
    <row r="321" ht="14.25" customHeight="1">
      <c r="A321" t="s">
        <v>394</v>
      </c>
      <c r="B321" t="s">
        <v>284</v>
      </c>
      <c r="C321" t="s">
        <v>75</v>
      </c>
      <c r="D321" t="s">
        <v>82</v>
      </c>
      <c r="E321">
        <v>32.14</v>
      </c>
      <c r="F321">
        <v>26.48</v>
      </c>
      <c r="G321" s="2" t="s">
        <v>64</v>
      </c>
      <c r="H321" s="2">
        <v>0.0</v>
      </c>
      <c r="I321" s="2">
        <v>0.0</v>
      </c>
      <c r="J321" s="37">
        <v>0.0</v>
      </c>
      <c r="K321" s="2">
        <v>0.0</v>
      </c>
      <c r="L321" s="2">
        <v>0.0</v>
      </c>
      <c r="M321" s="37">
        <v>0.0</v>
      </c>
    </row>
    <row r="322" ht="14.25" customHeight="1">
      <c r="A322" t="s">
        <v>395</v>
      </c>
      <c r="B322" t="s">
        <v>284</v>
      </c>
      <c r="C322" t="s">
        <v>75</v>
      </c>
      <c r="D322" t="s">
        <v>82</v>
      </c>
      <c r="E322">
        <v>32.14</v>
      </c>
      <c r="F322">
        <v>26.48</v>
      </c>
      <c r="G322" s="2" t="s">
        <v>64</v>
      </c>
      <c r="H322" s="2">
        <v>0.0</v>
      </c>
      <c r="I322" s="2">
        <v>0.0</v>
      </c>
      <c r="J322" s="37">
        <v>0.0</v>
      </c>
      <c r="K322" s="2">
        <v>0.0</v>
      </c>
      <c r="L322" s="2">
        <v>0.0</v>
      </c>
      <c r="M322" s="37">
        <v>0.0</v>
      </c>
    </row>
    <row r="323" ht="14.25" customHeight="1">
      <c r="A323" t="s">
        <v>396</v>
      </c>
      <c r="B323" t="s">
        <v>284</v>
      </c>
      <c r="C323" t="s">
        <v>75</v>
      </c>
      <c r="D323" t="s">
        <v>82</v>
      </c>
      <c r="E323">
        <v>32.14</v>
      </c>
      <c r="F323">
        <v>26.48</v>
      </c>
      <c r="G323" s="2" t="s">
        <v>64</v>
      </c>
      <c r="H323" s="2">
        <v>0.0</v>
      </c>
      <c r="I323" s="2">
        <v>0.0</v>
      </c>
      <c r="J323" s="37">
        <v>0.0</v>
      </c>
      <c r="K323" s="2">
        <v>0.0</v>
      </c>
      <c r="L323" s="2">
        <v>0.0</v>
      </c>
      <c r="M323" s="37">
        <v>0.0</v>
      </c>
    </row>
    <row r="324" ht="14.25" customHeight="1">
      <c r="A324" t="s">
        <v>397</v>
      </c>
      <c r="B324" t="s">
        <v>284</v>
      </c>
      <c r="C324" t="s">
        <v>75</v>
      </c>
      <c r="D324" t="s">
        <v>82</v>
      </c>
      <c r="E324">
        <v>32.14</v>
      </c>
      <c r="F324">
        <v>26.48</v>
      </c>
      <c r="G324" s="2" t="s">
        <v>64</v>
      </c>
      <c r="H324" s="2">
        <v>0.0</v>
      </c>
      <c r="I324" s="2">
        <v>0.0</v>
      </c>
      <c r="J324" s="37">
        <v>0.0</v>
      </c>
      <c r="K324" s="2">
        <v>0.0</v>
      </c>
      <c r="L324" s="2">
        <v>0.0</v>
      </c>
      <c r="M324" s="37">
        <v>0.0</v>
      </c>
    </row>
    <row r="325" ht="14.25" customHeight="1">
      <c r="A325" t="s">
        <v>398</v>
      </c>
      <c r="B325" t="s">
        <v>284</v>
      </c>
      <c r="C325" t="s">
        <v>75</v>
      </c>
      <c r="D325" t="s">
        <v>82</v>
      </c>
      <c r="E325">
        <v>32.14</v>
      </c>
      <c r="F325">
        <v>26.48</v>
      </c>
      <c r="G325" s="2" t="s">
        <v>64</v>
      </c>
      <c r="H325" s="2">
        <v>0.0</v>
      </c>
      <c r="I325" s="2">
        <v>0.0</v>
      </c>
      <c r="J325" s="37">
        <v>0.0</v>
      </c>
      <c r="K325" s="2">
        <v>0.0</v>
      </c>
      <c r="L325" s="2">
        <v>0.0</v>
      </c>
      <c r="M325" s="37">
        <v>0.0</v>
      </c>
    </row>
    <row r="326" ht="14.25" customHeight="1">
      <c r="A326" t="s">
        <v>399</v>
      </c>
      <c r="B326" t="s">
        <v>284</v>
      </c>
      <c r="C326" t="s">
        <v>75</v>
      </c>
      <c r="D326" t="s">
        <v>82</v>
      </c>
      <c r="E326">
        <v>32.14</v>
      </c>
      <c r="F326">
        <v>26.48</v>
      </c>
      <c r="G326" s="2" t="s">
        <v>64</v>
      </c>
      <c r="H326" s="2">
        <v>0.0</v>
      </c>
      <c r="I326" s="2">
        <v>0.0</v>
      </c>
      <c r="J326" s="37">
        <v>0.0</v>
      </c>
      <c r="K326" s="2">
        <v>0.0</v>
      </c>
      <c r="L326" s="2">
        <v>0.0</v>
      </c>
      <c r="M326" s="37">
        <v>0.0</v>
      </c>
    </row>
    <row r="327" ht="14.25" customHeight="1">
      <c r="A327" t="s">
        <v>400</v>
      </c>
      <c r="B327" t="s">
        <v>284</v>
      </c>
      <c r="C327" t="s">
        <v>75</v>
      </c>
      <c r="D327" t="s">
        <v>82</v>
      </c>
      <c r="E327">
        <v>32.14</v>
      </c>
      <c r="F327">
        <v>26.48</v>
      </c>
      <c r="G327" s="2" t="s">
        <v>64</v>
      </c>
      <c r="H327" s="2">
        <v>0.0</v>
      </c>
      <c r="I327" s="2">
        <v>0.0</v>
      </c>
      <c r="J327" s="37">
        <v>0.0</v>
      </c>
      <c r="K327" s="2">
        <v>0.0</v>
      </c>
      <c r="L327" s="2">
        <v>0.0</v>
      </c>
      <c r="M327" s="37">
        <v>0.0</v>
      </c>
    </row>
    <row r="328" ht="14.25" customHeight="1">
      <c r="A328" t="s">
        <v>401</v>
      </c>
      <c r="B328" t="s">
        <v>284</v>
      </c>
      <c r="C328" t="s">
        <v>75</v>
      </c>
      <c r="D328" t="s">
        <v>82</v>
      </c>
      <c r="E328">
        <v>32.14</v>
      </c>
      <c r="F328">
        <v>26.48</v>
      </c>
      <c r="G328" s="2" t="s">
        <v>64</v>
      </c>
      <c r="H328" s="2">
        <v>0.0</v>
      </c>
      <c r="I328" s="2">
        <v>0.0</v>
      </c>
      <c r="J328" s="37">
        <v>0.0</v>
      </c>
      <c r="K328" s="2">
        <v>0.0</v>
      </c>
      <c r="L328" s="2">
        <v>0.0</v>
      </c>
      <c r="M328" s="37">
        <v>0.0</v>
      </c>
    </row>
    <row r="329" ht="14.25" customHeight="1">
      <c r="A329" t="s">
        <v>402</v>
      </c>
      <c r="B329" t="s">
        <v>284</v>
      </c>
      <c r="C329" t="s">
        <v>75</v>
      </c>
      <c r="D329" t="s">
        <v>82</v>
      </c>
      <c r="E329">
        <v>32.14</v>
      </c>
      <c r="F329">
        <v>26.48</v>
      </c>
      <c r="G329" s="2" t="s">
        <v>64</v>
      </c>
      <c r="H329" s="2">
        <v>0.0</v>
      </c>
      <c r="I329" s="2">
        <v>0.0</v>
      </c>
      <c r="J329" s="37">
        <v>0.0</v>
      </c>
      <c r="K329" s="2">
        <v>0.0</v>
      </c>
      <c r="L329" s="2">
        <v>0.0</v>
      </c>
      <c r="M329" s="37">
        <v>0.0</v>
      </c>
    </row>
    <row r="330" ht="14.25" customHeight="1">
      <c r="A330" t="s">
        <v>403</v>
      </c>
      <c r="B330" t="s">
        <v>284</v>
      </c>
      <c r="C330" t="s">
        <v>75</v>
      </c>
      <c r="D330" t="s">
        <v>82</v>
      </c>
      <c r="E330">
        <v>32.14</v>
      </c>
      <c r="F330">
        <v>26.48</v>
      </c>
      <c r="G330" s="2" t="s">
        <v>64</v>
      </c>
      <c r="H330" s="2">
        <v>0.0</v>
      </c>
      <c r="I330" s="2">
        <v>0.0</v>
      </c>
      <c r="J330" s="37">
        <v>0.0</v>
      </c>
      <c r="K330" s="2">
        <v>0.0</v>
      </c>
      <c r="L330" s="2">
        <v>0.0</v>
      </c>
      <c r="M330" s="37">
        <v>0.0</v>
      </c>
    </row>
    <row r="331" ht="14.25" customHeight="1">
      <c r="A331" t="s">
        <v>404</v>
      </c>
      <c r="B331" t="s">
        <v>284</v>
      </c>
      <c r="C331" t="s">
        <v>75</v>
      </c>
      <c r="D331" t="s">
        <v>63</v>
      </c>
      <c r="E331">
        <v>32.14</v>
      </c>
      <c r="F331">
        <v>26.48</v>
      </c>
      <c r="G331" s="2" t="s">
        <v>64</v>
      </c>
      <c r="H331" s="2">
        <v>0.0</v>
      </c>
      <c r="I331" s="2">
        <v>0.0</v>
      </c>
      <c r="J331" s="37">
        <v>0.0</v>
      </c>
      <c r="K331" s="2">
        <v>0.0</v>
      </c>
      <c r="L331" s="2">
        <v>0.0</v>
      </c>
      <c r="M331" s="37">
        <v>0.0</v>
      </c>
    </row>
    <row r="332" ht="14.25" customHeight="1">
      <c r="A332" t="s">
        <v>405</v>
      </c>
      <c r="B332" t="s">
        <v>284</v>
      </c>
      <c r="C332" t="s">
        <v>75</v>
      </c>
      <c r="D332" t="s">
        <v>63</v>
      </c>
      <c r="E332">
        <v>32.14</v>
      </c>
      <c r="F332">
        <v>26.48</v>
      </c>
      <c r="G332" s="2" t="s">
        <v>64</v>
      </c>
      <c r="H332" s="2">
        <v>0.0</v>
      </c>
      <c r="I332" s="2">
        <v>0.0</v>
      </c>
      <c r="J332" s="37">
        <v>0.0</v>
      </c>
      <c r="K332" s="2">
        <v>0.0</v>
      </c>
      <c r="L332" s="2">
        <v>0.0</v>
      </c>
      <c r="M332" s="37">
        <v>0.0</v>
      </c>
    </row>
    <row r="333" ht="14.25" customHeight="1">
      <c r="A333" t="s">
        <v>406</v>
      </c>
      <c r="B333" t="s">
        <v>284</v>
      </c>
      <c r="C333" t="s">
        <v>75</v>
      </c>
      <c r="D333" t="s">
        <v>63</v>
      </c>
      <c r="E333">
        <v>32.14</v>
      </c>
      <c r="F333">
        <v>26.48</v>
      </c>
      <c r="G333" s="2" t="s">
        <v>64</v>
      </c>
      <c r="H333" s="2">
        <v>0.0</v>
      </c>
      <c r="I333" s="2">
        <v>0.0</v>
      </c>
      <c r="J333" s="37">
        <v>0.0</v>
      </c>
      <c r="K333" s="2">
        <v>0.0</v>
      </c>
      <c r="L333" s="2">
        <v>0.0</v>
      </c>
      <c r="M333" s="37">
        <v>0.0</v>
      </c>
    </row>
    <row r="334" ht="14.25" customHeight="1">
      <c r="A334" t="s">
        <v>407</v>
      </c>
      <c r="B334" t="s">
        <v>284</v>
      </c>
      <c r="C334" t="s">
        <v>75</v>
      </c>
      <c r="D334" t="s">
        <v>63</v>
      </c>
      <c r="E334">
        <v>32.14</v>
      </c>
      <c r="F334">
        <v>26.48</v>
      </c>
      <c r="G334" s="2" t="s">
        <v>64</v>
      </c>
      <c r="H334" s="2">
        <v>0.0</v>
      </c>
      <c r="I334" s="2">
        <v>0.0</v>
      </c>
      <c r="J334" s="37">
        <v>0.0</v>
      </c>
      <c r="K334" s="2">
        <v>0.0</v>
      </c>
      <c r="L334" s="2">
        <v>0.0</v>
      </c>
      <c r="M334" s="37">
        <v>0.0</v>
      </c>
    </row>
    <row r="335" ht="14.25" customHeight="1">
      <c r="A335" t="s">
        <v>408</v>
      </c>
      <c r="B335" t="s">
        <v>284</v>
      </c>
      <c r="C335" t="s">
        <v>75</v>
      </c>
      <c r="D335" t="s">
        <v>63</v>
      </c>
      <c r="E335">
        <v>32.14</v>
      </c>
      <c r="F335">
        <v>26.48</v>
      </c>
      <c r="G335" s="2" t="s">
        <v>64</v>
      </c>
      <c r="H335" s="2">
        <v>0.0</v>
      </c>
      <c r="I335" s="2">
        <v>0.0</v>
      </c>
      <c r="J335" s="37">
        <v>0.0</v>
      </c>
      <c r="K335" s="2">
        <v>0.0</v>
      </c>
      <c r="L335" s="2">
        <v>0.0</v>
      </c>
      <c r="M335" s="37">
        <v>0.0</v>
      </c>
    </row>
    <row r="336" ht="14.25" customHeight="1">
      <c r="A336" t="s">
        <v>409</v>
      </c>
      <c r="B336" t="s">
        <v>284</v>
      </c>
      <c r="C336" t="s">
        <v>75</v>
      </c>
      <c r="D336" t="s">
        <v>63</v>
      </c>
      <c r="E336">
        <v>32.14</v>
      </c>
      <c r="F336">
        <v>26.48</v>
      </c>
      <c r="G336" s="2" t="s">
        <v>64</v>
      </c>
      <c r="H336" s="2">
        <v>0.0</v>
      </c>
      <c r="I336" s="2">
        <v>0.0</v>
      </c>
      <c r="J336" s="37">
        <v>0.0</v>
      </c>
      <c r="K336" s="2">
        <v>0.0</v>
      </c>
      <c r="L336" s="2">
        <v>0.0</v>
      </c>
      <c r="M336" s="37">
        <v>0.0</v>
      </c>
    </row>
    <row r="337" ht="14.25" customHeight="1">
      <c r="A337" t="s">
        <v>410</v>
      </c>
      <c r="B337" t="s">
        <v>284</v>
      </c>
      <c r="C337" t="s">
        <v>75</v>
      </c>
      <c r="D337" t="s">
        <v>82</v>
      </c>
      <c r="E337">
        <v>23.36</v>
      </c>
      <c r="F337">
        <v>20.36</v>
      </c>
      <c r="G337" s="2" t="s">
        <v>64</v>
      </c>
      <c r="H337" s="2">
        <v>0.0</v>
      </c>
      <c r="I337" s="2">
        <v>0.0</v>
      </c>
      <c r="J337" s="37">
        <v>0.0</v>
      </c>
      <c r="K337" s="2">
        <v>0.0</v>
      </c>
      <c r="L337" s="2">
        <v>0.0</v>
      </c>
      <c r="M337" s="37">
        <v>0.0</v>
      </c>
    </row>
    <row r="338" ht="14.25" customHeight="1">
      <c r="A338" t="s">
        <v>411</v>
      </c>
      <c r="B338" t="s">
        <v>284</v>
      </c>
      <c r="C338" t="s">
        <v>75</v>
      </c>
      <c r="D338" t="s">
        <v>82</v>
      </c>
      <c r="E338">
        <v>23.36</v>
      </c>
      <c r="F338">
        <v>20.36</v>
      </c>
      <c r="G338" s="2" t="s">
        <v>64</v>
      </c>
      <c r="H338" s="2">
        <v>0.0</v>
      </c>
      <c r="I338" s="2">
        <v>0.0</v>
      </c>
      <c r="J338" s="37">
        <v>0.0</v>
      </c>
      <c r="K338" s="2">
        <v>0.0</v>
      </c>
      <c r="L338" s="2">
        <v>0.0</v>
      </c>
      <c r="M338" s="37">
        <v>0.0</v>
      </c>
    </row>
    <row r="339" ht="14.25" customHeight="1">
      <c r="A339" t="s">
        <v>412</v>
      </c>
      <c r="B339" t="s">
        <v>284</v>
      </c>
      <c r="C339" t="s">
        <v>75</v>
      </c>
      <c r="D339" t="s">
        <v>82</v>
      </c>
      <c r="E339">
        <v>23.36</v>
      </c>
      <c r="F339">
        <v>20.36</v>
      </c>
      <c r="G339" s="2" t="s">
        <v>64</v>
      </c>
      <c r="H339" s="2">
        <v>0.0</v>
      </c>
      <c r="I339" s="2">
        <v>0.0</v>
      </c>
      <c r="J339" s="37">
        <v>0.0</v>
      </c>
      <c r="K339" s="2">
        <v>0.0</v>
      </c>
      <c r="L339" s="2">
        <v>0.0</v>
      </c>
      <c r="M339" s="37">
        <v>0.0</v>
      </c>
    </row>
    <row r="340" ht="14.25" customHeight="1">
      <c r="A340" t="s">
        <v>413</v>
      </c>
      <c r="B340" t="s">
        <v>284</v>
      </c>
      <c r="C340" t="s">
        <v>75</v>
      </c>
      <c r="D340" t="s">
        <v>82</v>
      </c>
      <c r="E340">
        <v>23.36</v>
      </c>
      <c r="F340">
        <v>20.36</v>
      </c>
      <c r="G340" s="2" t="s">
        <v>64</v>
      </c>
      <c r="H340" s="2">
        <v>0.0</v>
      </c>
      <c r="I340" s="2">
        <v>0.0</v>
      </c>
      <c r="J340" s="37">
        <v>0.0</v>
      </c>
      <c r="K340" s="2">
        <v>0.0</v>
      </c>
      <c r="L340" s="2">
        <v>0.0</v>
      </c>
      <c r="M340" s="37">
        <v>0.0</v>
      </c>
    </row>
    <row r="341" ht="14.25" customHeight="1">
      <c r="A341" t="s">
        <v>414</v>
      </c>
      <c r="B341" t="s">
        <v>284</v>
      </c>
      <c r="C341" t="s">
        <v>75</v>
      </c>
      <c r="D341" t="s">
        <v>82</v>
      </c>
      <c r="E341">
        <v>23.36</v>
      </c>
      <c r="F341">
        <v>20.36</v>
      </c>
      <c r="G341" s="2" t="s">
        <v>64</v>
      </c>
      <c r="H341" s="2">
        <v>0.0</v>
      </c>
      <c r="I341" s="2">
        <v>0.0</v>
      </c>
      <c r="J341" s="37">
        <v>0.0</v>
      </c>
      <c r="K341" s="2">
        <v>0.0</v>
      </c>
      <c r="L341" s="2">
        <v>0.0</v>
      </c>
      <c r="M341" s="37">
        <v>0.0</v>
      </c>
    </row>
    <row r="342" ht="14.25" customHeight="1">
      <c r="A342" t="s">
        <v>415</v>
      </c>
      <c r="B342" t="s">
        <v>284</v>
      </c>
      <c r="C342" t="s">
        <v>75</v>
      </c>
      <c r="D342" t="s">
        <v>82</v>
      </c>
      <c r="E342">
        <v>23.36</v>
      </c>
      <c r="F342">
        <v>20.36</v>
      </c>
      <c r="G342" s="2" t="s">
        <v>64</v>
      </c>
      <c r="H342" s="2">
        <v>0.0</v>
      </c>
      <c r="I342" s="2">
        <v>0.0</v>
      </c>
      <c r="J342" s="37">
        <v>0.0</v>
      </c>
      <c r="K342" s="2">
        <v>0.0</v>
      </c>
      <c r="L342" s="2">
        <v>0.0</v>
      </c>
      <c r="M342" s="37">
        <v>0.0</v>
      </c>
    </row>
    <row r="343" ht="14.25" customHeight="1">
      <c r="A343" t="s">
        <v>416</v>
      </c>
      <c r="B343" t="s">
        <v>284</v>
      </c>
      <c r="C343" t="s">
        <v>75</v>
      </c>
      <c r="D343" t="s">
        <v>82</v>
      </c>
      <c r="E343">
        <v>23.36</v>
      </c>
      <c r="F343">
        <v>20.36</v>
      </c>
      <c r="G343" s="2" t="s">
        <v>64</v>
      </c>
      <c r="H343" s="2">
        <v>0.0</v>
      </c>
      <c r="I343" s="2">
        <v>0.0</v>
      </c>
      <c r="J343" s="37">
        <v>0.0</v>
      </c>
      <c r="K343" s="2">
        <v>0.0</v>
      </c>
      <c r="L343" s="2">
        <v>0.0</v>
      </c>
      <c r="M343" s="37">
        <v>0.0</v>
      </c>
    </row>
    <row r="344" ht="14.25" customHeight="1">
      <c r="A344" t="s">
        <v>417</v>
      </c>
      <c r="B344" t="s">
        <v>284</v>
      </c>
      <c r="C344" t="s">
        <v>75</v>
      </c>
      <c r="D344" t="s">
        <v>82</v>
      </c>
      <c r="E344">
        <v>23.36</v>
      </c>
      <c r="F344">
        <v>20.36</v>
      </c>
      <c r="G344" s="2" t="s">
        <v>64</v>
      </c>
      <c r="H344" s="2">
        <v>0.0</v>
      </c>
      <c r="I344" s="2">
        <v>0.0</v>
      </c>
      <c r="J344" s="37">
        <v>0.0</v>
      </c>
      <c r="K344" s="2">
        <v>0.0</v>
      </c>
      <c r="L344" s="2">
        <v>0.0</v>
      </c>
      <c r="M344" s="37">
        <v>0.0</v>
      </c>
    </row>
    <row r="345" ht="14.25" customHeight="1">
      <c r="A345" t="s">
        <v>418</v>
      </c>
      <c r="B345" t="s">
        <v>284</v>
      </c>
      <c r="C345" t="s">
        <v>75</v>
      </c>
      <c r="D345" t="s">
        <v>82</v>
      </c>
      <c r="E345">
        <v>23.36</v>
      </c>
      <c r="F345">
        <v>20.36</v>
      </c>
      <c r="G345" s="2" t="s">
        <v>64</v>
      </c>
      <c r="H345" s="2">
        <v>0.0</v>
      </c>
      <c r="I345" s="2">
        <v>0.0</v>
      </c>
      <c r="J345" s="37">
        <v>0.0</v>
      </c>
      <c r="K345" s="2">
        <v>0.0</v>
      </c>
      <c r="L345" s="2">
        <v>0.0</v>
      </c>
      <c r="M345" s="37">
        <v>0.0</v>
      </c>
    </row>
    <row r="346" ht="14.25" customHeight="1">
      <c r="A346" t="s">
        <v>419</v>
      </c>
      <c r="B346" t="s">
        <v>284</v>
      </c>
      <c r="C346" t="s">
        <v>75</v>
      </c>
      <c r="D346" t="s">
        <v>82</v>
      </c>
      <c r="E346">
        <v>23.36</v>
      </c>
      <c r="F346">
        <v>20.36</v>
      </c>
      <c r="G346" s="2" t="s">
        <v>64</v>
      </c>
      <c r="H346" s="2">
        <v>0.0</v>
      </c>
      <c r="I346" s="2">
        <v>0.0</v>
      </c>
      <c r="J346" s="37">
        <v>0.0</v>
      </c>
      <c r="K346" s="2">
        <v>0.0</v>
      </c>
      <c r="L346" s="2">
        <v>0.0</v>
      </c>
      <c r="M346" s="37">
        <v>0.0</v>
      </c>
    </row>
    <row r="347" ht="14.25" customHeight="1">
      <c r="A347" t="s">
        <v>420</v>
      </c>
      <c r="B347" t="s">
        <v>284</v>
      </c>
      <c r="C347" t="s">
        <v>75</v>
      </c>
      <c r="D347" t="s">
        <v>82</v>
      </c>
      <c r="E347">
        <v>22.4</v>
      </c>
      <c r="F347">
        <v>22.73</v>
      </c>
      <c r="G347" s="2" t="s">
        <v>64</v>
      </c>
      <c r="H347" s="2">
        <v>0.0</v>
      </c>
      <c r="I347" s="2">
        <v>0.0</v>
      </c>
      <c r="J347" s="37">
        <v>0.0</v>
      </c>
      <c r="K347" s="2">
        <v>0.0</v>
      </c>
      <c r="L347" s="2">
        <v>0.0</v>
      </c>
      <c r="M347" s="37">
        <v>0.0</v>
      </c>
    </row>
    <row r="348" ht="14.25" customHeight="1">
      <c r="A348" t="s">
        <v>421</v>
      </c>
      <c r="B348" t="s">
        <v>284</v>
      </c>
      <c r="C348" t="s">
        <v>75</v>
      </c>
      <c r="D348" t="s">
        <v>82</v>
      </c>
      <c r="E348">
        <v>22.4</v>
      </c>
      <c r="F348">
        <v>22.73</v>
      </c>
      <c r="G348" s="2" t="s">
        <v>64</v>
      </c>
      <c r="H348" s="2">
        <v>0.0</v>
      </c>
      <c r="I348" s="2">
        <v>0.0</v>
      </c>
      <c r="J348" s="37">
        <v>0.0</v>
      </c>
      <c r="K348" s="2">
        <v>0.0</v>
      </c>
      <c r="L348" s="2">
        <v>0.0</v>
      </c>
      <c r="M348" s="37">
        <v>0.0</v>
      </c>
    </row>
    <row r="349" ht="14.25" customHeight="1">
      <c r="A349" t="s">
        <v>422</v>
      </c>
      <c r="B349" t="s">
        <v>284</v>
      </c>
      <c r="C349" t="s">
        <v>75</v>
      </c>
      <c r="D349" t="s">
        <v>82</v>
      </c>
      <c r="E349">
        <v>22.4</v>
      </c>
      <c r="F349">
        <v>22.73</v>
      </c>
      <c r="G349" s="2" t="s">
        <v>64</v>
      </c>
      <c r="H349" s="2">
        <v>0.0</v>
      </c>
      <c r="I349" s="2">
        <v>0.0</v>
      </c>
      <c r="J349" s="37">
        <v>0.0</v>
      </c>
      <c r="K349" s="2">
        <v>0.0</v>
      </c>
      <c r="L349" s="2">
        <v>0.0</v>
      </c>
      <c r="M349" s="37">
        <v>0.0</v>
      </c>
    </row>
    <row r="350" ht="14.25" customHeight="1">
      <c r="A350" t="s">
        <v>423</v>
      </c>
      <c r="B350" t="s">
        <v>284</v>
      </c>
      <c r="C350" t="s">
        <v>75</v>
      </c>
      <c r="D350" t="s">
        <v>82</v>
      </c>
      <c r="E350">
        <v>22.4</v>
      </c>
      <c r="F350">
        <v>22.73</v>
      </c>
      <c r="G350" s="2" t="s">
        <v>64</v>
      </c>
      <c r="H350" s="2">
        <v>0.0</v>
      </c>
      <c r="I350" s="2">
        <v>0.0</v>
      </c>
      <c r="J350" s="37">
        <v>0.0</v>
      </c>
      <c r="K350" s="2">
        <v>0.0</v>
      </c>
      <c r="L350" s="2">
        <v>0.0</v>
      </c>
      <c r="M350" s="37">
        <v>0.0</v>
      </c>
    </row>
    <row r="351" ht="14.25" customHeight="1">
      <c r="A351" t="s">
        <v>424</v>
      </c>
      <c r="B351" t="s">
        <v>284</v>
      </c>
      <c r="C351" t="s">
        <v>75</v>
      </c>
      <c r="D351" t="s">
        <v>82</v>
      </c>
      <c r="E351">
        <v>22.4</v>
      </c>
      <c r="F351">
        <v>22.73</v>
      </c>
      <c r="G351" s="2" t="s">
        <v>64</v>
      </c>
      <c r="H351" s="2">
        <v>0.0</v>
      </c>
      <c r="I351" s="2">
        <v>0.0</v>
      </c>
      <c r="J351" s="37">
        <v>0.0</v>
      </c>
      <c r="K351" s="2">
        <v>0.0</v>
      </c>
      <c r="L351" s="2">
        <v>0.0</v>
      </c>
      <c r="M351" s="37">
        <v>0.0</v>
      </c>
    </row>
    <row r="352" ht="14.25" customHeight="1">
      <c r="A352" t="s">
        <v>425</v>
      </c>
      <c r="B352" t="s">
        <v>284</v>
      </c>
      <c r="C352" t="s">
        <v>75</v>
      </c>
      <c r="D352" t="s">
        <v>82</v>
      </c>
      <c r="E352">
        <v>22.4</v>
      </c>
      <c r="F352">
        <v>22.73</v>
      </c>
      <c r="G352" s="2" t="s">
        <v>64</v>
      </c>
      <c r="H352" s="2">
        <v>0.0</v>
      </c>
      <c r="I352" s="2">
        <v>0.0</v>
      </c>
      <c r="J352" s="37">
        <v>0.0</v>
      </c>
      <c r="K352" s="2">
        <v>0.0</v>
      </c>
      <c r="L352" s="2">
        <v>0.0</v>
      </c>
      <c r="M352" s="37">
        <v>0.0</v>
      </c>
    </row>
    <row r="353" ht="14.25" customHeight="1">
      <c r="A353" t="s">
        <v>426</v>
      </c>
      <c r="B353" t="s">
        <v>284</v>
      </c>
      <c r="C353" t="s">
        <v>75</v>
      </c>
      <c r="D353" t="s">
        <v>82</v>
      </c>
      <c r="E353">
        <v>22.4</v>
      </c>
      <c r="F353">
        <v>22.73</v>
      </c>
      <c r="G353" s="2" t="s">
        <v>64</v>
      </c>
      <c r="H353" s="2">
        <v>0.0</v>
      </c>
      <c r="I353" s="2">
        <v>0.0</v>
      </c>
      <c r="J353" s="37">
        <v>0.0</v>
      </c>
      <c r="K353" s="2">
        <v>0.0</v>
      </c>
      <c r="L353" s="2">
        <v>0.0</v>
      </c>
      <c r="M353" s="37">
        <v>0.0</v>
      </c>
    </row>
    <row r="354" ht="14.25" customHeight="1">
      <c r="A354" t="s">
        <v>427</v>
      </c>
      <c r="B354" t="s">
        <v>284</v>
      </c>
      <c r="C354" t="s">
        <v>75</v>
      </c>
      <c r="D354" t="s">
        <v>82</v>
      </c>
      <c r="E354">
        <v>22.4</v>
      </c>
      <c r="F354">
        <v>22.73</v>
      </c>
      <c r="G354" s="2" t="s">
        <v>64</v>
      </c>
      <c r="H354" s="2">
        <v>0.0</v>
      </c>
      <c r="I354" s="2">
        <v>0.0</v>
      </c>
      <c r="J354" s="37">
        <v>0.0</v>
      </c>
      <c r="K354" s="2">
        <v>0.0</v>
      </c>
      <c r="L354" s="2">
        <v>0.0</v>
      </c>
      <c r="M354" s="37">
        <v>0.0</v>
      </c>
    </row>
    <row r="355" ht="14.25" customHeight="1">
      <c r="A355" t="s">
        <v>428</v>
      </c>
      <c r="B355" t="s">
        <v>284</v>
      </c>
      <c r="C355" t="s">
        <v>75</v>
      </c>
      <c r="D355" t="s">
        <v>82</v>
      </c>
      <c r="E355">
        <v>22.4</v>
      </c>
      <c r="F355">
        <v>22.73</v>
      </c>
      <c r="G355" s="2" t="s">
        <v>64</v>
      </c>
      <c r="H355" s="2">
        <v>0.0</v>
      </c>
      <c r="I355" s="2">
        <v>0.0</v>
      </c>
      <c r="J355" s="37">
        <v>0.0</v>
      </c>
      <c r="K355" s="2">
        <v>0.0</v>
      </c>
      <c r="L355" s="2">
        <v>0.0</v>
      </c>
      <c r="M355" s="37">
        <v>0.0</v>
      </c>
    </row>
    <row r="356" ht="14.25" customHeight="1">
      <c r="A356" t="s">
        <v>429</v>
      </c>
      <c r="B356" t="s">
        <v>284</v>
      </c>
      <c r="C356" t="s">
        <v>75</v>
      </c>
      <c r="D356" t="s">
        <v>82</v>
      </c>
      <c r="E356">
        <v>22.4</v>
      </c>
      <c r="F356">
        <v>22.73</v>
      </c>
      <c r="G356" s="2" t="s">
        <v>64</v>
      </c>
      <c r="H356" s="2">
        <v>0.0</v>
      </c>
      <c r="I356" s="2">
        <v>0.0</v>
      </c>
      <c r="J356" s="37">
        <v>0.0</v>
      </c>
      <c r="K356" s="2">
        <v>0.0</v>
      </c>
      <c r="L356" s="2">
        <v>0.0</v>
      </c>
      <c r="M356" s="37">
        <v>0.0</v>
      </c>
    </row>
    <row r="357" ht="14.25" customHeight="1">
      <c r="A357" t="s">
        <v>430</v>
      </c>
      <c r="B357" t="s">
        <v>431</v>
      </c>
      <c r="C357" t="s">
        <v>62</v>
      </c>
      <c r="D357" t="s">
        <v>63</v>
      </c>
      <c r="E357">
        <v>3.5</v>
      </c>
      <c r="F357">
        <v>4.5</v>
      </c>
      <c r="G357" s="2" t="s">
        <v>64</v>
      </c>
      <c r="H357" s="2">
        <v>0.0</v>
      </c>
      <c r="I357" s="2">
        <v>0.0</v>
      </c>
      <c r="J357" s="37">
        <v>0.0</v>
      </c>
      <c r="K357" s="2">
        <v>0.0</v>
      </c>
      <c r="L357" s="2">
        <v>0.0</v>
      </c>
      <c r="M357" s="37">
        <v>0.0</v>
      </c>
    </row>
    <row r="358" ht="14.25" customHeight="1">
      <c r="A358" t="s">
        <v>432</v>
      </c>
      <c r="B358" t="s">
        <v>431</v>
      </c>
      <c r="C358" t="s">
        <v>62</v>
      </c>
      <c r="D358" t="s">
        <v>268</v>
      </c>
      <c r="E358">
        <v>4.689</v>
      </c>
      <c r="F358">
        <v>3.283</v>
      </c>
      <c r="G358" s="2" t="s">
        <v>64</v>
      </c>
      <c r="H358" s="2">
        <v>0.0</v>
      </c>
      <c r="I358" s="2">
        <v>0.0</v>
      </c>
      <c r="J358" s="37">
        <v>0.0</v>
      </c>
      <c r="K358" s="2">
        <v>0.0</v>
      </c>
      <c r="L358" s="2">
        <v>0.0</v>
      </c>
      <c r="M358" s="37">
        <v>0.0</v>
      </c>
    </row>
    <row r="359" ht="14.25" customHeight="1">
      <c r="A359" t="s">
        <v>433</v>
      </c>
      <c r="B359" t="s">
        <v>431</v>
      </c>
      <c r="C359" t="s">
        <v>62</v>
      </c>
      <c r="D359" t="s">
        <v>268</v>
      </c>
      <c r="E359">
        <v>3.3</v>
      </c>
      <c r="F359">
        <v>2.6</v>
      </c>
      <c r="G359" s="2" t="s">
        <v>64</v>
      </c>
      <c r="H359" s="2">
        <v>0.0</v>
      </c>
      <c r="I359" s="2">
        <v>0.0</v>
      </c>
      <c r="J359" s="37">
        <v>0.0</v>
      </c>
      <c r="K359" s="2">
        <v>0.0</v>
      </c>
      <c r="L359" s="2">
        <v>0.0</v>
      </c>
      <c r="M359" s="37">
        <v>0.0</v>
      </c>
    </row>
    <row r="360" ht="14.25" customHeight="1">
      <c r="A360" t="s">
        <v>434</v>
      </c>
      <c r="B360" t="s">
        <v>435</v>
      </c>
      <c r="C360" t="s">
        <v>62</v>
      </c>
      <c r="D360" t="s">
        <v>63</v>
      </c>
      <c r="E360">
        <v>2.5</v>
      </c>
      <c r="F360">
        <v>3.2</v>
      </c>
      <c r="G360" s="2" t="s">
        <v>67</v>
      </c>
      <c r="H360" s="2">
        <v>8.0</v>
      </c>
      <c r="I360" s="2">
        <v>48.0</v>
      </c>
      <c r="J360" s="37">
        <v>242.08</v>
      </c>
      <c r="K360" s="2">
        <v>9.0</v>
      </c>
      <c r="L360" s="2">
        <v>68.0</v>
      </c>
      <c r="M360" s="37">
        <v>290.54</v>
      </c>
    </row>
    <row r="361" ht="14.25" customHeight="1">
      <c r="A361" t="s">
        <v>436</v>
      </c>
      <c r="B361" t="s">
        <v>435</v>
      </c>
      <c r="C361" t="s">
        <v>62</v>
      </c>
      <c r="D361" t="s">
        <v>63</v>
      </c>
      <c r="E361">
        <v>5.0</v>
      </c>
      <c r="F361">
        <v>6.0</v>
      </c>
      <c r="G361" s="2" t="s">
        <v>67</v>
      </c>
      <c r="H361" s="2">
        <v>17.0</v>
      </c>
      <c r="I361" s="2">
        <v>92.0</v>
      </c>
      <c r="J361" s="37">
        <v>501.42</v>
      </c>
      <c r="K361" s="2">
        <v>20.0</v>
      </c>
      <c r="L361" s="2">
        <v>138.0</v>
      </c>
      <c r="M361" s="37">
        <v>628.6</v>
      </c>
    </row>
    <row r="362" ht="14.25" customHeight="1">
      <c r="A362" t="s">
        <v>437</v>
      </c>
      <c r="B362" t="s">
        <v>438</v>
      </c>
      <c r="C362" t="s">
        <v>75</v>
      </c>
      <c r="D362" t="s">
        <v>63</v>
      </c>
      <c r="E362">
        <v>7.3</v>
      </c>
      <c r="F362">
        <v>7.5</v>
      </c>
      <c r="G362" s="2" t="s">
        <v>67</v>
      </c>
      <c r="H362" s="2">
        <v>24.0</v>
      </c>
      <c r="I362" s="2">
        <v>75.0</v>
      </c>
      <c r="J362" s="37">
        <v>636.54</v>
      </c>
      <c r="K362" s="2">
        <v>28.0</v>
      </c>
      <c r="L362" s="2">
        <v>150.0</v>
      </c>
      <c r="M362" s="37">
        <v>823.88</v>
      </c>
    </row>
    <row r="363" ht="14.25" customHeight="1">
      <c r="A363" t="s">
        <v>439</v>
      </c>
      <c r="B363" t="s">
        <v>438</v>
      </c>
      <c r="C363" t="s">
        <v>75</v>
      </c>
      <c r="D363" t="s">
        <v>63</v>
      </c>
      <c r="E363">
        <v>10.5</v>
      </c>
      <c r="F363">
        <v>11.5</v>
      </c>
      <c r="G363" s="2" t="s">
        <v>67</v>
      </c>
      <c r="H363" s="2">
        <v>37.0</v>
      </c>
      <c r="I363" s="2">
        <v>55.0</v>
      </c>
      <c r="J363" s="37">
        <v>902.52</v>
      </c>
      <c r="K363" s="2">
        <v>42.0</v>
      </c>
      <c r="L363" s="2">
        <v>163.0</v>
      </c>
      <c r="M363" s="37">
        <v>1155.22</v>
      </c>
    </row>
    <row r="364" ht="14.25" customHeight="1">
      <c r="A364" t="s">
        <v>440</v>
      </c>
      <c r="B364" t="s">
        <v>441</v>
      </c>
      <c r="C364" t="s">
        <v>62</v>
      </c>
      <c r="D364" t="s">
        <v>268</v>
      </c>
      <c r="E364">
        <v>4.2</v>
      </c>
      <c r="F364">
        <v>2.88</v>
      </c>
      <c r="G364" s="2" t="s">
        <v>64</v>
      </c>
      <c r="H364" s="2">
        <v>0.0</v>
      </c>
      <c r="I364" s="2">
        <v>0.0</v>
      </c>
      <c r="J364" s="37">
        <v>0.0</v>
      </c>
      <c r="K364" s="2">
        <v>0.0</v>
      </c>
      <c r="L364" s="2">
        <v>0.0</v>
      </c>
      <c r="M364" s="37">
        <v>0.0</v>
      </c>
    </row>
    <row r="365" ht="14.25" customHeight="1">
      <c r="A365" t="s">
        <v>442</v>
      </c>
      <c r="B365" t="s">
        <v>441</v>
      </c>
      <c r="C365" t="s">
        <v>62</v>
      </c>
      <c r="D365" t="s">
        <v>268</v>
      </c>
      <c r="E365">
        <v>4.2</v>
      </c>
      <c r="F365">
        <v>2.88</v>
      </c>
      <c r="G365" s="2" t="s">
        <v>64</v>
      </c>
      <c r="H365" s="2">
        <v>0.0</v>
      </c>
      <c r="I365" s="2">
        <v>0.0</v>
      </c>
      <c r="J365" s="37">
        <v>0.0</v>
      </c>
      <c r="K365" s="2">
        <v>0.0</v>
      </c>
      <c r="L365" s="2">
        <v>0.0</v>
      </c>
      <c r="M365" s="37">
        <v>0.0</v>
      </c>
    </row>
    <row r="366" ht="14.25" customHeight="1">
      <c r="A366" t="s">
        <v>443</v>
      </c>
      <c r="B366" t="s">
        <v>441</v>
      </c>
      <c r="C366" t="s">
        <v>62</v>
      </c>
      <c r="D366" t="s">
        <v>268</v>
      </c>
      <c r="E366">
        <v>4.2</v>
      </c>
      <c r="F366">
        <v>2.88</v>
      </c>
      <c r="G366" s="2" t="s">
        <v>64</v>
      </c>
      <c r="H366" s="2">
        <v>0.0</v>
      </c>
      <c r="I366" s="2">
        <v>0.0</v>
      </c>
      <c r="J366" s="37">
        <v>0.0</v>
      </c>
      <c r="K366" s="2">
        <v>0.0</v>
      </c>
      <c r="L366" s="2">
        <v>0.0</v>
      </c>
      <c r="M366" s="37">
        <v>0.0</v>
      </c>
    </row>
    <row r="367" ht="14.25" customHeight="1">
      <c r="A367" t="s">
        <v>444</v>
      </c>
      <c r="B367" t="s">
        <v>445</v>
      </c>
      <c r="C367" t="s">
        <v>75</v>
      </c>
      <c r="D367" t="s">
        <v>63</v>
      </c>
      <c r="E367">
        <v>10.0</v>
      </c>
      <c r="F367">
        <v>11.5</v>
      </c>
      <c r="G367" s="2" t="s">
        <v>64</v>
      </c>
      <c r="H367" s="2">
        <v>0.0</v>
      </c>
      <c r="I367" s="2">
        <v>0.0</v>
      </c>
      <c r="J367" s="37">
        <v>0.0</v>
      </c>
      <c r="K367" s="2">
        <v>0.0</v>
      </c>
      <c r="L367" s="2">
        <v>0.0</v>
      </c>
      <c r="M367" s="37">
        <v>0.0</v>
      </c>
    </row>
    <row r="368" ht="14.25" customHeight="1">
      <c r="A368" t="s">
        <v>446</v>
      </c>
      <c r="B368" t="s">
        <v>445</v>
      </c>
      <c r="C368" t="s">
        <v>75</v>
      </c>
      <c r="D368" t="s">
        <v>63</v>
      </c>
      <c r="E368">
        <v>12.5</v>
      </c>
      <c r="F368">
        <v>13.5</v>
      </c>
      <c r="G368" s="2" t="s">
        <v>64</v>
      </c>
      <c r="H368" s="2">
        <v>0.0</v>
      </c>
      <c r="I368" s="2">
        <v>0.0</v>
      </c>
      <c r="J368" s="37">
        <v>0.0</v>
      </c>
      <c r="K368" s="2">
        <v>0.0</v>
      </c>
      <c r="L368" s="2">
        <v>0.0</v>
      </c>
      <c r="M368" s="37">
        <v>0.0</v>
      </c>
    </row>
    <row r="369" ht="14.25" customHeight="1">
      <c r="A369" t="s">
        <v>447</v>
      </c>
      <c r="B369" t="s">
        <v>445</v>
      </c>
      <c r="C369" t="s">
        <v>75</v>
      </c>
      <c r="D369" t="s">
        <v>63</v>
      </c>
      <c r="E369">
        <v>13.5</v>
      </c>
      <c r="F369">
        <v>16.0</v>
      </c>
      <c r="G369" s="2" t="s">
        <v>64</v>
      </c>
      <c r="H369" s="2">
        <v>0.0</v>
      </c>
      <c r="I369" s="2">
        <v>0.0</v>
      </c>
      <c r="J369" s="37">
        <v>0.0</v>
      </c>
      <c r="K369" s="2">
        <v>0.0</v>
      </c>
      <c r="L369" s="2">
        <v>0.0</v>
      </c>
      <c r="M369" s="37">
        <v>0.0</v>
      </c>
    </row>
    <row r="370" ht="14.25" customHeight="1">
      <c r="A370" t="s">
        <v>448</v>
      </c>
      <c r="B370" t="s">
        <v>445</v>
      </c>
      <c r="C370" t="s">
        <v>75</v>
      </c>
      <c r="D370" t="s">
        <v>63</v>
      </c>
      <c r="E370">
        <v>15.0</v>
      </c>
      <c r="F370">
        <v>17.5</v>
      </c>
      <c r="G370" s="2" t="s">
        <v>64</v>
      </c>
      <c r="H370" s="2">
        <v>0.0</v>
      </c>
      <c r="I370" s="2">
        <v>0.0</v>
      </c>
      <c r="J370" s="37">
        <v>0.0</v>
      </c>
      <c r="K370" s="2">
        <v>0.0</v>
      </c>
      <c r="L370" s="2">
        <v>0.0</v>
      </c>
      <c r="M370" s="37">
        <v>0.0</v>
      </c>
    </row>
    <row r="371" ht="14.25" customHeight="1">
      <c r="A371" t="s">
        <v>449</v>
      </c>
      <c r="B371" t="s">
        <v>445</v>
      </c>
      <c r="C371" t="s">
        <v>75</v>
      </c>
      <c r="D371" t="s">
        <v>63</v>
      </c>
      <c r="E371">
        <v>7.1</v>
      </c>
      <c r="F371">
        <v>7.7</v>
      </c>
      <c r="G371" s="2" t="s">
        <v>64</v>
      </c>
      <c r="H371" s="2">
        <v>0.0</v>
      </c>
      <c r="I371" s="2">
        <v>0.0</v>
      </c>
      <c r="J371" s="37">
        <v>0.0</v>
      </c>
      <c r="K371" s="2">
        <v>0.0</v>
      </c>
      <c r="L371" s="2">
        <v>0.0</v>
      </c>
      <c r="M371" s="37">
        <v>0.0</v>
      </c>
    </row>
    <row r="372" ht="14.25" customHeight="1">
      <c r="A372" t="s">
        <v>450</v>
      </c>
      <c r="B372" t="s">
        <v>445</v>
      </c>
      <c r="C372" t="s">
        <v>62</v>
      </c>
      <c r="D372" t="s">
        <v>63</v>
      </c>
      <c r="E372">
        <v>8.2</v>
      </c>
      <c r="F372">
        <v>9.0</v>
      </c>
      <c r="G372" s="2" t="s">
        <v>64</v>
      </c>
      <c r="H372" s="2">
        <v>0.0</v>
      </c>
      <c r="I372" s="2">
        <v>0.0</v>
      </c>
      <c r="J372" s="37">
        <v>0.0</v>
      </c>
      <c r="K372" s="2">
        <v>0.0</v>
      </c>
      <c r="L372" s="2">
        <v>0.0</v>
      </c>
      <c r="M372" s="37">
        <v>0.0</v>
      </c>
    </row>
    <row r="373" ht="14.25" customHeight="1">
      <c r="A373" t="s">
        <v>451</v>
      </c>
      <c r="B373" t="s">
        <v>445</v>
      </c>
      <c r="C373" t="s">
        <v>62</v>
      </c>
      <c r="D373" t="s">
        <v>63</v>
      </c>
      <c r="E373">
        <v>8.2</v>
      </c>
      <c r="F373">
        <v>9.0</v>
      </c>
      <c r="G373" s="2" t="s">
        <v>64</v>
      </c>
      <c r="H373" s="2">
        <v>0.0</v>
      </c>
      <c r="I373" s="2">
        <v>0.0</v>
      </c>
      <c r="J373" s="37">
        <v>0.0</v>
      </c>
      <c r="K373" s="2">
        <v>0.0</v>
      </c>
      <c r="L373" s="2">
        <v>0.0</v>
      </c>
      <c r="M373" s="37">
        <v>0.0</v>
      </c>
    </row>
    <row r="374" ht="14.25" customHeight="1">
      <c r="A374" t="s">
        <v>452</v>
      </c>
      <c r="B374" t="s">
        <v>445</v>
      </c>
      <c r="C374" t="s">
        <v>75</v>
      </c>
      <c r="D374" t="s">
        <v>63</v>
      </c>
      <c r="E374">
        <v>18.0</v>
      </c>
      <c r="F374">
        <v>20.0</v>
      </c>
      <c r="G374" s="2" t="s">
        <v>64</v>
      </c>
      <c r="H374" s="2">
        <v>0.0</v>
      </c>
      <c r="I374" s="2">
        <v>0.0</v>
      </c>
      <c r="J374" s="37">
        <v>0.0</v>
      </c>
      <c r="K374" s="2">
        <v>0.0</v>
      </c>
      <c r="L374" s="2">
        <v>0.0</v>
      </c>
      <c r="M374" s="37">
        <v>0.0</v>
      </c>
    </row>
    <row r="375" ht="14.25" customHeight="1">
      <c r="A375" t="s">
        <v>453</v>
      </c>
      <c r="B375" t="s">
        <v>445</v>
      </c>
      <c r="C375" t="s">
        <v>62</v>
      </c>
      <c r="D375" t="s">
        <v>63</v>
      </c>
      <c r="E375">
        <v>2.5</v>
      </c>
      <c r="F375">
        <v>3.0</v>
      </c>
      <c r="G375" s="2" t="s">
        <v>64</v>
      </c>
      <c r="H375" s="2">
        <v>0.0</v>
      </c>
      <c r="I375" s="2">
        <v>0.0</v>
      </c>
      <c r="J375" s="37">
        <v>0.0</v>
      </c>
      <c r="K375" s="2">
        <v>0.0</v>
      </c>
      <c r="L375" s="2">
        <v>0.0</v>
      </c>
      <c r="M375" s="37">
        <v>0.0</v>
      </c>
    </row>
    <row r="376" ht="14.25" customHeight="1">
      <c r="A376" t="s">
        <v>454</v>
      </c>
      <c r="B376" t="s">
        <v>445</v>
      </c>
      <c r="C376" t="s">
        <v>62</v>
      </c>
      <c r="D376" t="s">
        <v>63</v>
      </c>
      <c r="E376">
        <v>3.5</v>
      </c>
      <c r="F376">
        <v>3.7</v>
      </c>
      <c r="G376" s="2" t="s">
        <v>64</v>
      </c>
      <c r="H376" s="2">
        <v>0.0</v>
      </c>
      <c r="I376" s="2">
        <v>0.0</v>
      </c>
      <c r="J376" s="37">
        <v>0.0</v>
      </c>
      <c r="K376" s="2">
        <v>0.0</v>
      </c>
      <c r="L376" s="2">
        <v>0.0</v>
      </c>
      <c r="M376" s="37">
        <v>0.0</v>
      </c>
    </row>
    <row r="377" ht="14.25" customHeight="1">
      <c r="A377" t="s">
        <v>455</v>
      </c>
      <c r="B377" t="s">
        <v>445</v>
      </c>
      <c r="C377" t="s">
        <v>62</v>
      </c>
      <c r="D377" t="s">
        <v>63</v>
      </c>
      <c r="E377">
        <v>5.0</v>
      </c>
      <c r="F377">
        <v>5.2</v>
      </c>
      <c r="G377" s="2" t="s">
        <v>64</v>
      </c>
      <c r="H377" s="2">
        <v>0.0</v>
      </c>
      <c r="I377" s="2">
        <v>0.0</v>
      </c>
      <c r="J377" s="37">
        <v>0.0</v>
      </c>
      <c r="K377" s="2">
        <v>0.0</v>
      </c>
      <c r="L377" s="2">
        <v>0.0</v>
      </c>
      <c r="M377" s="37">
        <v>0.0</v>
      </c>
    </row>
    <row r="378" ht="14.25" customHeight="1">
      <c r="A378" t="s">
        <v>456</v>
      </c>
      <c r="B378" t="s">
        <v>445</v>
      </c>
      <c r="C378" t="s">
        <v>62</v>
      </c>
      <c r="D378" t="s">
        <v>63</v>
      </c>
      <c r="E378">
        <v>7.0</v>
      </c>
      <c r="F378">
        <v>7.5</v>
      </c>
      <c r="G378" s="2" t="s">
        <v>64</v>
      </c>
      <c r="H378" s="2">
        <v>0.0</v>
      </c>
      <c r="I378" s="2">
        <v>0.0</v>
      </c>
      <c r="J378" s="37">
        <v>0.0</v>
      </c>
      <c r="K378" s="2">
        <v>0.0</v>
      </c>
      <c r="L378" s="2">
        <v>0.0</v>
      </c>
      <c r="M378" s="37">
        <v>0.0</v>
      </c>
    </row>
    <row r="379" ht="14.25" customHeight="1">
      <c r="A379" t="s">
        <v>457</v>
      </c>
      <c r="B379" t="s">
        <v>445</v>
      </c>
      <c r="C379" t="s">
        <v>75</v>
      </c>
      <c r="D379" t="s">
        <v>63</v>
      </c>
      <c r="E379">
        <v>20.0</v>
      </c>
      <c r="F379">
        <v>22.8</v>
      </c>
      <c r="G379" s="2" t="s">
        <v>64</v>
      </c>
      <c r="H379" s="2">
        <v>0.0</v>
      </c>
      <c r="I379" s="2">
        <v>0.0</v>
      </c>
      <c r="J379" s="37">
        <v>0.0</v>
      </c>
      <c r="K379" s="2">
        <v>0.0</v>
      </c>
      <c r="L379" s="2">
        <v>0.0</v>
      </c>
      <c r="M379" s="37">
        <v>0.0</v>
      </c>
    </row>
    <row r="380" ht="14.25" customHeight="1">
      <c r="A380" t="s">
        <v>458</v>
      </c>
      <c r="B380" t="s">
        <v>445</v>
      </c>
      <c r="C380" t="s">
        <v>62</v>
      </c>
      <c r="D380" t="s">
        <v>268</v>
      </c>
      <c r="E380">
        <v>4.0</v>
      </c>
      <c r="F380">
        <v>3.15</v>
      </c>
      <c r="G380" s="2" t="s">
        <v>64</v>
      </c>
      <c r="H380" s="2">
        <v>0.0</v>
      </c>
      <c r="I380" s="2">
        <v>0.0</v>
      </c>
      <c r="J380" s="37">
        <v>0.0</v>
      </c>
      <c r="K380" s="2">
        <v>0.0</v>
      </c>
      <c r="L380" s="2">
        <v>0.0</v>
      </c>
      <c r="M380" s="37">
        <v>0.0</v>
      </c>
    </row>
    <row r="381" ht="14.25" customHeight="1">
      <c r="A381" t="s">
        <v>459</v>
      </c>
      <c r="B381" t="s">
        <v>445</v>
      </c>
      <c r="C381" t="s">
        <v>62</v>
      </c>
      <c r="D381" t="s">
        <v>268</v>
      </c>
      <c r="E381">
        <v>3.5</v>
      </c>
      <c r="F381">
        <v>2.8</v>
      </c>
      <c r="G381" s="2" t="s">
        <v>64</v>
      </c>
      <c r="H381" s="2">
        <v>0.0</v>
      </c>
      <c r="I381" s="2">
        <v>0.0</v>
      </c>
      <c r="J381" s="37">
        <v>0.0</v>
      </c>
      <c r="K381" s="2">
        <v>0.0</v>
      </c>
      <c r="L381" s="2">
        <v>0.0</v>
      </c>
      <c r="M381" s="37">
        <v>0.0</v>
      </c>
    </row>
    <row r="382" ht="14.25" customHeight="1">
      <c r="A382" t="s">
        <v>460</v>
      </c>
      <c r="B382" t="s">
        <v>445</v>
      </c>
      <c r="C382" t="s">
        <v>62</v>
      </c>
      <c r="D382" t="s">
        <v>63</v>
      </c>
      <c r="E382">
        <v>8.2</v>
      </c>
      <c r="F382">
        <v>8.5</v>
      </c>
      <c r="G382" s="2" t="s">
        <v>67</v>
      </c>
      <c r="H382" s="2">
        <v>24.0</v>
      </c>
      <c r="I382" s="2">
        <v>73.0</v>
      </c>
      <c r="J382" s="37">
        <v>633.9399999999999</v>
      </c>
      <c r="K382" s="2">
        <v>28.0</v>
      </c>
      <c r="L382" s="2">
        <v>147.0</v>
      </c>
      <c r="M382" s="37">
        <v>819.98</v>
      </c>
    </row>
    <row r="383" ht="14.25" customHeight="1">
      <c r="A383" t="s">
        <v>461</v>
      </c>
      <c r="B383" t="s">
        <v>445</v>
      </c>
      <c r="C383" t="s">
        <v>62</v>
      </c>
      <c r="D383" t="s">
        <v>63</v>
      </c>
      <c r="E383">
        <v>7.2</v>
      </c>
      <c r="F383">
        <v>7.2</v>
      </c>
      <c r="G383" s="2" t="s">
        <v>67</v>
      </c>
      <c r="H383" s="2">
        <v>21.0</v>
      </c>
      <c r="I383" s="2">
        <v>99.0</v>
      </c>
      <c r="J383" s="37">
        <v>600.36</v>
      </c>
      <c r="K383" s="2">
        <v>24.0</v>
      </c>
      <c r="L383" s="2">
        <v>165.0</v>
      </c>
      <c r="M383" s="37">
        <v>753.54</v>
      </c>
    </row>
    <row r="384" ht="14.25" customHeight="1">
      <c r="A384" t="s">
        <v>462</v>
      </c>
      <c r="B384" t="s">
        <v>445</v>
      </c>
      <c r="C384" t="s">
        <v>62</v>
      </c>
      <c r="D384" t="s">
        <v>63</v>
      </c>
      <c r="E384">
        <v>5.2</v>
      </c>
      <c r="F384">
        <v>5.2</v>
      </c>
      <c r="G384" s="2" t="s">
        <v>67</v>
      </c>
      <c r="H384" s="2">
        <v>15.0</v>
      </c>
      <c r="I384" s="2">
        <v>63.0</v>
      </c>
      <c r="J384" s="37">
        <v>418.80000000000007</v>
      </c>
      <c r="K384" s="2">
        <v>17.0</v>
      </c>
      <c r="L384" s="2">
        <v>111.0</v>
      </c>
      <c r="M384" s="37">
        <v>526.12</v>
      </c>
    </row>
    <row r="385" ht="14.25" customHeight="1">
      <c r="A385" t="s">
        <v>463</v>
      </c>
      <c r="B385" t="s">
        <v>445</v>
      </c>
      <c r="C385" t="s">
        <v>62</v>
      </c>
      <c r="D385" t="s">
        <v>63</v>
      </c>
      <c r="E385">
        <v>3.5</v>
      </c>
      <c r="F385">
        <v>4.5</v>
      </c>
      <c r="G385" s="2" t="s">
        <v>64</v>
      </c>
      <c r="H385" s="2">
        <v>0.0</v>
      </c>
      <c r="I385" s="2">
        <v>0.0</v>
      </c>
      <c r="J385" s="37">
        <v>0.0</v>
      </c>
      <c r="K385" s="2">
        <v>0.0</v>
      </c>
      <c r="L385" s="2">
        <v>0.0</v>
      </c>
      <c r="M385" s="37">
        <v>0.0</v>
      </c>
    </row>
    <row r="386" ht="14.25" customHeight="1">
      <c r="A386" t="s">
        <v>464</v>
      </c>
      <c r="B386" t="s">
        <v>445</v>
      </c>
      <c r="C386" t="s">
        <v>62</v>
      </c>
      <c r="D386" t="s">
        <v>63</v>
      </c>
      <c r="E386">
        <v>2.64</v>
      </c>
      <c r="F386">
        <v>4.05</v>
      </c>
      <c r="G386" s="2" t="s">
        <v>64</v>
      </c>
      <c r="H386" s="2">
        <v>0.0</v>
      </c>
      <c r="I386" s="2">
        <v>0.0</v>
      </c>
      <c r="J386" s="37">
        <v>0.0</v>
      </c>
      <c r="K386" s="2">
        <v>0.0</v>
      </c>
      <c r="L386" s="2">
        <v>0.0</v>
      </c>
      <c r="M386" s="37">
        <v>0.0</v>
      </c>
    </row>
    <row r="387" ht="14.25" customHeight="1">
      <c r="A387" t="s">
        <v>465</v>
      </c>
      <c r="B387" t="s">
        <v>445</v>
      </c>
      <c r="C387" t="s">
        <v>62</v>
      </c>
      <c r="D387" t="s">
        <v>63</v>
      </c>
      <c r="E387">
        <v>2.8</v>
      </c>
      <c r="F387">
        <v>2.65</v>
      </c>
      <c r="G387" s="2" t="s">
        <v>67</v>
      </c>
      <c r="H387" s="2">
        <v>7.0</v>
      </c>
      <c r="I387" s="2">
        <v>68.0</v>
      </c>
      <c r="J387" s="37">
        <v>245.62</v>
      </c>
      <c r="K387" s="2">
        <v>8.0</v>
      </c>
      <c r="L387" s="2">
        <v>90.0</v>
      </c>
      <c r="M387" s="37">
        <v>296.68</v>
      </c>
    </row>
    <row r="388" ht="14.25" customHeight="1">
      <c r="A388" t="s">
        <v>466</v>
      </c>
      <c r="B388" t="s">
        <v>445</v>
      </c>
      <c r="C388" t="s">
        <v>62</v>
      </c>
      <c r="D388" t="s">
        <v>467</v>
      </c>
      <c r="E388">
        <v>2.7</v>
      </c>
      <c r="F388">
        <v>2.4</v>
      </c>
      <c r="G388" s="2" t="s">
        <v>64</v>
      </c>
      <c r="H388" s="2">
        <v>0.0</v>
      </c>
      <c r="I388" s="2">
        <v>0.0</v>
      </c>
      <c r="J388" s="37">
        <v>0.0</v>
      </c>
      <c r="K388" s="2">
        <v>0.0</v>
      </c>
      <c r="L388" s="2">
        <v>0.0</v>
      </c>
      <c r="M388" s="37">
        <v>0.0</v>
      </c>
    </row>
    <row r="389" ht="14.25" customHeight="1">
      <c r="A389" t="s">
        <v>468</v>
      </c>
      <c r="B389" t="s">
        <v>445</v>
      </c>
      <c r="C389" t="s">
        <v>62</v>
      </c>
      <c r="D389" t="s">
        <v>467</v>
      </c>
      <c r="E389">
        <v>4.2</v>
      </c>
      <c r="F389">
        <v>3.6</v>
      </c>
      <c r="G389" s="2" t="s">
        <v>64</v>
      </c>
      <c r="H389" s="2">
        <v>0.0</v>
      </c>
      <c r="I389" s="2">
        <v>0.0</v>
      </c>
      <c r="J389" s="37">
        <v>0.0</v>
      </c>
      <c r="K389" s="2">
        <v>0.0</v>
      </c>
      <c r="L389" s="2">
        <v>0.0</v>
      </c>
      <c r="M389" s="37">
        <v>0.0</v>
      </c>
    </row>
    <row r="390" ht="14.25" customHeight="1">
      <c r="A390" t="s">
        <v>469</v>
      </c>
      <c r="B390" t="s">
        <v>445</v>
      </c>
      <c r="C390" t="s">
        <v>75</v>
      </c>
      <c r="D390" t="s">
        <v>63</v>
      </c>
      <c r="E390">
        <v>10.5</v>
      </c>
      <c r="F390">
        <v>12.5</v>
      </c>
      <c r="G390" s="2" t="s">
        <v>67</v>
      </c>
      <c r="H390" s="2">
        <v>38.0</v>
      </c>
      <c r="I390" s="2">
        <v>268.0</v>
      </c>
      <c r="J390" s="37">
        <v>1201.88</v>
      </c>
      <c r="K390" s="2">
        <v>44.0</v>
      </c>
      <c r="L390" s="2">
        <v>376.0</v>
      </c>
      <c r="M390" s="37">
        <v>1477.04</v>
      </c>
    </row>
    <row r="391" ht="14.25" customHeight="1">
      <c r="A391" t="s">
        <v>470</v>
      </c>
      <c r="B391" t="s">
        <v>445</v>
      </c>
      <c r="C391" t="s">
        <v>75</v>
      </c>
      <c r="D391" t="s">
        <v>63</v>
      </c>
      <c r="E391">
        <v>12.5</v>
      </c>
      <c r="F391">
        <v>15.0</v>
      </c>
      <c r="G391" s="2" t="s">
        <v>67</v>
      </c>
      <c r="H391" s="2">
        <v>41.0</v>
      </c>
      <c r="I391" s="2">
        <v>68.0</v>
      </c>
      <c r="J391" s="37">
        <v>1009.26</v>
      </c>
      <c r="K391" s="2">
        <v>48.0</v>
      </c>
      <c r="L391" s="2">
        <v>196.0</v>
      </c>
      <c r="M391" s="37">
        <v>1332.8799999999999</v>
      </c>
    </row>
    <row r="392" ht="14.25" customHeight="1">
      <c r="A392" t="s">
        <v>471</v>
      </c>
      <c r="B392" t="s">
        <v>445</v>
      </c>
      <c r="C392" t="s">
        <v>75</v>
      </c>
      <c r="D392" t="s">
        <v>63</v>
      </c>
      <c r="E392">
        <v>14.0</v>
      </c>
      <c r="F392">
        <v>16.5</v>
      </c>
      <c r="G392" s="2" t="s">
        <v>67</v>
      </c>
      <c r="H392" s="2">
        <v>47.0</v>
      </c>
      <c r="I392" s="2">
        <v>197.0</v>
      </c>
      <c r="J392" s="37">
        <v>1311.7200000000003</v>
      </c>
      <c r="K392" s="2">
        <v>55.0</v>
      </c>
      <c r="L392" s="2">
        <v>341.0</v>
      </c>
      <c r="M392" s="37">
        <v>1678.6</v>
      </c>
    </row>
    <row r="393" ht="14.25" customHeight="1">
      <c r="A393" t="s">
        <v>472</v>
      </c>
      <c r="B393" t="s">
        <v>445</v>
      </c>
      <c r="C393" t="s">
        <v>75</v>
      </c>
      <c r="D393" t="s">
        <v>63</v>
      </c>
      <c r="E393">
        <v>16.0</v>
      </c>
      <c r="F393">
        <v>19.0</v>
      </c>
      <c r="G393" s="2" t="s">
        <v>67</v>
      </c>
      <c r="H393" s="2">
        <v>52.0</v>
      </c>
      <c r="I393" s="2">
        <v>92.0</v>
      </c>
      <c r="J393" s="37">
        <v>1287.52</v>
      </c>
      <c r="K393" s="2">
        <v>61.0</v>
      </c>
      <c r="L393" s="2">
        <v>256.0</v>
      </c>
      <c r="M393" s="37">
        <v>1702.86</v>
      </c>
    </row>
    <row r="394" ht="14.25" customHeight="1">
      <c r="A394" t="s">
        <v>473</v>
      </c>
      <c r="B394" t="s">
        <v>445</v>
      </c>
      <c r="C394" t="s">
        <v>62</v>
      </c>
      <c r="D394" t="s">
        <v>63</v>
      </c>
      <c r="E394">
        <v>2.64</v>
      </c>
      <c r="F394">
        <v>3.3</v>
      </c>
      <c r="G394" s="2" t="s">
        <v>67</v>
      </c>
      <c r="H394" s="2">
        <v>8.0</v>
      </c>
      <c r="I394" s="2">
        <v>50.0</v>
      </c>
      <c r="J394" s="37">
        <v>244.68</v>
      </c>
      <c r="K394" s="2">
        <v>9.0</v>
      </c>
      <c r="L394" s="2">
        <v>71.0</v>
      </c>
      <c r="M394" s="37">
        <v>294.44</v>
      </c>
    </row>
    <row r="395" ht="14.25" customHeight="1">
      <c r="A395" t="s">
        <v>474</v>
      </c>
      <c r="B395" t="s">
        <v>445</v>
      </c>
      <c r="C395" t="s">
        <v>62</v>
      </c>
      <c r="D395" t="s">
        <v>63</v>
      </c>
      <c r="E395">
        <v>3.53</v>
      </c>
      <c r="F395">
        <v>3.65</v>
      </c>
      <c r="G395" s="2" t="s">
        <v>67</v>
      </c>
      <c r="H395" s="2">
        <v>9.0</v>
      </c>
      <c r="I395" s="2">
        <v>28.0</v>
      </c>
      <c r="J395" s="37">
        <v>238.54000000000002</v>
      </c>
      <c r="K395" s="2">
        <v>10.0</v>
      </c>
      <c r="L395" s="2">
        <v>56.0</v>
      </c>
      <c r="M395" s="37">
        <v>297.40000000000003</v>
      </c>
    </row>
    <row r="396" ht="14.25" customHeight="1">
      <c r="A396" t="s">
        <v>475</v>
      </c>
      <c r="B396" t="s">
        <v>445</v>
      </c>
      <c r="C396" t="s">
        <v>62</v>
      </c>
      <c r="D396" t="s">
        <v>63</v>
      </c>
      <c r="E396">
        <v>5.3</v>
      </c>
      <c r="F396">
        <v>5.3</v>
      </c>
      <c r="G396" s="2" t="s">
        <v>67</v>
      </c>
      <c r="H396" s="2">
        <v>16.0</v>
      </c>
      <c r="I396" s="2">
        <v>102.0</v>
      </c>
      <c r="J396" s="37">
        <v>491.96000000000004</v>
      </c>
      <c r="K396" s="2">
        <v>19.0</v>
      </c>
      <c r="L396" s="2">
        <v>150.0</v>
      </c>
      <c r="M396" s="37">
        <v>621.74</v>
      </c>
    </row>
    <row r="397" ht="14.25" customHeight="1">
      <c r="A397" t="s">
        <v>476</v>
      </c>
      <c r="B397" t="s">
        <v>445</v>
      </c>
      <c r="C397" t="s">
        <v>62</v>
      </c>
      <c r="D397" t="s">
        <v>63</v>
      </c>
      <c r="E397">
        <v>7.2</v>
      </c>
      <c r="F397">
        <v>7.3</v>
      </c>
      <c r="G397" s="2" t="s">
        <v>67</v>
      </c>
      <c r="H397" s="2">
        <v>21.0</v>
      </c>
      <c r="I397" s="2">
        <v>43.0</v>
      </c>
      <c r="J397" s="37">
        <v>527.5600000000001</v>
      </c>
      <c r="K397" s="2">
        <v>24.0</v>
      </c>
      <c r="L397" s="2">
        <v>108.0</v>
      </c>
      <c r="M397" s="37">
        <v>679.4399999999999</v>
      </c>
    </row>
    <row r="398" ht="14.25" customHeight="1">
      <c r="A398" t="s">
        <v>477</v>
      </c>
      <c r="B398" t="s">
        <v>445</v>
      </c>
      <c r="C398" t="s">
        <v>62</v>
      </c>
      <c r="D398" t="s">
        <v>63</v>
      </c>
      <c r="E398">
        <v>8.2</v>
      </c>
      <c r="F398">
        <v>8.4</v>
      </c>
      <c r="G398" s="2" t="s">
        <v>67</v>
      </c>
      <c r="H398" s="2">
        <v>24.0</v>
      </c>
      <c r="I398" s="2">
        <v>47.0</v>
      </c>
      <c r="J398" s="37">
        <v>600.14</v>
      </c>
      <c r="K398" s="2">
        <v>27.0</v>
      </c>
      <c r="L398" s="2">
        <v>122.0</v>
      </c>
      <c r="M398" s="37">
        <v>765.0200000000001</v>
      </c>
    </row>
    <row r="399" ht="14.25" customHeight="1">
      <c r="A399" t="s">
        <v>478</v>
      </c>
      <c r="B399" t="s">
        <v>479</v>
      </c>
      <c r="C399" t="s">
        <v>75</v>
      </c>
      <c r="D399" t="s">
        <v>63</v>
      </c>
      <c r="E399">
        <v>10.0</v>
      </c>
      <c r="F399">
        <v>12.0</v>
      </c>
      <c r="G399" s="2" t="s">
        <v>64</v>
      </c>
      <c r="H399" s="2">
        <v>0.0</v>
      </c>
      <c r="I399" s="2">
        <v>0.0</v>
      </c>
      <c r="J399" s="37">
        <v>0.0</v>
      </c>
      <c r="K399" s="2">
        <v>0.0</v>
      </c>
      <c r="L399" s="2">
        <v>0.0</v>
      </c>
      <c r="M399" s="37">
        <v>0.0</v>
      </c>
    </row>
    <row r="400" ht="14.25" customHeight="1">
      <c r="A400" t="s">
        <v>480</v>
      </c>
      <c r="B400" t="s">
        <v>479</v>
      </c>
      <c r="C400" t="s">
        <v>75</v>
      </c>
      <c r="D400" t="s">
        <v>63</v>
      </c>
      <c r="E400">
        <v>10.0</v>
      </c>
      <c r="F400">
        <v>12.0</v>
      </c>
      <c r="G400" s="2" t="s">
        <v>64</v>
      </c>
      <c r="H400" s="2">
        <v>0.0</v>
      </c>
      <c r="I400" s="2">
        <v>0.0</v>
      </c>
      <c r="J400" s="37">
        <v>0.0</v>
      </c>
      <c r="K400" s="2">
        <v>0.0</v>
      </c>
      <c r="L400" s="2">
        <v>0.0</v>
      </c>
      <c r="M400" s="37">
        <v>0.0</v>
      </c>
    </row>
    <row r="401" ht="14.25" customHeight="1">
      <c r="A401" t="s">
        <v>481</v>
      </c>
      <c r="B401" t="s">
        <v>479</v>
      </c>
      <c r="C401" t="s">
        <v>75</v>
      </c>
      <c r="D401" t="s">
        <v>63</v>
      </c>
      <c r="E401">
        <v>10.0</v>
      </c>
      <c r="F401">
        <v>12.0</v>
      </c>
      <c r="G401" s="2" t="s">
        <v>64</v>
      </c>
      <c r="H401" s="2">
        <v>0.0</v>
      </c>
      <c r="I401" s="2">
        <v>0.0</v>
      </c>
      <c r="J401" s="37">
        <v>0.0</v>
      </c>
      <c r="K401" s="2">
        <v>0.0</v>
      </c>
      <c r="L401" s="2">
        <v>0.0</v>
      </c>
      <c r="M401" s="37">
        <v>0.0</v>
      </c>
    </row>
    <row r="402" ht="14.25" customHeight="1">
      <c r="A402" t="s">
        <v>482</v>
      </c>
      <c r="B402" t="s">
        <v>479</v>
      </c>
      <c r="C402" t="s">
        <v>62</v>
      </c>
      <c r="D402" t="s">
        <v>63</v>
      </c>
      <c r="E402">
        <v>7.2</v>
      </c>
      <c r="F402">
        <v>8.0</v>
      </c>
      <c r="G402" s="2" t="s">
        <v>64</v>
      </c>
      <c r="H402" s="2">
        <v>0.0</v>
      </c>
      <c r="I402" s="2">
        <v>0.0</v>
      </c>
      <c r="J402" s="37">
        <v>0.0</v>
      </c>
      <c r="K402" s="2">
        <v>0.0</v>
      </c>
      <c r="L402" s="2">
        <v>0.0</v>
      </c>
      <c r="M402" s="37">
        <v>0.0</v>
      </c>
    </row>
    <row r="403" ht="14.25" customHeight="1">
      <c r="A403" t="s">
        <v>483</v>
      </c>
      <c r="B403" t="s">
        <v>479</v>
      </c>
      <c r="C403" t="s">
        <v>62</v>
      </c>
      <c r="D403" t="s">
        <v>63</v>
      </c>
      <c r="E403">
        <v>10.2</v>
      </c>
      <c r="F403">
        <v>12.1</v>
      </c>
      <c r="G403" s="2" t="s">
        <v>64</v>
      </c>
      <c r="H403" s="2">
        <v>0.0</v>
      </c>
      <c r="I403" s="2">
        <v>0.0</v>
      </c>
      <c r="J403" s="37">
        <v>0.0</v>
      </c>
      <c r="K403" s="2">
        <v>0.0</v>
      </c>
      <c r="L403" s="2">
        <v>0.0</v>
      </c>
      <c r="M403" s="37">
        <v>0.0</v>
      </c>
    </row>
    <row r="404" ht="14.25" customHeight="1">
      <c r="A404" t="s">
        <v>484</v>
      </c>
      <c r="B404" t="s">
        <v>479</v>
      </c>
      <c r="C404" t="s">
        <v>62</v>
      </c>
      <c r="D404" t="s">
        <v>63</v>
      </c>
      <c r="E404">
        <v>12.8</v>
      </c>
      <c r="F404">
        <v>13.5</v>
      </c>
      <c r="G404" s="2" t="s">
        <v>64</v>
      </c>
      <c r="H404" s="2">
        <v>0.0</v>
      </c>
      <c r="I404" s="2">
        <v>0.0</v>
      </c>
      <c r="J404" s="37">
        <v>0.0</v>
      </c>
      <c r="K404" s="2">
        <v>0.0</v>
      </c>
      <c r="L404" s="2">
        <v>0.0</v>
      </c>
      <c r="M404" s="37">
        <v>0.0</v>
      </c>
    </row>
    <row r="405" ht="14.25" customHeight="1">
      <c r="A405" t="s">
        <v>485</v>
      </c>
      <c r="B405" t="s">
        <v>479</v>
      </c>
      <c r="C405" t="s">
        <v>62</v>
      </c>
      <c r="D405" t="s">
        <v>63</v>
      </c>
      <c r="E405">
        <v>13.6</v>
      </c>
      <c r="F405">
        <v>16.0</v>
      </c>
      <c r="G405" s="2" t="s">
        <v>64</v>
      </c>
      <c r="H405" s="2">
        <v>0.0</v>
      </c>
      <c r="I405" s="2">
        <v>0.0</v>
      </c>
      <c r="J405" s="37">
        <v>0.0</v>
      </c>
      <c r="K405" s="2">
        <v>0.0</v>
      </c>
      <c r="L405" s="2">
        <v>0.0</v>
      </c>
      <c r="M405" s="37">
        <v>0.0</v>
      </c>
    </row>
    <row r="406" ht="14.25" customHeight="1">
      <c r="A406" t="s">
        <v>486</v>
      </c>
      <c r="B406" t="s">
        <v>479</v>
      </c>
      <c r="C406" t="s">
        <v>62</v>
      </c>
      <c r="D406" t="s">
        <v>63</v>
      </c>
      <c r="E406">
        <v>2.5</v>
      </c>
      <c r="F406">
        <v>3.15</v>
      </c>
      <c r="G406" s="2" t="s">
        <v>67</v>
      </c>
      <c r="H406" s="2">
        <v>8.0</v>
      </c>
      <c r="I406" s="2">
        <v>24.0</v>
      </c>
      <c r="J406" s="37">
        <v>210.88</v>
      </c>
      <c r="K406" s="2">
        <v>9.0</v>
      </c>
      <c r="L406" s="2">
        <v>44.0</v>
      </c>
      <c r="M406" s="37">
        <v>259.34000000000003</v>
      </c>
    </row>
    <row r="407" ht="14.25" customHeight="1">
      <c r="A407" t="s">
        <v>487</v>
      </c>
      <c r="B407" t="s">
        <v>479</v>
      </c>
      <c r="C407" t="s">
        <v>62</v>
      </c>
      <c r="D407" t="s">
        <v>63</v>
      </c>
      <c r="E407">
        <v>3.45</v>
      </c>
      <c r="F407">
        <v>3.73</v>
      </c>
      <c r="G407" s="2" t="s">
        <v>64</v>
      </c>
      <c r="H407" s="2">
        <v>0.0</v>
      </c>
      <c r="I407" s="2">
        <v>0.0</v>
      </c>
      <c r="J407" s="37">
        <v>0.0</v>
      </c>
      <c r="K407" s="2">
        <v>0.0</v>
      </c>
      <c r="L407" s="2">
        <v>0.0</v>
      </c>
      <c r="M407" s="37">
        <v>0.0</v>
      </c>
    </row>
    <row r="408" ht="14.25" customHeight="1">
      <c r="A408" t="s">
        <v>488</v>
      </c>
      <c r="B408" t="s">
        <v>479</v>
      </c>
      <c r="C408" t="s">
        <v>62</v>
      </c>
      <c r="D408" t="s">
        <v>63</v>
      </c>
      <c r="E408">
        <v>5.2</v>
      </c>
      <c r="F408">
        <v>5.5</v>
      </c>
      <c r="G408" s="2" t="s">
        <v>67</v>
      </c>
      <c r="H408" s="2">
        <v>16.0</v>
      </c>
      <c r="I408" s="2">
        <v>78.0</v>
      </c>
      <c r="J408" s="37">
        <v>460.76</v>
      </c>
      <c r="K408" s="2">
        <v>18.0</v>
      </c>
      <c r="L408" s="2">
        <v>125.0</v>
      </c>
      <c r="M408" s="37">
        <v>566.78</v>
      </c>
    </row>
    <row r="409" ht="14.25" customHeight="1">
      <c r="A409" t="s">
        <v>489</v>
      </c>
      <c r="B409" t="s">
        <v>479</v>
      </c>
      <c r="C409" t="s">
        <v>62</v>
      </c>
      <c r="D409" t="s">
        <v>63</v>
      </c>
      <c r="E409">
        <v>7.1</v>
      </c>
      <c r="F409">
        <v>7.1</v>
      </c>
      <c r="G409" s="2" t="s">
        <v>67</v>
      </c>
      <c r="H409" s="2">
        <v>20.0</v>
      </c>
      <c r="I409" s="2">
        <v>90.0</v>
      </c>
      <c r="J409" s="37">
        <v>566.2</v>
      </c>
      <c r="K409" s="2">
        <v>23.0</v>
      </c>
      <c r="L409" s="2">
        <v>155.0</v>
      </c>
      <c r="M409" s="37">
        <v>718.08</v>
      </c>
    </row>
    <row r="410" ht="14.25" customHeight="1">
      <c r="A410" t="s">
        <v>486</v>
      </c>
      <c r="B410" t="s">
        <v>479</v>
      </c>
      <c r="C410" t="s">
        <v>62</v>
      </c>
      <c r="D410" t="s">
        <v>63</v>
      </c>
      <c r="E410">
        <v>2.5</v>
      </c>
      <c r="F410">
        <v>3.0</v>
      </c>
      <c r="G410" s="2" t="s">
        <v>64</v>
      </c>
      <c r="H410" s="2">
        <v>8.0</v>
      </c>
      <c r="I410" s="2">
        <v>21.0</v>
      </c>
      <c r="J410" s="37">
        <v>206.98000000000002</v>
      </c>
      <c r="K410" s="2">
        <v>9.0</v>
      </c>
      <c r="L410" s="2">
        <v>41.0</v>
      </c>
      <c r="M410" s="37">
        <v>255.44000000000003</v>
      </c>
    </row>
    <row r="411" ht="14.25" customHeight="1">
      <c r="A411" t="s">
        <v>490</v>
      </c>
      <c r="B411" t="s">
        <v>479</v>
      </c>
      <c r="C411" t="s">
        <v>62</v>
      </c>
      <c r="D411" t="s">
        <v>63</v>
      </c>
      <c r="E411">
        <v>8.5</v>
      </c>
      <c r="F411">
        <v>9.0</v>
      </c>
      <c r="G411" s="2" t="s">
        <v>67</v>
      </c>
      <c r="H411" s="2">
        <v>27.0</v>
      </c>
      <c r="I411" s="2">
        <v>101.0</v>
      </c>
      <c r="J411" s="37">
        <v>737.72</v>
      </c>
      <c r="K411" s="2">
        <v>31.0</v>
      </c>
      <c r="L411" s="2">
        <v>179.0</v>
      </c>
      <c r="M411" s="37">
        <v>928.96</v>
      </c>
    </row>
    <row r="412" ht="14.25" customHeight="1">
      <c r="A412" t="s">
        <v>482</v>
      </c>
      <c r="B412" t="s">
        <v>479</v>
      </c>
      <c r="C412" t="s">
        <v>62</v>
      </c>
      <c r="D412" t="s">
        <v>63</v>
      </c>
      <c r="E412">
        <v>7.1</v>
      </c>
      <c r="F412">
        <v>8.0</v>
      </c>
      <c r="G412" s="2" t="s">
        <v>64</v>
      </c>
      <c r="H412" s="2">
        <v>0.0</v>
      </c>
      <c r="I412" s="2">
        <v>0.0</v>
      </c>
      <c r="J412" s="37">
        <v>0.0</v>
      </c>
      <c r="K412" s="2">
        <v>0.0</v>
      </c>
      <c r="L412" s="2">
        <v>0.0</v>
      </c>
      <c r="M412" s="37">
        <v>0.0</v>
      </c>
    </row>
    <row r="413" ht="14.25" customHeight="1">
      <c r="A413" t="s">
        <v>483</v>
      </c>
      <c r="B413" t="s">
        <v>479</v>
      </c>
      <c r="C413" t="s">
        <v>62</v>
      </c>
      <c r="D413" t="s">
        <v>63</v>
      </c>
      <c r="E413">
        <v>10.1</v>
      </c>
      <c r="F413">
        <v>12.0</v>
      </c>
      <c r="G413" s="2" t="s">
        <v>64</v>
      </c>
      <c r="H413" s="2">
        <v>0.0</v>
      </c>
      <c r="I413" s="2">
        <v>0.0</v>
      </c>
      <c r="J413" s="37">
        <v>0.0</v>
      </c>
      <c r="K413" s="2">
        <v>0.0</v>
      </c>
      <c r="L413" s="2">
        <v>0.0</v>
      </c>
      <c r="M413" s="37">
        <v>0.0</v>
      </c>
    </row>
    <row r="414" ht="14.25" customHeight="1">
      <c r="A414" t="s">
        <v>484</v>
      </c>
      <c r="B414" t="s">
        <v>479</v>
      </c>
      <c r="C414" t="s">
        <v>62</v>
      </c>
      <c r="D414" t="s">
        <v>63</v>
      </c>
      <c r="E414">
        <v>12.5</v>
      </c>
      <c r="F414">
        <v>13.5</v>
      </c>
      <c r="G414" s="2" t="s">
        <v>64</v>
      </c>
      <c r="H414" s="2">
        <v>0.0</v>
      </c>
      <c r="I414" s="2">
        <v>0.0</v>
      </c>
      <c r="J414" s="37">
        <v>0.0</v>
      </c>
      <c r="K414" s="2">
        <v>0.0</v>
      </c>
      <c r="L414" s="2">
        <v>0.0</v>
      </c>
      <c r="M414" s="37">
        <v>0.0</v>
      </c>
    </row>
    <row r="415" ht="14.25" customHeight="1">
      <c r="A415" t="s">
        <v>485</v>
      </c>
      <c r="B415" t="s">
        <v>479</v>
      </c>
      <c r="C415" t="s">
        <v>62</v>
      </c>
      <c r="D415" t="s">
        <v>63</v>
      </c>
      <c r="E415">
        <v>13.6</v>
      </c>
      <c r="F415">
        <v>16.0</v>
      </c>
      <c r="G415" s="2" t="s">
        <v>64</v>
      </c>
      <c r="H415" s="2">
        <v>0.0</v>
      </c>
      <c r="I415" s="2">
        <v>0.0</v>
      </c>
      <c r="J415" s="37">
        <v>0.0</v>
      </c>
      <c r="K415" s="2">
        <v>0.0</v>
      </c>
      <c r="L415" s="2">
        <v>0.0</v>
      </c>
      <c r="M415" s="37">
        <v>0.0</v>
      </c>
    </row>
    <row r="416" ht="14.25" customHeight="1">
      <c r="A416" t="s">
        <v>491</v>
      </c>
      <c r="B416" t="s">
        <v>479</v>
      </c>
      <c r="C416" t="s">
        <v>62</v>
      </c>
      <c r="D416" t="s">
        <v>63</v>
      </c>
      <c r="E416">
        <v>5.2</v>
      </c>
      <c r="F416">
        <v>5.8</v>
      </c>
      <c r="G416" s="2" t="s">
        <v>64</v>
      </c>
      <c r="H416" s="2">
        <v>0.0</v>
      </c>
      <c r="I416" s="2">
        <v>0.0</v>
      </c>
      <c r="J416" s="37">
        <v>0.0</v>
      </c>
      <c r="K416" s="2">
        <v>0.0</v>
      </c>
      <c r="L416" s="2">
        <v>0.0</v>
      </c>
      <c r="M416" s="37">
        <v>0.0</v>
      </c>
    </row>
    <row r="417" ht="14.25" customHeight="1">
      <c r="A417" t="s">
        <v>492</v>
      </c>
      <c r="B417" t="s">
        <v>479</v>
      </c>
      <c r="C417" t="s">
        <v>62</v>
      </c>
      <c r="D417" t="s">
        <v>63</v>
      </c>
      <c r="E417">
        <v>2.5</v>
      </c>
      <c r="F417">
        <v>3.2</v>
      </c>
      <c r="G417" s="2" t="s">
        <v>64</v>
      </c>
      <c r="H417" s="2">
        <v>0.0</v>
      </c>
      <c r="I417" s="2">
        <v>0.0</v>
      </c>
      <c r="J417" s="37">
        <v>0.0</v>
      </c>
      <c r="K417" s="2">
        <v>0.0</v>
      </c>
      <c r="L417" s="2">
        <v>0.0</v>
      </c>
      <c r="M417" s="37">
        <v>0.0</v>
      </c>
    </row>
    <row r="418" ht="14.25" customHeight="1">
      <c r="A418" t="s">
        <v>493</v>
      </c>
      <c r="B418" t="s">
        <v>479</v>
      </c>
      <c r="C418" t="s">
        <v>62</v>
      </c>
      <c r="D418" t="s">
        <v>63</v>
      </c>
      <c r="E418">
        <v>3.5</v>
      </c>
      <c r="F418">
        <v>3.8</v>
      </c>
      <c r="G418" s="2" t="s">
        <v>64</v>
      </c>
      <c r="H418" s="2">
        <v>0.0</v>
      </c>
      <c r="I418" s="2">
        <v>0.0</v>
      </c>
      <c r="J418" s="37">
        <v>0.0</v>
      </c>
      <c r="K418" s="2">
        <v>0.0</v>
      </c>
      <c r="L418" s="2">
        <v>0.0</v>
      </c>
      <c r="M418" s="37">
        <v>0.0</v>
      </c>
    </row>
    <row r="419" ht="14.25" customHeight="1">
      <c r="A419" t="s">
        <v>494</v>
      </c>
      <c r="B419" t="s">
        <v>479</v>
      </c>
      <c r="C419" t="s">
        <v>75</v>
      </c>
      <c r="D419" t="s">
        <v>63</v>
      </c>
      <c r="E419">
        <v>24.0</v>
      </c>
      <c r="F419">
        <v>26.0</v>
      </c>
      <c r="G419" s="2" t="s">
        <v>64</v>
      </c>
      <c r="H419" s="2">
        <v>0.0</v>
      </c>
      <c r="I419" s="2">
        <v>0.0</v>
      </c>
      <c r="J419" s="37">
        <v>0.0</v>
      </c>
      <c r="K419" s="2">
        <v>0.0</v>
      </c>
      <c r="L419" s="2">
        <v>0.0</v>
      </c>
      <c r="M419" s="37">
        <v>0.0</v>
      </c>
    </row>
    <row r="420" ht="14.25" customHeight="1">
      <c r="A420" t="s">
        <v>495</v>
      </c>
      <c r="B420" t="s">
        <v>479</v>
      </c>
      <c r="C420" t="s">
        <v>75</v>
      </c>
      <c r="D420" t="s">
        <v>63</v>
      </c>
      <c r="E420">
        <v>20.0</v>
      </c>
      <c r="F420">
        <v>22.4</v>
      </c>
      <c r="G420" s="2" t="s">
        <v>64</v>
      </c>
      <c r="H420" s="2">
        <v>0.0</v>
      </c>
      <c r="I420" s="2">
        <v>0.0</v>
      </c>
      <c r="J420" s="37">
        <v>0.0</v>
      </c>
      <c r="K420" s="2">
        <v>0.0</v>
      </c>
      <c r="L420" s="2">
        <v>0.0</v>
      </c>
      <c r="M420" s="37">
        <v>0.0</v>
      </c>
    </row>
    <row r="421" ht="14.25" customHeight="1">
      <c r="A421" t="s">
        <v>496</v>
      </c>
      <c r="B421" t="s">
        <v>479</v>
      </c>
      <c r="C421" t="s">
        <v>62</v>
      </c>
      <c r="D421" t="s">
        <v>63</v>
      </c>
      <c r="E421">
        <v>2.7</v>
      </c>
      <c r="F421">
        <v>3.0</v>
      </c>
      <c r="G421" s="2" t="s">
        <v>64</v>
      </c>
      <c r="H421" s="2">
        <v>0.0</v>
      </c>
      <c r="I421" s="2">
        <v>0.0</v>
      </c>
      <c r="J421" s="37">
        <v>0.0</v>
      </c>
      <c r="K421" s="2">
        <v>0.0</v>
      </c>
      <c r="L421" s="2">
        <v>0.0</v>
      </c>
      <c r="M421" s="37">
        <v>0.0</v>
      </c>
    </row>
    <row r="422" ht="14.25" customHeight="1">
      <c r="A422" t="s">
        <v>497</v>
      </c>
      <c r="B422" t="s">
        <v>479</v>
      </c>
      <c r="C422" t="s">
        <v>62</v>
      </c>
      <c r="D422" t="s">
        <v>63</v>
      </c>
      <c r="E422">
        <v>3.517</v>
      </c>
      <c r="F422">
        <v>3.8</v>
      </c>
      <c r="G422" s="2" t="s">
        <v>64</v>
      </c>
      <c r="H422" s="2">
        <v>0.0</v>
      </c>
      <c r="I422" s="2">
        <v>0.0</v>
      </c>
      <c r="J422" s="37">
        <v>0.0</v>
      </c>
      <c r="K422" s="2">
        <v>0.0</v>
      </c>
      <c r="L422" s="2">
        <v>0.0</v>
      </c>
      <c r="M422" s="37">
        <v>0.0</v>
      </c>
    </row>
    <row r="423" ht="14.25" customHeight="1">
      <c r="A423" t="s">
        <v>498</v>
      </c>
      <c r="B423" t="s">
        <v>479</v>
      </c>
      <c r="C423" t="s">
        <v>62</v>
      </c>
      <c r="D423" t="s">
        <v>63</v>
      </c>
      <c r="E423">
        <v>5.2</v>
      </c>
      <c r="F423">
        <v>5.8</v>
      </c>
      <c r="G423" s="2" t="s">
        <v>64</v>
      </c>
      <c r="H423" s="2">
        <v>0.0</v>
      </c>
      <c r="I423" s="2">
        <v>0.0</v>
      </c>
      <c r="J423" s="37">
        <v>0.0</v>
      </c>
      <c r="K423" s="2">
        <v>0.0</v>
      </c>
      <c r="L423" s="2">
        <v>0.0</v>
      </c>
      <c r="M423" s="37">
        <v>0.0</v>
      </c>
    </row>
    <row r="424" ht="14.25" customHeight="1">
      <c r="A424" t="s">
        <v>499</v>
      </c>
      <c r="B424" t="s">
        <v>479</v>
      </c>
      <c r="C424" t="s">
        <v>62</v>
      </c>
      <c r="D424" t="s">
        <v>63</v>
      </c>
      <c r="E424">
        <v>7.1</v>
      </c>
      <c r="F424">
        <v>7.8</v>
      </c>
      <c r="G424" s="2" t="s">
        <v>67</v>
      </c>
      <c r="H424" s="2">
        <v>23.0</v>
      </c>
      <c r="I424" s="2">
        <v>84.0</v>
      </c>
      <c r="J424" s="37">
        <v>625.7800000000001</v>
      </c>
      <c r="K424" s="2">
        <v>27.0</v>
      </c>
      <c r="L424" s="2">
        <v>149.0</v>
      </c>
      <c r="M424" s="37">
        <v>800.1200000000001</v>
      </c>
    </row>
    <row r="425" ht="14.25" customHeight="1">
      <c r="A425" t="s">
        <v>500</v>
      </c>
      <c r="B425" t="s">
        <v>479</v>
      </c>
      <c r="C425" t="s">
        <v>62</v>
      </c>
      <c r="D425" t="s">
        <v>63</v>
      </c>
      <c r="E425">
        <v>8.2</v>
      </c>
      <c r="F425">
        <v>9.0</v>
      </c>
      <c r="G425" s="2" t="s">
        <v>67</v>
      </c>
      <c r="H425" s="2">
        <v>26.0</v>
      </c>
      <c r="I425" s="2">
        <v>18.0</v>
      </c>
      <c r="J425" s="37">
        <v>607.36</v>
      </c>
      <c r="K425" s="2">
        <v>30.0</v>
      </c>
      <c r="L425" s="2">
        <v>93.0</v>
      </c>
      <c r="M425" s="37">
        <v>794.7</v>
      </c>
    </row>
    <row r="426" ht="14.25" customHeight="1">
      <c r="A426" t="s">
        <v>501</v>
      </c>
      <c r="B426" t="s">
        <v>479</v>
      </c>
      <c r="C426" t="s">
        <v>75</v>
      </c>
      <c r="D426" t="s">
        <v>63</v>
      </c>
      <c r="E426">
        <v>12.2</v>
      </c>
      <c r="F426">
        <v>20.0</v>
      </c>
      <c r="G426" s="2" t="s">
        <v>67</v>
      </c>
      <c r="H426" s="2">
        <v>55.0</v>
      </c>
      <c r="I426" s="2">
        <v>14.0</v>
      </c>
      <c r="J426" s="37">
        <v>1253.5</v>
      </c>
      <c r="K426" s="2">
        <v>63.0</v>
      </c>
      <c r="L426" s="2">
        <v>140.0</v>
      </c>
      <c r="M426" s="37">
        <v>1596.98</v>
      </c>
    </row>
    <row r="427" ht="14.25" customHeight="1">
      <c r="A427" t="s">
        <v>502</v>
      </c>
      <c r="B427" t="s">
        <v>479</v>
      </c>
      <c r="C427" t="s">
        <v>75</v>
      </c>
      <c r="D427" t="s">
        <v>63</v>
      </c>
      <c r="E427">
        <v>7.1</v>
      </c>
      <c r="F427">
        <v>8.0</v>
      </c>
      <c r="G427" s="2" t="s">
        <v>67</v>
      </c>
      <c r="H427" s="2">
        <v>24.0</v>
      </c>
      <c r="I427" s="2">
        <v>94.0</v>
      </c>
      <c r="J427" s="37">
        <v>661.24</v>
      </c>
      <c r="K427" s="2">
        <v>28.0</v>
      </c>
      <c r="L427" s="2">
        <v>167.0</v>
      </c>
      <c r="M427" s="37">
        <v>845.98</v>
      </c>
    </row>
    <row r="428" ht="14.25" customHeight="1">
      <c r="A428" t="s">
        <v>503</v>
      </c>
      <c r="B428" t="s">
        <v>479</v>
      </c>
      <c r="C428" t="s">
        <v>75</v>
      </c>
      <c r="D428" t="s">
        <v>63</v>
      </c>
      <c r="E428">
        <v>10.0</v>
      </c>
      <c r="F428">
        <v>12.0</v>
      </c>
      <c r="G428" s="2" t="s">
        <v>67</v>
      </c>
      <c r="H428" s="2">
        <v>36.0</v>
      </c>
      <c r="I428" s="2">
        <v>155.0</v>
      </c>
      <c r="J428" s="37">
        <v>1010.0600000000001</v>
      </c>
      <c r="K428" s="2">
        <v>41.0</v>
      </c>
      <c r="L428" s="2">
        <v>258.0</v>
      </c>
      <c r="M428" s="37">
        <v>1256.26</v>
      </c>
    </row>
    <row r="429" ht="14.25" customHeight="1">
      <c r="A429" t="s">
        <v>504</v>
      </c>
      <c r="B429" t="s">
        <v>479</v>
      </c>
      <c r="C429" t="s">
        <v>75</v>
      </c>
      <c r="D429" t="s">
        <v>63</v>
      </c>
      <c r="E429">
        <v>12.5</v>
      </c>
      <c r="F429">
        <v>14.0</v>
      </c>
      <c r="G429" s="2" t="s">
        <v>67</v>
      </c>
      <c r="H429" s="2">
        <v>43.0</v>
      </c>
      <c r="I429" s="2">
        <v>104.0</v>
      </c>
      <c r="J429" s="37">
        <v>1100.98</v>
      </c>
      <c r="K429" s="2">
        <v>50.0</v>
      </c>
      <c r="L429" s="2">
        <v>232.0</v>
      </c>
      <c r="M429" s="37">
        <v>1424.6</v>
      </c>
    </row>
    <row r="430" ht="14.25" customHeight="1">
      <c r="A430" t="s">
        <v>505</v>
      </c>
      <c r="B430" t="s">
        <v>479</v>
      </c>
      <c r="C430" t="s">
        <v>75</v>
      </c>
      <c r="D430" t="s">
        <v>63</v>
      </c>
      <c r="E430">
        <v>14.0</v>
      </c>
      <c r="F430">
        <v>16.0</v>
      </c>
      <c r="G430" s="2" t="s">
        <v>67</v>
      </c>
      <c r="H430" s="2">
        <v>45.0</v>
      </c>
      <c r="I430" s="2">
        <v>176.0</v>
      </c>
      <c r="J430" s="37">
        <v>1239.5</v>
      </c>
      <c r="K430" s="2">
        <v>53.0</v>
      </c>
      <c r="L430" s="2">
        <v>320.0</v>
      </c>
      <c r="M430" s="37">
        <v>1606.38</v>
      </c>
    </row>
    <row r="431" ht="14.25" customHeight="1">
      <c r="A431" t="s">
        <v>506</v>
      </c>
      <c r="B431" t="s">
        <v>479</v>
      </c>
      <c r="C431" t="s">
        <v>75</v>
      </c>
      <c r="D431" t="s">
        <v>63</v>
      </c>
      <c r="E431">
        <v>16.0</v>
      </c>
      <c r="F431">
        <v>18.0</v>
      </c>
      <c r="G431" s="2" t="s">
        <v>67</v>
      </c>
      <c r="H431" s="2">
        <v>53.0</v>
      </c>
      <c r="I431" s="2">
        <v>107.0</v>
      </c>
      <c r="J431" s="37">
        <v>1329.48</v>
      </c>
      <c r="K431" s="2">
        <v>62.0</v>
      </c>
      <c r="L431" s="2">
        <v>271.0</v>
      </c>
      <c r="M431" s="37">
        <v>1744.82</v>
      </c>
    </row>
    <row r="432" ht="14.25" customHeight="1">
      <c r="A432" t="s">
        <v>507</v>
      </c>
      <c r="B432" t="s">
        <v>479</v>
      </c>
      <c r="C432" t="s">
        <v>75</v>
      </c>
      <c r="D432" t="s">
        <v>63</v>
      </c>
      <c r="E432">
        <v>20.4</v>
      </c>
      <c r="F432">
        <v>22.5</v>
      </c>
      <c r="G432" s="2" t="s">
        <v>64</v>
      </c>
      <c r="H432" s="2">
        <v>0.0</v>
      </c>
      <c r="I432" s="2">
        <v>0.0</v>
      </c>
      <c r="J432" s="37">
        <v>0.0</v>
      </c>
      <c r="K432" s="2">
        <v>0.0</v>
      </c>
      <c r="L432" s="2">
        <v>0.0</v>
      </c>
      <c r="M432" s="37">
        <v>0.0</v>
      </c>
    </row>
    <row r="433" ht="14.25" customHeight="1">
      <c r="A433" t="s">
        <v>508</v>
      </c>
      <c r="B433" t="s">
        <v>479</v>
      </c>
      <c r="C433" t="s">
        <v>62</v>
      </c>
      <c r="D433" t="s">
        <v>63</v>
      </c>
      <c r="E433">
        <v>14.0</v>
      </c>
      <c r="F433">
        <v>15.4</v>
      </c>
      <c r="G433" s="2" t="s">
        <v>67</v>
      </c>
      <c r="H433" s="2">
        <v>41.0</v>
      </c>
      <c r="I433" s="2">
        <v>99.0</v>
      </c>
      <c r="J433" s="37">
        <v>1049.56</v>
      </c>
      <c r="K433" s="2">
        <v>49.0</v>
      </c>
      <c r="L433" s="2">
        <v>243.0</v>
      </c>
      <c r="M433" s="37">
        <v>1416.44</v>
      </c>
    </row>
    <row r="434" ht="14.25" customHeight="1">
      <c r="A434" t="s">
        <v>509</v>
      </c>
      <c r="B434" t="s">
        <v>479</v>
      </c>
      <c r="C434" t="s">
        <v>62</v>
      </c>
      <c r="D434" t="s">
        <v>63</v>
      </c>
      <c r="E434">
        <v>7.1</v>
      </c>
      <c r="F434">
        <v>8.0</v>
      </c>
      <c r="G434" s="2" t="s">
        <v>67</v>
      </c>
      <c r="H434" s="2">
        <v>23.0</v>
      </c>
      <c r="I434" s="2">
        <v>69.0</v>
      </c>
      <c r="J434" s="37">
        <v>606.2800000000001</v>
      </c>
      <c r="K434" s="2">
        <v>26.0</v>
      </c>
      <c r="L434" s="2">
        <v>134.0</v>
      </c>
      <c r="M434" s="37">
        <v>758.1600000000001</v>
      </c>
    </row>
    <row r="435" ht="14.25" customHeight="1">
      <c r="A435" t="s">
        <v>510</v>
      </c>
      <c r="B435" t="s">
        <v>479</v>
      </c>
      <c r="C435" t="s">
        <v>62</v>
      </c>
      <c r="D435" t="s">
        <v>63</v>
      </c>
      <c r="E435">
        <v>10.0</v>
      </c>
      <c r="F435">
        <v>12.0</v>
      </c>
      <c r="G435" s="2" t="s">
        <v>67</v>
      </c>
      <c r="H435" s="2">
        <v>36.0</v>
      </c>
      <c r="I435" s="2">
        <v>96.0</v>
      </c>
      <c r="J435" s="37">
        <v>933.3600000000001</v>
      </c>
      <c r="K435" s="2">
        <v>41.0</v>
      </c>
      <c r="L435" s="2">
        <v>199.0</v>
      </c>
      <c r="M435" s="37">
        <v>1179.56</v>
      </c>
    </row>
    <row r="436" ht="14.25" customHeight="1">
      <c r="A436" t="s">
        <v>511</v>
      </c>
      <c r="B436" t="s">
        <v>479</v>
      </c>
      <c r="C436" t="s">
        <v>62</v>
      </c>
      <c r="D436" t="s">
        <v>63</v>
      </c>
      <c r="E436">
        <v>12.5</v>
      </c>
      <c r="F436">
        <v>14.0</v>
      </c>
      <c r="G436" s="2" t="s">
        <v>67</v>
      </c>
      <c r="H436" s="2">
        <v>41.0</v>
      </c>
      <c r="I436" s="2">
        <v>54.0</v>
      </c>
      <c r="J436" s="37">
        <v>991.0600000000001</v>
      </c>
      <c r="K436" s="2">
        <v>48.0</v>
      </c>
      <c r="L436" s="2">
        <v>182.0</v>
      </c>
      <c r="M436" s="37">
        <v>1314.6799999999998</v>
      </c>
    </row>
    <row r="437" ht="14.25" customHeight="1">
      <c r="A437" t="s">
        <v>501</v>
      </c>
      <c r="B437" t="s">
        <v>479</v>
      </c>
      <c r="C437" t="s">
        <v>75</v>
      </c>
      <c r="D437" t="s">
        <v>63</v>
      </c>
      <c r="E437">
        <v>13.2</v>
      </c>
      <c r="F437">
        <v>17.0</v>
      </c>
      <c r="G437" s="2" t="s">
        <v>67</v>
      </c>
      <c r="H437" s="2">
        <v>44.0</v>
      </c>
      <c r="I437" s="2">
        <v>106.0</v>
      </c>
      <c r="J437" s="37">
        <v>1126.04</v>
      </c>
      <c r="K437" s="2">
        <v>52.0</v>
      </c>
      <c r="L437" s="2">
        <v>241.0</v>
      </c>
      <c r="M437" s="37">
        <v>1481.22</v>
      </c>
    </row>
    <row r="438" ht="14.25" customHeight="1">
      <c r="A438" t="s">
        <v>512</v>
      </c>
      <c r="B438" t="s">
        <v>479</v>
      </c>
      <c r="C438" t="s">
        <v>62</v>
      </c>
      <c r="D438" t="s">
        <v>63</v>
      </c>
      <c r="E438">
        <v>2.8</v>
      </c>
      <c r="F438">
        <v>2.65</v>
      </c>
      <c r="G438" s="2" t="s">
        <v>67</v>
      </c>
      <c r="H438" s="2">
        <v>7.0</v>
      </c>
      <c r="I438" s="2">
        <v>68.0</v>
      </c>
      <c r="J438" s="37">
        <v>245.62</v>
      </c>
      <c r="K438" s="2">
        <v>8.0</v>
      </c>
      <c r="L438" s="2">
        <v>90.0</v>
      </c>
      <c r="M438" s="37">
        <v>296.68</v>
      </c>
    </row>
    <row r="439" ht="14.25" customHeight="1">
      <c r="A439" t="s">
        <v>513</v>
      </c>
      <c r="B439" t="s">
        <v>479</v>
      </c>
      <c r="C439" t="s">
        <v>62</v>
      </c>
      <c r="D439" t="s">
        <v>63</v>
      </c>
      <c r="E439">
        <v>3.5</v>
      </c>
      <c r="F439">
        <v>4.5</v>
      </c>
      <c r="G439" s="2" t="s">
        <v>64</v>
      </c>
      <c r="H439" s="2">
        <v>0.0</v>
      </c>
      <c r="I439" s="2">
        <v>0.0</v>
      </c>
      <c r="J439" s="37">
        <v>0.0</v>
      </c>
      <c r="K439" s="2">
        <v>0.0</v>
      </c>
      <c r="L439" s="2">
        <v>0.0</v>
      </c>
      <c r="M439" s="37">
        <v>0.0</v>
      </c>
    </row>
    <row r="440" ht="14.25" customHeight="1">
      <c r="A440" t="s">
        <v>514</v>
      </c>
      <c r="B440" t="s">
        <v>479</v>
      </c>
      <c r="C440" t="s">
        <v>62</v>
      </c>
      <c r="D440" t="s">
        <v>63</v>
      </c>
      <c r="E440">
        <v>5.2</v>
      </c>
      <c r="F440">
        <v>5.2</v>
      </c>
      <c r="G440" s="2" t="s">
        <v>67</v>
      </c>
      <c r="H440" s="2">
        <v>15.0</v>
      </c>
      <c r="I440" s="2">
        <v>63.0</v>
      </c>
      <c r="J440" s="37">
        <v>418.80000000000007</v>
      </c>
      <c r="K440" s="2">
        <v>17.0</v>
      </c>
      <c r="L440" s="2">
        <v>111.0</v>
      </c>
      <c r="M440" s="37">
        <v>526.12</v>
      </c>
    </row>
    <row r="441" ht="14.25" customHeight="1">
      <c r="A441" t="s">
        <v>515</v>
      </c>
      <c r="B441" t="s">
        <v>479</v>
      </c>
      <c r="C441" t="s">
        <v>62</v>
      </c>
      <c r="D441" t="s">
        <v>63</v>
      </c>
      <c r="E441">
        <v>7.2</v>
      </c>
      <c r="F441">
        <v>7.2</v>
      </c>
      <c r="G441" s="2" t="s">
        <v>67</v>
      </c>
      <c r="H441" s="2">
        <v>21.0</v>
      </c>
      <c r="I441" s="2">
        <v>99.0</v>
      </c>
      <c r="J441" s="37">
        <v>600.36</v>
      </c>
      <c r="K441" s="2">
        <v>24.0</v>
      </c>
      <c r="L441" s="2">
        <v>165.0</v>
      </c>
      <c r="M441" s="37">
        <v>753.54</v>
      </c>
    </row>
    <row r="442" ht="14.25" customHeight="1">
      <c r="A442" t="s">
        <v>516</v>
      </c>
      <c r="B442" t="s">
        <v>479</v>
      </c>
      <c r="C442" t="s">
        <v>62</v>
      </c>
      <c r="D442" t="s">
        <v>63</v>
      </c>
      <c r="E442">
        <v>8.2</v>
      </c>
      <c r="F442">
        <v>8.5</v>
      </c>
      <c r="G442" s="2" t="s">
        <v>67</v>
      </c>
      <c r="H442" s="2">
        <v>24.0</v>
      </c>
      <c r="I442" s="2">
        <v>73.0</v>
      </c>
      <c r="J442" s="37">
        <v>633.9399999999999</v>
      </c>
      <c r="K442" s="2">
        <v>28.0</v>
      </c>
      <c r="L442" s="2">
        <v>147.0</v>
      </c>
      <c r="M442" s="37">
        <v>819.98</v>
      </c>
    </row>
    <row r="443" ht="14.25" customHeight="1">
      <c r="A443" t="s">
        <v>517</v>
      </c>
      <c r="B443" t="s">
        <v>479</v>
      </c>
      <c r="C443" t="s">
        <v>75</v>
      </c>
      <c r="D443" t="s">
        <v>63</v>
      </c>
      <c r="E443">
        <v>13.2</v>
      </c>
      <c r="F443">
        <v>17.0</v>
      </c>
      <c r="G443" s="2" t="s">
        <v>67</v>
      </c>
      <c r="H443" s="2">
        <v>45.0</v>
      </c>
      <c r="I443" s="2">
        <v>106.0</v>
      </c>
      <c r="J443" s="37">
        <v>1148.5</v>
      </c>
      <c r="K443" s="2">
        <v>53.0</v>
      </c>
      <c r="L443" s="2">
        <v>241.0</v>
      </c>
      <c r="M443" s="37">
        <v>1503.68</v>
      </c>
    </row>
    <row r="444" ht="14.25" customHeight="1">
      <c r="A444" t="s">
        <v>518</v>
      </c>
      <c r="B444" t="s">
        <v>479</v>
      </c>
      <c r="C444" t="s">
        <v>62</v>
      </c>
      <c r="D444" t="s">
        <v>63</v>
      </c>
      <c r="E444">
        <v>2.64</v>
      </c>
      <c r="F444">
        <v>3.3</v>
      </c>
      <c r="G444" s="2" t="s">
        <v>67</v>
      </c>
      <c r="H444" s="2">
        <v>8.0</v>
      </c>
      <c r="I444" s="2">
        <v>50.0</v>
      </c>
      <c r="J444" s="37">
        <v>244.68</v>
      </c>
      <c r="K444" s="2">
        <v>9.0</v>
      </c>
      <c r="L444" s="2">
        <v>71.0</v>
      </c>
      <c r="M444" s="37">
        <v>294.44</v>
      </c>
    </row>
    <row r="445" ht="14.25" customHeight="1">
      <c r="A445" t="s">
        <v>519</v>
      </c>
      <c r="B445" t="s">
        <v>479</v>
      </c>
      <c r="C445" t="s">
        <v>62</v>
      </c>
      <c r="D445" t="s">
        <v>63</v>
      </c>
      <c r="E445">
        <v>3.53</v>
      </c>
      <c r="F445">
        <v>3.65</v>
      </c>
      <c r="G445" s="2" t="s">
        <v>67</v>
      </c>
      <c r="H445" s="2">
        <v>9.0</v>
      </c>
      <c r="I445" s="2">
        <v>28.0</v>
      </c>
      <c r="J445" s="37">
        <v>238.54000000000002</v>
      </c>
      <c r="K445" s="2">
        <v>10.0</v>
      </c>
      <c r="L445" s="2">
        <v>56.0</v>
      </c>
      <c r="M445" s="37">
        <v>297.40000000000003</v>
      </c>
    </row>
    <row r="446" ht="14.25" customHeight="1">
      <c r="A446" t="s">
        <v>520</v>
      </c>
      <c r="B446" t="s">
        <v>479</v>
      </c>
      <c r="C446" t="s">
        <v>62</v>
      </c>
      <c r="D446" t="s">
        <v>63</v>
      </c>
      <c r="E446">
        <v>5.3</v>
      </c>
      <c r="F446">
        <v>5.3</v>
      </c>
      <c r="G446" s="2" t="s">
        <v>67</v>
      </c>
      <c r="H446" s="2">
        <v>16.0</v>
      </c>
      <c r="I446" s="2">
        <v>102.0</v>
      </c>
      <c r="J446" s="37">
        <v>491.96000000000004</v>
      </c>
      <c r="K446" s="2">
        <v>19.0</v>
      </c>
      <c r="L446" s="2">
        <v>150.0</v>
      </c>
      <c r="M446" s="37">
        <v>621.74</v>
      </c>
    </row>
    <row r="447" ht="14.25" customHeight="1">
      <c r="A447" t="s">
        <v>521</v>
      </c>
      <c r="B447" t="s">
        <v>479</v>
      </c>
      <c r="C447" t="s">
        <v>62</v>
      </c>
      <c r="D447" t="s">
        <v>63</v>
      </c>
      <c r="E447">
        <v>7.2</v>
      </c>
      <c r="F447">
        <v>7.3</v>
      </c>
      <c r="G447" s="2" t="s">
        <v>67</v>
      </c>
      <c r="H447" s="2">
        <v>21.0</v>
      </c>
      <c r="I447" s="2">
        <v>43.0</v>
      </c>
      <c r="J447" s="37">
        <v>527.5600000000001</v>
      </c>
      <c r="K447" s="2">
        <v>24.0</v>
      </c>
      <c r="L447" s="2">
        <v>108.0</v>
      </c>
      <c r="M447" s="37">
        <v>679.4399999999999</v>
      </c>
    </row>
    <row r="448" ht="14.25" customHeight="1">
      <c r="A448" t="s">
        <v>522</v>
      </c>
      <c r="B448" t="s">
        <v>479</v>
      </c>
      <c r="C448" t="s">
        <v>62</v>
      </c>
      <c r="D448" t="s">
        <v>63</v>
      </c>
      <c r="E448">
        <v>8.2</v>
      </c>
      <c r="F448">
        <v>8.4</v>
      </c>
      <c r="G448" s="2" t="s">
        <v>67</v>
      </c>
      <c r="H448" s="2">
        <v>24.0</v>
      </c>
      <c r="I448" s="2">
        <v>47.0</v>
      </c>
      <c r="J448" s="37">
        <v>600.14</v>
      </c>
      <c r="K448" s="2">
        <v>27.0</v>
      </c>
      <c r="L448" s="2">
        <v>122.0</v>
      </c>
      <c r="M448" s="37">
        <v>765.0200000000001</v>
      </c>
    </row>
    <row r="449" ht="14.25" customHeight="1">
      <c r="A449" t="s">
        <v>523</v>
      </c>
      <c r="B449" t="s">
        <v>479</v>
      </c>
      <c r="C449" t="s">
        <v>75</v>
      </c>
      <c r="D449" t="s">
        <v>82</v>
      </c>
      <c r="E449">
        <v>51.0</v>
      </c>
      <c r="F449">
        <v>56.2</v>
      </c>
      <c r="G449" s="2" t="s">
        <v>64</v>
      </c>
      <c r="H449" s="2">
        <v>0.0</v>
      </c>
      <c r="I449" s="2">
        <v>0.0</v>
      </c>
      <c r="J449" s="37">
        <v>0.0</v>
      </c>
      <c r="K449" s="2">
        <v>0.0</v>
      </c>
      <c r="L449" s="2">
        <v>0.0</v>
      </c>
      <c r="M449" s="37">
        <v>0.0</v>
      </c>
    </row>
    <row r="450" ht="14.25" customHeight="1">
      <c r="A450" t="s">
        <v>524</v>
      </c>
      <c r="B450" t="s">
        <v>525</v>
      </c>
      <c r="C450" t="s">
        <v>75</v>
      </c>
      <c r="D450" t="s">
        <v>63</v>
      </c>
      <c r="E450">
        <v>10.3</v>
      </c>
      <c r="F450">
        <v>11.3</v>
      </c>
      <c r="G450" s="2" t="s">
        <v>67</v>
      </c>
      <c r="H450" s="2">
        <v>39.0</v>
      </c>
      <c r="I450" s="2">
        <v>184.0</v>
      </c>
      <c r="J450" s="37">
        <v>1115.14</v>
      </c>
      <c r="K450" s="2">
        <v>45.0</v>
      </c>
      <c r="L450" s="2">
        <v>290.0</v>
      </c>
      <c r="M450" s="37">
        <v>1387.7</v>
      </c>
    </row>
    <row r="451" ht="14.25" customHeight="1">
      <c r="A451" t="s">
        <v>526</v>
      </c>
      <c r="B451" t="s">
        <v>525</v>
      </c>
      <c r="C451" t="s">
        <v>75</v>
      </c>
      <c r="D451" t="s">
        <v>63</v>
      </c>
      <c r="E451">
        <v>12.0</v>
      </c>
      <c r="F451">
        <v>13.8</v>
      </c>
      <c r="G451" s="2" t="s">
        <v>67</v>
      </c>
      <c r="H451" s="2">
        <v>48.0</v>
      </c>
      <c r="I451" s="2">
        <v>243.0</v>
      </c>
      <c r="J451" s="37">
        <v>1393.98</v>
      </c>
      <c r="K451" s="2">
        <v>55.0</v>
      </c>
      <c r="L451" s="2">
        <v>366.0</v>
      </c>
      <c r="M451" s="37">
        <v>1711.1</v>
      </c>
    </row>
    <row r="452" ht="14.25" customHeight="1">
      <c r="A452" t="s">
        <v>527</v>
      </c>
      <c r="B452" t="s">
        <v>525</v>
      </c>
      <c r="C452" t="s">
        <v>75</v>
      </c>
      <c r="D452" t="s">
        <v>63</v>
      </c>
      <c r="E452">
        <v>13.6</v>
      </c>
      <c r="F452">
        <v>15.7</v>
      </c>
      <c r="G452" s="2" t="s">
        <v>67</v>
      </c>
      <c r="H452" s="2">
        <v>55.0</v>
      </c>
      <c r="I452" s="2">
        <v>188.0</v>
      </c>
      <c r="J452" s="37">
        <v>1479.7</v>
      </c>
      <c r="K452" s="2">
        <v>62.0</v>
      </c>
      <c r="L452" s="2">
        <v>328.0</v>
      </c>
      <c r="M452" s="37">
        <v>1818.92</v>
      </c>
    </row>
    <row r="453" ht="14.25" customHeight="1">
      <c r="A453" t="s">
        <v>528</v>
      </c>
      <c r="B453" t="s">
        <v>525</v>
      </c>
      <c r="C453" t="s">
        <v>75</v>
      </c>
      <c r="D453" t="s">
        <v>63</v>
      </c>
      <c r="E453">
        <v>17.1</v>
      </c>
      <c r="F453">
        <v>19.0</v>
      </c>
      <c r="G453" s="2" t="s">
        <v>64</v>
      </c>
      <c r="H453" s="2">
        <v>0.0</v>
      </c>
      <c r="I453" s="2">
        <v>0.0</v>
      </c>
      <c r="J453" s="37">
        <v>0.0</v>
      </c>
      <c r="K453" s="2">
        <v>0.0</v>
      </c>
      <c r="L453" s="2">
        <v>0.0</v>
      </c>
      <c r="M453" s="37">
        <v>0.0</v>
      </c>
    </row>
    <row r="454" ht="14.25" customHeight="1">
      <c r="A454" t="s">
        <v>529</v>
      </c>
      <c r="B454" t="s">
        <v>530</v>
      </c>
      <c r="C454" t="s">
        <v>62</v>
      </c>
      <c r="D454" t="s">
        <v>63</v>
      </c>
      <c r="E454">
        <v>6.65</v>
      </c>
      <c r="F454">
        <v>7.2</v>
      </c>
      <c r="G454" s="2" t="s">
        <v>64</v>
      </c>
      <c r="H454" s="2">
        <v>0.0</v>
      </c>
      <c r="I454" s="2">
        <v>0.0</v>
      </c>
      <c r="J454" s="37">
        <v>0.0</v>
      </c>
      <c r="K454" s="2">
        <v>0.0</v>
      </c>
      <c r="L454" s="2">
        <v>0.0</v>
      </c>
      <c r="M454" s="37">
        <v>0.0</v>
      </c>
    </row>
    <row r="455" ht="14.25" customHeight="1">
      <c r="A455" t="s">
        <v>531</v>
      </c>
      <c r="B455" t="s">
        <v>530</v>
      </c>
      <c r="C455" t="s">
        <v>62</v>
      </c>
      <c r="D455" t="s">
        <v>63</v>
      </c>
      <c r="E455">
        <v>8.9</v>
      </c>
      <c r="F455">
        <v>9.9</v>
      </c>
      <c r="G455" s="2" t="s">
        <v>64</v>
      </c>
      <c r="H455" s="2">
        <v>0.0</v>
      </c>
      <c r="I455" s="2">
        <v>0.0</v>
      </c>
      <c r="J455" s="37">
        <v>0.0</v>
      </c>
      <c r="K455" s="2">
        <v>0.0</v>
      </c>
      <c r="L455" s="2">
        <v>0.0</v>
      </c>
      <c r="M455" s="37">
        <v>0.0</v>
      </c>
    </row>
    <row r="456" ht="14.25" customHeight="1">
      <c r="A456" t="s">
        <v>532</v>
      </c>
      <c r="B456" t="s">
        <v>530</v>
      </c>
      <c r="C456" t="s">
        <v>62</v>
      </c>
      <c r="D456" t="s">
        <v>63</v>
      </c>
      <c r="E456">
        <v>12.5</v>
      </c>
      <c r="F456">
        <v>14.1</v>
      </c>
      <c r="G456" s="2" t="s">
        <v>64</v>
      </c>
      <c r="H456" s="2">
        <v>0.0</v>
      </c>
      <c r="I456" s="2">
        <v>0.0</v>
      </c>
      <c r="J456" s="37">
        <v>0.0</v>
      </c>
      <c r="K456" s="2">
        <v>0.0</v>
      </c>
      <c r="L456" s="2">
        <v>0.0</v>
      </c>
      <c r="M456" s="37">
        <v>0.0</v>
      </c>
    </row>
    <row r="457" ht="14.25" customHeight="1">
      <c r="A457" t="s">
        <v>533</v>
      </c>
      <c r="B457" t="s">
        <v>530</v>
      </c>
      <c r="C457" t="s">
        <v>62</v>
      </c>
      <c r="D457" t="s">
        <v>63</v>
      </c>
      <c r="E457">
        <v>13.5</v>
      </c>
      <c r="F457">
        <v>14.6</v>
      </c>
      <c r="G457" s="2" t="s">
        <v>64</v>
      </c>
      <c r="H457" s="2">
        <v>0.0</v>
      </c>
      <c r="I457" s="2">
        <v>0.0</v>
      </c>
      <c r="J457" s="37">
        <v>0.0</v>
      </c>
      <c r="K457" s="2">
        <v>0.0</v>
      </c>
      <c r="L457" s="2">
        <v>0.0</v>
      </c>
      <c r="M457" s="37">
        <v>0.0</v>
      </c>
    </row>
    <row r="458" ht="14.25" customHeight="1">
      <c r="A458" t="s">
        <v>534</v>
      </c>
      <c r="B458" t="s">
        <v>530</v>
      </c>
      <c r="C458" t="s">
        <v>62</v>
      </c>
      <c r="D458" t="s">
        <v>63</v>
      </c>
      <c r="E458">
        <v>5.05</v>
      </c>
      <c r="F458">
        <v>5.35</v>
      </c>
      <c r="G458" s="2" t="s">
        <v>67</v>
      </c>
      <c r="H458" s="2">
        <v>17.0</v>
      </c>
      <c r="I458" s="2">
        <v>109.0</v>
      </c>
      <c r="J458" s="37">
        <v>523.52</v>
      </c>
      <c r="K458" s="2">
        <v>19.0</v>
      </c>
      <c r="L458" s="2">
        <v>155.0</v>
      </c>
      <c r="M458" s="37">
        <v>628.24</v>
      </c>
    </row>
    <row r="459" ht="14.25" customHeight="1">
      <c r="A459" t="s">
        <v>535</v>
      </c>
      <c r="B459" t="s">
        <v>530</v>
      </c>
      <c r="C459" t="s">
        <v>75</v>
      </c>
      <c r="D459" t="s">
        <v>63</v>
      </c>
      <c r="E459">
        <v>6.8</v>
      </c>
      <c r="F459">
        <v>6.9</v>
      </c>
      <c r="G459" s="2" t="s">
        <v>64</v>
      </c>
      <c r="H459" s="2">
        <v>0.0</v>
      </c>
      <c r="I459" s="2">
        <v>0.0</v>
      </c>
      <c r="J459" s="37">
        <v>0.0</v>
      </c>
      <c r="K459" s="2">
        <v>0.0</v>
      </c>
      <c r="L459" s="2">
        <v>0.0</v>
      </c>
      <c r="M459" s="37">
        <v>0.0</v>
      </c>
    </row>
    <row r="460" ht="14.25" customHeight="1">
      <c r="A460" t="s">
        <v>536</v>
      </c>
      <c r="B460" t="s">
        <v>530</v>
      </c>
      <c r="C460" t="s">
        <v>75</v>
      </c>
      <c r="D460" t="s">
        <v>63</v>
      </c>
      <c r="E460">
        <v>9.45</v>
      </c>
      <c r="F460">
        <v>9.87</v>
      </c>
      <c r="G460" s="2" t="s">
        <v>64</v>
      </c>
      <c r="H460" s="2">
        <v>0.0</v>
      </c>
      <c r="I460" s="2">
        <v>0.0</v>
      </c>
      <c r="J460" s="37">
        <v>0.0</v>
      </c>
      <c r="K460" s="2">
        <v>0.0</v>
      </c>
      <c r="L460" s="2">
        <v>0.0</v>
      </c>
      <c r="M460" s="37">
        <v>0.0</v>
      </c>
    </row>
    <row r="461" ht="14.25" customHeight="1">
      <c r="A461" t="s">
        <v>537</v>
      </c>
      <c r="B461" t="s">
        <v>530</v>
      </c>
      <c r="C461" t="s">
        <v>75</v>
      </c>
      <c r="D461" t="s">
        <v>63</v>
      </c>
      <c r="E461">
        <v>5.83</v>
      </c>
      <c r="F461">
        <v>6.47</v>
      </c>
      <c r="G461" s="2" t="s">
        <v>67</v>
      </c>
      <c r="H461" s="2">
        <v>19.0</v>
      </c>
      <c r="I461" s="2">
        <v>41.0</v>
      </c>
      <c r="J461" s="37">
        <v>480.04</v>
      </c>
      <c r="K461" s="2">
        <v>22.0</v>
      </c>
      <c r="L461" s="2">
        <v>101.0</v>
      </c>
      <c r="M461" s="37">
        <v>625.4200000000001</v>
      </c>
    </row>
    <row r="462" ht="14.25" customHeight="1">
      <c r="A462" t="s">
        <v>538</v>
      </c>
      <c r="B462" t="s">
        <v>530</v>
      </c>
      <c r="C462" t="s">
        <v>75</v>
      </c>
      <c r="D462" t="s">
        <v>63</v>
      </c>
      <c r="E462">
        <v>7.08</v>
      </c>
      <c r="F462">
        <v>7.08</v>
      </c>
      <c r="G462" s="2" t="s">
        <v>67</v>
      </c>
      <c r="H462" s="2">
        <v>21.0</v>
      </c>
      <c r="I462" s="2">
        <v>24.0</v>
      </c>
      <c r="J462" s="37">
        <v>502.86</v>
      </c>
      <c r="K462" s="2">
        <v>25.0</v>
      </c>
      <c r="L462" s="2">
        <v>97.0</v>
      </c>
      <c r="M462" s="37">
        <v>687.6</v>
      </c>
    </row>
    <row r="463" ht="14.25" customHeight="1">
      <c r="A463" t="s">
        <v>539</v>
      </c>
      <c r="B463" t="s">
        <v>530</v>
      </c>
      <c r="C463" t="s">
        <v>75</v>
      </c>
      <c r="D463" t="s">
        <v>63</v>
      </c>
      <c r="E463">
        <v>7.85</v>
      </c>
      <c r="F463">
        <v>8.25</v>
      </c>
      <c r="G463" s="2" t="s">
        <v>67</v>
      </c>
      <c r="H463" s="2">
        <v>24.0</v>
      </c>
      <c r="I463" s="2">
        <v>9.0</v>
      </c>
      <c r="J463" s="37">
        <v>550.74</v>
      </c>
      <c r="K463" s="2">
        <v>28.0</v>
      </c>
      <c r="L463" s="2">
        <v>90.0</v>
      </c>
      <c r="M463" s="37">
        <v>745.88</v>
      </c>
    </row>
    <row r="464" ht="14.25" customHeight="1">
      <c r="A464" t="s">
        <v>540</v>
      </c>
      <c r="B464" t="s">
        <v>530</v>
      </c>
      <c r="C464" t="s">
        <v>75</v>
      </c>
      <c r="D464" t="s">
        <v>63</v>
      </c>
      <c r="E464">
        <v>8.7</v>
      </c>
      <c r="F464">
        <v>9.28</v>
      </c>
      <c r="G464" s="2" t="s">
        <v>67</v>
      </c>
      <c r="H464" s="2">
        <v>28.0</v>
      </c>
      <c r="I464" s="2">
        <v>46.0</v>
      </c>
      <c r="J464" s="37">
        <v>688.68</v>
      </c>
      <c r="K464" s="2">
        <v>32.0</v>
      </c>
      <c r="L464" s="2">
        <v>135.0</v>
      </c>
      <c r="M464" s="37">
        <v>894.22</v>
      </c>
    </row>
    <row r="465" ht="14.25" customHeight="1">
      <c r="A465" t="s">
        <v>541</v>
      </c>
      <c r="B465" t="s">
        <v>530</v>
      </c>
      <c r="C465" t="s">
        <v>75</v>
      </c>
      <c r="D465" t="s">
        <v>63</v>
      </c>
      <c r="E465">
        <v>10.15</v>
      </c>
      <c r="F465">
        <v>10.87</v>
      </c>
      <c r="G465" s="2" t="s">
        <v>67</v>
      </c>
      <c r="H465" s="2">
        <v>32.0</v>
      </c>
      <c r="I465" s="2">
        <v>13.0</v>
      </c>
      <c r="J465" s="37">
        <v>735.62</v>
      </c>
      <c r="K465" s="2">
        <v>38.0</v>
      </c>
      <c r="L465" s="2">
        <v>117.0</v>
      </c>
      <c r="M465" s="37">
        <v>1005.58</v>
      </c>
    </row>
    <row r="466" ht="14.25" customHeight="1">
      <c r="A466" t="s">
        <v>542</v>
      </c>
      <c r="B466" t="s">
        <v>530</v>
      </c>
      <c r="C466" t="s">
        <v>75</v>
      </c>
      <c r="D466" t="s">
        <v>63</v>
      </c>
      <c r="E466">
        <v>8.6</v>
      </c>
      <c r="F466">
        <v>9.14</v>
      </c>
      <c r="G466" s="2" t="s">
        <v>67</v>
      </c>
      <c r="H466" s="2">
        <v>27.0</v>
      </c>
      <c r="I466" s="2">
        <v>66.0</v>
      </c>
      <c r="J466" s="37">
        <v>692.22</v>
      </c>
      <c r="K466" s="2">
        <v>31.0</v>
      </c>
      <c r="L466" s="2">
        <v>154.0</v>
      </c>
      <c r="M466" s="37">
        <v>896.46</v>
      </c>
    </row>
    <row r="467" ht="14.25" customHeight="1">
      <c r="A467" t="s">
        <v>543</v>
      </c>
      <c r="B467" t="s">
        <v>530</v>
      </c>
      <c r="C467" t="s">
        <v>75</v>
      </c>
      <c r="D467" t="s">
        <v>63</v>
      </c>
      <c r="E467">
        <v>10.05</v>
      </c>
      <c r="F467">
        <v>10.4</v>
      </c>
      <c r="G467" s="2" t="s">
        <v>64</v>
      </c>
      <c r="H467" s="2">
        <v>0.0</v>
      </c>
      <c r="I467" s="2">
        <v>0.0</v>
      </c>
      <c r="J467" s="37">
        <v>0.0</v>
      </c>
      <c r="K467" s="2">
        <v>0.0</v>
      </c>
      <c r="L467" s="2">
        <v>0.0</v>
      </c>
      <c r="M467" s="37">
        <v>0.0</v>
      </c>
    </row>
    <row r="468" ht="14.25" customHeight="1">
      <c r="A468" t="s">
        <v>544</v>
      </c>
      <c r="B468" t="s">
        <v>530</v>
      </c>
      <c r="C468" t="s">
        <v>75</v>
      </c>
      <c r="D468" t="s">
        <v>63</v>
      </c>
      <c r="E468">
        <v>12.0</v>
      </c>
      <c r="F468">
        <v>12.25</v>
      </c>
      <c r="G468" s="2" t="s">
        <v>67</v>
      </c>
      <c r="H468" s="2">
        <v>37.0</v>
      </c>
      <c r="I468" s="2">
        <v>44.0</v>
      </c>
      <c r="J468" s="37">
        <v>888.22</v>
      </c>
      <c r="K468" s="2">
        <v>43.0</v>
      </c>
      <c r="L468" s="2">
        <v>167.0</v>
      </c>
      <c r="M468" s="37">
        <v>1182.88</v>
      </c>
    </row>
    <row r="469" ht="14.25" customHeight="1">
      <c r="A469" t="s">
        <v>545</v>
      </c>
      <c r="B469" t="s">
        <v>530</v>
      </c>
      <c r="C469" t="s">
        <v>75</v>
      </c>
      <c r="D469" t="s">
        <v>63</v>
      </c>
      <c r="E469">
        <v>13.6</v>
      </c>
      <c r="F469">
        <v>14.0</v>
      </c>
      <c r="G469" s="2" t="s">
        <v>67</v>
      </c>
      <c r="H469" s="2">
        <v>42.0</v>
      </c>
      <c r="I469" s="2">
        <v>16.0</v>
      </c>
      <c r="J469" s="37">
        <v>964.12</v>
      </c>
      <c r="K469" s="2">
        <v>49.0</v>
      </c>
      <c r="L469" s="2">
        <v>156.0</v>
      </c>
      <c r="M469" s="37">
        <v>1303.34</v>
      </c>
    </row>
    <row r="470" ht="14.25" customHeight="1">
      <c r="A470" t="s">
        <v>546</v>
      </c>
      <c r="B470" t="s">
        <v>530</v>
      </c>
      <c r="C470" t="s">
        <v>62</v>
      </c>
      <c r="D470" t="s">
        <v>268</v>
      </c>
      <c r="E470">
        <v>3.517</v>
      </c>
      <c r="F470">
        <v>2.93</v>
      </c>
      <c r="G470" s="2" t="s">
        <v>64</v>
      </c>
      <c r="H470" s="2">
        <v>0.0</v>
      </c>
      <c r="I470" s="2">
        <v>0.0</v>
      </c>
      <c r="J470" s="37">
        <v>0.0</v>
      </c>
      <c r="K470" s="2">
        <v>0.0</v>
      </c>
      <c r="L470" s="2">
        <v>0.0</v>
      </c>
      <c r="M470" s="37">
        <v>0.0</v>
      </c>
    </row>
    <row r="471" ht="14.25" customHeight="1">
      <c r="A471" t="s">
        <v>546</v>
      </c>
      <c r="B471" t="s">
        <v>530</v>
      </c>
      <c r="C471" t="s">
        <v>62</v>
      </c>
      <c r="D471" t="s">
        <v>268</v>
      </c>
      <c r="E471">
        <v>3.517</v>
      </c>
      <c r="F471">
        <v>2.93</v>
      </c>
      <c r="G471" s="2" t="s">
        <v>64</v>
      </c>
      <c r="H471" s="2">
        <v>0.0</v>
      </c>
      <c r="I471" s="2">
        <v>0.0</v>
      </c>
      <c r="J471" s="37">
        <v>0.0</v>
      </c>
      <c r="K471" s="2">
        <v>0.0</v>
      </c>
      <c r="L471" s="2">
        <v>0.0</v>
      </c>
      <c r="M471" s="37">
        <v>0.0</v>
      </c>
    </row>
    <row r="472" ht="14.25" customHeight="1">
      <c r="A472" t="s">
        <v>547</v>
      </c>
      <c r="B472" t="s">
        <v>530</v>
      </c>
      <c r="C472" t="s">
        <v>75</v>
      </c>
      <c r="D472" t="s">
        <v>63</v>
      </c>
      <c r="E472">
        <v>5.28</v>
      </c>
      <c r="F472">
        <v>5.65</v>
      </c>
      <c r="G472" s="2" t="s">
        <v>64</v>
      </c>
      <c r="H472" s="2">
        <v>0.0</v>
      </c>
      <c r="I472" s="2">
        <v>0.0</v>
      </c>
      <c r="J472" s="37">
        <v>0.0</v>
      </c>
      <c r="K472" s="2">
        <v>0.0</v>
      </c>
      <c r="L472" s="2">
        <v>0.0</v>
      </c>
      <c r="M472" s="37">
        <v>0.0</v>
      </c>
    </row>
    <row r="473" ht="14.25" customHeight="1">
      <c r="A473" t="s">
        <v>548</v>
      </c>
      <c r="B473" t="s">
        <v>530</v>
      </c>
      <c r="C473" t="s">
        <v>75</v>
      </c>
      <c r="D473" t="s">
        <v>63</v>
      </c>
      <c r="E473">
        <v>12.4</v>
      </c>
      <c r="F473">
        <v>12.8</v>
      </c>
      <c r="G473" s="2" t="s">
        <v>67</v>
      </c>
      <c r="H473" s="2">
        <v>40.0</v>
      </c>
      <c r="I473" s="2">
        <v>97.0</v>
      </c>
      <c r="J473" s="37">
        <v>1024.5</v>
      </c>
      <c r="K473" s="2">
        <v>46.0</v>
      </c>
      <c r="L473" s="2">
        <v>224.0</v>
      </c>
      <c r="M473" s="37">
        <v>1324.3600000000001</v>
      </c>
    </row>
    <row r="474" ht="14.25" customHeight="1">
      <c r="A474" t="s">
        <v>549</v>
      </c>
      <c r="B474" t="s">
        <v>530</v>
      </c>
      <c r="C474" t="s">
        <v>75</v>
      </c>
      <c r="D474" t="s">
        <v>63</v>
      </c>
      <c r="E474">
        <v>13.6</v>
      </c>
      <c r="F474">
        <v>14.3</v>
      </c>
      <c r="G474" s="2" t="s">
        <v>67</v>
      </c>
      <c r="H474" s="2">
        <v>44.0</v>
      </c>
      <c r="I474" s="2">
        <v>70.0</v>
      </c>
      <c r="J474" s="37">
        <v>1079.24</v>
      </c>
      <c r="K474" s="2">
        <v>51.0</v>
      </c>
      <c r="L474" s="2">
        <v>209.0</v>
      </c>
      <c r="M474" s="37">
        <v>1417.16</v>
      </c>
    </row>
    <row r="475" ht="14.25" customHeight="1">
      <c r="A475" t="s">
        <v>550</v>
      </c>
      <c r="B475" t="s">
        <v>530</v>
      </c>
      <c r="C475" t="s">
        <v>75</v>
      </c>
      <c r="D475" t="s">
        <v>63</v>
      </c>
      <c r="E475">
        <v>16.2</v>
      </c>
      <c r="F475">
        <v>17.0</v>
      </c>
      <c r="G475" s="2" t="s">
        <v>67</v>
      </c>
      <c r="H475" s="2">
        <v>52.0</v>
      </c>
      <c r="I475" s="2">
        <v>66.0</v>
      </c>
      <c r="J475" s="37">
        <v>1253.72</v>
      </c>
      <c r="K475" s="2">
        <v>60.0</v>
      </c>
      <c r="L475" s="2">
        <v>232.0</v>
      </c>
      <c r="M475" s="37">
        <v>1649.2000000000003</v>
      </c>
    </row>
    <row r="476" ht="14.25" customHeight="1">
      <c r="A476" t="s">
        <v>551</v>
      </c>
      <c r="B476" t="s">
        <v>530</v>
      </c>
      <c r="C476" t="s">
        <v>75</v>
      </c>
      <c r="D476" t="s">
        <v>63</v>
      </c>
      <c r="E476">
        <v>12.3</v>
      </c>
      <c r="F476">
        <v>13.0</v>
      </c>
      <c r="G476" s="2" t="s">
        <v>67</v>
      </c>
      <c r="H476" s="2">
        <v>40.0</v>
      </c>
      <c r="I476" s="2">
        <v>103.0</v>
      </c>
      <c r="J476" s="37">
        <v>1032.3000000000002</v>
      </c>
      <c r="K476" s="2">
        <v>47.0</v>
      </c>
      <c r="L476" s="2">
        <v>229.0</v>
      </c>
      <c r="M476" s="37">
        <v>1353.3200000000002</v>
      </c>
    </row>
    <row r="477" ht="14.25" customHeight="1">
      <c r="A477" t="s">
        <v>552</v>
      </c>
      <c r="B477" t="s">
        <v>530</v>
      </c>
      <c r="C477" t="s">
        <v>75</v>
      </c>
      <c r="D477" t="s">
        <v>63</v>
      </c>
      <c r="E477">
        <v>13.6</v>
      </c>
      <c r="F477">
        <v>14.5</v>
      </c>
      <c r="G477" s="2" t="s">
        <v>67</v>
      </c>
      <c r="H477" s="2">
        <v>44.0</v>
      </c>
      <c r="I477" s="2">
        <v>49.0</v>
      </c>
      <c r="J477" s="37">
        <v>1051.94</v>
      </c>
      <c r="K477" s="2">
        <v>51.0</v>
      </c>
      <c r="L477" s="2">
        <v>188.0</v>
      </c>
      <c r="M477" s="37">
        <v>1389.8600000000001</v>
      </c>
    </row>
    <row r="478" ht="14.25" customHeight="1">
      <c r="A478" t="s">
        <v>553</v>
      </c>
      <c r="B478" t="s">
        <v>530</v>
      </c>
      <c r="C478" t="s">
        <v>62</v>
      </c>
      <c r="D478" t="s">
        <v>268</v>
      </c>
      <c r="E478">
        <v>3.341</v>
      </c>
      <c r="F478">
        <v>2.931</v>
      </c>
      <c r="G478" s="2" t="s">
        <v>64</v>
      </c>
      <c r="H478" s="2">
        <v>0.0</v>
      </c>
      <c r="I478" s="2">
        <v>0.0</v>
      </c>
      <c r="J478" s="37">
        <v>0.0</v>
      </c>
      <c r="K478" s="2">
        <v>0.0</v>
      </c>
      <c r="L478" s="2">
        <v>0.0</v>
      </c>
      <c r="M478" s="37">
        <v>0.0</v>
      </c>
    </row>
    <row r="479" ht="14.25" customHeight="1">
      <c r="A479" t="s">
        <v>554</v>
      </c>
      <c r="B479" t="s">
        <v>530</v>
      </c>
      <c r="C479" t="s">
        <v>62</v>
      </c>
      <c r="D479" t="s">
        <v>63</v>
      </c>
      <c r="E479">
        <v>2.0</v>
      </c>
      <c r="F479">
        <v>2.2</v>
      </c>
      <c r="G479" s="2" t="s">
        <v>67</v>
      </c>
      <c r="H479" s="2">
        <v>5.0</v>
      </c>
      <c r="I479" s="2">
        <v>28.0</v>
      </c>
      <c r="J479" s="37">
        <v>148.70000000000002</v>
      </c>
      <c r="K479" s="2">
        <v>6.0</v>
      </c>
      <c r="L479" s="2">
        <v>44.0</v>
      </c>
      <c r="M479" s="37">
        <v>191.95999999999998</v>
      </c>
    </row>
    <row r="480" ht="14.25" customHeight="1">
      <c r="A480" t="s">
        <v>555</v>
      </c>
      <c r="B480" t="s">
        <v>530</v>
      </c>
      <c r="C480" t="s">
        <v>62</v>
      </c>
      <c r="D480" t="s">
        <v>63</v>
      </c>
      <c r="E480">
        <v>2.65</v>
      </c>
      <c r="F480">
        <v>2.75</v>
      </c>
      <c r="G480" s="2" t="s">
        <v>67</v>
      </c>
      <c r="H480" s="2">
        <v>8.0</v>
      </c>
      <c r="I480" s="2">
        <v>57.0</v>
      </c>
      <c r="J480" s="37">
        <v>253.78000000000003</v>
      </c>
      <c r="K480" s="2">
        <v>9.0</v>
      </c>
      <c r="L480" s="2">
        <v>78.0</v>
      </c>
      <c r="M480" s="37">
        <v>303.54</v>
      </c>
    </row>
    <row r="481" ht="14.25" customHeight="1">
      <c r="A481" t="s">
        <v>556</v>
      </c>
      <c r="B481" t="s">
        <v>530</v>
      </c>
      <c r="C481" t="s">
        <v>62</v>
      </c>
      <c r="D481" t="s">
        <v>63</v>
      </c>
      <c r="E481">
        <v>3.5</v>
      </c>
      <c r="F481">
        <v>3.75</v>
      </c>
      <c r="G481" s="2" t="s">
        <v>67</v>
      </c>
      <c r="H481" s="2">
        <v>10.0</v>
      </c>
      <c r="I481" s="2">
        <v>49.0</v>
      </c>
      <c r="J481" s="37">
        <v>288.3</v>
      </c>
      <c r="K481" s="2">
        <v>11.0</v>
      </c>
      <c r="L481" s="2">
        <v>77.0</v>
      </c>
      <c r="M481" s="37">
        <v>347.16</v>
      </c>
    </row>
    <row r="482" ht="14.25" customHeight="1">
      <c r="A482" t="s">
        <v>557</v>
      </c>
      <c r="B482" t="s">
        <v>530</v>
      </c>
      <c r="C482" t="s">
        <v>62</v>
      </c>
      <c r="D482" t="s">
        <v>63</v>
      </c>
      <c r="E482">
        <v>5.0</v>
      </c>
      <c r="F482">
        <v>5.35</v>
      </c>
      <c r="G482" s="2" t="s">
        <v>67</v>
      </c>
      <c r="H482" s="2">
        <v>15.0</v>
      </c>
      <c r="I482" s="2">
        <v>57.0</v>
      </c>
      <c r="J482" s="37">
        <v>411.00000000000006</v>
      </c>
      <c r="K482" s="2">
        <v>18.0</v>
      </c>
      <c r="L482" s="2">
        <v>102.0</v>
      </c>
      <c r="M482" s="37">
        <v>536.88</v>
      </c>
    </row>
    <row r="483" ht="14.25" customHeight="1">
      <c r="A483" t="s">
        <v>558</v>
      </c>
      <c r="B483" t="s">
        <v>530</v>
      </c>
      <c r="C483" t="s">
        <v>62</v>
      </c>
      <c r="D483" t="s">
        <v>63</v>
      </c>
      <c r="E483">
        <v>6.0</v>
      </c>
      <c r="F483">
        <v>6.2</v>
      </c>
      <c r="G483" s="2" t="s">
        <v>64</v>
      </c>
      <c r="H483" s="2">
        <v>0.0</v>
      </c>
      <c r="I483" s="2">
        <v>0.0</v>
      </c>
      <c r="J483" s="37">
        <v>0.0</v>
      </c>
      <c r="K483" s="2">
        <v>0.0</v>
      </c>
      <c r="L483" s="2">
        <v>0.0</v>
      </c>
      <c r="M483" s="37">
        <v>0.0</v>
      </c>
    </row>
    <row r="484" ht="14.25" customHeight="1">
      <c r="A484" t="s">
        <v>559</v>
      </c>
      <c r="B484" t="s">
        <v>530</v>
      </c>
      <c r="C484" t="s">
        <v>62</v>
      </c>
      <c r="D484" t="s">
        <v>63</v>
      </c>
      <c r="E484">
        <v>7.0</v>
      </c>
      <c r="F484">
        <v>7.6</v>
      </c>
      <c r="G484" s="2" t="s">
        <v>67</v>
      </c>
      <c r="H484" s="2">
        <v>21.0</v>
      </c>
      <c r="I484" s="2">
        <v>51.0</v>
      </c>
      <c r="J484" s="37">
        <v>537.96</v>
      </c>
      <c r="K484" s="2">
        <v>25.0</v>
      </c>
      <c r="L484" s="2">
        <v>115.0</v>
      </c>
      <c r="M484" s="37">
        <v>711.0</v>
      </c>
    </row>
    <row r="485" ht="14.25" customHeight="1">
      <c r="A485" t="s">
        <v>560</v>
      </c>
      <c r="B485" t="s">
        <v>530</v>
      </c>
      <c r="C485" t="s">
        <v>62</v>
      </c>
      <c r="D485" t="s">
        <v>63</v>
      </c>
      <c r="E485">
        <v>8.0</v>
      </c>
      <c r="F485">
        <v>8.2</v>
      </c>
      <c r="G485" s="2" t="s">
        <v>67</v>
      </c>
      <c r="H485" s="2">
        <v>23.0</v>
      </c>
      <c r="I485" s="2">
        <v>39.0</v>
      </c>
      <c r="J485" s="37">
        <v>567.2800000000001</v>
      </c>
      <c r="K485" s="2">
        <v>26.0</v>
      </c>
      <c r="L485" s="2">
        <v>112.0</v>
      </c>
      <c r="M485" s="37">
        <v>729.5600000000001</v>
      </c>
    </row>
    <row r="486" ht="14.25" customHeight="1">
      <c r="A486" t="s">
        <v>561</v>
      </c>
      <c r="B486" t="s">
        <v>530</v>
      </c>
      <c r="C486" t="s">
        <v>62</v>
      </c>
      <c r="D486" t="s">
        <v>63</v>
      </c>
      <c r="E486">
        <v>3.5</v>
      </c>
      <c r="F486">
        <v>4.2</v>
      </c>
      <c r="G486" s="2" t="s">
        <v>64</v>
      </c>
      <c r="H486" s="2">
        <v>0.0</v>
      </c>
      <c r="I486" s="2">
        <v>0.0</v>
      </c>
      <c r="J486" s="37">
        <v>0.0</v>
      </c>
      <c r="K486" s="2">
        <v>0.0</v>
      </c>
      <c r="L486" s="2">
        <v>0.0</v>
      </c>
      <c r="M486" s="37">
        <v>0.0</v>
      </c>
    </row>
    <row r="487" ht="14.25" customHeight="1">
      <c r="A487" t="s">
        <v>562</v>
      </c>
      <c r="B487" t="s">
        <v>530</v>
      </c>
      <c r="C487" t="s">
        <v>62</v>
      </c>
      <c r="D487" t="s">
        <v>63</v>
      </c>
      <c r="E487">
        <v>4.9</v>
      </c>
      <c r="F487">
        <v>5.3</v>
      </c>
      <c r="G487" s="2" t="s">
        <v>67</v>
      </c>
      <c r="H487" s="2">
        <v>15.0</v>
      </c>
      <c r="I487" s="2">
        <v>21.0</v>
      </c>
      <c r="J487" s="37">
        <v>364.20000000000005</v>
      </c>
      <c r="K487" s="2">
        <v>17.0</v>
      </c>
      <c r="L487" s="2">
        <v>65.0</v>
      </c>
      <c r="M487" s="37">
        <v>466.32</v>
      </c>
    </row>
    <row r="488" ht="14.25" customHeight="1">
      <c r="A488" t="s">
        <v>563</v>
      </c>
      <c r="B488" t="s">
        <v>530</v>
      </c>
      <c r="C488" t="s">
        <v>62</v>
      </c>
      <c r="D488" t="s">
        <v>63</v>
      </c>
      <c r="E488">
        <v>2.0</v>
      </c>
      <c r="F488">
        <v>2.2</v>
      </c>
      <c r="G488" s="2" t="s">
        <v>67</v>
      </c>
      <c r="H488" s="2">
        <v>5.0</v>
      </c>
      <c r="I488" s="2">
        <v>28.0</v>
      </c>
      <c r="J488" s="37">
        <v>148.70000000000002</v>
      </c>
      <c r="K488" s="2">
        <v>6.0</v>
      </c>
      <c r="L488" s="2">
        <v>44.0</v>
      </c>
      <c r="M488" s="37">
        <v>191.95999999999998</v>
      </c>
    </row>
    <row r="489" ht="14.25" customHeight="1">
      <c r="A489" t="s">
        <v>564</v>
      </c>
      <c r="B489" t="s">
        <v>530</v>
      </c>
      <c r="C489" t="s">
        <v>62</v>
      </c>
      <c r="D489" t="s">
        <v>63</v>
      </c>
      <c r="E489">
        <v>2.65</v>
      </c>
      <c r="F489">
        <v>2.75</v>
      </c>
      <c r="G489" s="2" t="s">
        <v>67</v>
      </c>
      <c r="H489" s="2">
        <v>8.0</v>
      </c>
      <c r="I489" s="2">
        <v>57.0</v>
      </c>
      <c r="J489" s="37">
        <v>253.78000000000003</v>
      </c>
      <c r="K489" s="2">
        <v>9.0</v>
      </c>
      <c r="L489" s="2">
        <v>78.0</v>
      </c>
      <c r="M489" s="37">
        <v>303.54</v>
      </c>
    </row>
    <row r="490" ht="14.25" customHeight="1">
      <c r="A490" t="s">
        <v>565</v>
      </c>
      <c r="B490" t="s">
        <v>530</v>
      </c>
      <c r="C490" t="s">
        <v>62</v>
      </c>
      <c r="D490" t="s">
        <v>63</v>
      </c>
      <c r="E490">
        <v>3.5</v>
      </c>
      <c r="F490">
        <v>3.75</v>
      </c>
      <c r="G490" s="2" t="s">
        <v>67</v>
      </c>
      <c r="H490" s="2">
        <v>10.0</v>
      </c>
      <c r="I490" s="2">
        <v>49.0</v>
      </c>
      <c r="J490" s="37">
        <v>288.3</v>
      </c>
      <c r="K490" s="2">
        <v>11.0</v>
      </c>
      <c r="L490" s="2">
        <v>77.0</v>
      </c>
      <c r="M490" s="37">
        <v>347.16</v>
      </c>
    </row>
    <row r="491" ht="14.25" customHeight="1">
      <c r="A491" t="s">
        <v>566</v>
      </c>
      <c r="B491" t="s">
        <v>530</v>
      </c>
      <c r="C491" t="s">
        <v>62</v>
      </c>
      <c r="D491" t="s">
        <v>63</v>
      </c>
      <c r="E491">
        <v>5.0</v>
      </c>
      <c r="F491">
        <v>5.35</v>
      </c>
      <c r="G491" s="2" t="s">
        <v>67</v>
      </c>
      <c r="H491" s="2">
        <v>15.0</v>
      </c>
      <c r="I491" s="2">
        <v>57.0</v>
      </c>
      <c r="J491" s="37">
        <v>411.00000000000006</v>
      </c>
      <c r="K491" s="2">
        <v>18.0</v>
      </c>
      <c r="L491" s="2">
        <v>102.0</v>
      </c>
      <c r="M491" s="37">
        <v>536.88</v>
      </c>
    </row>
    <row r="492" ht="14.25" customHeight="1">
      <c r="A492" t="s">
        <v>567</v>
      </c>
      <c r="B492" t="s">
        <v>530</v>
      </c>
      <c r="C492" t="s">
        <v>62</v>
      </c>
      <c r="D492" t="s">
        <v>63</v>
      </c>
      <c r="E492">
        <v>6.0</v>
      </c>
      <c r="F492">
        <v>6.2</v>
      </c>
      <c r="G492" s="2" t="s">
        <v>64</v>
      </c>
      <c r="H492" s="2">
        <v>0.0</v>
      </c>
      <c r="I492" s="2">
        <v>0.0</v>
      </c>
      <c r="J492" s="37">
        <v>0.0</v>
      </c>
      <c r="K492" s="2">
        <v>0.0</v>
      </c>
      <c r="L492" s="2">
        <v>0.0</v>
      </c>
      <c r="M492" s="37">
        <v>0.0</v>
      </c>
    </row>
    <row r="493" ht="14.25" customHeight="1">
      <c r="A493" t="s">
        <v>568</v>
      </c>
      <c r="B493" t="s">
        <v>530</v>
      </c>
      <c r="C493" t="s">
        <v>62</v>
      </c>
      <c r="D493" t="s">
        <v>63</v>
      </c>
      <c r="E493">
        <v>7.0</v>
      </c>
      <c r="F493">
        <v>7.6</v>
      </c>
      <c r="G493" s="2" t="s">
        <v>67</v>
      </c>
      <c r="H493" s="2">
        <v>21.0</v>
      </c>
      <c r="I493" s="2">
        <v>51.0</v>
      </c>
      <c r="J493" s="37">
        <v>537.96</v>
      </c>
      <c r="K493" s="2">
        <v>25.0</v>
      </c>
      <c r="L493" s="2">
        <v>115.0</v>
      </c>
      <c r="M493" s="37">
        <v>711.0</v>
      </c>
    </row>
    <row r="494" ht="14.25" customHeight="1">
      <c r="A494" t="s">
        <v>569</v>
      </c>
      <c r="B494" t="s">
        <v>530</v>
      </c>
      <c r="C494" t="s">
        <v>62</v>
      </c>
      <c r="D494" t="s">
        <v>63</v>
      </c>
      <c r="E494">
        <v>8.0</v>
      </c>
      <c r="F494">
        <v>8.2</v>
      </c>
      <c r="G494" s="2" t="s">
        <v>67</v>
      </c>
      <c r="H494" s="2">
        <v>23.0</v>
      </c>
      <c r="I494" s="2">
        <v>39.0</v>
      </c>
      <c r="J494" s="37">
        <v>567.2800000000001</v>
      </c>
      <c r="K494" s="2">
        <v>26.0</v>
      </c>
      <c r="L494" s="2">
        <v>112.0</v>
      </c>
      <c r="M494" s="37">
        <v>729.5600000000001</v>
      </c>
    </row>
    <row r="495" ht="14.25" customHeight="1">
      <c r="A495" t="s">
        <v>570</v>
      </c>
      <c r="B495" t="s">
        <v>530</v>
      </c>
      <c r="C495" t="s">
        <v>62</v>
      </c>
      <c r="D495" t="s">
        <v>63</v>
      </c>
      <c r="E495">
        <v>2.0</v>
      </c>
      <c r="F495">
        <v>2.2</v>
      </c>
      <c r="G495" s="2" t="s">
        <v>67</v>
      </c>
      <c r="H495" s="2">
        <v>5.0</v>
      </c>
      <c r="I495" s="2">
        <v>28.0</v>
      </c>
      <c r="J495" s="37">
        <v>148.70000000000002</v>
      </c>
      <c r="K495" s="2">
        <v>6.0</v>
      </c>
      <c r="L495" s="2">
        <v>44.0</v>
      </c>
      <c r="M495" s="37">
        <v>191.95999999999998</v>
      </c>
    </row>
    <row r="496" ht="14.25" customHeight="1">
      <c r="A496" t="s">
        <v>571</v>
      </c>
      <c r="B496" t="s">
        <v>530</v>
      </c>
      <c r="C496" t="s">
        <v>62</v>
      </c>
      <c r="D496" t="s">
        <v>63</v>
      </c>
      <c r="E496">
        <v>2.65</v>
      </c>
      <c r="F496">
        <v>2.75</v>
      </c>
      <c r="G496" s="2" t="s">
        <v>67</v>
      </c>
      <c r="H496" s="2">
        <v>8.0</v>
      </c>
      <c r="I496" s="2">
        <v>57.0</v>
      </c>
      <c r="J496" s="37">
        <v>253.78000000000003</v>
      </c>
      <c r="K496" s="2">
        <v>9.0</v>
      </c>
      <c r="L496" s="2">
        <v>78.0</v>
      </c>
      <c r="M496" s="37">
        <v>303.54</v>
      </c>
    </row>
    <row r="497" ht="14.25" customHeight="1">
      <c r="A497" t="s">
        <v>572</v>
      </c>
      <c r="B497" t="s">
        <v>530</v>
      </c>
      <c r="C497" t="s">
        <v>62</v>
      </c>
      <c r="D497" t="s">
        <v>63</v>
      </c>
      <c r="E497">
        <v>3.5</v>
      </c>
      <c r="F497">
        <v>3.75</v>
      </c>
      <c r="G497" s="2" t="s">
        <v>67</v>
      </c>
      <c r="H497" s="2">
        <v>10.0</v>
      </c>
      <c r="I497" s="2">
        <v>49.0</v>
      </c>
      <c r="J497" s="37">
        <v>288.3</v>
      </c>
      <c r="K497" s="2">
        <v>11.0</v>
      </c>
      <c r="L497" s="2">
        <v>77.0</v>
      </c>
      <c r="M497" s="37">
        <v>347.16</v>
      </c>
    </row>
    <row r="498" ht="14.25" customHeight="1">
      <c r="A498" t="s">
        <v>573</v>
      </c>
      <c r="B498" t="s">
        <v>530</v>
      </c>
      <c r="C498" t="s">
        <v>62</v>
      </c>
      <c r="D498" t="s">
        <v>63</v>
      </c>
      <c r="E498">
        <v>5.0</v>
      </c>
      <c r="F498">
        <v>5.35</v>
      </c>
      <c r="G498" s="2" t="s">
        <v>67</v>
      </c>
      <c r="H498" s="2">
        <v>15.0</v>
      </c>
      <c r="I498" s="2">
        <v>57.0</v>
      </c>
      <c r="J498" s="37">
        <v>411.00000000000006</v>
      </c>
      <c r="K498" s="2">
        <v>18.0</v>
      </c>
      <c r="L498" s="2">
        <v>102.0</v>
      </c>
      <c r="M498" s="37">
        <v>536.88</v>
      </c>
    </row>
    <row r="499" ht="14.25" customHeight="1">
      <c r="A499" t="s">
        <v>574</v>
      </c>
      <c r="B499" t="s">
        <v>530</v>
      </c>
      <c r="C499" t="s">
        <v>62</v>
      </c>
      <c r="D499" t="s">
        <v>63</v>
      </c>
      <c r="E499">
        <v>6.0</v>
      </c>
      <c r="F499">
        <v>6.2</v>
      </c>
      <c r="G499" s="2" t="s">
        <v>64</v>
      </c>
      <c r="H499" s="2">
        <v>0.0</v>
      </c>
      <c r="I499" s="2">
        <v>0.0</v>
      </c>
      <c r="J499" s="37">
        <v>0.0</v>
      </c>
      <c r="K499" s="2">
        <v>0.0</v>
      </c>
      <c r="L499" s="2">
        <v>0.0</v>
      </c>
      <c r="M499" s="37">
        <v>0.0</v>
      </c>
    </row>
    <row r="500" ht="14.25" customHeight="1">
      <c r="A500" t="s">
        <v>575</v>
      </c>
      <c r="B500" t="s">
        <v>530</v>
      </c>
      <c r="C500" t="s">
        <v>62</v>
      </c>
      <c r="D500" t="s">
        <v>63</v>
      </c>
      <c r="E500">
        <v>7.0</v>
      </c>
      <c r="F500">
        <v>7.6</v>
      </c>
      <c r="G500" s="2" t="s">
        <v>67</v>
      </c>
      <c r="H500" s="2">
        <v>21.0</v>
      </c>
      <c r="I500" s="2">
        <v>51.0</v>
      </c>
      <c r="J500" s="37">
        <v>537.96</v>
      </c>
      <c r="K500" s="2">
        <v>25.0</v>
      </c>
      <c r="L500" s="2">
        <v>115.0</v>
      </c>
      <c r="M500" s="37">
        <v>711.0</v>
      </c>
    </row>
    <row r="501" ht="14.25" customHeight="1">
      <c r="A501" t="s">
        <v>576</v>
      </c>
      <c r="B501" t="s">
        <v>530</v>
      </c>
      <c r="C501" t="s">
        <v>62</v>
      </c>
      <c r="D501" t="s">
        <v>63</v>
      </c>
      <c r="E501">
        <v>8.0</v>
      </c>
      <c r="F501">
        <v>8.2</v>
      </c>
      <c r="G501" s="2" t="s">
        <v>67</v>
      </c>
      <c r="H501" s="2">
        <v>23.0</v>
      </c>
      <c r="I501" s="2">
        <v>39.0</v>
      </c>
      <c r="J501" s="37">
        <v>567.2800000000001</v>
      </c>
      <c r="K501" s="2">
        <v>26.0</v>
      </c>
      <c r="L501" s="2">
        <v>112.0</v>
      </c>
      <c r="M501" s="37">
        <v>729.5600000000001</v>
      </c>
    </row>
    <row r="502" ht="14.25" customHeight="1">
      <c r="A502" t="s">
        <v>577</v>
      </c>
      <c r="B502" t="s">
        <v>530</v>
      </c>
      <c r="C502" t="s">
        <v>75</v>
      </c>
      <c r="D502" t="s">
        <v>63</v>
      </c>
      <c r="E502">
        <v>17.0</v>
      </c>
      <c r="F502">
        <v>17.0</v>
      </c>
      <c r="G502" s="2" t="s">
        <v>67</v>
      </c>
      <c r="H502" s="2">
        <v>52.0</v>
      </c>
      <c r="I502" s="2">
        <v>137.0</v>
      </c>
      <c r="J502" s="37">
        <v>1346.02</v>
      </c>
      <c r="K502" s="2">
        <v>61.0</v>
      </c>
      <c r="L502" s="2">
        <v>311.0</v>
      </c>
      <c r="M502" s="37">
        <v>1774.36</v>
      </c>
    </row>
    <row r="503" ht="14.25" customHeight="1">
      <c r="A503" t="s">
        <v>578</v>
      </c>
      <c r="B503" t="s">
        <v>530</v>
      </c>
      <c r="C503" t="s">
        <v>62</v>
      </c>
      <c r="D503" t="s">
        <v>63</v>
      </c>
      <c r="E503">
        <v>9.1</v>
      </c>
      <c r="F503">
        <v>10.1</v>
      </c>
      <c r="G503" s="2" t="s">
        <v>64</v>
      </c>
      <c r="H503" s="2">
        <v>0.0</v>
      </c>
      <c r="I503" s="2">
        <v>0.0</v>
      </c>
      <c r="J503" s="37">
        <v>0.0</v>
      </c>
      <c r="K503" s="2">
        <v>0.0</v>
      </c>
      <c r="L503" s="2">
        <v>0.0</v>
      </c>
      <c r="M503" s="37">
        <v>0.0</v>
      </c>
    </row>
    <row r="504" ht="14.25" customHeight="1">
      <c r="A504" t="s">
        <v>579</v>
      </c>
      <c r="B504" t="s">
        <v>530</v>
      </c>
      <c r="C504" t="s">
        <v>75</v>
      </c>
      <c r="D504" t="s">
        <v>63</v>
      </c>
      <c r="E504">
        <v>7.3</v>
      </c>
      <c r="F504">
        <v>7.5</v>
      </c>
      <c r="G504" s="2" t="s">
        <v>67</v>
      </c>
      <c r="H504" s="2">
        <v>24.0</v>
      </c>
      <c r="I504" s="2">
        <v>64.0</v>
      </c>
      <c r="J504" s="37">
        <v>622.24</v>
      </c>
      <c r="K504" s="2">
        <v>28.0</v>
      </c>
      <c r="L504" s="2">
        <v>138.0</v>
      </c>
      <c r="M504" s="37">
        <v>808.28</v>
      </c>
    </row>
    <row r="505" ht="14.25" customHeight="1">
      <c r="A505" t="s">
        <v>580</v>
      </c>
      <c r="B505" t="s">
        <v>530</v>
      </c>
      <c r="C505" t="s">
        <v>75</v>
      </c>
      <c r="D505" t="s">
        <v>63</v>
      </c>
      <c r="E505">
        <v>9.0</v>
      </c>
      <c r="F505">
        <v>10.5</v>
      </c>
      <c r="G505" s="2" t="s">
        <v>67</v>
      </c>
      <c r="H505" s="2">
        <v>32.0</v>
      </c>
      <c r="I505" s="2">
        <v>86.0</v>
      </c>
      <c r="J505" s="37">
        <v>830.52</v>
      </c>
      <c r="K505" s="2">
        <v>37.0</v>
      </c>
      <c r="L505" s="2">
        <v>179.0</v>
      </c>
      <c r="M505" s="37">
        <v>1063.72</v>
      </c>
    </row>
    <row r="506" ht="14.25" customHeight="1">
      <c r="A506" t="s">
        <v>581</v>
      </c>
      <c r="B506" t="s">
        <v>530</v>
      </c>
      <c r="C506" t="s">
        <v>75</v>
      </c>
      <c r="D506" t="s">
        <v>63</v>
      </c>
      <c r="E506">
        <v>10.2</v>
      </c>
      <c r="F506">
        <v>12.0</v>
      </c>
      <c r="G506" s="2" t="s">
        <v>67</v>
      </c>
      <c r="H506" s="2">
        <v>36.0</v>
      </c>
      <c r="I506" s="2">
        <v>71.0</v>
      </c>
      <c r="J506" s="37">
        <v>900.86</v>
      </c>
      <c r="K506" s="2">
        <v>41.0</v>
      </c>
      <c r="L506" s="2">
        <v>175.0</v>
      </c>
      <c r="M506" s="37">
        <v>1148.3600000000001</v>
      </c>
    </row>
    <row r="507" ht="14.25" customHeight="1">
      <c r="A507" t="s">
        <v>582</v>
      </c>
      <c r="B507" t="s">
        <v>530</v>
      </c>
      <c r="C507" t="s">
        <v>75</v>
      </c>
      <c r="D507" t="s">
        <v>63</v>
      </c>
      <c r="E507">
        <v>10.5</v>
      </c>
      <c r="F507">
        <v>12.5</v>
      </c>
      <c r="G507" s="2" t="s">
        <v>67</v>
      </c>
      <c r="H507" s="2">
        <v>38.0</v>
      </c>
      <c r="I507" s="2">
        <v>71.0</v>
      </c>
      <c r="J507" s="37">
        <v>945.78</v>
      </c>
      <c r="K507" s="2">
        <v>44.0</v>
      </c>
      <c r="L507" s="2">
        <v>179.0</v>
      </c>
      <c r="M507" s="37">
        <v>1220.94</v>
      </c>
    </row>
    <row r="508" ht="14.25" customHeight="1">
      <c r="A508" t="s">
        <v>583</v>
      </c>
      <c r="B508" t="s">
        <v>530</v>
      </c>
      <c r="C508" t="s">
        <v>75</v>
      </c>
      <c r="D508" t="s">
        <v>63</v>
      </c>
      <c r="E508">
        <v>17.0</v>
      </c>
      <c r="F508">
        <v>18.0</v>
      </c>
      <c r="G508" s="2" t="s">
        <v>67</v>
      </c>
      <c r="H508" s="2">
        <v>55.0</v>
      </c>
      <c r="I508" s="2">
        <v>113.0</v>
      </c>
      <c r="J508" s="37">
        <v>1382.2</v>
      </c>
      <c r="K508" s="2">
        <v>64.0</v>
      </c>
      <c r="L508" s="2">
        <v>288.0</v>
      </c>
      <c r="M508" s="37">
        <v>1811.8400000000001</v>
      </c>
    </row>
    <row r="509" ht="14.25" customHeight="1">
      <c r="A509" t="s">
        <v>584</v>
      </c>
      <c r="B509" t="s">
        <v>530</v>
      </c>
      <c r="C509" t="s">
        <v>75</v>
      </c>
      <c r="D509" t="s">
        <v>63</v>
      </c>
      <c r="E509">
        <v>12.5</v>
      </c>
      <c r="F509">
        <v>14.5</v>
      </c>
      <c r="G509" s="2" t="s">
        <v>67</v>
      </c>
      <c r="H509" s="2">
        <v>45.0</v>
      </c>
      <c r="I509" s="2">
        <v>131.0</v>
      </c>
      <c r="J509" s="37">
        <v>1181.0</v>
      </c>
      <c r="K509" s="2">
        <v>52.0</v>
      </c>
      <c r="L509" s="2">
        <v>259.0</v>
      </c>
      <c r="M509" s="37">
        <v>1504.6200000000001</v>
      </c>
    </row>
    <row r="510" ht="14.25" customHeight="1">
      <c r="A510" t="s">
        <v>585</v>
      </c>
      <c r="B510" t="s">
        <v>530</v>
      </c>
      <c r="C510" t="s">
        <v>75</v>
      </c>
      <c r="D510" t="s">
        <v>63</v>
      </c>
      <c r="E510">
        <v>14.0</v>
      </c>
      <c r="F510">
        <v>15.5</v>
      </c>
      <c r="G510" s="2" t="s">
        <v>67</v>
      </c>
      <c r="H510" s="2">
        <v>48.0</v>
      </c>
      <c r="I510" s="2">
        <v>114.0</v>
      </c>
      <c r="J510" s="37">
        <v>1226.28</v>
      </c>
      <c r="K510" s="2">
        <v>56.0</v>
      </c>
      <c r="L510" s="2">
        <v>257.0</v>
      </c>
      <c r="M510" s="37">
        <v>1591.8600000000001</v>
      </c>
    </row>
    <row r="511" ht="14.25" customHeight="1">
      <c r="A511" t="s">
        <v>586</v>
      </c>
      <c r="B511" t="s">
        <v>530</v>
      </c>
      <c r="C511" t="s">
        <v>75</v>
      </c>
      <c r="D511" t="s">
        <v>63</v>
      </c>
      <c r="E511">
        <v>14.0</v>
      </c>
      <c r="F511">
        <v>17.0</v>
      </c>
      <c r="G511" s="2" t="s">
        <v>67</v>
      </c>
      <c r="H511" s="2">
        <v>53.0</v>
      </c>
      <c r="I511" s="2">
        <v>182.0</v>
      </c>
      <c r="J511" s="37">
        <v>1426.98</v>
      </c>
      <c r="K511" s="2">
        <v>61.0</v>
      </c>
      <c r="L511" s="2">
        <v>326.0</v>
      </c>
      <c r="M511" s="37">
        <v>1793.86</v>
      </c>
    </row>
    <row r="512" ht="14.25" customHeight="1">
      <c r="A512" t="s">
        <v>587</v>
      </c>
      <c r="B512" t="s">
        <v>530</v>
      </c>
      <c r="C512" t="s">
        <v>62</v>
      </c>
      <c r="D512" t="s">
        <v>63</v>
      </c>
      <c r="E512">
        <v>2.05</v>
      </c>
      <c r="F512">
        <v>2.37</v>
      </c>
      <c r="G512" s="2" t="s">
        <v>67</v>
      </c>
      <c r="H512" s="2">
        <v>6.0</v>
      </c>
      <c r="I512" s="2">
        <v>35.0</v>
      </c>
      <c r="J512" s="37">
        <v>180.26</v>
      </c>
      <c r="K512" s="2">
        <v>7.0</v>
      </c>
      <c r="L512" s="2">
        <v>51.0</v>
      </c>
      <c r="M512" s="37">
        <v>223.51999999999998</v>
      </c>
    </row>
    <row r="513" ht="14.25" customHeight="1">
      <c r="A513" t="s">
        <v>588</v>
      </c>
      <c r="B513" t="s">
        <v>530</v>
      </c>
      <c r="C513" t="s">
        <v>62</v>
      </c>
      <c r="D513" t="s">
        <v>63</v>
      </c>
      <c r="E513">
        <v>2.5</v>
      </c>
      <c r="F513">
        <v>2.795</v>
      </c>
      <c r="G513" s="2" t="s">
        <v>67</v>
      </c>
      <c r="H513" s="2">
        <v>7.0</v>
      </c>
      <c r="I513" s="2">
        <v>42.0</v>
      </c>
      <c r="J513" s="37">
        <v>211.82</v>
      </c>
      <c r="K513" s="2">
        <v>8.0</v>
      </c>
      <c r="L513" s="2">
        <v>62.0</v>
      </c>
      <c r="M513" s="37">
        <v>260.28000000000003</v>
      </c>
    </row>
    <row r="514" ht="14.25" customHeight="1">
      <c r="A514" t="s">
        <v>589</v>
      </c>
      <c r="B514" t="s">
        <v>530</v>
      </c>
      <c r="C514" t="s">
        <v>62</v>
      </c>
      <c r="D514" t="s">
        <v>63</v>
      </c>
      <c r="E514">
        <v>3.5</v>
      </c>
      <c r="F514">
        <v>4.0</v>
      </c>
      <c r="G514" s="2" t="s">
        <v>67</v>
      </c>
      <c r="H514" s="2">
        <v>10.0</v>
      </c>
      <c r="I514" s="2">
        <v>31.0</v>
      </c>
      <c r="J514" s="37">
        <v>264.90000000000003</v>
      </c>
      <c r="K514" s="2">
        <v>12.0</v>
      </c>
      <c r="L514" s="2">
        <v>59.0</v>
      </c>
      <c r="M514" s="37">
        <v>346.21999999999997</v>
      </c>
    </row>
    <row r="515" ht="14.25" customHeight="1">
      <c r="A515" t="s">
        <v>590</v>
      </c>
      <c r="B515" t="s">
        <v>530</v>
      </c>
      <c r="C515" t="s">
        <v>62</v>
      </c>
      <c r="D515" t="s">
        <v>63</v>
      </c>
      <c r="E515">
        <v>5.0</v>
      </c>
      <c r="F515">
        <v>5.54</v>
      </c>
      <c r="G515" s="2" t="s">
        <v>67</v>
      </c>
      <c r="H515" s="2">
        <v>16.0</v>
      </c>
      <c r="I515" s="2">
        <v>63.0</v>
      </c>
      <c r="J515" s="37">
        <v>441.26</v>
      </c>
      <c r="K515" s="2">
        <v>19.0</v>
      </c>
      <c r="L515" s="2">
        <v>109.0</v>
      </c>
      <c r="M515" s="37">
        <v>568.44</v>
      </c>
    </row>
    <row r="516" ht="14.25" customHeight="1">
      <c r="A516" t="s">
        <v>591</v>
      </c>
      <c r="B516" t="s">
        <v>530</v>
      </c>
      <c r="C516" t="s">
        <v>62</v>
      </c>
      <c r="D516" t="s">
        <v>63</v>
      </c>
      <c r="E516">
        <v>6.0</v>
      </c>
      <c r="F516">
        <v>6.5</v>
      </c>
      <c r="G516" s="2" t="s">
        <v>67</v>
      </c>
      <c r="H516" s="2">
        <v>18.0</v>
      </c>
      <c r="I516" s="2">
        <v>38.0</v>
      </c>
      <c r="J516" s="37">
        <v>453.68</v>
      </c>
      <c r="K516" s="2">
        <v>21.0</v>
      </c>
      <c r="L516" s="2">
        <v>92.0</v>
      </c>
      <c r="M516" s="37">
        <v>591.26</v>
      </c>
    </row>
    <row r="517" ht="14.25" customHeight="1">
      <c r="A517" t="s">
        <v>592</v>
      </c>
      <c r="B517" t="s">
        <v>530</v>
      </c>
      <c r="C517" t="s">
        <v>62</v>
      </c>
      <c r="D517" t="s">
        <v>63</v>
      </c>
      <c r="E517">
        <v>7.0</v>
      </c>
      <c r="F517">
        <v>7.5</v>
      </c>
      <c r="G517" s="2" t="s">
        <v>67</v>
      </c>
      <c r="H517" s="2">
        <v>21.0</v>
      </c>
      <c r="I517" s="2">
        <v>48.0</v>
      </c>
      <c r="J517" s="37">
        <v>534.0600000000001</v>
      </c>
      <c r="K517" s="2">
        <v>25.0</v>
      </c>
      <c r="L517" s="2">
        <v>112.0</v>
      </c>
      <c r="M517" s="37">
        <v>707.1</v>
      </c>
    </row>
    <row r="518" ht="14.25" customHeight="1">
      <c r="A518" t="s">
        <v>593</v>
      </c>
      <c r="B518" t="s">
        <v>530</v>
      </c>
      <c r="C518" t="s">
        <v>62</v>
      </c>
      <c r="D518" t="s">
        <v>63</v>
      </c>
      <c r="E518">
        <v>7.65</v>
      </c>
      <c r="F518">
        <v>8.2</v>
      </c>
      <c r="G518" s="2" t="s">
        <v>67</v>
      </c>
      <c r="H518" s="2">
        <v>23.0</v>
      </c>
      <c r="I518" s="2">
        <v>30.0</v>
      </c>
      <c r="J518" s="37">
        <v>555.58</v>
      </c>
      <c r="K518" s="2">
        <v>26.0</v>
      </c>
      <c r="L518" s="2">
        <v>99.0</v>
      </c>
      <c r="M518" s="37">
        <v>712.6600000000001</v>
      </c>
    </row>
    <row r="519" ht="14.25" customHeight="1">
      <c r="A519" t="s">
        <v>594</v>
      </c>
      <c r="B519" t="s">
        <v>530</v>
      </c>
      <c r="C519" t="s">
        <v>62</v>
      </c>
      <c r="D519" t="s">
        <v>63</v>
      </c>
      <c r="E519">
        <v>9.0</v>
      </c>
      <c r="F519">
        <v>9.5</v>
      </c>
      <c r="G519" s="2" t="s">
        <v>67</v>
      </c>
      <c r="H519" s="2">
        <v>28.0</v>
      </c>
      <c r="I519" s="2">
        <v>62.0</v>
      </c>
      <c r="J519" s="37">
        <v>709.48</v>
      </c>
      <c r="K519" s="2">
        <v>32.0</v>
      </c>
      <c r="L519" s="2">
        <v>144.0</v>
      </c>
      <c r="M519" s="37">
        <v>905.9200000000001</v>
      </c>
    </row>
    <row r="520" ht="14.25" customHeight="1">
      <c r="A520" t="s">
        <v>595</v>
      </c>
      <c r="B520" t="s">
        <v>530</v>
      </c>
      <c r="C520" t="s">
        <v>62</v>
      </c>
      <c r="D520" t="s">
        <v>63</v>
      </c>
      <c r="E520">
        <v>2.05</v>
      </c>
      <c r="F520">
        <v>2.37</v>
      </c>
      <c r="G520" s="2" t="s">
        <v>67</v>
      </c>
      <c r="H520" s="2">
        <v>6.0</v>
      </c>
      <c r="I520" s="2">
        <v>35.0</v>
      </c>
      <c r="J520" s="37">
        <v>180.26</v>
      </c>
      <c r="K520" s="2">
        <v>7.0</v>
      </c>
      <c r="L520" s="2">
        <v>51.0</v>
      </c>
      <c r="M520" s="37">
        <v>223.51999999999998</v>
      </c>
    </row>
    <row r="521" ht="14.25" customHeight="1">
      <c r="A521" t="s">
        <v>596</v>
      </c>
      <c r="B521" t="s">
        <v>530</v>
      </c>
      <c r="C521" t="s">
        <v>62</v>
      </c>
      <c r="D521" t="s">
        <v>63</v>
      </c>
      <c r="E521">
        <v>2.5</v>
      </c>
      <c r="F521">
        <v>2.795</v>
      </c>
      <c r="G521" s="2" t="s">
        <v>67</v>
      </c>
      <c r="H521" s="2">
        <v>7.0</v>
      </c>
      <c r="I521" s="2">
        <v>42.0</v>
      </c>
      <c r="J521" s="37">
        <v>211.82</v>
      </c>
      <c r="K521" s="2">
        <v>8.0</v>
      </c>
      <c r="L521" s="2">
        <v>62.0</v>
      </c>
      <c r="M521" s="37">
        <v>260.28000000000003</v>
      </c>
    </row>
    <row r="522" ht="14.25" customHeight="1">
      <c r="A522" t="s">
        <v>597</v>
      </c>
      <c r="B522" t="s">
        <v>530</v>
      </c>
      <c r="C522" t="s">
        <v>62</v>
      </c>
      <c r="D522" t="s">
        <v>63</v>
      </c>
      <c r="E522">
        <v>3.5</v>
      </c>
      <c r="F522">
        <v>4.0</v>
      </c>
      <c r="G522" s="2" t="s">
        <v>67</v>
      </c>
      <c r="H522" s="2">
        <v>10.0</v>
      </c>
      <c r="I522" s="2">
        <v>31.0</v>
      </c>
      <c r="J522" s="37">
        <v>264.90000000000003</v>
      </c>
      <c r="K522" s="2">
        <v>12.0</v>
      </c>
      <c r="L522" s="2">
        <v>59.0</v>
      </c>
      <c r="M522" s="37">
        <v>346.21999999999997</v>
      </c>
    </row>
    <row r="523" ht="14.25" customHeight="1">
      <c r="A523" t="s">
        <v>598</v>
      </c>
      <c r="B523" t="s">
        <v>530</v>
      </c>
      <c r="C523" t="s">
        <v>62</v>
      </c>
      <c r="D523" t="s">
        <v>63</v>
      </c>
      <c r="E523">
        <v>5.0</v>
      </c>
      <c r="F523">
        <v>5.54</v>
      </c>
      <c r="G523" s="2" t="s">
        <v>67</v>
      </c>
      <c r="H523" s="2">
        <v>16.0</v>
      </c>
      <c r="I523" s="2">
        <v>63.0</v>
      </c>
      <c r="J523" s="37">
        <v>441.26</v>
      </c>
      <c r="K523" s="2">
        <v>19.0</v>
      </c>
      <c r="L523" s="2">
        <v>109.0</v>
      </c>
      <c r="M523" s="37">
        <v>568.44</v>
      </c>
    </row>
    <row r="524" ht="14.25" customHeight="1">
      <c r="A524" t="s">
        <v>599</v>
      </c>
      <c r="B524" t="s">
        <v>530</v>
      </c>
      <c r="C524" t="s">
        <v>62</v>
      </c>
      <c r="D524" t="s">
        <v>63</v>
      </c>
      <c r="E524">
        <v>6.0</v>
      </c>
      <c r="F524">
        <v>6.5</v>
      </c>
      <c r="G524" s="2" t="s">
        <v>67</v>
      </c>
      <c r="H524" s="2">
        <v>18.0</v>
      </c>
      <c r="I524" s="2">
        <v>38.0</v>
      </c>
      <c r="J524" s="37">
        <v>453.68</v>
      </c>
      <c r="K524" s="2">
        <v>21.0</v>
      </c>
      <c r="L524" s="2">
        <v>92.0</v>
      </c>
      <c r="M524" s="37">
        <v>591.26</v>
      </c>
    </row>
    <row r="525" ht="14.25" customHeight="1">
      <c r="A525" t="s">
        <v>600</v>
      </c>
      <c r="B525" t="s">
        <v>530</v>
      </c>
      <c r="C525" t="s">
        <v>62</v>
      </c>
      <c r="D525" t="s">
        <v>63</v>
      </c>
      <c r="E525">
        <v>7.65</v>
      </c>
      <c r="F525">
        <v>8.2</v>
      </c>
      <c r="G525" s="2" t="s">
        <v>67</v>
      </c>
      <c r="H525" s="2">
        <v>23.0</v>
      </c>
      <c r="I525" s="2">
        <v>30.0</v>
      </c>
      <c r="J525" s="37">
        <v>555.58</v>
      </c>
      <c r="K525" s="2">
        <v>26.0</v>
      </c>
      <c r="L525" s="2">
        <v>99.0</v>
      </c>
      <c r="M525" s="37">
        <v>712.6600000000001</v>
      </c>
    </row>
    <row r="526" ht="14.25" customHeight="1">
      <c r="A526" t="s">
        <v>601</v>
      </c>
      <c r="B526" t="s">
        <v>530</v>
      </c>
      <c r="C526" t="s">
        <v>62</v>
      </c>
      <c r="D526" t="s">
        <v>63</v>
      </c>
      <c r="E526">
        <v>9.0</v>
      </c>
      <c r="F526">
        <v>9.5</v>
      </c>
      <c r="G526" s="2" t="s">
        <v>67</v>
      </c>
      <c r="H526" s="2">
        <v>28.0</v>
      </c>
      <c r="I526" s="2">
        <v>62.0</v>
      </c>
      <c r="J526" s="37">
        <v>709.48</v>
      </c>
      <c r="K526" s="2">
        <v>32.0</v>
      </c>
      <c r="L526" s="2">
        <v>144.0</v>
      </c>
      <c r="M526" s="37">
        <v>905.9200000000001</v>
      </c>
    </row>
    <row r="527" ht="14.25" customHeight="1">
      <c r="A527" t="s">
        <v>602</v>
      </c>
      <c r="B527" t="s">
        <v>530</v>
      </c>
      <c r="C527" t="s">
        <v>62</v>
      </c>
      <c r="D527" t="s">
        <v>63</v>
      </c>
      <c r="E527">
        <v>7.0</v>
      </c>
      <c r="F527">
        <v>7.5</v>
      </c>
      <c r="G527" s="2" t="s">
        <v>67</v>
      </c>
      <c r="H527" s="2">
        <v>21.0</v>
      </c>
      <c r="I527" s="2">
        <v>48.0</v>
      </c>
      <c r="J527" s="37">
        <v>534.0600000000001</v>
      </c>
      <c r="K527" s="2">
        <v>25.0</v>
      </c>
      <c r="L527" s="2">
        <v>112.0</v>
      </c>
      <c r="M527" s="37">
        <v>707.1</v>
      </c>
    </row>
    <row r="528" ht="14.25" customHeight="1">
      <c r="A528" t="s">
        <v>603</v>
      </c>
      <c r="B528" t="s">
        <v>604</v>
      </c>
      <c r="C528" t="s">
        <v>62</v>
      </c>
      <c r="D528" t="s">
        <v>268</v>
      </c>
      <c r="E528">
        <v>2.93</v>
      </c>
      <c r="F528">
        <v>2.93</v>
      </c>
      <c r="G528" s="2" t="s">
        <v>64</v>
      </c>
      <c r="H528" s="2">
        <v>0.0</v>
      </c>
      <c r="I528" s="2">
        <v>0.0</v>
      </c>
      <c r="J528" s="37">
        <v>0.0</v>
      </c>
      <c r="K528" s="2">
        <v>0.0</v>
      </c>
      <c r="L528" s="2">
        <v>0.0</v>
      </c>
      <c r="M528" s="37">
        <v>0.0</v>
      </c>
    </row>
    <row r="529" ht="14.25" customHeight="1">
      <c r="A529" t="s">
        <v>605</v>
      </c>
      <c r="B529" t="s">
        <v>604</v>
      </c>
      <c r="C529" t="s">
        <v>62</v>
      </c>
      <c r="D529" t="s">
        <v>268</v>
      </c>
      <c r="E529">
        <v>4.689</v>
      </c>
      <c r="F529">
        <v>3.283</v>
      </c>
      <c r="G529" s="2" t="s">
        <v>64</v>
      </c>
      <c r="H529" s="2">
        <v>0.0</v>
      </c>
      <c r="I529" s="2">
        <v>0.0</v>
      </c>
      <c r="J529" s="37">
        <v>0.0</v>
      </c>
      <c r="K529" s="2">
        <v>0.0</v>
      </c>
      <c r="L529" s="2">
        <v>0.0</v>
      </c>
      <c r="M529" s="37">
        <v>0.0</v>
      </c>
    </row>
    <row r="530" ht="14.25" customHeight="1">
      <c r="A530" t="s">
        <v>606</v>
      </c>
      <c r="B530" t="s">
        <v>607</v>
      </c>
      <c r="C530" t="s">
        <v>62</v>
      </c>
      <c r="D530" t="s">
        <v>268</v>
      </c>
      <c r="E530">
        <v>2.64</v>
      </c>
      <c r="F530">
        <v>2.05</v>
      </c>
      <c r="G530" s="2" t="s">
        <v>64</v>
      </c>
      <c r="H530" s="2">
        <v>0.0</v>
      </c>
      <c r="I530" s="2">
        <v>0.0</v>
      </c>
      <c r="J530" s="37">
        <v>0.0</v>
      </c>
      <c r="K530" s="2">
        <v>0.0</v>
      </c>
      <c r="L530" s="2">
        <v>0.0</v>
      </c>
      <c r="M530" s="37">
        <v>0.0</v>
      </c>
    </row>
    <row r="531" ht="14.25" customHeight="1">
      <c r="A531" t="s">
        <v>608</v>
      </c>
      <c r="B531" t="s">
        <v>609</v>
      </c>
      <c r="C531" t="s">
        <v>75</v>
      </c>
      <c r="D531" t="s">
        <v>82</v>
      </c>
      <c r="E531">
        <v>20.96</v>
      </c>
      <c r="F531">
        <v>23.39</v>
      </c>
      <c r="G531" s="2" t="s">
        <v>64</v>
      </c>
      <c r="H531" s="2">
        <v>0.0</v>
      </c>
      <c r="I531" s="2">
        <v>0.0</v>
      </c>
      <c r="J531" s="37">
        <v>0.0</v>
      </c>
      <c r="K531" s="2">
        <v>0.0</v>
      </c>
      <c r="L531" s="2">
        <v>0.0</v>
      </c>
      <c r="M531" s="37">
        <v>0.0</v>
      </c>
    </row>
    <row r="532" ht="14.25" customHeight="1">
      <c r="A532" t="s">
        <v>610</v>
      </c>
      <c r="B532" t="s">
        <v>611</v>
      </c>
      <c r="C532" t="s">
        <v>62</v>
      </c>
      <c r="D532" t="s">
        <v>63</v>
      </c>
      <c r="E532">
        <v>2.0</v>
      </c>
      <c r="F532">
        <v>2.2</v>
      </c>
      <c r="G532" s="2" t="s">
        <v>67</v>
      </c>
      <c r="H532" s="2">
        <v>6.0</v>
      </c>
      <c r="I532" s="2">
        <v>34.0</v>
      </c>
      <c r="J532" s="37">
        <v>178.95999999999998</v>
      </c>
      <c r="K532" s="2">
        <v>6.0</v>
      </c>
      <c r="L532" s="2">
        <v>50.0</v>
      </c>
      <c r="M532" s="37">
        <v>199.76</v>
      </c>
    </row>
    <row r="533" ht="14.25" customHeight="1">
      <c r="A533" t="s">
        <v>612</v>
      </c>
      <c r="B533" t="s">
        <v>611</v>
      </c>
      <c r="C533" t="s">
        <v>62</v>
      </c>
      <c r="D533" t="s">
        <v>63</v>
      </c>
      <c r="E533">
        <v>2.7</v>
      </c>
      <c r="F533">
        <v>2.8</v>
      </c>
      <c r="G533" s="2" t="s">
        <v>67</v>
      </c>
      <c r="H533" s="2">
        <v>7.0</v>
      </c>
      <c r="I533" s="2">
        <v>43.0</v>
      </c>
      <c r="J533" s="37">
        <v>213.12</v>
      </c>
      <c r="K533" s="2">
        <v>8.0</v>
      </c>
      <c r="L533" s="2">
        <v>65.0</v>
      </c>
      <c r="M533" s="37">
        <v>264.18</v>
      </c>
    </row>
    <row r="534" ht="14.25" customHeight="1">
      <c r="A534" t="s">
        <v>613</v>
      </c>
      <c r="B534" t="s">
        <v>611</v>
      </c>
      <c r="C534" t="s">
        <v>62</v>
      </c>
      <c r="D534" t="s">
        <v>63</v>
      </c>
      <c r="E534">
        <v>3.5</v>
      </c>
      <c r="F534">
        <v>3.75</v>
      </c>
      <c r="G534" s="2" t="s">
        <v>67</v>
      </c>
      <c r="H534" s="2">
        <v>10.0</v>
      </c>
      <c r="I534" s="2">
        <v>49.0</v>
      </c>
      <c r="J534" s="37">
        <v>288.3</v>
      </c>
      <c r="K534" s="2">
        <v>12.0</v>
      </c>
      <c r="L534" s="2">
        <v>77.0</v>
      </c>
      <c r="M534" s="37">
        <v>369.62</v>
      </c>
    </row>
    <row r="535" ht="14.25" customHeight="1">
      <c r="A535" t="s">
        <v>614</v>
      </c>
      <c r="B535" t="s">
        <v>611</v>
      </c>
      <c r="C535" t="s">
        <v>62</v>
      </c>
      <c r="D535" t="s">
        <v>63</v>
      </c>
      <c r="E535">
        <v>4.95</v>
      </c>
      <c r="F535">
        <v>5.5</v>
      </c>
      <c r="G535" s="2" t="s">
        <v>67</v>
      </c>
      <c r="H535" s="2">
        <v>16.0</v>
      </c>
      <c r="I535" s="2">
        <v>76.0</v>
      </c>
      <c r="J535" s="37">
        <v>458.16</v>
      </c>
      <c r="K535" s="2">
        <v>18.0</v>
      </c>
      <c r="L535" s="2">
        <v>121.0</v>
      </c>
      <c r="M535" s="37">
        <v>561.58</v>
      </c>
    </row>
    <row r="536" ht="14.25" customHeight="1">
      <c r="A536" t="s">
        <v>615</v>
      </c>
      <c r="B536" t="s">
        <v>611</v>
      </c>
      <c r="C536" t="s">
        <v>62</v>
      </c>
      <c r="D536" t="s">
        <v>63</v>
      </c>
      <c r="E536">
        <v>6.1</v>
      </c>
      <c r="F536">
        <v>6.4</v>
      </c>
      <c r="G536" s="2" t="s">
        <v>67</v>
      </c>
      <c r="H536" s="2">
        <v>19.0</v>
      </c>
      <c r="I536" s="2">
        <v>42.0</v>
      </c>
      <c r="J536" s="37">
        <v>481.34000000000003</v>
      </c>
      <c r="K536" s="2">
        <v>22.0</v>
      </c>
      <c r="L536" s="2">
        <v>98.0</v>
      </c>
      <c r="M536" s="37">
        <v>621.52</v>
      </c>
    </row>
    <row r="537" ht="14.25" customHeight="1">
      <c r="A537" t="s">
        <v>616</v>
      </c>
      <c r="B537" t="s">
        <v>611</v>
      </c>
      <c r="C537" t="s">
        <v>62</v>
      </c>
      <c r="D537" t="s">
        <v>63</v>
      </c>
      <c r="E537">
        <v>7.0</v>
      </c>
      <c r="F537">
        <v>7.9</v>
      </c>
      <c r="G537" s="2" t="s">
        <v>67</v>
      </c>
      <c r="H537" s="2">
        <v>22.0</v>
      </c>
      <c r="I537" s="2">
        <v>75.0</v>
      </c>
      <c r="J537" s="37">
        <v>591.62</v>
      </c>
      <c r="K537" s="2">
        <v>26.0</v>
      </c>
      <c r="L537" s="2">
        <v>139.0</v>
      </c>
      <c r="M537" s="37">
        <v>764.6600000000001</v>
      </c>
    </row>
    <row r="538" ht="14.25" customHeight="1">
      <c r="A538" t="s">
        <v>617</v>
      </c>
      <c r="B538" t="s">
        <v>611</v>
      </c>
      <c r="C538" t="s">
        <v>62</v>
      </c>
      <c r="D538" t="s">
        <v>63</v>
      </c>
      <c r="E538">
        <v>7.9</v>
      </c>
      <c r="F538">
        <v>8.2</v>
      </c>
      <c r="G538" s="2" t="s">
        <v>67</v>
      </c>
      <c r="H538" s="2">
        <v>23.0</v>
      </c>
      <c r="I538" s="2">
        <v>75.0</v>
      </c>
      <c r="J538" s="37">
        <v>614.08</v>
      </c>
      <c r="K538" s="2">
        <v>27.0</v>
      </c>
      <c r="L538" s="2">
        <v>147.0</v>
      </c>
      <c r="M538" s="37">
        <v>797.5200000000001</v>
      </c>
    </row>
    <row r="539" ht="14.25" customHeight="1">
      <c r="A539" t="s">
        <v>618</v>
      </c>
      <c r="B539" t="s">
        <v>611</v>
      </c>
      <c r="C539" t="s">
        <v>62</v>
      </c>
      <c r="D539" t="s">
        <v>63</v>
      </c>
      <c r="E539">
        <v>4.95</v>
      </c>
      <c r="F539">
        <v>5.5</v>
      </c>
      <c r="G539" s="2" t="s">
        <v>67</v>
      </c>
      <c r="H539" s="2">
        <v>16.0</v>
      </c>
      <c r="I539" s="2">
        <v>76.0</v>
      </c>
      <c r="J539" s="37">
        <v>458.16</v>
      </c>
      <c r="K539" s="2">
        <v>18.0</v>
      </c>
      <c r="L539" s="2">
        <v>121.0</v>
      </c>
      <c r="M539" s="37">
        <v>561.58</v>
      </c>
    </row>
    <row r="540" ht="14.25" customHeight="1">
      <c r="A540" t="s">
        <v>619</v>
      </c>
      <c r="B540" t="s">
        <v>611</v>
      </c>
      <c r="C540" t="s">
        <v>62</v>
      </c>
      <c r="D540" t="s">
        <v>63</v>
      </c>
      <c r="E540">
        <v>2.05</v>
      </c>
      <c r="F540">
        <v>2.37</v>
      </c>
      <c r="G540" s="2" t="s">
        <v>67</v>
      </c>
      <c r="H540" s="2">
        <v>6.0</v>
      </c>
      <c r="I540" s="2">
        <v>35.0</v>
      </c>
      <c r="J540" s="37">
        <v>180.26</v>
      </c>
      <c r="K540" s="2">
        <v>7.0</v>
      </c>
      <c r="L540" s="2">
        <v>51.0</v>
      </c>
      <c r="M540" s="37">
        <v>223.51999999999998</v>
      </c>
    </row>
    <row r="541" ht="14.25" customHeight="1">
      <c r="A541" t="s">
        <v>620</v>
      </c>
      <c r="B541" t="s">
        <v>611</v>
      </c>
      <c r="C541" t="s">
        <v>62</v>
      </c>
      <c r="D541" t="s">
        <v>63</v>
      </c>
      <c r="E541">
        <v>2.5</v>
      </c>
      <c r="F541">
        <v>2.795</v>
      </c>
      <c r="G541" s="2" t="s">
        <v>67</v>
      </c>
      <c r="H541" s="2">
        <v>7.0</v>
      </c>
      <c r="I541" s="2">
        <v>42.0</v>
      </c>
      <c r="J541" s="37">
        <v>211.82</v>
      </c>
      <c r="K541" s="2">
        <v>8.0</v>
      </c>
      <c r="L541" s="2">
        <v>62.0</v>
      </c>
      <c r="M541" s="37">
        <v>260.28000000000003</v>
      </c>
    </row>
    <row r="542" ht="14.25" customHeight="1">
      <c r="A542" t="s">
        <v>621</v>
      </c>
      <c r="B542" t="s">
        <v>611</v>
      </c>
      <c r="C542" t="s">
        <v>62</v>
      </c>
      <c r="D542" t="s">
        <v>63</v>
      </c>
      <c r="E542">
        <v>3.5</v>
      </c>
      <c r="F542">
        <v>4.0</v>
      </c>
      <c r="G542" s="2" t="s">
        <v>67</v>
      </c>
      <c r="H542" s="2">
        <v>10.0</v>
      </c>
      <c r="I542" s="2">
        <v>31.0</v>
      </c>
      <c r="J542" s="37">
        <v>264.90000000000003</v>
      </c>
      <c r="K542" s="2">
        <v>12.0</v>
      </c>
      <c r="L542" s="2">
        <v>59.0</v>
      </c>
      <c r="M542" s="37">
        <v>346.21999999999997</v>
      </c>
    </row>
    <row r="543" ht="14.25" customHeight="1">
      <c r="A543" t="s">
        <v>622</v>
      </c>
      <c r="B543" t="s">
        <v>611</v>
      </c>
      <c r="C543" t="s">
        <v>62</v>
      </c>
      <c r="D543" t="s">
        <v>63</v>
      </c>
      <c r="E543">
        <v>5.0</v>
      </c>
      <c r="F543">
        <v>5.54</v>
      </c>
      <c r="G543" s="2" t="s">
        <v>67</v>
      </c>
      <c r="H543" s="2">
        <v>16.0</v>
      </c>
      <c r="I543" s="2">
        <v>63.0</v>
      </c>
      <c r="J543" s="37">
        <v>441.26</v>
      </c>
      <c r="K543" s="2">
        <v>19.0</v>
      </c>
      <c r="L543" s="2">
        <v>109.0</v>
      </c>
      <c r="M543" s="37">
        <v>568.44</v>
      </c>
    </row>
    <row r="544" ht="14.25" customHeight="1">
      <c r="A544" t="s">
        <v>623</v>
      </c>
      <c r="B544" t="s">
        <v>611</v>
      </c>
      <c r="C544" t="s">
        <v>62</v>
      </c>
      <c r="D544" t="s">
        <v>63</v>
      </c>
      <c r="E544">
        <v>6.0</v>
      </c>
      <c r="F544">
        <v>6.5</v>
      </c>
      <c r="G544" s="2" t="s">
        <v>67</v>
      </c>
      <c r="H544" s="2">
        <v>18.0</v>
      </c>
      <c r="I544" s="2">
        <v>38.0</v>
      </c>
      <c r="J544" s="37">
        <v>453.68</v>
      </c>
      <c r="K544" s="2">
        <v>21.0</v>
      </c>
      <c r="L544" s="2">
        <v>92.0</v>
      </c>
      <c r="M544" s="37">
        <v>591.26</v>
      </c>
    </row>
    <row r="545" ht="14.25" customHeight="1">
      <c r="A545" t="s">
        <v>624</v>
      </c>
      <c r="B545" t="s">
        <v>611</v>
      </c>
      <c r="C545" t="s">
        <v>62</v>
      </c>
      <c r="D545" t="s">
        <v>63</v>
      </c>
      <c r="E545">
        <v>7.0</v>
      </c>
      <c r="F545">
        <v>7.5</v>
      </c>
      <c r="G545" s="2" t="s">
        <v>67</v>
      </c>
      <c r="H545" s="2">
        <v>21.0</v>
      </c>
      <c r="I545" s="2">
        <v>48.0</v>
      </c>
      <c r="J545" s="37">
        <v>534.0600000000001</v>
      </c>
      <c r="K545" s="2">
        <v>25.0</v>
      </c>
      <c r="L545" s="2">
        <v>112.0</v>
      </c>
      <c r="M545" s="37">
        <v>707.1</v>
      </c>
    </row>
    <row r="546" ht="14.25" customHeight="1">
      <c r="A546" t="s">
        <v>625</v>
      </c>
      <c r="B546" t="s">
        <v>611</v>
      </c>
      <c r="C546" t="s">
        <v>62</v>
      </c>
      <c r="D546" t="s">
        <v>63</v>
      </c>
      <c r="E546">
        <v>7.65</v>
      </c>
      <c r="F546">
        <v>8.2</v>
      </c>
      <c r="G546" s="2" t="s">
        <v>67</v>
      </c>
      <c r="H546" s="2">
        <v>23.0</v>
      </c>
      <c r="I546" s="2">
        <v>30.0</v>
      </c>
      <c r="J546" s="37">
        <v>555.58</v>
      </c>
      <c r="K546" s="2">
        <v>26.0</v>
      </c>
      <c r="L546" s="2">
        <v>99.0</v>
      </c>
      <c r="M546" s="37">
        <v>712.6600000000001</v>
      </c>
    </row>
    <row r="547" ht="14.25" customHeight="1">
      <c r="A547" t="s">
        <v>626</v>
      </c>
      <c r="B547" t="s">
        <v>627</v>
      </c>
      <c r="C547" t="s">
        <v>62</v>
      </c>
      <c r="D547" t="s">
        <v>268</v>
      </c>
      <c r="E547">
        <v>2.6</v>
      </c>
      <c r="F547">
        <v>1.9</v>
      </c>
      <c r="G547" s="2" t="s">
        <v>64</v>
      </c>
      <c r="H547" s="2">
        <v>0.0</v>
      </c>
      <c r="I547" s="2">
        <v>0.0</v>
      </c>
      <c r="J547" s="37">
        <v>0.0</v>
      </c>
      <c r="K547" s="2">
        <v>0.0</v>
      </c>
      <c r="L547" s="2">
        <v>0.0</v>
      </c>
      <c r="M547" s="37">
        <v>0.0</v>
      </c>
    </row>
    <row r="548" ht="14.25" customHeight="1">
      <c r="A548" t="s">
        <v>628</v>
      </c>
      <c r="B548" t="s">
        <v>629</v>
      </c>
      <c r="C548" t="s">
        <v>75</v>
      </c>
      <c r="D548" t="s">
        <v>63</v>
      </c>
      <c r="E548">
        <v>7.1</v>
      </c>
      <c r="F548">
        <v>8.0</v>
      </c>
      <c r="G548" s="2" t="s">
        <v>64</v>
      </c>
      <c r="H548" s="2">
        <v>0.0</v>
      </c>
      <c r="I548" s="2">
        <v>0.0</v>
      </c>
      <c r="J548" s="37">
        <v>0.0</v>
      </c>
      <c r="K548" s="2">
        <v>0.0</v>
      </c>
      <c r="L548" s="2">
        <v>0.0</v>
      </c>
      <c r="M548" s="37">
        <v>0.0</v>
      </c>
    </row>
    <row r="549" ht="14.25" customHeight="1">
      <c r="A549" t="s">
        <v>630</v>
      </c>
      <c r="B549" t="s">
        <v>629</v>
      </c>
      <c r="C549" t="s">
        <v>75</v>
      </c>
      <c r="D549" t="s">
        <v>63</v>
      </c>
      <c r="E549">
        <v>8.5</v>
      </c>
      <c r="F549">
        <v>10.0</v>
      </c>
      <c r="G549" s="2" t="s">
        <v>67</v>
      </c>
      <c r="H549" s="2">
        <v>28.0</v>
      </c>
      <c r="I549" s="2">
        <v>134.0</v>
      </c>
      <c r="J549" s="37">
        <v>803.08</v>
      </c>
      <c r="K549" s="2">
        <v>32.0</v>
      </c>
      <c r="L549" s="2">
        <v>222.0</v>
      </c>
      <c r="M549" s="37">
        <v>1007.32</v>
      </c>
    </row>
    <row r="550" ht="14.25" customHeight="1">
      <c r="A550" t="s">
        <v>631</v>
      </c>
      <c r="B550" t="s">
        <v>629</v>
      </c>
      <c r="C550" t="s">
        <v>75</v>
      </c>
      <c r="D550" t="s">
        <v>63</v>
      </c>
      <c r="E550">
        <v>10.0</v>
      </c>
      <c r="F550">
        <v>11.2</v>
      </c>
      <c r="G550" s="2" t="s">
        <v>67</v>
      </c>
      <c r="H550" s="2">
        <v>32.0</v>
      </c>
      <c r="I550" s="2">
        <v>128.0</v>
      </c>
      <c r="J550" s="37">
        <v>885.12</v>
      </c>
      <c r="K550" s="2">
        <v>38.0</v>
      </c>
      <c r="L550" s="2">
        <v>230.0</v>
      </c>
      <c r="M550" s="37">
        <v>1152.48</v>
      </c>
    </row>
    <row r="551" ht="14.25" customHeight="1">
      <c r="A551" t="s">
        <v>632</v>
      </c>
      <c r="B551" t="s">
        <v>629</v>
      </c>
      <c r="C551" t="s">
        <v>75</v>
      </c>
      <c r="D551" t="s">
        <v>63</v>
      </c>
      <c r="E551">
        <v>12.5</v>
      </c>
      <c r="F551">
        <v>14.0</v>
      </c>
      <c r="G551" s="2" t="s">
        <v>64</v>
      </c>
      <c r="H551" s="2">
        <v>0.0</v>
      </c>
      <c r="I551" s="2">
        <v>0.0</v>
      </c>
      <c r="J551" s="37">
        <v>0.0</v>
      </c>
      <c r="K551" s="2">
        <v>0.0</v>
      </c>
      <c r="L551" s="2">
        <v>0.0</v>
      </c>
      <c r="M551" s="37">
        <v>0.0</v>
      </c>
    </row>
    <row r="552" ht="14.25" customHeight="1">
      <c r="A552" t="s">
        <v>633</v>
      </c>
      <c r="B552" t="s">
        <v>629</v>
      </c>
      <c r="C552" t="s">
        <v>75</v>
      </c>
      <c r="D552" t="s">
        <v>63</v>
      </c>
      <c r="E552">
        <v>14.0</v>
      </c>
      <c r="F552">
        <v>16.0</v>
      </c>
      <c r="G552" s="2" t="s">
        <v>67</v>
      </c>
      <c r="H552" s="2">
        <v>39.0</v>
      </c>
      <c r="I552" s="2">
        <v>14.0</v>
      </c>
      <c r="J552" s="37">
        <v>894.1400000000001</v>
      </c>
      <c r="K552" s="2">
        <v>47.0</v>
      </c>
      <c r="L552" s="2">
        <v>157.0</v>
      </c>
      <c r="M552" s="37">
        <v>1259.72</v>
      </c>
    </row>
    <row r="553" ht="14.25" customHeight="1">
      <c r="A553" t="s">
        <v>634</v>
      </c>
      <c r="B553" t="s">
        <v>629</v>
      </c>
      <c r="C553" t="s">
        <v>75</v>
      </c>
      <c r="D553" t="s">
        <v>63</v>
      </c>
      <c r="E553">
        <v>10.0</v>
      </c>
      <c r="F553">
        <v>11.2</v>
      </c>
      <c r="G553" s="2" t="s">
        <v>67</v>
      </c>
      <c r="H553" s="2">
        <v>32.0</v>
      </c>
      <c r="I553" s="2">
        <v>128.0</v>
      </c>
      <c r="J553" s="37">
        <v>885.12</v>
      </c>
      <c r="K553" s="2">
        <v>38.0</v>
      </c>
      <c r="L553" s="2">
        <v>230.0</v>
      </c>
      <c r="M553" s="37">
        <v>1152.48</v>
      </c>
    </row>
    <row r="554" ht="14.25" customHeight="1">
      <c r="A554" t="s">
        <v>635</v>
      </c>
      <c r="B554" t="s">
        <v>629</v>
      </c>
      <c r="C554" t="s">
        <v>75</v>
      </c>
      <c r="D554" t="s">
        <v>63</v>
      </c>
      <c r="E554">
        <v>12.5</v>
      </c>
      <c r="F554">
        <v>14.0</v>
      </c>
      <c r="G554" s="2" t="s">
        <v>64</v>
      </c>
      <c r="H554" s="2">
        <v>0.0</v>
      </c>
      <c r="I554" s="2">
        <v>0.0</v>
      </c>
      <c r="J554" s="37">
        <v>0.0</v>
      </c>
      <c r="K554" s="2">
        <v>0.0</v>
      </c>
      <c r="L554" s="2">
        <v>0.0</v>
      </c>
      <c r="M554" s="37">
        <v>0.0</v>
      </c>
    </row>
    <row r="555" ht="14.25" customHeight="1">
      <c r="A555" t="s">
        <v>636</v>
      </c>
      <c r="B555" t="s">
        <v>629</v>
      </c>
      <c r="C555" t="s">
        <v>75</v>
      </c>
      <c r="D555" t="s">
        <v>63</v>
      </c>
      <c r="E555">
        <v>14.0</v>
      </c>
      <c r="F555">
        <v>16.0</v>
      </c>
      <c r="G555" s="2" t="s">
        <v>67</v>
      </c>
      <c r="H555" s="2">
        <v>39.0</v>
      </c>
      <c r="I555" s="2">
        <v>14.0</v>
      </c>
      <c r="J555" s="37">
        <v>894.1400000000001</v>
      </c>
      <c r="K555" s="2">
        <v>47.0</v>
      </c>
      <c r="L555" s="2">
        <v>157.0</v>
      </c>
      <c r="M555" s="37">
        <v>1259.72</v>
      </c>
    </row>
    <row r="556" ht="14.25" customHeight="1">
      <c r="A556" t="s">
        <v>637</v>
      </c>
      <c r="B556" t="s">
        <v>638</v>
      </c>
      <c r="C556" t="s">
        <v>62</v>
      </c>
      <c r="D556" t="s">
        <v>63</v>
      </c>
      <c r="E556">
        <v>2.5</v>
      </c>
      <c r="F556">
        <v>3.0</v>
      </c>
      <c r="G556" s="2" t="s">
        <v>64</v>
      </c>
      <c r="H556" s="2">
        <v>0.0</v>
      </c>
      <c r="I556" s="2">
        <v>0.0</v>
      </c>
      <c r="J556" s="37">
        <v>0.0</v>
      </c>
      <c r="K556" s="2">
        <v>0.0</v>
      </c>
      <c r="L556" s="2">
        <v>0.0</v>
      </c>
      <c r="M556" s="37">
        <v>0.0</v>
      </c>
    </row>
    <row r="557" ht="14.25" customHeight="1">
      <c r="A557" t="s">
        <v>639</v>
      </c>
      <c r="B557" t="s">
        <v>638</v>
      </c>
      <c r="C557" t="s">
        <v>62</v>
      </c>
      <c r="D557" t="s">
        <v>63</v>
      </c>
      <c r="E557">
        <v>3.5</v>
      </c>
      <c r="F557">
        <v>3.7</v>
      </c>
      <c r="G557" s="2" t="s">
        <v>64</v>
      </c>
      <c r="H557" s="2">
        <v>0.0</v>
      </c>
      <c r="I557" s="2">
        <v>0.0</v>
      </c>
      <c r="J557" s="37">
        <v>0.0</v>
      </c>
      <c r="K557" s="2">
        <v>0.0</v>
      </c>
      <c r="L557" s="2">
        <v>0.0</v>
      </c>
      <c r="M557" s="37">
        <v>0.0</v>
      </c>
    </row>
    <row r="558" ht="14.25" customHeight="1">
      <c r="A558" t="s">
        <v>640</v>
      </c>
      <c r="B558" t="s">
        <v>638</v>
      </c>
      <c r="C558" t="s">
        <v>62</v>
      </c>
      <c r="D558" t="s">
        <v>63</v>
      </c>
      <c r="E558">
        <v>5.0</v>
      </c>
      <c r="F558">
        <v>5.2</v>
      </c>
      <c r="G558" s="2" t="s">
        <v>64</v>
      </c>
      <c r="H558" s="2">
        <v>0.0</v>
      </c>
      <c r="I558" s="2">
        <v>0.0</v>
      </c>
      <c r="J558" s="37">
        <v>0.0</v>
      </c>
      <c r="K558" s="2">
        <v>0.0</v>
      </c>
      <c r="L558" s="2">
        <v>0.0</v>
      </c>
      <c r="M558" s="37">
        <v>0.0</v>
      </c>
    </row>
    <row r="559" ht="14.25" customHeight="1">
      <c r="A559" t="s">
        <v>641</v>
      </c>
      <c r="B559" t="s">
        <v>638</v>
      </c>
      <c r="C559" t="s">
        <v>62</v>
      </c>
      <c r="D559" t="s">
        <v>63</v>
      </c>
      <c r="E559">
        <v>6.0</v>
      </c>
      <c r="F559">
        <v>6.5</v>
      </c>
      <c r="G559" s="2" t="s">
        <v>64</v>
      </c>
      <c r="H559" s="2">
        <v>0.0</v>
      </c>
      <c r="I559" s="2">
        <v>0.0</v>
      </c>
      <c r="J559" s="37">
        <v>0.0</v>
      </c>
      <c r="K559" s="2">
        <v>0.0</v>
      </c>
      <c r="L559" s="2">
        <v>0.0</v>
      </c>
      <c r="M559" s="37">
        <v>0.0</v>
      </c>
    </row>
    <row r="560" ht="14.25" customHeight="1">
      <c r="A560" t="s">
        <v>642</v>
      </c>
      <c r="B560" t="s">
        <v>638</v>
      </c>
      <c r="C560" t="s">
        <v>62</v>
      </c>
      <c r="D560" t="s">
        <v>63</v>
      </c>
      <c r="E560">
        <v>7.1</v>
      </c>
      <c r="F560">
        <v>8.0</v>
      </c>
      <c r="G560" s="2" t="s">
        <v>64</v>
      </c>
      <c r="H560" s="2">
        <v>0.0</v>
      </c>
      <c r="I560" s="2">
        <v>0.0</v>
      </c>
      <c r="J560" s="37">
        <v>0.0</v>
      </c>
      <c r="K560" s="2">
        <v>0.0</v>
      </c>
      <c r="L560" s="2">
        <v>0.0</v>
      </c>
      <c r="M560" s="37">
        <v>0.0</v>
      </c>
    </row>
    <row r="561" ht="14.25" customHeight="1">
      <c r="A561" t="s">
        <v>643</v>
      </c>
      <c r="B561" t="s">
        <v>629</v>
      </c>
      <c r="C561" t="s">
        <v>62</v>
      </c>
      <c r="D561" t="s">
        <v>63</v>
      </c>
      <c r="E561">
        <v>2.5</v>
      </c>
      <c r="F561">
        <v>3.4</v>
      </c>
      <c r="G561" s="2" t="s">
        <v>67</v>
      </c>
      <c r="H561" s="2">
        <v>6.0</v>
      </c>
      <c r="I561" s="2">
        <v>42.0</v>
      </c>
      <c r="J561" s="37">
        <v>189.35999999999999</v>
      </c>
      <c r="K561" s="2">
        <v>7.0</v>
      </c>
      <c r="L561" s="2">
        <v>62.0</v>
      </c>
      <c r="M561" s="37">
        <v>237.82</v>
      </c>
    </row>
    <row r="562" ht="14.25" customHeight="1">
      <c r="A562" t="s">
        <v>644</v>
      </c>
      <c r="B562" t="s">
        <v>629</v>
      </c>
      <c r="C562" t="s">
        <v>62</v>
      </c>
      <c r="D562" t="s">
        <v>63</v>
      </c>
      <c r="E562">
        <v>3.5</v>
      </c>
      <c r="F562">
        <v>4.5</v>
      </c>
      <c r="G562" s="2" t="s">
        <v>64</v>
      </c>
      <c r="H562" s="2">
        <v>0.0</v>
      </c>
      <c r="I562" s="2">
        <v>0.0</v>
      </c>
      <c r="J562" s="37">
        <v>0.0</v>
      </c>
      <c r="K562" s="2">
        <v>0.0</v>
      </c>
      <c r="L562" s="2">
        <v>0.0</v>
      </c>
      <c r="M562" s="37">
        <v>0.0</v>
      </c>
    </row>
    <row r="563" ht="14.25" customHeight="1">
      <c r="A563" t="s">
        <v>645</v>
      </c>
      <c r="B563" t="s">
        <v>629</v>
      </c>
      <c r="C563" t="s">
        <v>62</v>
      </c>
      <c r="D563" t="s">
        <v>63</v>
      </c>
      <c r="E563">
        <v>4.8</v>
      </c>
      <c r="F563">
        <v>5.8</v>
      </c>
      <c r="G563" s="2" t="s">
        <v>64</v>
      </c>
      <c r="H563" s="2">
        <v>0.0</v>
      </c>
      <c r="I563" s="2">
        <v>0.0</v>
      </c>
      <c r="J563" s="37">
        <v>0.0</v>
      </c>
      <c r="K563" s="2">
        <v>0.0</v>
      </c>
      <c r="L563" s="2">
        <v>0.0</v>
      </c>
      <c r="M563" s="37">
        <v>0.0</v>
      </c>
    </row>
    <row r="564" ht="14.25" customHeight="1">
      <c r="A564" t="s">
        <v>646</v>
      </c>
      <c r="B564" t="s">
        <v>629</v>
      </c>
      <c r="C564" t="s">
        <v>62</v>
      </c>
      <c r="D564" t="s">
        <v>63</v>
      </c>
      <c r="E564">
        <v>2.5</v>
      </c>
      <c r="F564">
        <v>3.2</v>
      </c>
      <c r="G564" s="2" t="s">
        <v>67</v>
      </c>
      <c r="H564" s="2">
        <v>6.0</v>
      </c>
      <c r="I564" s="2">
        <v>42.0</v>
      </c>
      <c r="J564" s="37">
        <v>189.35999999999999</v>
      </c>
      <c r="K564" s="2">
        <v>7.0</v>
      </c>
      <c r="L564" s="2">
        <v>62.0</v>
      </c>
      <c r="M564" s="37">
        <v>237.82</v>
      </c>
    </row>
    <row r="565" ht="14.25" customHeight="1">
      <c r="A565" t="s">
        <v>647</v>
      </c>
      <c r="B565" t="s">
        <v>629</v>
      </c>
      <c r="C565" t="s">
        <v>62</v>
      </c>
      <c r="D565" t="s">
        <v>63</v>
      </c>
      <c r="E565">
        <v>2.5</v>
      </c>
      <c r="F565">
        <v>3.2</v>
      </c>
      <c r="G565" s="2" t="s">
        <v>67</v>
      </c>
      <c r="H565" s="2">
        <v>6.0</v>
      </c>
      <c r="I565" s="2">
        <v>42.0</v>
      </c>
      <c r="J565" s="37">
        <v>189.35999999999999</v>
      </c>
      <c r="K565" s="2">
        <v>7.0</v>
      </c>
      <c r="L565" s="2">
        <v>62.0</v>
      </c>
      <c r="M565" s="37">
        <v>237.82</v>
      </c>
    </row>
    <row r="566" ht="14.25" customHeight="1">
      <c r="A566" t="s">
        <v>648</v>
      </c>
      <c r="B566" t="s">
        <v>629</v>
      </c>
      <c r="C566" t="s">
        <v>62</v>
      </c>
      <c r="D566" t="s">
        <v>63</v>
      </c>
      <c r="E566">
        <v>2.5</v>
      </c>
      <c r="F566">
        <v>3.2</v>
      </c>
      <c r="G566" s="2" t="s">
        <v>67</v>
      </c>
      <c r="H566" s="2">
        <v>6.0</v>
      </c>
      <c r="I566" s="2">
        <v>42.0</v>
      </c>
      <c r="J566" s="37">
        <v>189.35999999999999</v>
      </c>
      <c r="K566" s="2">
        <v>7.0</v>
      </c>
      <c r="L566" s="2">
        <v>62.0</v>
      </c>
      <c r="M566" s="37">
        <v>237.82</v>
      </c>
    </row>
    <row r="567" ht="14.25" customHeight="1">
      <c r="A567" t="s">
        <v>649</v>
      </c>
      <c r="B567" t="s">
        <v>629</v>
      </c>
      <c r="C567" t="s">
        <v>62</v>
      </c>
      <c r="D567" t="s">
        <v>63</v>
      </c>
      <c r="E567">
        <v>3.5</v>
      </c>
      <c r="F567">
        <v>4.0</v>
      </c>
      <c r="G567" s="2" t="s">
        <v>64</v>
      </c>
      <c r="H567" s="2">
        <v>0.0</v>
      </c>
      <c r="I567" s="2">
        <v>0.0</v>
      </c>
      <c r="J567" s="37">
        <v>0.0</v>
      </c>
      <c r="K567" s="2">
        <v>0.0</v>
      </c>
      <c r="L567" s="2">
        <v>0.0</v>
      </c>
      <c r="M567" s="37">
        <v>0.0</v>
      </c>
    </row>
    <row r="568" ht="14.25" customHeight="1">
      <c r="A568" t="s">
        <v>650</v>
      </c>
      <c r="B568" t="s">
        <v>629</v>
      </c>
      <c r="C568" t="s">
        <v>62</v>
      </c>
      <c r="D568" t="s">
        <v>63</v>
      </c>
      <c r="E568">
        <v>3.5</v>
      </c>
      <c r="F568">
        <v>4.0</v>
      </c>
      <c r="G568" s="2" t="s">
        <v>64</v>
      </c>
      <c r="H568" s="2">
        <v>0.0</v>
      </c>
      <c r="I568" s="2">
        <v>0.0</v>
      </c>
      <c r="J568" s="37">
        <v>0.0</v>
      </c>
      <c r="K568" s="2">
        <v>0.0</v>
      </c>
      <c r="L568" s="2">
        <v>0.0</v>
      </c>
      <c r="M568" s="37">
        <v>0.0</v>
      </c>
    </row>
    <row r="569" ht="14.25" customHeight="1">
      <c r="A569" t="s">
        <v>651</v>
      </c>
      <c r="B569" t="s">
        <v>629</v>
      </c>
      <c r="C569" t="s">
        <v>62</v>
      </c>
      <c r="D569" t="s">
        <v>63</v>
      </c>
      <c r="E569">
        <v>3.5</v>
      </c>
      <c r="F569">
        <v>4.0</v>
      </c>
      <c r="G569" s="2" t="s">
        <v>64</v>
      </c>
      <c r="H569" s="2">
        <v>0.0</v>
      </c>
      <c r="I569" s="2">
        <v>0.0</v>
      </c>
      <c r="J569" s="37">
        <v>0.0</v>
      </c>
      <c r="K569" s="2">
        <v>0.0</v>
      </c>
      <c r="L569" s="2">
        <v>0.0</v>
      </c>
      <c r="M569" s="37">
        <v>0.0</v>
      </c>
    </row>
    <row r="570" ht="14.25" customHeight="1">
      <c r="A570" t="s">
        <v>652</v>
      </c>
      <c r="B570" t="s">
        <v>629</v>
      </c>
      <c r="C570" t="s">
        <v>62</v>
      </c>
      <c r="D570" t="s">
        <v>63</v>
      </c>
      <c r="E570">
        <v>5.0</v>
      </c>
      <c r="F570">
        <v>5.8</v>
      </c>
      <c r="G570" s="2" t="s">
        <v>64</v>
      </c>
      <c r="H570" s="2">
        <v>0.0</v>
      </c>
      <c r="I570" s="2">
        <v>0.0</v>
      </c>
      <c r="J570" s="37">
        <v>0.0</v>
      </c>
      <c r="K570" s="2">
        <v>0.0</v>
      </c>
      <c r="L570" s="2">
        <v>0.0</v>
      </c>
      <c r="M570" s="37">
        <v>0.0</v>
      </c>
    </row>
    <row r="571" ht="14.25" customHeight="1">
      <c r="A571" t="s">
        <v>653</v>
      </c>
      <c r="B571" t="s">
        <v>629</v>
      </c>
      <c r="C571" t="s">
        <v>62</v>
      </c>
      <c r="D571" t="s">
        <v>63</v>
      </c>
      <c r="E571">
        <v>5.0</v>
      </c>
      <c r="F571">
        <v>5.8</v>
      </c>
      <c r="G571" s="2" t="s">
        <v>64</v>
      </c>
      <c r="H571" s="2">
        <v>0.0</v>
      </c>
      <c r="I571" s="2">
        <v>0.0</v>
      </c>
      <c r="J571" s="37">
        <v>0.0</v>
      </c>
      <c r="K571" s="2">
        <v>0.0</v>
      </c>
      <c r="L571" s="2">
        <v>0.0</v>
      </c>
      <c r="M571" s="37">
        <v>0.0</v>
      </c>
    </row>
    <row r="572" ht="14.25" customHeight="1">
      <c r="A572" t="s">
        <v>654</v>
      </c>
      <c r="B572" t="s">
        <v>629</v>
      </c>
      <c r="C572" t="s">
        <v>62</v>
      </c>
      <c r="D572" t="s">
        <v>63</v>
      </c>
      <c r="E572">
        <v>5.0</v>
      </c>
      <c r="F572">
        <v>5.8</v>
      </c>
      <c r="G572" s="2" t="s">
        <v>64</v>
      </c>
      <c r="H572" s="2">
        <v>0.0</v>
      </c>
      <c r="I572" s="2">
        <v>0.0</v>
      </c>
      <c r="J572" s="37">
        <v>0.0</v>
      </c>
      <c r="K572" s="2">
        <v>0.0</v>
      </c>
      <c r="L572" s="2">
        <v>0.0</v>
      </c>
      <c r="M572" s="37">
        <v>0.0</v>
      </c>
    </row>
    <row r="573" ht="14.25" customHeight="1">
      <c r="A573" t="s">
        <v>655</v>
      </c>
      <c r="B573" t="s">
        <v>629</v>
      </c>
      <c r="C573" t="s">
        <v>75</v>
      </c>
      <c r="D573" t="s">
        <v>63</v>
      </c>
      <c r="E573">
        <v>15.5</v>
      </c>
      <c r="F573">
        <v>18.0</v>
      </c>
      <c r="G573" s="2" t="s">
        <v>64</v>
      </c>
      <c r="H573" s="2">
        <v>0.0</v>
      </c>
      <c r="I573" s="2">
        <v>0.0</v>
      </c>
      <c r="J573" s="37">
        <v>0.0</v>
      </c>
      <c r="K573" s="2">
        <v>0.0</v>
      </c>
      <c r="L573" s="2">
        <v>0.0</v>
      </c>
      <c r="M573" s="37">
        <v>0.0</v>
      </c>
    </row>
    <row r="574" ht="14.25" customHeight="1">
      <c r="A574" t="s">
        <v>656</v>
      </c>
      <c r="B574" t="s">
        <v>629</v>
      </c>
      <c r="C574" t="s">
        <v>75</v>
      </c>
      <c r="D574" t="s">
        <v>63</v>
      </c>
      <c r="E574">
        <v>6.0</v>
      </c>
      <c r="F574">
        <v>7.0</v>
      </c>
      <c r="G574" s="2" t="s">
        <v>64</v>
      </c>
      <c r="H574" s="2">
        <v>0.0</v>
      </c>
      <c r="I574" s="2">
        <v>0.0</v>
      </c>
      <c r="J574" s="37">
        <v>0.0</v>
      </c>
      <c r="K574" s="2">
        <v>0.0</v>
      </c>
      <c r="L574" s="2">
        <v>0.0</v>
      </c>
      <c r="M574" s="37">
        <v>0.0</v>
      </c>
    </row>
    <row r="575" ht="14.25" customHeight="1">
      <c r="A575" t="s">
        <v>657</v>
      </c>
      <c r="B575" t="s">
        <v>638</v>
      </c>
      <c r="C575" t="s">
        <v>62</v>
      </c>
      <c r="D575" t="s">
        <v>63</v>
      </c>
      <c r="E575">
        <v>6.0</v>
      </c>
      <c r="F575">
        <v>7.1</v>
      </c>
      <c r="G575" s="2" t="s">
        <v>67</v>
      </c>
      <c r="H575" s="2">
        <v>21.0</v>
      </c>
      <c r="I575" s="2">
        <v>128.0</v>
      </c>
      <c r="J575" s="37">
        <v>638.0600000000001</v>
      </c>
      <c r="K575" s="2">
        <v>24.0</v>
      </c>
      <c r="L575" s="2">
        <v>183.0</v>
      </c>
      <c r="M575" s="37">
        <v>776.9399999999999</v>
      </c>
    </row>
    <row r="576" ht="14.25" customHeight="1">
      <c r="A576" t="s">
        <v>658</v>
      </c>
      <c r="B576" t="s">
        <v>638</v>
      </c>
      <c r="C576" t="s">
        <v>62</v>
      </c>
      <c r="D576" t="s">
        <v>63</v>
      </c>
      <c r="E576">
        <v>7.1</v>
      </c>
      <c r="F576">
        <v>8.0</v>
      </c>
      <c r="G576" s="2" t="s">
        <v>64</v>
      </c>
      <c r="H576" s="2">
        <v>0.0</v>
      </c>
      <c r="I576" s="2">
        <v>0.0</v>
      </c>
      <c r="J576" s="37">
        <v>0.0</v>
      </c>
      <c r="K576" s="2">
        <v>0.0</v>
      </c>
      <c r="L576" s="2">
        <v>0.0</v>
      </c>
      <c r="M576" s="37">
        <v>0.0</v>
      </c>
    </row>
    <row r="577" ht="14.25" customHeight="1">
      <c r="A577" t="s">
        <v>659</v>
      </c>
      <c r="B577" t="s">
        <v>638</v>
      </c>
      <c r="C577" t="s">
        <v>62</v>
      </c>
      <c r="D577" t="s">
        <v>63</v>
      </c>
      <c r="E577">
        <v>8.5</v>
      </c>
      <c r="F577">
        <v>10.0</v>
      </c>
      <c r="G577" s="2" t="s">
        <v>67</v>
      </c>
      <c r="H577" s="2">
        <v>28.0</v>
      </c>
      <c r="I577" s="2">
        <v>189.0</v>
      </c>
      <c r="J577" s="37">
        <v>874.58</v>
      </c>
      <c r="K577" s="2">
        <v>33.0</v>
      </c>
      <c r="L577" s="2">
        <v>267.0</v>
      </c>
      <c r="M577" s="37">
        <v>1088.2800000000002</v>
      </c>
    </row>
    <row r="578" ht="14.25" customHeight="1">
      <c r="A578" t="s">
        <v>660</v>
      </c>
      <c r="B578" t="s">
        <v>638</v>
      </c>
      <c r="C578" t="s">
        <v>62</v>
      </c>
      <c r="D578" t="s">
        <v>63</v>
      </c>
      <c r="E578">
        <v>10.0</v>
      </c>
      <c r="F578">
        <v>11.2</v>
      </c>
      <c r="G578" s="2" t="s">
        <v>67</v>
      </c>
      <c r="H578" s="2">
        <v>36.0</v>
      </c>
      <c r="I578" s="2">
        <v>250.0</v>
      </c>
      <c r="J578" s="37">
        <v>1133.56</v>
      </c>
      <c r="K578" s="2">
        <v>41.0</v>
      </c>
      <c r="L578" s="2">
        <v>353.0</v>
      </c>
      <c r="M578" s="37">
        <v>1379.76</v>
      </c>
    </row>
    <row r="579" ht="14.25" customHeight="1">
      <c r="A579" t="s">
        <v>661</v>
      </c>
      <c r="B579" t="s">
        <v>638</v>
      </c>
      <c r="C579" t="s">
        <v>62</v>
      </c>
      <c r="D579" t="s">
        <v>63</v>
      </c>
      <c r="E579">
        <v>12.5</v>
      </c>
      <c r="F579">
        <v>14.0</v>
      </c>
      <c r="G579" s="2" t="s">
        <v>67</v>
      </c>
      <c r="H579" s="2">
        <v>43.0</v>
      </c>
      <c r="I579" s="2">
        <v>231.0</v>
      </c>
      <c r="J579" s="37">
        <v>1266.0800000000002</v>
      </c>
      <c r="K579" s="2">
        <v>50.0</v>
      </c>
      <c r="L579" s="2">
        <v>360.0</v>
      </c>
      <c r="M579" s="37">
        <v>1591.0</v>
      </c>
    </row>
    <row r="580" ht="14.25" customHeight="1">
      <c r="A580" t="s">
        <v>662</v>
      </c>
      <c r="B580" t="s">
        <v>638</v>
      </c>
      <c r="C580" t="s">
        <v>62</v>
      </c>
      <c r="D580" t="s">
        <v>63</v>
      </c>
      <c r="E580">
        <v>14.0</v>
      </c>
      <c r="F580">
        <v>16.0</v>
      </c>
      <c r="G580" s="2" t="s">
        <v>67</v>
      </c>
      <c r="H580" s="2">
        <v>45.0</v>
      </c>
      <c r="I580" s="2">
        <v>242.0</v>
      </c>
      <c r="J580" s="37">
        <v>1325.3000000000002</v>
      </c>
      <c r="K580" s="2">
        <v>53.0</v>
      </c>
      <c r="L580" s="2">
        <v>385.0</v>
      </c>
      <c r="M580" s="37">
        <v>1690.88</v>
      </c>
    </row>
    <row r="581" ht="14.25" customHeight="1">
      <c r="A581" t="s">
        <v>663</v>
      </c>
      <c r="B581" t="s">
        <v>638</v>
      </c>
      <c r="C581" t="s">
        <v>62</v>
      </c>
      <c r="D581" t="s">
        <v>63</v>
      </c>
      <c r="E581">
        <v>7.1</v>
      </c>
      <c r="F581">
        <v>8.0</v>
      </c>
      <c r="G581" s="2" t="s">
        <v>64</v>
      </c>
      <c r="H581" s="2">
        <v>0.0</v>
      </c>
      <c r="I581" s="2">
        <v>0.0</v>
      </c>
      <c r="J581" s="37">
        <v>0.0</v>
      </c>
      <c r="K581" s="2">
        <v>0.0</v>
      </c>
      <c r="L581" s="2">
        <v>0.0</v>
      </c>
      <c r="M581" s="37">
        <v>0.0</v>
      </c>
    </row>
    <row r="582" ht="14.25" customHeight="1">
      <c r="A582" t="s">
        <v>664</v>
      </c>
      <c r="B582" t="s">
        <v>638</v>
      </c>
      <c r="C582" t="s">
        <v>62</v>
      </c>
      <c r="D582" t="s">
        <v>63</v>
      </c>
      <c r="E582">
        <v>8.5</v>
      </c>
      <c r="F582">
        <v>10.0</v>
      </c>
      <c r="G582" s="2" t="s">
        <v>67</v>
      </c>
      <c r="H582" s="2">
        <v>28.0</v>
      </c>
      <c r="I582" s="2">
        <v>189.0</v>
      </c>
      <c r="J582" s="37">
        <v>874.58</v>
      </c>
      <c r="K582" s="2">
        <v>33.0</v>
      </c>
      <c r="L582" s="2">
        <v>267.0</v>
      </c>
      <c r="M582" s="37">
        <v>1088.2800000000002</v>
      </c>
    </row>
    <row r="583" ht="14.25" customHeight="1">
      <c r="A583" t="s">
        <v>665</v>
      </c>
      <c r="B583" t="s">
        <v>638</v>
      </c>
      <c r="C583" t="s">
        <v>62</v>
      </c>
      <c r="D583" t="s">
        <v>63</v>
      </c>
      <c r="E583">
        <v>10.0</v>
      </c>
      <c r="F583">
        <v>11.2</v>
      </c>
      <c r="G583" s="2" t="s">
        <v>67</v>
      </c>
      <c r="H583" s="2">
        <v>36.0</v>
      </c>
      <c r="I583" s="2">
        <v>250.0</v>
      </c>
      <c r="J583" s="37">
        <v>1133.56</v>
      </c>
      <c r="K583" s="2">
        <v>41.0</v>
      </c>
      <c r="L583" s="2">
        <v>353.0</v>
      </c>
      <c r="M583" s="37">
        <v>1379.76</v>
      </c>
    </row>
    <row r="584" ht="14.25" customHeight="1">
      <c r="A584" t="s">
        <v>666</v>
      </c>
      <c r="B584" t="s">
        <v>638</v>
      </c>
      <c r="C584" t="s">
        <v>62</v>
      </c>
      <c r="D584" t="s">
        <v>63</v>
      </c>
      <c r="E584">
        <v>12.5</v>
      </c>
      <c r="F584">
        <v>14.0</v>
      </c>
      <c r="G584" s="2" t="s">
        <v>67</v>
      </c>
      <c r="H584" s="2">
        <v>43.0</v>
      </c>
      <c r="I584" s="2">
        <v>231.0</v>
      </c>
      <c r="J584" s="37">
        <v>1266.0800000000002</v>
      </c>
      <c r="K584" s="2">
        <v>50.0</v>
      </c>
      <c r="L584" s="2">
        <v>360.0</v>
      </c>
      <c r="M584" s="37">
        <v>1591.0</v>
      </c>
    </row>
    <row r="585" ht="14.25" customHeight="1">
      <c r="A585" t="s">
        <v>667</v>
      </c>
      <c r="B585" t="s">
        <v>638</v>
      </c>
      <c r="C585" t="s">
        <v>62</v>
      </c>
      <c r="D585" t="s">
        <v>63</v>
      </c>
      <c r="E585">
        <v>14.0</v>
      </c>
      <c r="F585">
        <v>16.0</v>
      </c>
      <c r="G585" s="2" t="s">
        <v>67</v>
      </c>
      <c r="H585" s="2">
        <v>45.0</v>
      </c>
      <c r="I585" s="2">
        <v>242.0</v>
      </c>
      <c r="J585" s="37">
        <v>1325.3000000000002</v>
      </c>
      <c r="K585" s="2">
        <v>53.0</v>
      </c>
      <c r="L585" s="2">
        <v>385.0</v>
      </c>
      <c r="M585" s="37">
        <v>1690.88</v>
      </c>
    </row>
    <row r="586" ht="14.25" customHeight="1">
      <c r="A586" t="s">
        <v>668</v>
      </c>
      <c r="B586" t="s">
        <v>638</v>
      </c>
      <c r="C586" t="s">
        <v>62</v>
      </c>
      <c r="D586" t="s">
        <v>63</v>
      </c>
      <c r="E586">
        <v>7.1</v>
      </c>
      <c r="F586">
        <v>8.0</v>
      </c>
      <c r="G586" s="2" t="s">
        <v>64</v>
      </c>
      <c r="H586" s="2">
        <v>0.0</v>
      </c>
      <c r="I586" s="2">
        <v>0.0</v>
      </c>
      <c r="J586" s="37">
        <v>0.0</v>
      </c>
      <c r="K586" s="2">
        <v>0.0</v>
      </c>
      <c r="L586" s="2">
        <v>0.0</v>
      </c>
      <c r="M586" s="37">
        <v>0.0</v>
      </c>
    </row>
    <row r="587" ht="14.25" customHeight="1">
      <c r="A587" t="s">
        <v>669</v>
      </c>
      <c r="B587" t="s">
        <v>638</v>
      </c>
      <c r="C587" t="s">
        <v>62</v>
      </c>
      <c r="D587" t="s">
        <v>63</v>
      </c>
      <c r="E587">
        <v>8.5</v>
      </c>
      <c r="F587">
        <v>10.0</v>
      </c>
      <c r="G587" s="2" t="s">
        <v>64</v>
      </c>
      <c r="H587" s="2">
        <v>0.0</v>
      </c>
      <c r="I587" s="2">
        <v>0.0</v>
      </c>
      <c r="J587" s="37">
        <v>0.0</v>
      </c>
      <c r="K587" s="2">
        <v>0.0</v>
      </c>
      <c r="L587" s="2">
        <v>0.0</v>
      </c>
      <c r="M587" s="37">
        <v>0.0</v>
      </c>
    </row>
    <row r="588" ht="14.25" customHeight="1">
      <c r="A588" t="s">
        <v>670</v>
      </c>
      <c r="B588" t="s">
        <v>638</v>
      </c>
      <c r="C588" t="s">
        <v>62</v>
      </c>
      <c r="D588" t="s">
        <v>63</v>
      </c>
      <c r="E588">
        <v>10.0</v>
      </c>
      <c r="F588">
        <v>11.2</v>
      </c>
      <c r="G588" s="2" t="s">
        <v>67</v>
      </c>
      <c r="H588" s="2">
        <v>32.0</v>
      </c>
      <c r="I588" s="2">
        <v>164.0</v>
      </c>
      <c r="J588" s="37">
        <v>931.9200000000001</v>
      </c>
      <c r="K588" s="2">
        <v>37.0</v>
      </c>
      <c r="L588" s="2">
        <v>267.0</v>
      </c>
      <c r="M588" s="37">
        <v>1178.12</v>
      </c>
    </row>
    <row r="589" ht="14.25" customHeight="1">
      <c r="A589" t="s">
        <v>671</v>
      </c>
      <c r="B589" t="s">
        <v>638</v>
      </c>
      <c r="C589" t="s">
        <v>62</v>
      </c>
      <c r="D589" t="s">
        <v>63</v>
      </c>
      <c r="E589">
        <v>12.5</v>
      </c>
      <c r="F589">
        <v>14.0</v>
      </c>
      <c r="G589" s="2" t="s">
        <v>67</v>
      </c>
      <c r="H589" s="2">
        <v>40.0</v>
      </c>
      <c r="I589" s="2">
        <v>148.0</v>
      </c>
      <c r="J589" s="37">
        <v>1090.8000000000002</v>
      </c>
      <c r="K589" s="2">
        <v>47.0</v>
      </c>
      <c r="L589" s="2">
        <v>277.0</v>
      </c>
      <c r="M589" s="37">
        <v>1415.7200000000003</v>
      </c>
    </row>
    <row r="590" ht="14.25" customHeight="1">
      <c r="A590" t="s">
        <v>672</v>
      </c>
      <c r="B590" t="s">
        <v>638</v>
      </c>
      <c r="C590" t="s">
        <v>62</v>
      </c>
      <c r="D590" t="s">
        <v>63</v>
      </c>
      <c r="E590">
        <v>14.0</v>
      </c>
      <c r="F590">
        <v>16.0</v>
      </c>
      <c r="G590" s="2" t="s">
        <v>67</v>
      </c>
      <c r="H590" s="2">
        <v>44.0</v>
      </c>
      <c r="I590" s="2">
        <v>99.0</v>
      </c>
      <c r="J590" s="37">
        <v>1116.94</v>
      </c>
      <c r="K590" s="2">
        <v>51.0</v>
      </c>
      <c r="L590" s="2">
        <v>243.0</v>
      </c>
      <c r="M590" s="37">
        <v>1461.3600000000001</v>
      </c>
    </row>
    <row r="591" ht="14.25" customHeight="1">
      <c r="A591" t="s">
        <v>673</v>
      </c>
      <c r="B591" t="s">
        <v>638</v>
      </c>
      <c r="C591" t="s">
        <v>62</v>
      </c>
      <c r="D591" t="s">
        <v>63</v>
      </c>
      <c r="E591">
        <v>8.5</v>
      </c>
      <c r="F591">
        <v>10.0</v>
      </c>
      <c r="G591" s="2" t="s">
        <v>64</v>
      </c>
      <c r="H591" s="2">
        <v>0.0</v>
      </c>
      <c r="I591" s="2">
        <v>0.0</v>
      </c>
      <c r="J591" s="37">
        <v>0.0</v>
      </c>
      <c r="K591" s="2">
        <v>0.0</v>
      </c>
      <c r="L591" s="2">
        <v>0.0</v>
      </c>
      <c r="M591" s="37">
        <v>0.0</v>
      </c>
    </row>
    <row r="592" ht="14.25" customHeight="1">
      <c r="A592" t="s">
        <v>674</v>
      </c>
      <c r="B592" t="s">
        <v>638</v>
      </c>
      <c r="C592" t="s">
        <v>62</v>
      </c>
      <c r="D592" t="s">
        <v>63</v>
      </c>
      <c r="E592">
        <v>10.0</v>
      </c>
      <c r="F592">
        <v>11.2</v>
      </c>
      <c r="G592" s="2" t="s">
        <v>67</v>
      </c>
      <c r="H592" s="2">
        <v>32.0</v>
      </c>
      <c r="I592" s="2">
        <v>164.0</v>
      </c>
      <c r="J592" s="37">
        <v>931.9200000000001</v>
      </c>
      <c r="K592" s="2">
        <v>37.0</v>
      </c>
      <c r="L592" s="2">
        <v>267.0</v>
      </c>
      <c r="M592" s="37">
        <v>1178.12</v>
      </c>
    </row>
    <row r="593" ht="14.25" customHeight="1">
      <c r="A593" t="s">
        <v>675</v>
      </c>
      <c r="B593" t="s">
        <v>638</v>
      </c>
      <c r="C593" t="s">
        <v>62</v>
      </c>
      <c r="D593" t="s">
        <v>63</v>
      </c>
      <c r="E593">
        <v>12.5</v>
      </c>
      <c r="F593">
        <v>14.0</v>
      </c>
      <c r="G593" s="2" t="s">
        <v>67</v>
      </c>
      <c r="H593" s="2">
        <v>40.0</v>
      </c>
      <c r="I593" s="2">
        <v>148.0</v>
      </c>
      <c r="J593" s="37">
        <v>1090.8000000000002</v>
      </c>
      <c r="K593" s="2">
        <v>47.0</v>
      </c>
      <c r="L593" s="2">
        <v>277.0</v>
      </c>
      <c r="M593" s="37">
        <v>1415.7200000000003</v>
      </c>
    </row>
    <row r="594" ht="14.25" customHeight="1">
      <c r="A594" t="s">
        <v>676</v>
      </c>
      <c r="B594" t="s">
        <v>638</v>
      </c>
      <c r="C594" t="s">
        <v>62</v>
      </c>
      <c r="D594" t="s">
        <v>63</v>
      </c>
      <c r="E594">
        <v>14.0</v>
      </c>
      <c r="F594">
        <v>16.0</v>
      </c>
      <c r="G594" s="2" t="s">
        <v>67</v>
      </c>
      <c r="H594" s="2">
        <v>44.0</v>
      </c>
      <c r="I594" s="2">
        <v>99.0</v>
      </c>
      <c r="J594" s="37">
        <v>1116.94</v>
      </c>
      <c r="K594" s="2">
        <v>51.0</v>
      </c>
      <c r="L594" s="2">
        <v>243.0</v>
      </c>
      <c r="M594" s="37">
        <v>1461.3600000000001</v>
      </c>
    </row>
    <row r="595" ht="14.25" customHeight="1">
      <c r="A595" t="s">
        <v>677</v>
      </c>
      <c r="B595" t="s">
        <v>638</v>
      </c>
      <c r="C595" t="s">
        <v>75</v>
      </c>
      <c r="D595" t="s">
        <v>63</v>
      </c>
      <c r="E595">
        <v>5.0</v>
      </c>
      <c r="F595">
        <v>6.0</v>
      </c>
      <c r="G595" s="2" t="s">
        <v>64</v>
      </c>
      <c r="H595" s="2">
        <v>0.0</v>
      </c>
      <c r="I595" s="2">
        <v>0.0</v>
      </c>
      <c r="J595" s="37">
        <v>0.0</v>
      </c>
      <c r="K595" s="2">
        <v>0.0</v>
      </c>
      <c r="L595" s="2">
        <v>0.0</v>
      </c>
      <c r="M595" s="37">
        <v>0.0</v>
      </c>
    </row>
    <row r="596" ht="14.25" customHeight="1">
      <c r="A596" t="s">
        <v>678</v>
      </c>
      <c r="B596" t="s">
        <v>638</v>
      </c>
      <c r="C596" t="s">
        <v>75</v>
      </c>
      <c r="D596" t="s">
        <v>63</v>
      </c>
      <c r="E596">
        <v>6.0</v>
      </c>
      <c r="F596">
        <v>7.1</v>
      </c>
      <c r="G596" s="2" t="s">
        <v>64</v>
      </c>
      <c r="H596" s="2">
        <v>0.0</v>
      </c>
      <c r="I596" s="2">
        <v>0.0</v>
      </c>
      <c r="J596" s="37">
        <v>0.0</v>
      </c>
      <c r="K596" s="2">
        <v>0.0</v>
      </c>
      <c r="L596" s="2">
        <v>0.0</v>
      </c>
      <c r="M596" s="37">
        <v>0.0</v>
      </c>
    </row>
    <row r="597" ht="14.25" customHeight="1">
      <c r="A597" t="s">
        <v>679</v>
      </c>
      <c r="B597" t="s">
        <v>638</v>
      </c>
      <c r="C597" t="s">
        <v>75</v>
      </c>
      <c r="D597" t="s">
        <v>63</v>
      </c>
      <c r="E597">
        <v>7.1</v>
      </c>
      <c r="F597">
        <v>8.0</v>
      </c>
      <c r="G597" s="2" t="s">
        <v>64</v>
      </c>
      <c r="H597" s="2">
        <v>0.0</v>
      </c>
      <c r="I597" s="2">
        <v>0.0</v>
      </c>
      <c r="J597" s="37">
        <v>0.0</v>
      </c>
      <c r="K597" s="2">
        <v>0.0</v>
      </c>
      <c r="L597" s="2">
        <v>0.0</v>
      </c>
      <c r="M597" s="37">
        <v>0.0</v>
      </c>
    </row>
    <row r="598" ht="14.25" customHeight="1">
      <c r="A598" t="s">
        <v>680</v>
      </c>
      <c r="B598" t="s">
        <v>638</v>
      </c>
      <c r="C598" t="s">
        <v>75</v>
      </c>
      <c r="D598" t="s">
        <v>63</v>
      </c>
      <c r="E598">
        <v>8.5</v>
      </c>
      <c r="F598">
        <v>10.0</v>
      </c>
      <c r="G598" s="2" t="s">
        <v>67</v>
      </c>
      <c r="H598" s="2">
        <v>28.0</v>
      </c>
      <c r="I598" s="2">
        <v>131.0</v>
      </c>
      <c r="J598" s="37">
        <v>799.1800000000001</v>
      </c>
      <c r="K598" s="2">
        <v>33.0</v>
      </c>
      <c r="L598" s="2">
        <v>218.0</v>
      </c>
      <c r="M598" s="37">
        <v>1024.5800000000002</v>
      </c>
    </row>
    <row r="599" ht="14.25" customHeight="1">
      <c r="A599" t="s">
        <v>681</v>
      </c>
      <c r="B599" t="s">
        <v>638</v>
      </c>
      <c r="C599" t="s">
        <v>75</v>
      </c>
      <c r="D599" t="s">
        <v>63</v>
      </c>
      <c r="E599">
        <v>10.0</v>
      </c>
      <c r="F599">
        <v>11.2</v>
      </c>
      <c r="G599" s="2" t="s">
        <v>67</v>
      </c>
      <c r="H599" s="2">
        <v>33.0</v>
      </c>
      <c r="I599" s="2">
        <v>149.0</v>
      </c>
      <c r="J599" s="37">
        <v>934.8800000000001</v>
      </c>
      <c r="K599" s="2">
        <v>39.0</v>
      </c>
      <c r="L599" s="2">
        <v>252.0</v>
      </c>
      <c r="M599" s="37">
        <v>1203.54</v>
      </c>
    </row>
    <row r="600" ht="14.25" customHeight="1">
      <c r="A600" t="s">
        <v>682</v>
      </c>
      <c r="B600" t="s">
        <v>638</v>
      </c>
      <c r="C600" t="s">
        <v>75</v>
      </c>
      <c r="D600" t="s">
        <v>63</v>
      </c>
      <c r="E600">
        <v>12.5</v>
      </c>
      <c r="F600">
        <v>14.0</v>
      </c>
      <c r="G600" s="2" t="s">
        <v>67</v>
      </c>
      <c r="H600" s="2">
        <v>40.0</v>
      </c>
      <c r="I600" s="2">
        <v>104.0</v>
      </c>
      <c r="J600" s="37">
        <v>1033.6000000000001</v>
      </c>
      <c r="K600" s="2">
        <v>47.0</v>
      </c>
      <c r="L600" s="2">
        <v>232.0</v>
      </c>
      <c r="M600" s="37">
        <v>1357.2200000000003</v>
      </c>
    </row>
    <row r="601" ht="14.25" customHeight="1">
      <c r="A601" t="s">
        <v>683</v>
      </c>
      <c r="B601" t="s">
        <v>638</v>
      </c>
      <c r="C601" t="s">
        <v>75</v>
      </c>
      <c r="D601" t="s">
        <v>63</v>
      </c>
      <c r="E601">
        <v>14.0</v>
      </c>
      <c r="F601">
        <v>16.0</v>
      </c>
      <c r="G601" s="2" t="s">
        <v>67</v>
      </c>
      <c r="H601" s="2">
        <v>42.0</v>
      </c>
      <c r="I601" s="2">
        <v>129.0</v>
      </c>
      <c r="J601" s="37">
        <v>1111.02</v>
      </c>
      <c r="K601" s="2">
        <v>50.0</v>
      </c>
      <c r="L601" s="2">
        <v>272.0</v>
      </c>
      <c r="M601" s="37">
        <v>1476.6</v>
      </c>
    </row>
    <row r="602" ht="14.25" customHeight="1">
      <c r="A602" t="s">
        <v>684</v>
      </c>
      <c r="B602" t="s">
        <v>638</v>
      </c>
      <c r="C602" t="s">
        <v>75</v>
      </c>
      <c r="D602" t="s">
        <v>63</v>
      </c>
      <c r="E602">
        <v>7.1</v>
      </c>
      <c r="F602">
        <v>8.0</v>
      </c>
      <c r="G602" s="2" t="s">
        <v>64</v>
      </c>
      <c r="H602" s="2">
        <v>0.0</v>
      </c>
      <c r="I602" s="2">
        <v>0.0</v>
      </c>
      <c r="J602" s="37">
        <v>0.0</v>
      </c>
      <c r="K602" s="2">
        <v>0.0</v>
      </c>
      <c r="L602" s="2">
        <v>0.0</v>
      </c>
      <c r="M602" s="37">
        <v>0.0</v>
      </c>
    </row>
    <row r="603" ht="14.25" customHeight="1">
      <c r="A603" t="s">
        <v>685</v>
      </c>
      <c r="B603" t="s">
        <v>638</v>
      </c>
      <c r="C603" t="s">
        <v>75</v>
      </c>
      <c r="D603" t="s">
        <v>63</v>
      </c>
      <c r="E603">
        <v>8.5</v>
      </c>
      <c r="F603">
        <v>10.0</v>
      </c>
      <c r="G603" s="2" t="s">
        <v>67</v>
      </c>
      <c r="H603" s="2">
        <v>28.0</v>
      </c>
      <c r="I603" s="2">
        <v>131.0</v>
      </c>
      <c r="J603" s="37">
        <v>799.1800000000001</v>
      </c>
      <c r="K603" s="2">
        <v>33.0</v>
      </c>
      <c r="L603" s="2">
        <v>218.0</v>
      </c>
      <c r="M603" s="37">
        <v>1024.5800000000002</v>
      </c>
    </row>
    <row r="604" ht="14.25" customHeight="1">
      <c r="A604" t="s">
        <v>686</v>
      </c>
      <c r="B604" t="s">
        <v>638</v>
      </c>
      <c r="C604" t="s">
        <v>75</v>
      </c>
      <c r="D604" t="s">
        <v>63</v>
      </c>
      <c r="E604">
        <v>10.0</v>
      </c>
      <c r="F604">
        <v>11.2</v>
      </c>
      <c r="G604" s="2" t="s">
        <v>67</v>
      </c>
      <c r="H604" s="2">
        <v>33.0</v>
      </c>
      <c r="I604" s="2">
        <v>149.0</v>
      </c>
      <c r="J604" s="37">
        <v>934.8800000000001</v>
      </c>
      <c r="K604" s="2">
        <v>39.0</v>
      </c>
      <c r="L604" s="2">
        <v>252.0</v>
      </c>
      <c r="M604" s="37">
        <v>1203.54</v>
      </c>
    </row>
    <row r="605" ht="14.25" customHeight="1">
      <c r="A605" t="s">
        <v>687</v>
      </c>
      <c r="B605" t="s">
        <v>638</v>
      </c>
      <c r="C605" t="s">
        <v>75</v>
      </c>
      <c r="D605" t="s">
        <v>63</v>
      </c>
      <c r="E605">
        <v>12.5</v>
      </c>
      <c r="F605">
        <v>14.0</v>
      </c>
      <c r="G605" s="2" t="s">
        <v>67</v>
      </c>
      <c r="H605" s="2">
        <v>40.0</v>
      </c>
      <c r="I605" s="2">
        <v>104.0</v>
      </c>
      <c r="J605" s="37">
        <v>1033.6000000000001</v>
      </c>
      <c r="K605" s="2">
        <v>47.0</v>
      </c>
      <c r="L605" s="2">
        <v>232.0</v>
      </c>
      <c r="M605" s="37">
        <v>1357.2200000000003</v>
      </c>
    </row>
    <row r="606" ht="14.25" customHeight="1">
      <c r="A606" t="s">
        <v>688</v>
      </c>
      <c r="B606" t="s">
        <v>638</v>
      </c>
      <c r="C606" t="s">
        <v>75</v>
      </c>
      <c r="D606" t="s">
        <v>63</v>
      </c>
      <c r="E606">
        <v>14.0</v>
      </c>
      <c r="F606">
        <v>16.0</v>
      </c>
      <c r="G606" s="2" t="s">
        <v>67</v>
      </c>
      <c r="H606" s="2">
        <v>42.0</v>
      </c>
      <c r="I606" s="2">
        <v>129.0</v>
      </c>
      <c r="J606" s="37">
        <v>1111.02</v>
      </c>
      <c r="K606" s="2">
        <v>50.0</v>
      </c>
      <c r="L606" s="2">
        <v>272.0</v>
      </c>
      <c r="M606" s="37">
        <v>1476.6</v>
      </c>
    </row>
    <row r="607" ht="14.25" customHeight="1">
      <c r="A607" t="s">
        <v>689</v>
      </c>
      <c r="B607" t="s">
        <v>638</v>
      </c>
      <c r="C607" t="s">
        <v>75</v>
      </c>
      <c r="D607" t="s">
        <v>63</v>
      </c>
      <c r="E607">
        <v>7.1</v>
      </c>
      <c r="F607">
        <v>8.0</v>
      </c>
      <c r="G607" s="2" t="s">
        <v>64</v>
      </c>
      <c r="H607" s="2">
        <v>0.0</v>
      </c>
      <c r="I607" s="2">
        <v>0.0</v>
      </c>
      <c r="J607" s="37">
        <v>0.0</v>
      </c>
      <c r="K607" s="2">
        <v>0.0</v>
      </c>
      <c r="L607" s="2">
        <v>0.0</v>
      </c>
      <c r="M607" s="37">
        <v>0.0</v>
      </c>
    </row>
    <row r="608" ht="14.25" customHeight="1">
      <c r="A608" t="s">
        <v>690</v>
      </c>
      <c r="B608" t="s">
        <v>638</v>
      </c>
      <c r="C608" t="s">
        <v>75</v>
      </c>
      <c r="D608" t="s">
        <v>63</v>
      </c>
      <c r="E608">
        <v>8.5</v>
      </c>
      <c r="F608">
        <v>10.0</v>
      </c>
      <c r="G608" s="2" t="s">
        <v>64</v>
      </c>
      <c r="H608" s="2">
        <v>0.0</v>
      </c>
      <c r="I608" s="2">
        <v>0.0</v>
      </c>
      <c r="J608" s="37">
        <v>0.0</v>
      </c>
      <c r="K608" s="2">
        <v>0.0</v>
      </c>
      <c r="L608" s="2">
        <v>0.0</v>
      </c>
      <c r="M608" s="37">
        <v>0.0</v>
      </c>
    </row>
    <row r="609" ht="14.25" customHeight="1">
      <c r="A609" t="s">
        <v>691</v>
      </c>
      <c r="B609" t="s">
        <v>638</v>
      </c>
      <c r="C609" t="s">
        <v>75</v>
      </c>
      <c r="D609" t="s">
        <v>63</v>
      </c>
      <c r="E609">
        <v>8.5</v>
      </c>
      <c r="F609">
        <v>10.0</v>
      </c>
      <c r="G609" s="2" t="s">
        <v>64</v>
      </c>
      <c r="H609" s="2">
        <v>0.0</v>
      </c>
      <c r="I609" s="2">
        <v>0.0</v>
      </c>
      <c r="J609" s="37">
        <v>0.0</v>
      </c>
      <c r="K609" s="2">
        <v>0.0</v>
      </c>
      <c r="L609" s="2">
        <v>0.0</v>
      </c>
      <c r="M609" s="37">
        <v>0.0</v>
      </c>
    </row>
    <row r="610" ht="14.25" customHeight="1">
      <c r="A610" t="s">
        <v>692</v>
      </c>
      <c r="B610" t="s">
        <v>638</v>
      </c>
      <c r="C610" t="s">
        <v>62</v>
      </c>
      <c r="D610" t="s">
        <v>63</v>
      </c>
      <c r="E610">
        <v>5.0</v>
      </c>
      <c r="F610">
        <v>6.0</v>
      </c>
      <c r="G610" s="2" t="s">
        <v>64</v>
      </c>
      <c r="H610" s="2">
        <v>0.0</v>
      </c>
      <c r="I610" s="2">
        <v>0.0</v>
      </c>
      <c r="J610" s="37">
        <v>0.0</v>
      </c>
      <c r="K610" s="2">
        <v>0.0</v>
      </c>
      <c r="L610" s="2">
        <v>0.0</v>
      </c>
      <c r="M610" s="37">
        <v>0.0</v>
      </c>
    </row>
    <row r="611" ht="14.25" customHeight="1">
      <c r="A611" t="s">
        <v>693</v>
      </c>
      <c r="B611" t="s">
        <v>638</v>
      </c>
      <c r="C611" t="s">
        <v>62</v>
      </c>
      <c r="D611" t="s">
        <v>63</v>
      </c>
      <c r="E611">
        <v>6.0</v>
      </c>
      <c r="F611">
        <v>7.1</v>
      </c>
      <c r="G611" s="2" t="s">
        <v>64</v>
      </c>
      <c r="H611" s="2">
        <v>0.0</v>
      </c>
      <c r="I611" s="2">
        <v>0.0</v>
      </c>
      <c r="J611" s="37">
        <v>0.0</v>
      </c>
      <c r="K611" s="2">
        <v>0.0</v>
      </c>
      <c r="L611" s="2">
        <v>0.0</v>
      </c>
      <c r="M611" s="37">
        <v>0.0</v>
      </c>
    </row>
    <row r="612" ht="14.25" customHeight="1">
      <c r="A612" t="s">
        <v>694</v>
      </c>
      <c r="B612" t="s">
        <v>638</v>
      </c>
      <c r="C612" t="s">
        <v>62</v>
      </c>
      <c r="D612" t="s">
        <v>63</v>
      </c>
      <c r="E612">
        <v>7.1</v>
      </c>
      <c r="F612">
        <v>8.0</v>
      </c>
      <c r="G612" s="2" t="s">
        <v>64</v>
      </c>
      <c r="H612" s="2">
        <v>0.0</v>
      </c>
      <c r="I612" s="2">
        <v>0.0</v>
      </c>
      <c r="J612" s="37">
        <v>0.0</v>
      </c>
      <c r="K612" s="2">
        <v>0.0</v>
      </c>
      <c r="L612" s="2">
        <v>0.0</v>
      </c>
      <c r="M612" s="37">
        <v>0.0</v>
      </c>
    </row>
    <row r="613" ht="14.25" customHeight="1">
      <c r="A613" t="s">
        <v>695</v>
      </c>
      <c r="B613" t="s">
        <v>638</v>
      </c>
      <c r="C613" t="s">
        <v>62</v>
      </c>
      <c r="D613" t="s">
        <v>63</v>
      </c>
      <c r="E613">
        <v>8.5</v>
      </c>
      <c r="F613">
        <v>10.0</v>
      </c>
      <c r="G613" s="2" t="s">
        <v>64</v>
      </c>
      <c r="H613" s="2">
        <v>0.0</v>
      </c>
      <c r="I613" s="2">
        <v>0.0</v>
      </c>
      <c r="J613" s="37">
        <v>0.0</v>
      </c>
      <c r="K613" s="2">
        <v>0.0</v>
      </c>
      <c r="L613" s="2">
        <v>0.0</v>
      </c>
      <c r="M613" s="37">
        <v>0.0</v>
      </c>
    </row>
    <row r="614" ht="14.25" customHeight="1">
      <c r="A614" t="s">
        <v>696</v>
      </c>
      <c r="B614" t="s">
        <v>638</v>
      </c>
      <c r="C614" t="s">
        <v>62</v>
      </c>
      <c r="D614" t="s">
        <v>63</v>
      </c>
      <c r="E614">
        <v>10.0</v>
      </c>
      <c r="F614">
        <v>11.2</v>
      </c>
      <c r="G614" s="2" t="s">
        <v>67</v>
      </c>
      <c r="H614" s="2">
        <v>33.0</v>
      </c>
      <c r="I614" s="2">
        <v>132.0</v>
      </c>
      <c r="J614" s="37">
        <v>912.7800000000001</v>
      </c>
      <c r="K614" s="2">
        <v>38.0</v>
      </c>
      <c r="L614" s="2">
        <v>234.0</v>
      </c>
      <c r="M614" s="37">
        <v>1157.68</v>
      </c>
    </row>
    <row r="615" ht="14.25" customHeight="1">
      <c r="A615" t="s">
        <v>697</v>
      </c>
      <c r="B615" t="s">
        <v>638</v>
      </c>
      <c r="C615" t="s">
        <v>62</v>
      </c>
      <c r="D615" t="s">
        <v>63</v>
      </c>
      <c r="E615">
        <v>12.5</v>
      </c>
      <c r="F615">
        <v>14.0</v>
      </c>
      <c r="G615" s="2" t="s">
        <v>67</v>
      </c>
      <c r="H615" s="2">
        <v>40.0</v>
      </c>
      <c r="I615" s="2">
        <v>113.0</v>
      </c>
      <c r="J615" s="37">
        <v>1045.3000000000002</v>
      </c>
      <c r="K615" s="2">
        <v>47.0</v>
      </c>
      <c r="L615" s="2">
        <v>241.0</v>
      </c>
      <c r="M615" s="37">
        <v>1368.92</v>
      </c>
    </row>
    <row r="616" ht="14.25" customHeight="1">
      <c r="A616" t="s">
        <v>698</v>
      </c>
      <c r="B616" t="s">
        <v>638</v>
      </c>
      <c r="C616" t="s">
        <v>62</v>
      </c>
      <c r="D616" t="s">
        <v>63</v>
      </c>
      <c r="E616">
        <v>7.1</v>
      </c>
      <c r="F616">
        <v>8.0</v>
      </c>
      <c r="G616" s="2" t="s">
        <v>64</v>
      </c>
      <c r="H616" s="2">
        <v>0.0</v>
      </c>
      <c r="I616" s="2">
        <v>0.0</v>
      </c>
      <c r="J616" s="37">
        <v>0.0</v>
      </c>
      <c r="K616" s="2">
        <v>0.0</v>
      </c>
      <c r="L616" s="2">
        <v>0.0</v>
      </c>
      <c r="M616" s="37">
        <v>0.0</v>
      </c>
    </row>
    <row r="617" ht="14.25" customHeight="1">
      <c r="A617" t="s">
        <v>699</v>
      </c>
      <c r="B617" t="s">
        <v>638</v>
      </c>
      <c r="C617" t="s">
        <v>62</v>
      </c>
      <c r="D617" t="s">
        <v>63</v>
      </c>
      <c r="E617">
        <v>8.5</v>
      </c>
      <c r="F617">
        <v>10.0</v>
      </c>
      <c r="G617" s="2" t="s">
        <v>64</v>
      </c>
      <c r="H617" s="2">
        <v>0.0</v>
      </c>
      <c r="I617" s="2">
        <v>0.0</v>
      </c>
      <c r="J617" s="37">
        <v>0.0</v>
      </c>
      <c r="K617" s="2">
        <v>0.0</v>
      </c>
      <c r="L617" s="2">
        <v>0.0</v>
      </c>
      <c r="M617" s="37">
        <v>0.0</v>
      </c>
    </row>
    <row r="618" ht="14.25" customHeight="1">
      <c r="A618" t="s">
        <v>700</v>
      </c>
      <c r="B618" t="s">
        <v>638</v>
      </c>
      <c r="C618" t="s">
        <v>62</v>
      </c>
      <c r="D618" t="s">
        <v>63</v>
      </c>
      <c r="E618">
        <v>10.0</v>
      </c>
      <c r="F618">
        <v>11.2</v>
      </c>
      <c r="G618" s="2" t="s">
        <v>67</v>
      </c>
      <c r="H618" s="2">
        <v>33.0</v>
      </c>
      <c r="I618" s="2">
        <v>132.0</v>
      </c>
      <c r="J618" s="37">
        <v>912.7800000000001</v>
      </c>
      <c r="K618" s="2">
        <v>38.0</v>
      </c>
      <c r="L618" s="2">
        <v>234.0</v>
      </c>
      <c r="M618" s="37">
        <v>1157.68</v>
      </c>
    </row>
    <row r="619" ht="14.25" customHeight="1">
      <c r="A619" t="s">
        <v>701</v>
      </c>
      <c r="B619" t="s">
        <v>638</v>
      </c>
      <c r="C619" t="s">
        <v>62</v>
      </c>
      <c r="D619" t="s">
        <v>63</v>
      </c>
      <c r="E619">
        <v>12.5</v>
      </c>
      <c r="F619">
        <v>14.0</v>
      </c>
      <c r="G619" s="2" t="s">
        <v>67</v>
      </c>
      <c r="H619" s="2">
        <v>40.0</v>
      </c>
      <c r="I619" s="2">
        <v>113.0</v>
      </c>
      <c r="J619" s="37">
        <v>1045.3000000000002</v>
      </c>
      <c r="K619" s="2">
        <v>47.0</v>
      </c>
      <c r="L619" s="2">
        <v>241.0</v>
      </c>
      <c r="M619" s="37">
        <v>1368.92</v>
      </c>
    </row>
    <row r="620" ht="14.25" customHeight="1">
      <c r="A620" t="s">
        <v>702</v>
      </c>
      <c r="B620" t="s">
        <v>638</v>
      </c>
      <c r="C620" t="s">
        <v>62</v>
      </c>
      <c r="D620" t="s">
        <v>63</v>
      </c>
      <c r="E620">
        <v>14.0</v>
      </c>
      <c r="F620">
        <v>16.0</v>
      </c>
      <c r="G620" s="2" t="s">
        <v>67</v>
      </c>
      <c r="H620" s="2">
        <v>42.0</v>
      </c>
      <c r="I620" s="2">
        <v>114.0</v>
      </c>
      <c r="J620" s="37">
        <v>1091.52</v>
      </c>
      <c r="K620" s="2">
        <v>50.0</v>
      </c>
      <c r="L620" s="2">
        <v>257.0</v>
      </c>
      <c r="M620" s="37">
        <v>1457.1</v>
      </c>
    </row>
    <row r="621" ht="14.25" customHeight="1">
      <c r="A621" t="s">
        <v>703</v>
      </c>
      <c r="B621" t="s">
        <v>638</v>
      </c>
      <c r="C621" t="s">
        <v>62</v>
      </c>
      <c r="D621" t="s">
        <v>63</v>
      </c>
      <c r="E621">
        <v>5.0</v>
      </c>
      <c r="F621">
        <v>6.0</v>
      </c>
      <c r="G621" s="2" t="s">
        <v>64</v>
      </c>
      <c r="H621" s="2">
        <v>0.0</v>
      </c>
      <c r="I621" s="2">
        <v>0.0</v>
      </c>
      <c r="J621" s="37">
        <v>0.0</v>
      </c>
      <c r="K621" s="2">
        <v>0.0</v>
      </c>
      <c r="L621" s="2">
        <v>0.0</v>
      </c>
      <c r="M621" s="37">
        <v>0.0</v>
      </c>
    </row>
    <row r="622" ht="14.25" customHeight="1">
      <c r="A622" t="s">
        <v>704</v>
      </c>
      <c r="B622" t="s">
        <v>638</v>
      </c>
      <c r="C622" t="s">
        <v>62</v>
      </c>
      <c r="D622" t="s">
        <v>63</v>
      </c>
      <c r="E622">
        <v>6.0</v>
      </c>
      <c r="F622">
        <v>7.1</v>
      </c>
      <c r="G622" s="2" t="s">
        <v>64</v>
      </c>
      <c r="H622" s="2">
        <v>0.0</v>
      </c>
      <c r="I622" s="2">
        <v>0.0</v>
      </c>
      <c r="J622" s="37">
        <v>0.0</v>
      </c>
      <c r="K622" s="2">
        <v>0.0</v>
      </c>
      <c r="L622" s="2">
        <v>0.0</v>
      </c>
      <c r="M622" s="37">
        <v>0.0</v>
      </c>
    </row>
    <row r="623" ht="14.25" customHeight="1">
      <c r="A623" t="s">
        <v>705</v>
      </c>
      <c r="B623" t="s">
        <v>638</v>
      </c>
      <c r="C623" t="s">
        <v>62</v>
      </c>
      <c r="D623" t="s">
        <v>63</v>
      </c>
      <c r="E623">
        <v>7.1</v>
      </c>
      <c r="F623">
        <v>8.0</v>
      </c>
      <c r="G623" s="2" t="s">
        <v>64</v>
      </c>
      <c r="H623" s="2">
        <v>0.0</v>
      </c>
      <c r="I623" s="2">
        <v>0.0</v>
      </c>
      <c r="J623" s="37">
        <v>0.0</v>
      </c>
      <c r="K623" s="2">
        <v>0.0</v>
      </c>
      <c r="L623" s="2">
        <v>0.0</v>
      </c>
      <c r="M623" s="37">
        <v>0.0</v>
      </c>
    </row>
    <row r="624" ht="14.25" customHeight="1">
      <c r="A624" t="s">
        <v>706</v>
      </c>
      <c r="B624" t="s">
        <v>638</v>
      </c>
      <c r="C624" t="s">
        <v>62</v>
      </c>
      <c r="D624" t="s">
        <v>63</v>
      </c>
      <c r="E624">
        <v>8.5</v>
      </c>
      <c r="F624">
        <v>10.0</v>
      </c>
      <c r="G624" s="2" t="s">
        <v>64</v>
      </c>
      <c r="H624" s="2">
        <v>0.0</v>
      </c>
      <c r="I624" s="2">
        <v>0.0</v>
      </c>
      <c r="J624" s="37">
        <v>0.0</v>
      </c>
      <c r="K624" s="2">
        <v>0.0</v>
      </c>
      <c r="L624" s="2">
        <v>0.0</v>
      </c>
      <c r="M624" s="37">
        <v>0.0</v>
      </c>
    </row>
    <row r="625" ht="14.25" customHeight="1">
      <c r="A625" t="s">
        <v>707</v>
      </c>
      <c r="B625" t="s">
        <v>638</v>
      </c>
      <c r="C625" t="s">
        <v>62</v>
      </c>
      <c r="D625" t="s">
        <v>63</v>
      </c>
      <c r="E625">
        <v>10.0</v>
      </c>
      <c r="F625">
        <v>11.2</v>
      </c>
      <c r="G625" s="2" t="s">
        <v>64</v>
      </c>
      <c r="H625" s="2">
        <v>0.0</v>
      </c>
      <c r="I625" s="2">
        <v>0.0</v>
      </c>
      <c r="J625" s="37">
        <v>0.0</v>
      </c>
      <c r="K625" s="2">
        <v>0.0</v>
      </c>
      <c r="L625" s="2">
        <v>0.0</v>
      </c>
      <c r="M625" s="37">
        <v>0.0</v>
      </c>
    </row>
    <row r="626" ht="14.25" customHeight="1">
      <c r="A626" t="s">
        <v>708</v>
      </c>
      <c r="B626" t="s">
        <v>638</v>
      </c>
      <c r="C626" t="s">
        <v>62</v>
      </c>
      <c r="D626" t="s">
        <v>63</v>
      </c>
      <c r="E626">
        <v>5.0</v>
      </c>
      <c r="F626">
        <v>6.0</v>
      </c>
      <c r="G626" s="2" t="s">
        <v>64</v>
      </c>
      <c r="H626" s="2">
        <v>0.0</v>
      </c>
      <c r="I626" s="2">
        <v>0.0</v>
      </c>
      <c r="J626" s="37">
        <v>0.0</v>
      </c>
      <c r="K626" s="2">
        <v>0.0</v>
      </c>
      <c r="L626" s="2">
        <v>0.0</v>
      </c>
      <c r="M626" s="37">
        <v>0.0</v>
      </c>
    </row>
    <row r="627" ht="14.25" customHeight="1">
      <c r="A627" t="s">
        <v>709</v>
      </c>
      <c r="B627" t="s">
        <v>638</v>
      </c>
      <c r="C627" t="s">
        <v>62</v>
      </c>
      <c r="D627" t="s">
        <v>63</v>
      </c>
      <c r="E627">
        <v>6.0</v>
      </c>
      <c r="F627">
        <v>7.1</v>
      </c>
      <c r="G627" s="2" t="s">
        <v>64</v>
      </c>
      <c r="H627" s="2">
        <v>0.0</v>
      </c>
      <c r="I627" s="2">
        <v>0.0</v>
      </c>
      <c r="J627" s="37">
        <v>0.0</v>
      </c>
      <c r="K627" s="2">
        <v>0.0</v>
      </c>
      <c r="L627" s="2">
        <v>0.0</v>
      </c>
      <c r="M627" s="37">
        <v>0.0</v>
      </c>
    </row>
    <row r="628" ht="14.25" customHeight="1">
      <c r="A628" t="s">
        <v>710</v>
      </c>
      <c r="B628" t="s">
        <v>638</v>
      </c>
      <c r="C628" t="s">
        <v>62</v>
      </c>
      <c r="D628" t="s">
        <v>63</v>
      </c>
      <c r="E628">
        <v>7.1</v>
      </c>
      <c r="F628">
        <v>8.0</v>
      </c>
      <c r="G628" s="2" t="s">
        <v>64</v>
      </c>
      <c r="H628" s="2">
        <v>0.0</v>
      </c>
      <c r="I628" s="2">
        <v>0.0</v>
      </c>
      <c r="J628" s="37">
        <v>0.0</v>
      </c>
      <c r="K628" s="2">
        <v>0.0</v>
      </c>
      <c r="L628" s="2">
        <v>0.0</v>
      </c>
      <c r="M628" s="37">
        <v>0.0</v>
      </c>
    </row>
    <row r="629" ht="14.25" customHeight="1">
      <c r="A629" t="s">
        <v>711</v>
      </c>
      <c r="B629" t="s">
        <v>638</v>
      </c>
      <c r="C629" t="s">
        <v>62</v>
      </c>
      <c r="D629" t="s">
        <v>63</v>
      </c>
      <c r="E629">
        <v>8.5</v>
      </c>
      <c r="F629">
        <v>10.0</v>
      </c>
      <c r="G629" s="2" t="s">
        <v>64</v>
      </c>
      <c r="H629" s="2">
        <v>0.0</v>
      </c>
      <c r="I629" s="2">
        <v>0.0</v>
      </c>
      <c r="J629" s="37">
        <v>0.0</v>
      </c>
      <c r="K629" s="2">
        <v>0.0</v>
      </c>
      <c r="L629" s="2">
        <v>0.0</v>
      </c>
      <c r="M629" s="37">
        <v>0.0</v>
      </c>
    </row>
    <row r="630" ht="14.25" customHeight="1">
      <c r="A630" t="s">
        <v>712</v>
      </c>
      <c r="B630" t="s">
        <v>638</v>
      </c>
      <c r="C630" t="s">
        <v>62</v>
      </c>
      <c r="D630" t="s">
        <v>63</v>
      </c>
      <c r="E630">
        <v>10.0</v>
      </c>
      <c r="F630">
        <v>11.2</v>
      </c>
      <c r="G630" s="2" t="s">
        <v>64</v>
      </c>
      <c r="H630" s="2">
        <v>0.0</v>
      </c>
      <c r="I630" s="2">
        <v>0.0</v>
      </c>
      <c r="J630" s="37">
        <v>0.0</v>
      </c>
      <c r="K630" s="2">
        <v>0.0</v>
      </c>
      <c r="L630" s="2">
        <v>0.0</v>
      </c>
      <c r="M630" s="37">
        <v>0.0</v>
      </c>
    </row>
    <row r="631" ht="14.25" customHeight="1">
      <c r="A631" t="s">
        <v>713</v>
      </c>
      <c r="B631" t="s">
        <v>638</v>
      </c>
      <c r="C631" t="s">
        <v>62</v>
      </c>
      <c r="D631" t="s">
        <v>63</v>
      </c>
      <c r="E631">
        <v>7.1</v>
      </c>
      <c r="F631">
        <v>8.0</v>
      </c>
      <c r="G631" s="2" t="s">
        <v>64</v>
      </c>
      <c r="H631" s="2">
        <v>0.0</v>
      </c>
      <c r="I631" s="2">
        <v>0.0</v>
      </c>
      <c r="J631" s="37">
        <v>0.0</v>
      </c>
      <c r="K631" s="2">
        <v>0.0</v>
      </c>
      <c r="L631" s="2">
        <v>0.0</v>
      </c>
      <c r="M631" s="37">
        <v>0.0</v>
      </c>
    </row>
    <row r="632" ht="14.25" customHeight="1">
      <c r="A632" t="s">
        <v>714</v>
      </c>
      <c r="B632" t="s">
        <v>638</v>
      </c>
      <c r="C632" t="s">
        <v>62</v>
      </c>
      <c r="D632" t="s">
        <v>63</v>
      </c>
      <c r="E632">
        <v>8.5</v>
      </c>
      <c r="F632">
        <v>10.0</v>
      </c>
      <c r="G632" s="2" t="s">
        <v>64</v>
      </c>
      <c r="H632" s="2">
        <v>0.0</v>
      </c>
      <c r="I632" s="2">
        <v>0.0</v>
      </c>
      <c r="J632" s="37">
        <v>0.0</v>
      </c>
      <c r="K632" s="2">
        <v>0.0</v>
      </c>
      <c r="L632" s="2">
        <v>0.0</v>
      </c>
      <c r="M632" s="37">
        <v>0.0</v>
      </c>
    </row>
    <row r="633" ht="14.25" customHeight="1">
      <c r="A633" t="s">
        <v>715</v>
      </c>
      <c r="B633" t="s">
        <v>638</v>
      </c>
      <c r="C633" t="s">
        <v>62</v>
      </c>
      <c r="D633" t="s">
        <v>63</v>
      </c>
      <c r="E633">
        <v>10.0</v>
      </c>
      <c r="F633">
        <v>11.2</v>
      </c>
      <c r="G633" s="2" t="s">
        <v>64</v>
      </c>
      <c r="H633" s="2">
        <v>0.0</v>
      </c>
      <c r="I633" s="2">
        <v>0.0</v>
      </c>
      <c r="J633" s="37">
        <v>0.0</v>
      </c>
      <c r="K633" s="2">
        <v>0.0</v>
      </c>
      <c r="L633" s="2">
        <v>0.0</v>
      </c>
      <c r="M633" s="37">
        <v>0.0</v>
      </c>
    </row>
    <row r="634" ht="14.25" customHeight="1">
      <c r="A634" t="s">
        <v>716</v>
      </c>
      <c r="B634" t="s">
        <v>629</v>
      </c>
      <c r="C634" t="s">
        <v>62</v>
      </c>
      <c r="D634" t="s">
        <v>63</v>
      </c>
      <c r="E634">
        <v>2.4</v>
      </c>
      <c r="F634">
        <v>3.4</v>
      </c>
      <c r="G634" s="2" t="s">
        <v>67</v>
      </c>
      <c r="H634" s="2">
        <v>6.0</v>
      </c>
      <c r="I634" s="2">
        <v>35.0</v>
      </c>
      <c r="J634" s="37">
        <v>180.26</v>
      </c>
      <c r="K634" s="2">
        <v>7.0</v>
      </c>
      <c r="L634" s="2">
        <v>54.0</v>
      </c>
      <c r="M634" s="37">
        <v>227.42000000000002</v>
      </c>
    </row>
    <row r="635" ht="14.25" customHeight="1">
      <c r="A635" t="s">
        <v>717</v>
      </c>
      <c r="B635" t="s">
        <v>629</v>
      </c>
      <c r="C635" t="s">
        <v>62</v>
      </c>
      <c r="D635" t="s">
        <v>63</v>
      </c>
      <c r="E635">
        <v>3.4</v>
      </c>
      <c r="F635">
        <v>4.5</v>
      </c>
      <c r="G635" s="2" t="s">
        <v>64</v>
      </c>
      <c r="H635" s="2">
        <v>0.0</v>
      </c>
      <c r="I635" s="2">
        <v>0.0</v>
      </c>
      <c r="J635" s="37">
        <v>0.0</v>
      </c>
      <c r="K635" s="2">
        <v>0.0</v>
      </c>
      <c r="L635" s="2">
        <v>0.0</v>
      </c>
      <c r="M635" s="37">
        <v>0.0</v>
      </c>
    </row>
    <row r="636" ht="14.25" customHeight="1">
      <c r="A636" t="s">
        <v>718</v>
      </c>
      <c r="B636" t="s">
        <v>629</v>
      </c>
      <c r="C636" t="s">
        <v>62</v>
      </c>
      <c r="D636" t="s">
        <v>63</v>
      </c>
      <c r="E636">
        <v>5.0</v>
      </c>
      <c r="F636">
        <v>5.8</v>
      </c>
      <c r="G636" s="2" t="s">
        <v>64</v>
      </c>
      <c r="H636" s="2">
        <v>0.0</v>
      </c>
      <c r="I636" s="2">
        <v>0.0</v>
      </c>
      <c r="J636" s="37">
        <v>0.0</v>
      </c>
      <c r="K636" s="2">
        <v>0.0</v>
      </c>
      <c r="L636" s="2">
        <v>0.0</v>
      </c>
      <c r="M636" s="37">
        <v>0.0</v>
      </c>
    </row>
    <row r="637" ht="14.25" customHeight="1">
      <c r="A637" t="s">
        <v>719</v>
      </c>
      <c r="B637" t="s">
        <v>638</v>
      </c>
      <c r="C637" t="s">
        <v>62</v>
      </c>
      <c r="D637" t="s">
        <v>63</v>
      </c>
      <c r="E637">
        <v>14.0</v>
      </c>
      <c r="F637">
        <v>16.0</v>
      </c>
      <c r="G637" s="2" t="s">
        <v>67</v>
      </c>
      <c r="H637" s="2">
        <v>42.0</v>
      </c>
      <c r="I637" s="2">
        <v>114.0</v>
      </c>
      <c r="J637" s="37">
        <v>1091.52</v>
      </c>
      <c r="K637" s="2">
        <v>50.0</v>
      </c>
      <c r="L637" s="2">
        <v>257.0</v>
      </c>
      <c r="M637" s="37">
        <v>1457.1</v>
      </c>
    </row>
    <row r="638" ht="14.25" customHeight="1">
      <c r="A638" t="s">
        <v>720</v>
      </c>
      <c r="B638" t="s">
        <v>638</v>
      </c>
      <c r="C638" t="s">
        <v>62</v>
      </c>
      <c r="D638" t="s">
        <v>63</v>
      </c>
      <c r="E638">
        <v>5.0</v>
      </c>
      <c r="F638">
        <v>6.0</v>
      </c>
      <c r="G638" s="2" t="s">
        <v>64</v>
      </c>
      <c r="H638" s="2">
        <v>0.0</v>
      </c>
      <c r="I638" s="2">
        <v>0.0</v>
      </c>
      <c r="J638" s="37">
        <v>0.0</v>
      </c>
      <c r="K638" s="2">
        <v>0.0</v>
      </c>
      <c r="L638" s="2">
        <v>0.0</v>
      </c>
      <c r="M638" s="37">
        <v>0.0</v>
      </c>
    </row>
    <row r="639" ht="14.25" customHeight="1">
      <c r="A639" t="s">
        <v>721</v>
      </c>
      <c r="B639" t="s">
        <v>629</v>
      </c>
      <c r="C639" t="s">
        <v>62</v>
      </c>
      <c r="D639" t="s">
        <v>63</v>
      </c>
      <c r="E639">
        <v>2.0</v>
      </c>
      <c r="F639">
        <v>2.8</v>
      </c>
      <c r="G639" s="2" t="s">
        <v>64</v>
      </c>
      <c r="H639" s="2">
        <v>0.0</v>
      </c>
      <c r="I639" s="2">
        <v>0.0</v>
      </c>
      <c r="J639" s="37">
        <v>0.0</v>
      </c>
      <c r="K639" s="2">
        <v>0.0</v>
      </c>
      <c r="L639" s="2">
        <v>0.0</v>
      </c>
      <c r="M639" s="37">
        <v>0.0</v>
      </c>
    </row>
    <row r="640" ht="14.25" customHeight="1">
      <c r="A640" t="s">
        <v>722</v>
      </c>
      <c r="B640" t="s">
        <v>638</v>
      </c>
      <c r="C640" t="s">
        <v>62</v>
      </c>
      <c r="D640" t="s">
        <v>63</v>
      </c>
      <c r="E640">
        <v>8.5</v>
      </c>
      <c r="F640">
        <v>9.0</v>
      </c>
      <c r="G640" s="2" t="s">
        <v>64</v>
      </c>
      <c r="H640" s="2">
        <v>0.0</v>
      </c>
      <c r="I640" s="2">
        <v>0.0</v>
      </c>
      <c r="J640" s="37">
        <v>0.0</v>
      </c>
      <c r="K640" s="2">
        <v>0.0</v>
      </c>
      <c r="L640" s="2">
        <v>0.0</v>
      </c>
      <c r="M640" s="37">
        <v>0.0</v>
      </c>
    </row>
    <row r="641" ht="14.25" customHeight="1">
      <c r="A641" t="s">
        <v>723</v>
      </c>
      <c r="B641" t="s">
        <v>638</v>
      </c>
      <c r="C641" t="s">
        <v>62</v>
      </c>
      <c r="D641" t="s">
        <v>63</v>
      </c>
      <c r="E641">
        <v>9.4</v>
      </c>
      <c r="F641">
        <v>10.3</v>
      </c>
      <c r="G641" s="2" t="s">
        <v>64</v>
      </c>
      <c r="H641" s="2">
        <v>0.0</v>
      </c>
      <c r="I641" s="2">
        <v>0.0</v>
      </c>
      <c r="J641" s="37">
        <v>0.0</v>
      </c>
      <c r="K641" s="2">
        <v>0.0</v>
      </c>
      <c r="L641" s="2">
        <v>0.0</v>
      </c>
      <c r="M641" s="37">
        <v>0.0</v>
      </c>
    </row>
    <row r="642" ht="14.25" customHeight="1">
      <c r="A642" t="s">
        <v>724</v>
      </c>
      <c r="B642" t="s">
        <v>638</v>
      </c>
      <c r="C642" t="s">
        <v>62</v>
      </c>
      <c r="D642" t="s">
        <v>63</v>
      </c>
      <c r="E642">
        <v>8.5</v>
      </c>
      <c r="F642">
        <v>9.0</v>
      </c>
      <c r="G642" s="2" t="s">
        <v>64</v>
      </c>
      <c r="H642" s="2">
        <v>0.0</v>
      </c>
      <c r="I642" s="2">
        <v>0.0</v>
      </c>
      <c r="J642" s="37">
        <v>0.0</v>
      </c>
      <c r="K642" s="2">
        <v>0.0</v>
      </c>
      <c r="L642" s="2">
        <v>0.0</v>
      </c>
      <c r="M642" s="37">
        <v>0.0</v>
      </c>
    </row>
    <row r="643" ht="14.25" customHeight="1">
      <c r="A643" t="s">
        <v>725</v>
      </c>
      <c r="B643" t="s">
        <v>638</v>
      </c>
      <c r="C643" t="s">
        <v>62</v>
      </c>
      <c r="D643" t="s">
        <v>63</v>
      </c>
      <c r="E643">
        <v>9.4</v>
      </c>
      <c r="F643">
        <v>10.3</v>
      </c>
      <c r="G643" s="2" t="s">
        <v>64</v>
      </c>
      <c r="H643" s="2">
        <v>0.0</v>
      </c>
      <c r="I643" s="2">
        <v>0.0</v>
      </c>
      <c r="J643" s="37">
        <v>0.0</v>
      </c>
      <c r="K643" s="2">
        <v>0.0</v>
      </c>
      <c r="L643" s="2">
        <v>0.0</v>
      </c>
      <c r="M643" s="37">
        <v>0.0</v>
      </c>
    </row>
    <row r="644" ht="14.25" customHeight="1">
      <c r="A644" t="s">
        <v>726</v>
      </c>
      <c r="B644" t="s">
        <v>629</v>
      </c>
      <c r="C644" t="s">
        <v>62</v>
      </c>
      <c r="D644" t="s">
        <v>63</v>
      </c>
      <c r="E644">
        <v>2.5</v>
      </c>
      <c r="F644">
        <v>3.3</v>
      </c>
      <c r="G644" s="2" t="s">
        <v>67</v>
      </c>
      <c r="H644" s="2">
        <v>8.0</v>
      </c>
      <c r="I644" s="2">
        <v>57.0</v>
      </c>
      <c r="J644" s="37">
        <v>253.78000000000003</v>
      </c>
      <c r="K644" s="2">
        <v>9.0</v>
      </c>
      <c r="L644" s="2">
        <v>77.0</v>
      </c>
      <c r="M644" s="37">
        <v>302.24</v>
      </c>
    </row>
    <row r="645" ht="14.25" customHeight="1">
      <c r="A645" t="s">
        <v>727</v>
      </c>
      <c r="B645" t="s">
        <v>629</v>
      </c>
      <c r="C645" t="s">
        <v>62</v>
      </c>
      <c r="D645" t="s">
        <v>63</v>
      </c>
      <c r="E645">
        <v>3.5</v>
      </c>
      <c r="F645">
        <v>4.0</v>
      </c>
      <c r="G645" s="2" t="s">
        <v>67</v>
      </c>
      <c r="H645" s="2">
        <v>10.0</v>
      </c>
      <c r="I645" s="2">
        <v>43.0</v>
      </c>
      <c r="J645" s="37">
        <v>280.5</v>
      </c>
      <c r="K645" s="2">
        <v>11.0</v>
      </c>
      <c r="L645" s="2">
        <v>71.0</v>
      </c>
      <c r="M645" s="37">
        <v>339.36</v>
      </c>
    </row>
    <row r="646" ht="14.25" customHeight="1">
      <c r="A646" t="s">
        <v>728</v>
      </c>
      <c r="B646" t="s">
        <v>629</v>
      </c>
      <c r="C646" t="s">
        <v>62</v>
      </c>
      <c r="D646" t="s">
        <v>63</v>
      </c>
      <c r="E646">
        <v>4.6</v>
      </c>
      <c r="F646">
        <v>5.4</v>
      </c>
      <c r="G646" s="2" t="s">
        <v>67</v>
      </c>
      <c r="H646" s="2">
        <v>15.0</v>
      </c>
      <c r="I646" s="2">
        <v>67.0</v>
      </c>
      <c r="J646" s="37">
        <v>424.00000000000006</v>
      </c>
      <c r="K646" s="2">
        <v>17.0</v>
      </c>
      <c r="L646" s="2">
        <v>109.0</v>
      </c>
      <c r="M646" s="37">
        <v>523.52</v>
      </c>
    </row>
    <row r="647" ht="14.25" customHeight="1">
      <c r="A647" t="s">
        <v>729</v>
      </c>
      <c r="B647" t="s">
        <v>629</v>
      </c>
      <c r="C647" t="s">
        <v>62</v>
      </c>
      <c r="D647" t="s">
        <v>63</v>
      </c>
      <c r="E647">
        <v>5.0</v>
      </c>
      <c r="F647">
        <v>6.1</v>
      </c>
      <c r="G647" s="2" t="s">
        <v>67</v>
      </c>
      <c r="H647" s="2">
        <v>19.0</v>
      </c>
      <c r="I647" s="2">
        <v>122.0</v>
      </c>
      <c r="J647" s="37">
        <v>585.34</v>
      </c>
      <c r="K647" s="2">
        <v>21.0</v>
      </c>
      <c r="L647" s="2">
        <v>167.0</v>
      </c>
      <c r="M647" s="37">
        <v>688.76</v>
      </c>
    </row>
    <row r="648" ht="14.25" customHeight="1">
      <c r="A648" t="s">
        <v>730</v>
      </c>
      <c r="B648" t="s">
        <v>629</v>
      </c>
      <c r="C648" t="s">
        <v>62</v>
      </c>
      <c r="D648" t="s">
        <v>63</v>
      </c>
      <c r="E648">
        <v>6.0</v>
      </c>
      <c r="F648">
        <v>7.3</v>
      </c>
      <c r="G648" s="2" t="s">
        <v>67</v>
      </c>
      <c r="H648" s="2">
        <v>21.0</v>
      </c>
      <c r="I648" s="2">
        <v>101.0</v>
      </c>
      <c r="J648" s="37">
        <v>602.96</v>
      </c>
      <c r="K648" s="2">
        <v>24.0</v>
      </c>
      <c r="L648" s="2">
        <v>156.0</v>
      </c>
      <c r="M648" s="37">
        <v>741.8399999999999</v>
      </c>
    </row>
    <row r="649" ht="14.25" customHeight="1">
      <c r="A649" t="s">
        <v>731</v>
      </c>
      <c r="B649" t="s">
        <v>629</v>
      </c>
      <c r="C649" t="s">
        <v>62</v>
      </c>
      <c r="D649" t="s">
        <v>63</v>
      </c>
      <c r="E649">
        <v>7.1</v>
      </c>
      <c r="F649">
        <v>8.1</v>
      </c>
      <c r="G649" s="2" t="s">
        <v>67</v>
      </c>
      <c r="H649" s="2">
        <v>23.0</v>
      </c>
      <c r="I649" s="2">
        <v>81.0</v>
      </c>
      <c r="J649" s="37">
        <v>621.88</v>
      </c>
      <c r="K649" s="2">
        <v>26.0</v>
      </c>
      <c r="L649" s="2">
        <v>146.0</v>
      </c>
      <c r="M649" s="37">
        <v>773.76</v>
      </c>
    </row>
    <row r="650" ht="14.25" customHeight="1">
      <c r="A650" t="s">
        <v>732</v>
      </c>
      <c r="B650" t="s">
        <v>638</v>
      </c>
      <c r="C650" t="s">
        <v>62</v>
      </c>
      <c r="D650" t="s">
        <v>63</v>
      </c>
      <c r="E650">
        <v>2.5</v>
      </c>
      <c r="F650">
        <v>3.2</v>
      </c>
      <c r="G650" s="2" t="s">
        <v>64</v>
      </c>
      <c r="H650" s="2">
        <v>0.0</v>
      </c>
      <c r="I650" s="2">
        <v>0.0</v>
      </c>
      <c r="J650" s="37">
        <v>0.0</v>
      </c>
      <c r="K650" s="2">
        <v>0.0</v>
      </c>
      <c r="L650" s="2">
        <v>0.0</v>
      </c>
      <c r="M650" s="37">
        <v>0.0</v>
      </c>
    </row>
    <row r="651" ht="14.25" customHeight="1">
      <c r="A651" t="s">
        <v>733</v>
      </c>
      <c r="B651" t="s">
        <v>638</v>
      </c>
      <c r="C651" t="s">
        <v>62</v>
      </c>
      <c r="D651" t="s">
        <v>63</v>
      </c>
      <c r="E651">
        <v>2.5</v>
      </c>
      <c r="F651">
        <v>3.2</v>
      </c>
      <c r="G651" s="2" t="s">
        <v>64</v>
      </c>
      <c r="H651" s="2">
        <v>0.0</v>
      </c>
      <c r="I651" s="2">
        <v>0.0</v>
      </c>
      <c r="J651" s="37">
        <v>0.0</v>
      </c>
      <c r="K651" s="2">
        <v>0.0</v>
      </c>
      <c r="L651" s="2">
        <v>0.0</v>
      </c>
      <c r="M651" s="37">
        <v>0.0</v>
      </c>
    </row>
    <row r="652" ht="14.25" customHeight="1">
      <c r="A652" t="s">
        <v>734</v>
      </c>
      <c r="B652" t="s">
        <v>638</v>
      </c>
      <c r="C652" t="s">
        <v>62</v>
      </c>
      <c r="D652" t="s">
        <v>63</v>
      </c>
      <c r="E652">
        <v>2.5</v>
      </c>
      <c r="F652">
        <v>3.2</v>
      </c>
      <c r="G652" s="2" t="s">
        <v>64</v>
      </c>
      <c r="H652" s="2">
        <v>0.0</v>
      </c>
      <c r="I652" s="2">
        <v>0.0</v>
      </c>
      <c r="J652" s="37">
        <v>0.0</v>
      </c>
      <c r="K652" s="2">
        <v>0.0</v>
      </c>
      <c r="L652" s="2">
        <v>0.0</v>
      </c>
      <c r="M652" s="37">
        <v>0.0</v>
      </c>
    </row>
    <row r="653" ht="14.25" customHeight="1">
      <c r="A653" t="s">
        <v>735</v>
      </c>
      <c r="B653" t="s">
        <v>638</v>
      </c>
      <c r="C653" t="s">
        <v>62</v>
      </c>
      <c r="D653" t="s">
        <v>63</v>
      </c>
      <c r="E653">
        <v>3.5</v>
      </c>
      <c r="F653">
        <v>3.7</v>
      </c>
      <c r="G653" s="2" t="s">
        <v>64</v>
      </c>
      <c r="H653" s="2">
        <v>0.0</v>
      </c>
      <c r="I653" s="2">
        <v>0.0</v>
      </c>
      <c r="J653" s="37">
        <v>0.0</v>
      </c>
      <c r="K653" s="2">
        <v>0.0</v>
      </c>
      <c r="L653" s="2">
        <v>0.0</v>
      </c>
      <c r="M653" s="37">
        <v>0.0</v>
      </c>
    </row>
    <row r="654" ht="14.25" customHeight="1">
      <c r="A654" t="s">
        <v>736</v>
      </c>
      <c r="B654" t="s">
        <v>638</v>
      </c>
      <c r="C654" t="s">
        <v>62</v>
      </c>
      <c r="D654" t="s">
        <v>63</v>
      </c>
      <c r="E654">
        <v>3.5</v>
      </c>
      <c r="F654">
        <v>3.7</v>
      </c>
      <c r="G654" s="2" t="s">
        <v>64</v>
      </c>
      <c r="H654" s="2">
        <v>0.0</v>
      </c>
      <c r="I654" s="2">
        <v>0.0</v>
      </c>
      <c r="J654" s="37">
        <v>0.0</v>
      </c>
      <c r="K654" s="2">
        <v>0.0</v>
      </c>
      <c r="L654" s="2">
        <v>0.0</v>
      </c>
      <c r="M654" s="37">
        <v>0.0</v>
      </c>
    </row>
    <row r="655" ht="14.25" customHeight="1">
      <c r="A655" t="s">
        <v>737</v>
      </c>
      <c r="B655" t="s">
        <v>638</v>
      </c>
      <c r="C655" t="s">
        <v>62</v>
      </c>
      <c r="D655" t="s">
        <v>63</v>
      </c>
      <c r="E655">
        <v>3.5</v>
      </c>
      <c r="F655">
        <v>3.7</v>
      </c>
      <c r="G655" s="2" t="s">
        <v>64</v>
      </c>
      <c r="H655" s="2">
        <v>0.0</v>
      </c>
      <c r="I655" s="2">
        <v>0.0</v>
      </c>
      <c r="J655" s="37">
        <v>0.0</v>
      </c>
      <c r="K655" s="2">
        <v>0.0</v>
      </c>
      <c r="L655" s="2">
        <v>0.0</v>
      </c>
      <c r="M655" s="37">
        <v>0.0</v>
      </c>
    </row>
    <row r="656" ht="14.25" customHeight="1">
      <c r="A656" t="s">
        <v>738</v>
      </c>
      <c r="B656" t="s">
        <v>638</v>
      </c>
      <c r="C656" t="s">
        <v>62</v>
      </c>
      <c r="D656" t="s">
        <v>63</v>
      </c>
      <c r="E656">
        <v>5.0</v>
      </c>
      <c r="F656">
        <v>6.0</v>
      </c>
      <c r="G656" s="2" t="s">
        <v>64</v>
      </c>
      <c r="H656" s="2">
        <v>0.0</v>
      </c>
      <c r="I656" s="2">
        <v>0.0</v>
      </c>
      <c r="J656" s="37">
        <v>0.0</v>
      </c>
      <c r="K656" s="2">
        <v>0.0</v>
      </c>
      <c r="L656" s="2">
        <v>0.0</v>
      </c>
      <c r="M656" s="37">
        <v>0.0</v>
      </c>
    </row>
    <row r="657" ht="14.25" customHeight="1">
      <c r="A657" t="s">
        <v>739</v>
      </c>
      <c r="B657" t="s">
        <v>638</v>
      </c>
      <c r="C657" t="s">
        <v>62</v>
      </c>
      <c r="D657" t="s">
        <v>63</v>
      </c>
      <c r="E657">
        <v>5.0</v>
      </c>
      <c r="F657">
        <v>6.0</v>
      </c>
      <c r="G657" s="2" t="s">
        <v>64</v>
      </c>
      <c r="H657" s="2">
        <v>0.0</v>
      </c>
      <c r="I657" s="2">
        <v>0.0</v>
      </c>
      <c r="J657" s="37">
        <v>0.0</v>
      </c>
      <c r="K657" s="2">
        <v>0.0</v>
      </c>
      <c r="L657" s="2">
        <v>0.0</v>
      </c>
      <c r="M657" s="37">
        <v>0.0</v>
      </c>
    </row>
    <row r="658" ht="14.25" customHeight="1">
      <c r="A658" t="s">
        <v>740</v>
      </c>
      <c r="B658" t="s">
        <v>638</v>
      </c>
      <c r="C658" t="s">
        <v>62</v>
      </c>
      <c r="D658" t="s">
        <v>63</v>
      </c>
      <c r="E658">
        <v>5.0</v>
      </c>
      <c r="F658">
        <v>6.0</v>
      </c>
      <c r="G658" s="2" t="s">
        <v>64</v>
      </c>
      <c r="H658" s="2">
        <v>0.0</v>
      </c>
      <c r="I658" s="2">
        <v>0.0</v>
      </c>
      <c r="J658" s="37">
        <v>0.0</v>
      </c>
      <c r="K658" s="2">
        <v>0.0</v>
      </c>
      <c r="L658" s="2">
        <v>0.0</v>
      </c>
      <c r="M658" s="37">
        <v>0.0</v>
      </c>
    </row>
    <row r="659" ht="14.25" customHeight="1">
      <c r="A659" t="s">
        <v>741</v>
      </c>
      <c r="B659" t="s">
        <v>638</v>
      </c>
      <c r="C659" t="s">
        <v>62</v>
      </c>
      <c r="D659" t="s">
        <v>63</v>
      </c>
      <c r="E659">
        <v>6.0</v>
      </c>
      <c r="F659">
        <v>7.2</v>
      </c>
      <c r="G659" s="2" t="s">
        <v>64</v>
      </c>
      <c r="H659" s="2">
        <v>0.0</v>
      </c>
      <c r="I659" s="2">
        <v>0.0</v>
      </c>
      <c r="J659" s="37">
        <v>0.0</v>
      </c>
      <c r="K659" s="2">
        <v>0.0</v>
      </c>
      <c r="L659" s="2">
        <v>0.0</v>
      </c>
      <c r="M659" s="37">
        <v>0.0</v>
      </c>
    </row>
    <row r="660" ht="14.25" customHeight="1">
      <c r="A660" t="s">
        <v>742</v>
      </c>
      <c r="B660" t="s">
        <v>638</v>
      </c>
      <c r="C660" t="s">
        <v>62</v>
      </c>
      <c r="D660" t="s">
        <v>63</v>
      </c>
      <c r="E660">
        <v>6.0</v>
      </c>
      <c r="F660">
        <v>7.2</v>
      </c>
      <c r="G660" s="2" t="s">
        <v>64</v>
      </c>
      <c r="H660" s="2">
        <v>0.0</v>
      </c>
      <c r="I660" s="2">
        <v>0.0</v>
      </c>
      <c r="J660" s="37">
        <v>0.0</v>
      </c>
      <c r="K660" s="2">
        <v>0.0</v>
      </c>
      <c r="L660" s="2">
        <v>0.0</v>
      </c>
      <c r="M660" s="37">
        <v>0.0</v>
      </c>
    </row>
    <row r="661" ht="14.25" customHeight="1">
      <c r="A661" t="s">
        <v>743</v>
      </c>
      <c r="B661" t="s">
        <v>638</v>
      </c>
      <c r="C661" t="s">
        <v>62</v>
      </c>
      <c r="D661" t="s">
        <v>63</v>
      </c>
      <c r="E661">
        <v>6.0</v>
      </c>
      <c r="F661">
        <v>7.2</v>
      </c>
      <c r="G661" s="2" t="s">
        <v>64</v>
      </c>
      <c r="H661" s="2">
        <v>0.0</v>
      </c>
      <c r="I661" s="2">
        <v>0.0</v>
      </c>
      <c r="J661" s="37">
        <v>0.0</v>
      </c>
      <c r="K661" s="2">
        <v>0.0</v>
      </c>
      <c r="L661" s="2">
        <v>0.0</v>
      </c>
      <c r="M661" s="37">
        <v>0.0</v>
      </c>
    </row>
    <row r="662" ht="14.25" customHeight="1">
      <c r="A662" t="s">
        <v>744</v>
      </c>
      <c r="B662" t="s">
        <v>638</v>
      </c>
      <c r="C662" t="s">
        <v>62</v>
      </c>
      <c r="D662" t="s">
        <v>63</v>
      </c>
      <c r="E662">
        <v>2.0</v>
      </c>
      <c r="F662">
        <v>2.7</v>
      </c>
      <c r="G662" s="2" t="s">
        <v>67</v>
      </c>
      <c r="H662" s="2">
        <v>6.0</v>
      </c>
      <c r="I662" s="2">
        <v>43.0</v>
      </c>
      <c r="J662" s="37">
        <v>190.66</v>
      </c>
      <c r="K662" s="2">
        <v>7.0</v>
      </c>
      <c r="L662" s="2">
        <v>59.0</v>
      </c>
      <c r="M662" s="37">
        <v>233.92000000000002</v>
      </c>
    </row>
    <row r="663" ht="14.25" customHeight="1">
      <c r="A663" t="s">
        <v>745</v>
      </c>
      <c r="B663" t="s">
        <v>638</v>
      </c>
      <c r="C663" t="s">
        <v>62</v>
      </c>
      <c r="D663" t="s">
        <v>63</v>
      </c>
      <c r="E663">
        <v>3.5</v>
      </c>
      <c r="F663">
        <v>3.7</v>
      </c>
      <c r="G663" s="2" t="s">
        <v>64</v>
      </c>
      <c r="H663" s="2">
        <v>0.0</v>
      </c>
      <c r="I663" s="2">
        <v>0.0</v>
      </c>
      <c r="J663" s="37">
        <v>0.0</v>
      </c>
      <c r="K663" s="2">
        <v>0.0</v>
      </c>
      <c r="L663" s="2">
        <v>0.0</v>
      </c>
      <c r="M663" s="37">
        <v>0.0</v>
      </c>
    </row>
    <row r="664" ht="14.25" customHeight="1">
      <c r="A664" t="s">
        <v>746</v>
      </c>
      <c r="B664" t="s">
        <v>638</v>
      </c>
      <c r="C664" t="s">
        <v>62</v>
      </c>
      <c r="D664" t="s">
        <v>63</v>
      </c>
      <c r="E664">
        <v>4.6</v>
      </c>
      <c r="F664">
        <v>4.7</v>
      </c>
      <c r="G664" s="2" t="s">
        <v>67</v>
      </c>
      <c r="H664" s="2">
        <v>14.0</v>
      </c>
      <c r="I664" s="2">
        <v>67.0</v>
      </c>
      <c r="J664" s="37">
        <v>401.54</v>
      </c>
      <c r="K664" s="2">
        <v>16.0</v>
      </c>
      <c r="L664" s="2">
        <v>109.0</v>
      </c>
      <c r="M664" s="37">
        <v>501.06000000000006</v>
      </c>
    </row>
    <row r="665" ht="14.25" customHeight="1">
      <c r="A665" t="s">
        <v>747</v>
      </c>
      <c r="B665" t="s">
        <v>638</v>
      </c>
      <c r="C665" t="s">
        <v>62</v>
      </c>
      <c r="D665" t="s">
        <v>63</v>
      </c>
      <c r="E665">
        <v>5.0</v>
      </c>
      <c r="F665">
        <v>6.0</v>
      </c>
      <c r="G665" s="2" t="s">
        <v>67</v>
      </c>
      <c r="H665" s="2">
        <v>18.0</v>
      </c>
      <c r="I665" s="2">
        <v>122.0</v>
      </c>
      <c r="J665" s="37">
        <v>562.88</v>
      </c>
      <c r="K665" s="2">
        <v>21.0</v>
      </c>
      <c r="L665" s="2">
        <v>167.0</v>
      </c>
      <c r="M665" s="37">
        <v>688.76</v>
      </c>
    </row>
    <row r="666" ht="14.25" customHeight="1">
      <c r="A666" t="s">
        <v>748</v>
      </c>
      <c r="B666" t="s">
        <v>638</v>
      </c>
      <c r="C666" t="s">
        <v>62</v>
      </c>
      <c r="D666" t="s">
        <v>63</v>
      </c>
      <c r="E666">
        <v>6.0</v>
      </c>
      <c r="F666">
        <v>7.2</v>
      </c>
      <c r="G666" s="2" t="s">
        <v>67</v>
      </c>
      <c r="H666" s="2">
        <v>21.0</v>
      </c>
      <c r="I666" s="2">
        <v>101.0</v>
      </c>
      <c r="J666" s="37">
        <v>602.96</v>
      </c>
      <c r="K666" s="2">
        <v>24.0</v>
      </c>
      <c r="L666" s="2">
        <v>156.0</v>
      </c>
      <c r="M666" s="37">
        <v>741.8399999999999</v>
      </c>
    </row>
    <row r="667" ht="14.25" customHeight="1">
      <c r="A667" t="s">
        <v>749</v>
      </c>
      <c r="B667" t="s">
        <v>638</v>
      </c>
      <c r="C667" t="s">
        <v>62</v>
      </c>
      <c r="D667" t="s">
        <v>63</v>
      </c>
      <c r="E667">
        <v>7.1</v>
      </c>
      <c r="F667">
        <v>8.0</v>
      </c>
      <c r="G667" s="2" t="s">
        <v>67</v>
      </c>
      <c r="H667" s="2">
        <v>22.0</v>
      </c>
      <c r="I667" s="2">
        <v>81.0</v>
      </c>
      <c r="J667" s="37">
        <v>599.42</v>
      </c>
      <c r="K667" s="2">
        <v>26.0</v>
      </c>
      <c r="L667" s="2">
        <v>146.0</v>
      </c>
      <c r="M667" s="37">
        <v>773.76</v>
      </c>
    </row>
    <row r="668" ht="14.25" customHeight="1">
      <c r="A668" t="s">
        <v>750</v>
      </c>
      <c r="B668" t="s">
        <v>638</v>
      </c>
      <c r="C668" t="s">
        <v>62</v>
      </c>
      <c r="D668" t="s">
        <v>63</v>
      </c>
      <c r="E668">
        <v>2.2</v>
      </c>
      <c r="F668">
        <v>2.7</v>
      </c>
      <c r="G668" s="2" t="s">
        <v>67</v>
      </c>
      <c r="H668" s="2">
        <v>7.0</v>
      </c>
      <c r="I668" s="2">
        <v>55.0</v>
      </c>
      <c r="J668" s="37">
        <v>228.72</v>
      </c>
      <c r="K668" s="2">
        <v>8.0</v>
      </c>
      <c r="L668" s="2">
        <v>72.0</v>
      </c>
      <c r="M668" s="37">
        <v>273.28000000000003</v>
      </c>
    </row>
    <row r="669" ht="14.25" customHeight="1">
      <c r="A669" t="s">
        <v>751</v>
      </c>
      <c r="B669" t="s">
        <v>638</v>
      </c>
      <c r="C669" t="s">
        <v>62</v>
      </c>
      <c r="D669" t="s">
        <v>63</v>
      </c>
      <c r="E669">
        <v>2.5</v>
      </c>
      <c r="F669">
        <v>3.2</v>
      </c>
      <c r="G669" s="2" t="s">
        <v>67</v>
      </c>
      <c r="H669" s="2">
        <v>8.0</v>
      </c>
      <c r="I669" s="2">
        <v>64.0</v>
      </c>
      <c r="J669" s="37">
        <v>262.88</v>
      </c>
      <c r="K669" s="2">
        <v>10.0</v>
      </c>
      <c r="L669" s="2">
        <v>84.0</v>
      </c>
      <c r="M669" s="37">
        <v>333.8</v>
      </c>
    </row>
    <row r="670" ht="14.25" customHeight="1">
      <c r="A670" t="s">
        <v>752</v>
      </c>
      <c r="B670" t="s">
        <v>638</v>
      </c>
      <c r="C670" t="s">
        <v>62</v>
      </c>
      <c r="D670" t="s">
        <v>63</v>
      </c>
      <c r="E670">
        <v>3.5</v>
      </c>
      <c r="F670">
        <v>3.7</v>
      </c>
      <c r="G670" s="2" t="s">
        <v>67</v>
      </c>
      <c r="H670" s="2">
        <v>10.0</v>
      </c>
      <c r="I670" s="2">
        <v>46.0</v>
      </c>
      <c r="J670" s="37">
        <v>284.40000000000003</v>
      </c>
      <c r="K670" s="2">
        <v>11.0</v>
      </c>
      <c r="L670" s="2">
        <v>74.0</v>
      </c>
      <c r="M670" s="37">
        <v>343.26</v>
      </c>
    </row>
    <row r="671" ht="14.25" customHeight="1">
      <c r="A671" t="s">
        <v>753</v>
      </c>
      <c r="B671" t="s">
        <v>638</v>
      </c>
      <c r="C671" t="s">
        <v>62</v>
      </c>
      <c r="D671" t="s">
        <v>63</v>
      </c>
      <c r="E671">
        <v>4.6</v>
      </c>
      <c r="F671">
        <v>4.7</v>
      </c>
      <c r="G671" s="2" t="s">
        <v>67</v>
      </c>
      <c r="H671" s="2">
        <v>15.0</v>
      </c>
      <c r="I671" s="2">
        <v>78.0</v>
      </c>
      <c r="J671" s="37">
        <v>438.30000000000007</v>
      </c>
      <c r="K671" s="2">
        <v>17.0</v>
      </c>
      <c r="L671" s="2">
        <v>120.0</v>
      </c>
      <c r="M671" s="37">
        <v>537.8199999999999</v>
      </c>
    </row>
    <row r="672" ht="14.25" customHeight="1">
      <c r="A672" t="s">
        <v>754</v>
      </c>
      <c r="B672" t="s">
        <v>638</v>
      </c>
      <c r="C672" t="s">
        <v>62</v>
      </c>
      <c r="D672" t="s">
        <v>63</v>
      </c>
      <c r="E672">
        <v>5.0</v>
      </c>
      <c r="F672">
        <v>6.0</v>
      </c>
      <c r="G672" s="2" t="s">
        <v>67</v>
      </c>
      <c r="H672" s="2">
        <v>19.0</v>
      </c>
      <c r="I672" s="2">
        <v>125.0</v>
      </c>
      <c r="J672" s="37">
        <v>589.24</v>
      </c>
      <c r="K672" s="2">
        <v>22.0</v>
      </c>
      <c r="L672" s="2">
        <v>170.0</v>
      </c>
      <c r="M672" s="37">
        <v>715.12</v>
      </c>
    </row>
    <row r="673" ht="14.25" customHeight="1">
      <c r="A673" t="s">
        <v>755</v>
      </c>
      <c r="B673" t="s">
        <v>638</v>
      </c>
      <c r="C673" t="s">
        <v>62</v>
      </c>
      <c r="D673" t="s">
        <v>63</v>
      </c>
      <c r="E673">
        <v>6.0</v>
      </c>
      <c r="F673">
        <v>7.2</v>
      </c>
      <c r="G673" s="2" t="s">
        <v>67</v>
      </c>
      <c r="H673" s="2">
        <v>22.0</v>
      </c>
      <c r="I673" s="2">
        <v>113.0</v>
      </c>
      <c r="J673" s="37">
        <v>641.02</v>
      </c>
      <c r="K673" s="2">
        <v>25.0</v>
      </c>
      <c r="L673" s="2">
        <v>168.0</v>
      </c>
      <c r="M673" s="37">
        <v>779.9</v>
      </c>
    </row>
    <row r="674" ht="14.25" customHeight="1">
      <c r="A674" t="s">
        <v>756</v>
      </c>
      <c r="B674" t="s">
        <v>638</v>
      </c>
      <c r="C674" t="s">
        <v>62</v>
      </c>
      <c r="D674" t="s">
        <v>63</v>
      </c>
      <c r="E674">
        <v>7.1</v>
      </c>
      <c r="F674">
        <v>8.0</v>
      </c>
      <c r="G674" s="2" t="s">
        <v>67</v>
      </c>
      <c r="H674" s="2">
        <v>23.0</v>
      </c>
      <c r="I674" s="2">
        <v>60.0</v>
      </c>
      <c r="J674" s="37">
        <v>594.58</v>
      </c>
      <c r="K674" s="2">
        <v>26.0</v>
      </c>
      <c r="L674" s="2">
        <v>125.0</v>
      </c>
      <c r="M674" s="37">
        <v>746.46</v>
      </c>
    </row>
    <row r="675" ht="14.25" customHeight="1">
      <c r="A675" t="s">
        <v>757</v>
      </c>
      <c r="B675" t="s">
        <v>638</v>
      </c>
      <c r="C675" t="s">
        <v>75</v>
      </c>
      <c r="D675" t="s">
        <v>63</v>
      </c>
      <c r="E675">
        <v>10.0</v>
      </c>
      <c r="F675">
        <v>12.0</v>
      </c>
      <c r="G675" s="2" t="s">
        <v>67</v>
      </c>
      <c r="H675" s="2">
        <v>37.0</v>
      </c>
      <c r="I675" s="2">
        <v>129.0</v>
      </c>
      <c r="J675" s="37">
        <v>998.72</v>
      </c>
      <c r="K675" s="2">
        <v>43.0</v>
      </c>
      <c r="L675" s="2">
        <v>231.0</v>
      </c>
      <c r="M675" s="37">
        <v>1266.0800000000002</v>
      </c>
    </row>
    <row r="676" ht="14.25" customHeight="1">
      <c r="A676" t="s">
        <v>758</v>
      </c>
      <c r="B676" t="s">
        <v>638</v>
      </c>
      <c r="C676" t="s">
        <v>75</v>
      </c>
      <c r="D676" t="s">
        <v>63</v>
      </c>
      <c r="E676">
        <v>10.0</v>
      </c>
      <c r="F676">
        <v>12.0</v>
      </c>
      <c r="G676" s="2" t="s">
        <v>67</v>
      </c>
      <c r="H676" s="2">
        <v>37.0</v>
      </c>
      <c r="I676" s="2">
        <v>129.0</v>
      </c>
      <c r="J676" s="37">
        <v>998.72</v>
      </c>
      <c r="K676" s="2">
        <v>43.0</v>
      </c>
      <c r="L676" s="2">
        <v>231.0</v>
      </c>
      <c r="M676" s="37">
        <v>1266.0800000000002</v>
      </c>
    </row>
    <row r="677" ht="14.25" customHeight="1">
      <c r="A677" t="s">
        <v>759</v>
      </c>
      <c r="B677" t="s">
        <v>638</v>
      </c>
      <c r="C677" t="s">
        <v>75</v>
      </c>
      <c r="D677" t="s">
        <v>63</v>
      </c>
      <c r="E677">
        <v>12.5</v>
      </c>
      <c r="F677">
        <v>15.0</v>
      </c>
      <c r="G677" s="2" t="s">
        <v>67</v>
      </c>
      <c r="H677" s="2">
        <v>44.0</v>
      </c>
      <c r="I677" s="2">
        <v>105.0</v>
      </c>
      <c r="J677" s="37">
        <v>1124.74</v>
      </c>
      <c r="K677" s="2">
        <v>51.0</v>
      </c>
      <c r="L677" s="2">
        <v>233.0</v>
      </c>
      <c r="M677" s="37">
        <v>1448.3600000000001</v>
      </c>
    </row>
    <row r="678" ht="14.25" customHeight="1">
      <c r="A678" t="s">
        <v>760</v>
      </c>
      <c r="B678" t="s">
        <v>638</v>
      </c>
      <c r="C678" t="s">
        <v>75</v>
      </c>
      <c r="D678" t="s">
        <v>63</v>
      </c>
      <c r="E678">
        <v>12.5</v>
      </c>
      <c r="F678">
        <v>15.0</v>
      </c>
      <c r="G678" s="2" t="s">
        <v>67</v>
      </c>
      <c r="H678" s="2">
        <v>44.0</v>
      </c>
      <c r="I678" s="2">
        <v>105.0</v>
      </c>
      <c r="J678" s="37">
        <v>1124.74</v>
      </c>
      <c r="K678" s="2">
        <v>51.0</v>
      </c>
      <c r="L678" s="2">
        <v>233.0</v>
      </c>
      <c r="M678" s="37">
        <v>1448.3600000000001</v>
      </c>
    </row>
    <row r="679" ht="14.25" customHeight="1">
      <c r="A679" t="s">
        <v>761</v>
      </c>
      <c r="B679" t="s">
        <v>638</v>
      </c>
      <c r="C679" t="s">
        <v>75</v>
      </c>
      <c r="D679" t="s">
        <v>63</v>
      </c>
      <c r="E679">
        <v>14.0</v>
      </c>
      <c r="F679">
        <v>16.5</v>
      </c>
      <c r="G679" s="2" t="s">
        <v>67</v>
      </c>
      <c r="H679" s="2">
        <v>48.0</v>
      </c>
      <c r="I679" s="2">
        <v>70.0</v>
      </c>
      <c r="J679" s="37">
        <v>1169.08</v>
      </c>
      <c r="K679" s="2">
        <v>56.0</v>
      </c>
      <c r="L679" s="2">
        <v>213.0</v>
      </c>
      <c r="M679" s="37">
        <v>1534.66</v>
      </c>
    </row>
    <row r="680" ht="14.25" customHeight="1">
      <c r="A680" t="s">
        <v>762</v>
      </c>
      <c r="B680" t="s">
        <v>638</v>
      </c>
      <c r="C680" t="s">
        <v>75</v>
      </c>
      <c r="D680" t="s">
        <v>63</v>
      </c>
      <c r="E680">
        <v>14.0</v>
      </c>
      <c r="F680">
        <v>16.5</v>
      </c>
      <c r="G680" s="2" t="s">
        <v>67</v>
      </c>
      <c r="H680" s="2">
        <v>48.0</v>
      </c>
      <c r="I680" s="2">
        <v>70.0</v>
      </c>
      <c r="J680" s="37">
        <v>1169.08</v>
      </c>
      <c r="K680" s="2">
        <v>56.0</v>
      </c>
      <c r="L680" s="2">
        <v>213.0</v>
      </c>
      <c r="M680" s="37">
        <v>1534.66</v>
      </c>
    </row>
    <row r="681" ht="14.25" customHeight="1">
      <c r="A681" t="s">
        <v>763</v>
      </c>
      <c r="B681" t="s">
        <v>638</v>
      </c>
      <c r="C681" t="s">
        <v>62</v>
      </c>
      <c r="D681" t="s">
        <v>63</v>
      </c>
      <c r="E681">
        <v>10.0</v>
      </c>
      <c r="F681">
        <v>12.0</v>
      </c>
      <c r="G681" s="2" t="s">
        <v>67</v>
      </c>
      <c r="H681" s="2">
        <v>40.0</v>
      </c>
      <c r="I681" s="2">
        <v>252.0</v>
      </c>
      <c r="J681" s="37">
        <v>1226.0</v>
      </c>
      <c r="K681" s="2">
        <v>46.0</v>
      </c>
      <c r="L681" s="2">
        <v>354.0</v>
      </c>
      <c r="M681" s="37">
        <v>1493.3600000000001</v>
      </c>
    </row>
    <row r="682" ht="14.25" customHeight="1">
      <c r="A682" t="s">
        <v>764</v>
      </c>
      <c r="B682" t="s">
        <v>638</v>
      </c>
      <c r="C682" t="s">
        <v>62</v>
      </c>
      <c r="D682" t="s">
        <v>63</v>
      </c>
      <c r="E682">
        <v>10.0</v>
      </c>
      <c r="F682">
        <v>12.0</v>
      </c>
      <c r="G682" s="2" t="s">
        <v>67</v>
      </c>
      <c r="H682" s="2">
        <v>40.0</v>
      </c>
      <c r="I682" s="2">
        <v>252.0</v>
      </c>
      <c r="J682" s="37">
        <v>1226.0</v>
      </c>
      <c r="K682" s="2">
        <v>46.0</v>
      </c>
      <c r="L682" s="2">
        <v>354.0</v>
      </c>
      <c r="M682" s="37">
        <v>1493.3600000000001</v>
      </c>
    </row>
    <row r="683" ht="14.25" customHeight="1">
      <c r="A683" t="s">
        <v>765</v>
      </c>
      <c r="B683" t="s">
        <v>638</v>
      </c>
      <c r="C683" t="s">
        <v>62</v>
      </c>
      <c r="D683" t="s">
        <v>63</v>
      </c>
      <c r="E683">
        <v>12.5</v>
      </c>
      <c r="F683">
        <v>15.0</v>
      </c>
      <c r="G683" s="2" t="s">
        <v>67</v>
      </c>
      <c r="H683" s="2">
        <v>48.0</v>
      </c>
      <c r="I683" s="2">
        <v>232.0</v>
      </c>
      <c r="J683" s="37">
        <v>1379.6799999999998</v>
      </c>
      <c r="K683" s="2">
        <v>56.0</v>
      </c>
      <c r="L683" s="2">
        <v>360.0</v>
      </c>
      <c r="M683" s="37">
        <v>1725.76</v>
      </c>
    </row>
    <row r="684" ht="14.25" customHeight="1">
      <c r="A684" t="s">
        <v>766</v>
      </c>
      <c r="B684" t="s">
        <v>638</v>
      </c>
      <c r="C684" t="s">
        <v>62</v>
      </c>
      <c r="D684" t="s">
        <v>63</v>
      </c>
      <c r="E684">
        <v>12.5</v>
      </c>
      <c r="F684">
        <v>15.0</v>
      </c>
      <c r="G684" s="2" t="s">
        <v>67</v>
      </c>
      <c r="H684" s="2">
        <v>48.0</v>
      </c>
      <c r="I684" s="2">
        <v>232.0</v>
      </c>
      <c r="J684" s="37">
        <v>1379.6799999999998</v>
      </c>
      <c r="K684" s="2">
        <v>56.0</v>
      </c>
      <c r="L684" s="2">
        <v>360.0</v>
      </c>
      <c r="M684" s="37">
        <v>1725.76</v>
      </c>
    </row>
    <row r="685" ht="14.25" customHeight="1">
      <c r="A685" t="s">
        <v>767</v>
      </c>
      <c r="B685" t="s">
        <v>638</v>
      </c>
      <c r="C685" t="s">
        <v>62</v>
      </c>
      <c r="D685" t="s">
        <v>63</v>
      </c>
      <c r="E685">
        <v>14.0</v>
      </c>
      <c r="F685">
        <v>16.0</v>
      </c>
      <c r="G685" s="2" t="s">
        <v>67</v>
      </c>
      <c r="H685" s="2">
        <v>47.0</v>
      </c>
      <c r="I685" s="2">
        <v>99.0</v>
      </c>
      <c r="J685" s="37">
        <v>1184.3200000000002</v>
      </c>
      <c r="K685" s="2">
        <v>55.0</v>
      </c>
      <c r="L685" s="2">
        <v>243.0</v>
      </c>
      <c r="M685" s="37">
        <v>1551.2</v>
      </c>
    </row>
    <row r="686" ht="14.25" customHeight="1">
      <c r="A686" t="s">
        <v>768</v>
      </c>
      <c r="B686" t="s">
        <v>638</v>
      </c>
      <c r="C686" t="s">
        <v>62</v>
      </c>
      <c r="D686" t="s">
        <v>63</v>
      </c>
      <c r="E686">
        <v>14.0</v>
      </c>
      <c r="F686">
        <v>16.0</v>
      </c>
      <c r="G686" s="2" t="s">
        <v>67</v>
      </c>
      <c r="H686" s="2">
        <v>47.0</v>
      </c>
      <c r="I686" s="2">
        <v>99.0</v>
      </c>
      <c r="J686" s="37">
        <v>1184.3200000000002</v>
      </c>
      <c r="K686" s="2">
        <v>55.0</v>
      </c>
      <c r="L686" s="2">
        <v>243.0</v>
      </c>
      <c r="M686" s="37">
        <v>1551.2</v>
      </c>
    </row>
    <row r="687" ht="14.25" customHeight="1">
      <c r="A687" t="s">
        <v>769</v>
      </c>
      <c r="B687" t="s">
        <v>638</v>
      </c>
      <c r="C687" t="s">
        <v>62</v>
      </c>
      <c r="D687" t="s">
        <v>63</v>
      </c>
      <c r="E687">
        <v>14.0</v>
      </c>
      <c r="F687">
        <v>16.5</v>
      </c>
      <c r="G687" s="2" t="s">
        <v>67</v>
      </c>
      <c r="H687" s="2">
        <v>53.0</v>
      </c>
      <c r="I687" s="2">
        <v>240.0</v>
      </c>
      <c r="J687" s="37">
        <v>1502.38</v>
      </c>
      <c r="K687" s="2">
        <v>61.0</v>
      </c>
      <c r="L687" s="2">
        <v>384.0</v>
      </c>
      <c r="M687" s="37">
        <v>1869.26</v>
      </c>
    </row>
    <row r="688" ht="14.25" customHeight="1">
      <c r="A688" t="s">
        <v>770</v>
      </c>
      <c r="B688" t="s">
        <v>638</v>
      </c>
      <c r="C688" t="s">
        <v>62</v>
      </c>
      <c r="D688" t="s">
        <v>63</v>
      </c>
      <c r="E688">
        <v>14.0</v>
      </c>
      <c r="F688">
        <v>16.5</v>
      </c>
      <c r="G688" s="2" t="s">
        <v>67</v>
      </c>
      <c r="H688" s="2">
        <v>53.0</v>
      </c>
      <c r="I688" s="2">
        <v>240.0</v>
      </c>
      <c r="J688" s="37">
        <v>1502.38</v>
      </c>
      <c r="K688" s="2">
        <v>61.0</v>
      </c>
      <c r="L688" s="2">
        <v>384.0</v>
      </c>
      <c r="M688" s="37">
        <v>1869.26</v>
      </c>
    </row>
    <row r="689" ht="14.25" customHeight="1">
      <c r="A689" t="s">
        <v>771</v>
      </c>
      <c r="B689" t="s">
        <v>638</v>
      </c>
      <c r="C689" t="s">
        <v>62</v>
      </c>
      <c r="D689" t="s">
        <v>63</v>
      </c>
      <c r="E689">
        <v>10.0</v>
      </c>
      <c r="F689">
        <v>12.0</v>
      </c>
      <c r="G689" s="2" t="s">
        <v>67</v>
      </c>
      <c r="H689" s="2">
        <v>37.0</v>
      </c>
      <c r="I689" s="2">
        <v>132.0</v>
      </c>
      <c r="J689" s="37">
        <v>1002.62</v>
      </c>
      <c r="K689" s="2">
        <v>43.0</v>
      </c>
      <c r="L689" s="2">
        <v>235.0</v>
      </c>
      <c r="M689" s="37">
        <v>1271.2800000000002</v>
      </c>
    </row>
    <row r="690" ht="14.25" customHeight="1">
      <c r="A690" t="s">
        <v>772</v>
      </c>
      <c r="B690" t="s">
        <v>638</v>
      </c>
      <c r="C690" t="s">
        <v>62</v>
      </c>
      <c r="D690" t="s">
        <v>63</v>
      </c>
      <c r="E690">
        <v>10.0</v>
      </c>
      <c r="F690">
        <v>12.0</v>
      </c>
      <c r="G690" s="2" t="s">
        <v>67</v>
      </c>
      <c r="H690" s="2">
        <v>37.0</v>
      </c>
      <c r="I690" s="2">
        <v>132.0</v>
      </c>
      <c r="J690" s="37">
        <v>1002.62</v>
      </c>
      <c r="K690" s="2">
        <v>43.0</v>
      </c>
      <c r="L690" s="2">
        <v>235.0</v>
      </c>
      <c r="M690" s="37">
        <v>1271.2800000000002</v>
      </c>
    </row>
    <row r="691" ht="14.25" customHeight="1">
      <c r="A691" t="s">
        <v>773</v>
      </c>
      <c r="B691" t="s">
        <v>638</v>
      </c>
      <c r="C691" t="s">
        <v>62</v>
      </c>
      <c r="D691" t="s">
        <v>63</v>
      </c>
      <c r="E691">
        <v>12.5</v>
      </c>
      <c r="F691">
        <v>15.0</v>
      </c>
      <c r="G691" s="2" t="s">
        <v>67</v>
      </c>
      <c r="H691" s="2">
        <v>44.0</v>
      </c>
      <c r="I691" s="2">
        <v>111.0</v>
      </c>
      <c r="J691" s="37">
        <v>1132.54</v>
      </c>
      <c r="K691" s="2">
        <v>51.0</v>
      </c>
      <c r="L691" s="2">
        <v>239.0</v>
      </c>
      <c r="M691" s="37">
        <v>1456.16</v>
      </c>
    </row>
    <row r="692" ht="14.25" customHeight="1">
      <c r="A692" t="s">
        <v>774</v>
      </c>
      <c r="B692" t="s">
        <v>638</v>
      </c>
      <c r="C692" t="s">
        <v>62</v>
      </c>
      <c r="D692" t="s">
        <v>63</v>
      </c>
      <c r="E692">
        <v>12.5</v>
      </c>
      <c r="F692">
        <v>15.0</v>
      </c>
      <c r="G692" s="2" t="s">
        <v>67</v>
      </c>
      <c r="H692" s="2">
        <v>44.0</v>
      </c>
      <c r="I692" s="2">
        <v>111.0</v>
      </c>
      <c r="J692" s="37">
        <v>1132.54</v>
      </c>
      <c r="K692" s="2">
        <v>51.0</v>
      </c>
      <c r="L692" s="2">
        <v>239.0</v>
      </c>
      <c r="M692" s="37">
        <v>1456.16</v>
      </c>
    </row>
    <row r="693" ht="14.25" customHeight="1">
      <c r="A693" t="s">
        <v>775</v>
      </c>
      <c r="B693" t="s">
        <v>638</v>
      </c>
      <c r="C693" t="s">
        <v>62</v>
      </c>
      <c r="D693" t="s">
        <v>63</v>
      </c>
      <c r="E693">
        <v>14.0</v>
      </c>
      <c r="F693">
        <v>16.5</v>
      </c>
      <c r="G693" s="2" t="s">
        <v>67</v>
      </c>
      <c r="H693" s="2">
        <v>48.0</v>
      </c>
      <c r="I693" s="2">
        <v>114.0</v>
      </c>
      <c r="J693" s="37">
        <v>1226.28</v>
      </c>
      <c r="K693" s="2">
        <v>56.0</v>
      </c>
      <c r="L693" s="2">
        <v>257.0</v>
      </c>
      <c r="M693" s="37">
        <v>1591.8600000000001</v>
      </c>
    </row>
    <row r="694" ht="14.25" customHeight="1">
      <c r="A694" t="s">
        <v>776</v>
      </c>
      <c r="B694" t="s">
        <v>638</v>
      </c>
      <c r="C694" t="s">
        <v>62</v>
      </c>
      <c r="D694" t="s">
        <v>63</v>
      </c>
      <c r="E694">
        <v>14.0</v>
      </c>
      <c r="F694">
        <v>16.5</v>
      </c>
      <c r="G694" s="2" t="s">
        <v>67</v>
      </c>
      <c r="H694" s="2">
        <v>48.0</v>
      </c>
      <c r="I694" s="2">
        <v>114.0</v>
      </c>
      <c r="J694" s="37">
        <v>1226.28</v>
      </c>
      <c r="K694" s="2">
        <v>56.0</v>
      </c>
      <c r="L694" s="2">
        <v>257.0</v>
      </c>
      <c r="M694" s="37">
        <v>1591.8600000000001</v>
      </c>
    </row>
    <row r="695" ht="14.25" customHeight="1">
      <c r="A695" t="s">
        <v>777</v>
      </c>
      <c r="B695" t="s">
        <v>638</v>
      </c>
      <c r="C695" t="s">
        <v>62</v>
      </c>
      <c r="D695" t="s">
        <v>63</v>
      </c>
      <c r="E695">
        <v>2.46</v>
      </c>
      <c r="F695">
        <v>2.9</v>
      </c>
      <c r="G695" s="2" t="s">
        <v>64</v>
      </c>
      <c r="H695" s="2">
        <v>0.0</v>
      </c>
      <c r="I695" s="2">
        <v>0.0</v>
      </c>
      <c r="J695" s="37">
        <v>0.0</v>
      </c>
      <c r="K695" s="2">
        <v>0.0</v>
      </c>
      <c r="L695" s="2">
        <v>0.0</v>
      </c>
      <c r="M695" s="37">
        <v>0.0</v>
      </c>
    </row>
    <row r="696" ht="14.25" customHeight="1">
      <c r="A696" t="s">
        <v>778</v>
      </c>
      <c r="B696" t="s">
        <v>638</v>
      </c>
      <c r="C696" t="s">
        <v>62</v>
      </c>
      <c r="D696" t="s">
        <v>63</v>
      </c>
      <c r="E696">
        <v>3.5</v>
      </c>
      <c r="F696">
        <v>4.52</v>
      </c>
      <c r="G696" s="2" t="s">
        <v>64</v>
      </c>
      <c r="H696" s="2">
        <v>0.0</v>
      </c>
      <c r="I696" s="2">
        <v>0.0</v>
      </c>
      <c r="J696" s="37">
        <v>0.0</v>
      </c>
      <c r="K696" s="2">
        <v>0.0</v>
      </c>
      <c r="L696" s="2">
        <v>0.0</v>
      </c>
      <c r="M696" s="37">
        <v>0.0</v>
      </c>
    </row>
    <row r="697" ht="14.25" customHeight="1">
      <c r="A697" t="s">
        <v>779</v>
      </c>
      <c r="B697" t="s">
        <v>638</v>
      </c>
      <c r="C697" t="s">
        <v>62</v>
      </c>
      <c r="D697" t="s">
        <v>63</v>
      </c>
      <c r="E697">
        <v>4.5</v>
      </c>
      <c r="F697">
        <v>5.56</v>
      </c>
      <c r="G697" s="2" t="s">
        <v>64</v>
      </c>
      <c r="H697" s="2">
        <v>0.0</v>
      </c>
      <c r="I697" s="2">
        <v>0.0</v>
      </c>
      <c r="J697" s="37">
        <v>0.0</v>
      </c>
      <c r="K697" s="2">
        <v>0.0</v>
      </c>
      <c r="L697" s="2">
        <v>0.0</v>
      </c>
      <c r="M697" s="37">
        <v>0.0</v>
      </c>
    </row>
    <row r="698" ht="14.25" customHeight="1">
      <c r="A698" t="s">
        <v>780</v>
      </c>
      <c r="B698" t="s">
        <v>638</v>
      </c>
      <c r="C698" t="s">
        <v>62</v>
      </c>
      <c r="D698" t="s">
        <v>63</v>
      </c>
      <c r="E698">
        <v>5.0</v>
      </c>
      <c r="F698">
        <v>5.8</v>
      </c>
      <c r="G698" s="2" t="s">
        <v>67</v>
      </c>
      <c r="H698" s="2">
        <v>17.0</v>
      </c>
      <c r="I698" s="2">
        <v>77.0</v>
      </c>
      <c r="J698" s="37">
        <v>481.92</v>
      </c>
      <c r="K698" s="2">
        <v>19.0</v>
      </c>
      <c r="L698" s="2">
        <v>123.0</v>
      </c>
      <c r="M698" s="37">
        <v>586.64</v>
      </c>
    </row>
    <row r="699" ht="14.25" customHeight="1">
      <c r="A699" t="s">
        <v>781</v>
      </c>
      <c r="B699" t="s">
        <v>638</v>
      </c>
      <c r="C699" t="s">
        <v>62</v>
      </c>
      <c r="D699" t="s">
        <v>63</v>
      </c>
      <c r="E699">
        <v>6.0</v>
      </c>
      <c r="F699">
        <v>7.0</v>
      </c>
      <c r="G699" s="2" t="s">
        <v>64</v>
      </c>
      <c r="H699" s="2">
        <v>0.0</v>
      </c>
      <c r="I699" s="2">
        <v>0.0</v>
      </c>
      <c r="J699" s="37">
        <v>0.0</v>
      </c>
      <c r="K699" s="2">
        <v>0.0</v>
      </c>
      <c r="L699" s="2">
        <v>0.0</v>
      </c>
      <c r="M699" s="37">
        <v>0.0</v>
      </c>
    </row>
    <row r="700" ht="14.25" customHeight="1">
      <c r="A700" t="s">
        <v>782</v>
      </c>
      <c r="B700" t="s">
        <v>638</v>
      </c>
      <c r="C700" t="s">
        <v>62</v>
      </c>
      <c r="D700" t="s">
        <v>63</v>
      </c>
      <c r="E700">
        <v>7.1</v>
      </c>
      <c r="F700">
        <v>7.65</v>
      </c>
      <c r="G700" s="2" t="s">
        <v>64</v>
      </c>
      <c r="H700" s="2">
        <v>0.0</v>
      </c>
      <c r="I700" s="2">
        <v>0.0</v>
      </c>
      <c r="J700" s="37">
        <v>0.0</v>
      </c>
      <c r="K700" s="2">
        <v>0.0</v>
      </c>
      <c r="L700" s="2">
        <v>0.0</v>
      </c>
      <c r="M700" s="37">
        <v>0.0</v>
      </c>
    </row>
    <row r="701" ht="14.25" customHeight="1">
      <c r="A701" t="s">
        <v>783</v>
      </c>
      <c r="B701" t="s">
        <v>629</v>
      </c>
      <c r="C701" t="s">
        <v>75</v>
      </c>
      <c r="D701" t="s">
        <v>63</v>
      </c>
      <c r="E701">
        <v>10.0</v>
      </c>
      <c r="F701">
        <v>12.0</v>
      </c>
      <c r="G701" s="2" t="s">
        <v>67</v>
      </c>
      <c r="H701" s="2">
        <v>36.0</v>
      </c>
      <c r="I701" s="2">
        <v>129.0</v>
      </c>
      <c r="J701" s="37">
        <v>976.2600000000001</v>
      </c>
      <c r="K701" s="2">
        <v>42.0</v>
      </c>
      <c r="L701" s="2">
        <v>231.0</v>
      </c>
      <c r="M701" s="37">
        <v>1243.6200000000001</v>
      </c>
    </row>
    <row r="702" ht="14.25" customHeight="1">
      <c r="A702" t="s">
        <v>784</v>
      </c>
      <c r="B702" t="s">
        <v>629</v>
      </c>
      <c r="C702" t="s">
        <v>75</v>
      </c>
      <c r="D702" t="s">
        <v>63</v>
      </c>
      <c r="E702">
        <v>10.0</v>
      </c>
      <c r="F702">
        <v>12.0</v>
      </c>
      <c r="G702" s="2" t="s">
        <v>67</v>
      </c>
      <c r="H702" s="2">
        <v>36.0</v>
      </c>
      <c r="I702" s="2">
        <v>129.0</v>
      </c>
      <c r="J702" s="37">
        <v>976.2600000000001</v>
      </c>
      <c r="K702" s="2">
        <v>42.0</v>
      </c>
      <c r="L702" s="2">
        <v>231.0</v>
      </c>
      <c r="M702" s="37">
        <v>1243.6200000000001</v>
      </c>
    </row>
    <row r="703" ht="14.25" customHeight="1">
      <c r="A703" t="s">
        <v>785</v>
      </c>
      <c r="B703" t="s">
        <v>629</v>
      </c>
      <c r="C703" t="s">
        <v>75</v>
      </c>
      <c r="D703" t="s">
        <v>63</v>
      </c>
      <c r="E703">
        <v>12.5</v>
      </c>
      <c r="F703">
        <v>15.0</v>
      </c>
      <c r="G703" s="2" t="s">
        <v>67</v>
      </c>
      <c r="H703" s="2">
        <v>44.0</v>
      </c>
      <c r="I703" s="2">
        <v>77.0</v>
      </c>
      <c r="J703" s="37">
        <v>1088.34</v>
      </c>
      <c r="K703" s="2">
        <v>51.0</v>
      </c>
      <c r="L703" s="2">
        <v>205.0</v>
      </c>
      <c r="M703" s="37">
        <v>1411.96</v>
      </c>
    </row>
    <row r="704" ht="14.25" customHeight="1">
      <c r="A704" t="s">
        <v>786</v>
      </c>
      <c r="B704" t="s">
        <v>629</v>
      </c>
      <c r="C704" t="s">
        <v>75</v>
      </c>
      <c r="D704" t="s">
        <v>63</v>
      </c>
      <c r="E704">
        <v>12.5</v>
      </c>
      <c r="F704">
        <v>15.0</v>
      </c>
      <c r="G704" s="2" t="s">
        <v>67</v>
      </c>
      <c r="H704" s="2">
        <v>44.0</v>
      </c>
      <c r="I704" s="2">
        <v>77.0</v>
      </c>
      <c r="J704" s="37">
        <v>1088.34</v>
      </c>
      <c r="K704" s="2">
        <v>51.0</v>
      </c>
      <c r="L704" s="2">
        <v>205.0</v>
      </c>
      <c r="M704" s="37">
        <v>1411.96</v>
      </c>
    </row>
    <row r="705" ht="14.25" customHeight="1">
      <c r="A705" t="s">
        <v>787</v>
      </c>
      <c r="B705" t="s">
        <v>629</v>
      </c>
      <c r="C705" t="s">
        <v>75</v>
      </c>
      <c r="D705" t="s">
        <v>63</v>
      </c>
      <c r="E705">
        <v>14.0</v>
      </c>
      <c r="F705">
        <v>16.5</v>
      </c>
      <c r="G705" s="2" t="s">
        <v>67</v>
      </c>
      <c r="H705" s="2">
        <v>47.0</v>
      </c>
      <c r="I705" s="2">
        <v>16.0</v>
      </c>
      <c r="J705" s="37">
        <v>1076.42</v>
      </c>
      <c r="K705" s="2">
        <v>55.0</v>
      </c>
      <c r="L705" s="2">
        <v>160.0</v>
      </c>
      <c r="M705" s="37">
        <v>1443.3</v>
      </c>
    </row>
    <row r="706" ht="14.25" customHeight="1">
      <c r="A706" t="s">
        <v>788</v>
      </c>
      <c r="B706" t="s">
        <v>629</v>
      </c>
      <c r="C706" t="s">
        <v>75</v>
      </c>
      <c r="D706" t="s">
        <v>63</v>
      </c>
      <c r="E706">
        <v>14.0</v>
      </c>
      <c r="F706">
        <v>16.5</v>
      </c>
      <c r="G706" s="2" t="s">
        <v>67</v>
      </c>
      <c r="H706" s="2">
        <v>47.0</v>
      </c>
      <c r="I706" s="2">
        <v>16.0</v>
      </c>
      <c r="J706" s="37">
        <v>1076.42</v>
      </c>
      <c r="K706" s="2">
        <v>55.0</v>
      </c>
      <c r="L706" s="2">
        <v>160.0</v>
      </c>
      <c r="M706" s="37">
        <v>1443.3</v>
      </c>
    </row>
    <row r="707" ht="14.25" customHeight="1">
      <c r="A707" t="s">
        <v>789</v>
      </c>
      <c r="B707" t="s">
        <v>638</v>
      </c>
      <c r="C707" t="s">
        <v>75</v>
      </c>
      <c r="D707" t="s">
        <v>63</v>
      </c>
      <c r="E707">
        <v>2.5</v>
      </c>
      <c r="F707">
        <v>3.5</v>
      </c>
      <c r="G707" s="2" t="s">
        <v>64</v>
      </c>
      <c r="H707" s="2">
        <v>0.0</v>
      </c>
      <c r="I707" s="2">
        <v>0.0</v>
      </c>
      <c r="J707" s="37">
        <v>0.0</v>
      </c>
      <c r="K707" s="2">
        <v>0.0</v>
      </c>
      <c r="L707" s="2">
        <v>0.0</v>
      </c>
      <c r="M707" s="37">
        <v>0.0</v>
      </c>
    </row>
    <row r="708" ht="14.25" customHeight="1">
      <c r="A708" t="s">
        <v>790</v>
      </c>
      <c r="B708" t="s">
        <v>638</v>
      </c>
      <c r="C708" t="s">
        <v>75</v>
      </c>
      <c r="D708" t="s">
        <v>63</v>
      </c>
      <c r="E708">
        <v>3.5</v>
      </c>
      <c r="F708">
        <v>4.0</v>
      </c>
      <c r="G708" s="2" t="s">
        <v>64</v>
      </c>
      <c r="H708" s="2">
        <v>0.0</v>
      </c>
      <c r="I708" s="2">
        <v>0.0</v>
      </c>
      <c r="J708" s="37">
        <v>0.0</v>
      </c>
      <c r="K708" s="2">
        <v>0.0</v>
      </c>
      <c r="L708" s="2">
        <v>0.0</v>
      </c>
      <c r="M708" s="37">
        <v>0.0</v>
      </c>
    </row>
    <row r="709" ht="14.25" customHeight="1">
      <c r="A709" t="s">
        <v>791</v>
      </c>
      <c r="B709" t="s">
        <v>638</v>
      </c>
      <c r="C709" t="s">
        <v>75</v>
      </c>
      <c r="D709" t="s">
        <v>63</v>
      </c>
      <c r="E709">
        <v>5.0</v>
      </c>
      <c r="F709">
        <v>6.0</v>
      </c>
      <c r="G709" s="2" t="s">
        <v>67</v>
      </c>
      <c r="H709" s="2">
        <v>16.0</v>
      </c>
      <c r="I709" s="2">
        <v>72.0</v>
      </c>
      <c r="J709" s="37">
        <v>452.96000000000004</v>
      </c>
      <c r="K709" s="2">
        <v>19.0</v>
      </c>
      <c r="L709" s="2">
        <v>123.0</v>
      </c>
      <c r="M709" s="37">
        <v>586.64</v>
      </c>
    </row>
    <row r="710" ht="14.25" customHeight="1">
      <c r="A710" t="s">
        <v>792</v>
      </c>
      <c r="B710" t="s">
        <v>638</v>
      </c>
      <c r="C710" t="s">
        <v>75</v>
      </c>
      <c r="D710" t="s">
        <v>63</v>
      </c>
      <c r="E710">
        <v>6.0</v>
      </c>
      <c r="F710">
        <v>7.0</v>
      </c>
      <c r="G710" s="2" t="s">
        <v>67</v>
      </c>
      <c r="H710" s="2">
        <v>20.0</v>
      </c>
      <c r="I710" s="2">
        <v>69.0</v>
      </c>
      <c r="J710" s="37">
        <v>538.9000000000001</v>
      </c>
      <c r="K710" s="2">
        <v>24.0</v>
      </c>
      <c r="L710" s="2">
        <v>131.0</v>
      </c>
      <c r="M710" s="37">
        <v>709.3399999999999</v>
      </c>
    </row>
    <row r="711" ht="14.25" customHeight="1">
      <c r="A711" t="s">
        <v>793</v>
      </c>
      <c r="B711" t="s">
        <v>638</v>
      </c>
      <c r="C711" t="s">
        <v>75</v>
      </c>
      <c r="D711" t="s">
        <v>63</v>
      </c>
      <c r="E711">
        <v>7.1</v>
      </c>
      <c r="F711">
        <v>8.0</v>
      </c>
      <c r="G711" s="2" t="s">
        <v>67</v>
      </c>
      <c r="H711" s="2">
        <v>22.0</v>
      </c>
      <c r="I711" s="2">
        <v>50.0</v>
      </c>
      <c r="J711" s="37">
        <v>559.12</v>
      </c>
      <c r="K711" s="2">
        <v>26.0</v>
      </c>
      <c r="L711" s="2">
        <v>123.0</v>
      </c>
      <c r="M711" s="37">
        <v>743.86</v>
      </c>
    </row>
    <row r="712" ht="14.25" customHeight="1">
      <c r="A712" t="s">
        <v>794</v>
      </c>
      <c r="B712" t="s">
        <v>638</v>
      </c>
      <c r="C712" t="s">
        <v>62</v>
      </c>
      <c r="D712" t="s">
        <v>63</v>
      </c>
      <c r="E712">
        <v>5.0</v>
      </c>
      <c r="F712">
        <v>6.0</v>
      </c>
      <c r="G712" s="2" t="s">
        <v>64</v>
      </c>
      <c r="H712" s="2">
        <v>0.0</v>
      </c>
      <c r="I712" s="2">
        <v>0.0</v>
      </c>
      <c r="J712" s="37">
        <v>0.0</v>
      </c>
      <c r="K712" s="2">
        <v>0.0</v>
      </c>
      <c r="L712" s="2">
        <v>0.0</v>
      </c>
      <c r="M712" s="37">
        <v>0.0</v>
      </c>
    </row>
    <row r="713" ht="14.25" customHeight="1">
      <c r="A713" t="s">
        <v>795</v>
      </c>
      <c r="B713" t="s">
        <v>638</v>
      </c>
      <c r="C713" t="s">
        <v>62</v>
      </c>
      <c r="D713" t="s">
        <v>63</v>
      </c>
      <c r="E713">
        <v>6.0</v>
      </c>
      <c r="F713">
        <v>7.1</v>
      </c>
      <c r="G713" s="2" t="s">
        <v>64</v>
      </c>
      <c r="H713" s="2">
        <v>0.0</v>
      </c>
      <c r="I713" s="2">
        <v>0.0</v>
      </c>
      <c r="J713" s="37">
        <v>0.0</v>
      </c>
      <c r="K713" s="2">
        <v>0.0</v>
      </c>
      <c r="L713" s="2">
        <v>0.0</v>
      </c>
      <c r="M713" s="37">
        <v>0.0</v>
      </c>
    </row>
    <row r="714" ht="14.25" customHeight="1">
      <c r="A714" t="s">
        <v>796</v>
      </c>
      <c r="B714" t="s">
        <v>638</v>
      </c>
      <c r="C714" t="s">
        <v>62</v>
      </c>
      <c r="D714" t="s">
        <v>63</v>
      </c>
      <c r="E714">
        <v>7.1</v>
      </c>
      <c r="F714">
        <v>8.0</v>
      </c>
      <c r="G714" s="2" t="s">
        <v>64</v>
      </c>
      <c r="H714" s="2">
        <v>0.0</v>
      </c>
      <c r="I714" s="2">
        <v>0.0</v>
      </c>
      <c r="J714" s="37">
        <v>0.0</v>
      </c>
      <c r="K714" s="2">
        <v>0.0</v>
      </c>
      <c r="L714" s="2">
        <v>0.0</v>
      </c>
      <c r="M714" s="37">
        <v>0.0</v>
      </c>
    </row>
    <row r="715" ht="14.25" customHeight="1">
      <c r="A715" t="s">
        <v>797</v>
      </c>
      <c r="B715" t="s">
        <v>638</v>
      </c>
      <c r="C715" t="s">
        <v>62</v>
      </c>
      <c r="D715" t="s">
        <v>63</v>
      </c>
      <c r="E715">
        <v>8.5</v>
      </c>
      <c r="F715">
        <v>10.0</v>
      </c>
      <c r="G715" s="2" t="s">
        <v>64</v>
      </c>
      <c r="H715" s="2">
        <v>0.0</v>
      </c>
      <c r="I715" s="2">
        <v>0.0</v>
      </c>
      <c r="J715" s="37">
        <v>0.0</v>
      </c>
      <c r="K715" s="2">
        <v>0.0</v>
      </c>
      <c r="L715" s="2">
        <v>0.0</v>
      </c>
      <c r="M715" s="37">
        <v>0.0</v>
      </c>
    </row>
    <row r="716" ht="14.25" customHeight="1">
      <c r="A716" t="s">
        <v>798</v>
      </c>
      <c r="B716" t="s">
        <v>638</v>
      </c>
      <c r="C716" t="s">
        <v>62</v>
      </c>
      <c r="D716" t="s">
        <v>63</v>
      </c>
      <c r="E716">
        <v>10.0</v>
      </c>
      <c r="F716">
        <v>11.2</v>
      </c>
      <c r="G716" s="2" t="s">
        <v>64</v>
      </c>
      <c r="H716" s="2">
        <v>0.0</v>
      </c>
      <c r="I716" s="2">
        <v>0.0</v>
      </c>
      <c r="J716" s="37">
        <v>0.0</v>
      </c>
      <c r="K716" s="2">
        <v>0.0</v>
      </c>
      <c r="L716" s="2">
        <v>0.0</v>
      </c>
      <c r="M716" s="37">
        <v>0.0</v>
      </c>
    </row>
    <row r="717" ht="14.25" customHeight="1">
      <c r="A717" t="s">
        <v>799</v>
      </c>
      <c r="B717" t="s">
        <v>638</v>
      </c>
      <c r="C717" t="s">
        <v>62</v>
      </c>
      <c r="D717" t="s">
        <v>63</v>
      </c>
      <c r="E717">
        <v>7.1</v>
      </c>
      <c r="F717">
        <v>8.0</v>
      </c>
      <c r="G717" s="2" t="s">
        <v>64</v>
      </c>
      <c r="H717" s="2">
        <v>0.0</v>
      </c>
      <c r="I717" s="2">
        <v>0.0</v>
      </c>
      <c r="J717" s="37">
        <v>0.0</v>
      </c>
      <c r="K717" s="2">
        <v>0.0</v>
      </c>
      <c r="L717" s="2">
        <v>0.0</v>
      </c>
      <c r="M717" s="37">
        <v>0.0</v>
      </c>
    </row>
    <row r="718" ht="14.25" customHeight="1">
      <c r="A718" t="s">
        <v>800</v>
      </c>
      <c r="B718" t="s">
        <v>638</v>
      </c>
      <c r="C718" t="s">
        <v>62</v>
      </c>
      <c r="D718" t="s">
        <v>63</v>
      </c>
      <c r="E718">
        <v>8.5</v>
      </c>
      <c r="F718">
        <v>10.0</v>
      </c>
      <c r="G718" s="2" t="s">
        <v>64</v>
      </c>
      <c r="H718" s="2">
        <v>0.0</v>
      </c>
      <c r="I718" s="2">
        <v>0.0</v>
      </c>
      <c r="J718" s="37">
        <v>0.0</v>
      </c>
      <c r="K718" s="2">
        <v>0.0</v>
      </c>
      <c r="L718" s="2">
        <v>0.0</v>
      </c>
      <c r="M718" s="37">
        <v>0.0</v>
      </c>
    </row>
    <row r="719" ht="14.25" customHeight="1">
      <c r="A719" t="s">
        <v>801</v>
      </c>
      <c r="B719" t="s">
        <v>638</v>
      </c>
      <c r="C719" t="s">
        <v>62</v>
      </c>
      <c r="D719" t="s">
        <v>63</v>
      </c>
      <c r="E719">
        <v>10.0</v>
      </c>
      <c r="F719">
        <v>11.2</v>
      </c>
      <c r="G719" s="2" t="s">
        <v>64</v>
      </c>
      <c r="H719" s="2">
        <v>0.0</v>
      </c>
      <c r="I719" s="2">
        <v>0.0</v>
      </c>
      <c r="J719" s="37">
        <v>0.0</v>
      </c>
      <c r="K719" s="2">
        <v>0.0</v>
      </c>
      <c r="L719" s="2">
        <v>0.0</v>
      </c>
      <c r="M719" s="37">
        <v>0.0</v>
      </c>
    </row>
    <row r="720" ht="14.25" customHeight="1">
      <c r="A720" t="s">
        <v>802</v>
      </c>
      <c r="B720" t="s">
        <v>638</v>
      </c>
      <c r="C720" t="s">
        <v>62</v>
      </c>
      <c r="D720" t="s">
        <v>63</v>
      </c>
      <c r="E720">
        <v>2.2</v>
      </c>
      <c r="F720">
        <v>2.7</v>
      </c>
      <c r="G720" s="2" t="s">
        <v>67</v>
      </c>
      <c r="H720" s="2">
        <v>7.0</v>
      </c>
      <c r="I720" s="2">
        <v>55.0</v>
      </c>
      <c r="J720" s="37">
        <v>228.72</v>
      </c>
      <c r="K720" s="2">
        <v>8.0</v>
      </c>
      <c r="L720" s="2">
        <v>72.0</v>
      </c>
      <c r="M720" s="37">
        <v>273.28000000000003</v>
      </c>
    </row>
    <row r="721" ht="14.25" customHeight="1">
      <c r="A721" t="s">
        <v>803</v>
      </c>
      <c r="B721" t="s">
        <v>638</v>
      </c>
      <c r="C721" t="s">
        <v>62</v>
      </c>
      <c r="D721" t="s">
        <v>63</v>
      </c>
      <c r="E721">
        <v>2.5</v>
      </c>
      <c r="F721">
        <v>3.2</v>
      </c>
      <c r="G721" s="2" t="s">
        <v>67</v>
      </c>
      <c r="H721" s="2">
        <v>8.0</v>
      </c>
      <c r="I721" s="2">
        <v>64.0</v>
      </c>
      <c r="J721" s="37">
        <v>262.88</v>
      </c>
      <c r="K721" s="2">
        <v>10.0</v>
      </c>
      <c r="L721" s="2">
        <v>84.0</v>
      </c>
      <c r="M721" s="37">
        <v>333.8</v>
      </c>
    </row>
    <row r="722" ht="14.25" customHeight="1">
      <c r="A722" t="s">
        <v>804</v>
      </c>
      <c r="B722" t="s">
        <v>638</v>
      </c>
      <c r="C722" t="s">
        <v>62</v>
      </c>
      <c r="D722" t="s">
        <v>63</v>
      </c>
      <c r="E722">
        <v>3.5</v>
      </c>
      <c r="F722">
        <v>3.7</v>
      </c>
      <c r="G722" s="2" t="s">
        <v>67</v>
      </c>
      <c r="H722" s="2">
        <v>10.0</v>
      </c>
      <c r="I722" s="2">
        <v>46.0</v>
      </c>
      <c r="J722" s="37">
        <v>284.40000000000003</v>
      </c>
      <c r="K722" s="2">
        <v>11.0</v>
      </c>
      <c r="L722" s="2">
        <v>74.0</v>
      </c>
      <c r="M722" s="37">
        <v>343.26</v>
      </c>
    </row>
    <row r="723" ht="14.25" customHeight="1">
      <c r="A723" t="s">
        <v>805</v>
      </c>
      <c r="B723" t="s">
        <v>638</v>
      </c>
      <c r="C723" t="s">
        <v>62</v>
      </c>
      <c r="D723" t="s">
        <v>63</v>
      </c>
      <c r="E723">
        <v>4.6</v>
      </c>
      <c r="F723">
        <v>4.7</v>
      </c>
      <c r="G723" s="2" t="s">
        <v>67</v>
      </c>
      <c r="H723" s="2">
        <v>15.0</v>
      </c>
      <c r="I723" s="2">
        <v>78.0</v>
      </c>
      <c r="J723" s="37">
        <v>438.30000000000007</v>
      </c>
      <c r="K723" s="2">
        <v>17.0</v>
      </c>
      <c r="L723" s="2">
        <v>120.0</v>
      </c>
      <c r="M723" s="37">
        <v>537.8199999999999</v>
      </c>
    </row>
    <row r="724" ht="14.25" customHeight="1">
      <c r="A724" t="s">
        <v>806</v>
      </c>
      <c r="B724" t="s">
        <v>638</v>
      </c>
      <c r="C724" t="s">
        <v>62</v>
      </c>
      <c r="D724" t="s">
        <v>63</v>
      </c>
      <c r="E724">
        <v>5.0</v>
      </c>
      <c r="F724">
        <v>6.0</v>
      </c>
      <c r="G724" s="2" t="s">
        <v>67</v>
      </c>
      <c r="H724" s="2">
        <v>19.0</v>
      </c>
      <c r="I724" s="2">
        <v>125.0</v>
      </c>
      <c r="J724" s="37">
        <v>589.24</v>
      </c>
      <c r="K724" s="2">
        <v>22.0</v>
      </c>
      <c r="L724" s="2">
        <v>170.0</v>
      </c>
      <c r="M724" s="37">
        <v>715.12</v>
      </c>
    </row>
    <row r="725" ht="14.25" customHeight="1">
      <c r="A725" t="s">
        <v>807</v>
      </c>
      <c r="B725" t="s">
        <v>638</v>
      </c>
      <c r="C725" t="s">
        <v>62</v>
      </c>
      <c r="D725" t="s">
        <v>63</v>
      </c>
      <c r="E725">
        <v>6.0</v>
      </c>
      <c r="F725">
        <v>7.2</v>
      </c>
      <c r="G725" s="2" t="s">
        <v>67</v>
      </c>
      <c r="H725" s="2">
        <v>22.0</v>
      </c>
      <c r="I725" s="2">
        <v>113.0</v>
      </c>
      <c r="J725" s="37">
        <v>641.02</v>
      </c>
      <c r="K725" s="2">
        <v>25.0</v>
      </c>
      <c r="L725" s="2">
        <v>168.0</v>
      </c>
      <c r="M725" s="37">
        <v>779.9</v>
      </c>
    </row>
    <row r="726" ht="14.25" customHeight="1">
      <c r="A726" t="s">
        <v>808</v>
      </c>
      <c r="B726" t="s">
        <v>638</v>
      </c>
      <c r="C726" t="s">
        <v>62</v>
      </c>
      <c r="D726" t="s">
        <v>63</v>
      </c>
      <c r="E726">
        <v>7.1</v>
      </c>
      <c r="F726">
        <v>8.0</v>
      </c>
      <c r="G726" s="2" t="s">
        <v>67</v>
      </c>
      <c r="H726" s="2">
        <v>23.0</v>
      </c>
      <c r="I726" s="2">
        <v>60.0</v>
      </c>
      <c r="J726" s="37">
        <v>594.58</v>
      </c>
      <c r="K726" s="2">
        <v>26.0</v>
      </c>
      <c r="L726" s="2">
        <v>125.0</v>
      </c>
      <c r="M726" s="37">
        <v>746.46</v>
      </c>
    </row>
    <row r="727" ht="14.25" customHeight="1">
      <c r="A727" t="s">
        <v>809</v>
      </c>
      <c r="B727" t="s">
        <v>638</v>
      </c>
      <c r="C727" t="s">
        <v>62</v>
      </c>
      <c r="D727" t="s">
        <v>63</v>
      </c>
      <c r="E727">
        <v>5.0</v>
      </c>
      <c r="F727">
        <v>6.0</v>
      </c>
      <c r="G727" s="2" t="s">
        <v>64</v>
      </c>
      <c r="H727" s="2">
        <v>0.0</v>
      </c>
      <c r="I727" s="2">
        <v>0.0</v>
      </c>
      <c r="J727" s="37">
        <v>0.0</v>
      </c>
      <c r="K727" s="2">
        <v>0.0</v>
      </c>
      <c r="L727" s="2">
        <v>0.0</v>
      </c>
      <c r="M727" s="37">
        <v>0.0</v>
      </c>
    </row>
    <row r="728" ht="14.25" customHeight="1">
      <c r="A728" t="s">
        <v>810</v>
      </c>
      <c r="B728" t="s">
        <v>638</v>
      </c>
      <c r="C728" t="s">
        <v>62</v>
      </c>
      <c r="D728" t="s">
        <v>63</v>
      </c>
      <c r="E728">
        <v>6.0</v>
      </c>
      <c r="F728">
        <v>7.1</v>
      </c>
      <c r="G728" s="2" t="s">
        <v>67</v>
      </c>
      <c r="H728" s="2">
        <v>21.0</v>
      </c>
      <c r="I728" s="2">
        <v>128.0</v>
      </c>
      <c r="J728" s="37">
        <v>638.0600000000001</v>
      </c>
      <c r="K728" s="2">
        <v>24.0</v>
      </c>
      <c r="L728" s="2">
        <v>183.0</v>
      </c>
      <c r="M728" s="37">
        <v>776.9399999999999</v>
      </c>
    </row>
    <row r="729" ht="14.25" customHeight="1">
      <c r="A729" t="s">
        <v>811</v>
      </c>
      <c r="B729" t="s">
        <v>638</v>
      </c>
      <c r="C729" t="s">
        <v>62</v>
      </c>
      <c r="D729" t="s">
        <v>63</v>
      </c>
      <c r="E729">
        <v>7.1</v>
      </c>
      <c r="F729">
        <v>8.0</v>
      </c>
      <c r="G729" s="2" t="s">
        <v>64</v>
      </c>
      <c r="H729" s="2">
        <v>0.0</v>
      </c>
      <c r="I729" s="2">
        <v>0.0</v>
      </c>
      <c r="J729" s="37">
        <v>0.0</v>
      </c>
      <c r="K729" s="2">
        <v>0.0</v>
      </c>
      <c r="L729" s="2">
        <v>0.0</v>
      </c>
      <c r="M729" s="37">
        <v>0.0</v>
      </c>
    </row>
    <row r="730" ht="14.25" customHeight="1">
      <c r="A730" t="s">
        <v>812</v>
      </c>
      <c r="B730" t="s">
        <v>638</v>
      </c>
      <c r="C730" t="s">
        <v>62</v>
      </c>
      <c r="D730" t="s">
        <v>63</v>
      </c>
      <c r="E730">
        <v>8.5</v>
      </c>
      <c r="F730">
        <v>10.0</v>
      </c>
      <c r="G730" s="2" t="s">
        <v>67</v>
      </c>
      <c r="H730" s="2">
        <v>28.0</v>
      </c>
      <c r="I730" s="2">
        <v>189.0</v>
      </c>
      <c r="J730" s="37">
        <v>874.58</v>
      </c>
      <c r="K730" s="2">
        <v>33.0</v>
      </c>
      <c r="L730" s="2">
        <v>267.0</v>
      </c>
      <c r="M730" s="37">
        <v>1088.2800000000002</v>
      </c>
    </row>
    <row r="731" ht="14.25" customHeight="1">
      <c r="A731" t="s">
        <v>813</v>
      </c>
      <c r="B731" t="s">
        <v>638</v>
      </c>
      <c r="C731" t="s">
        <v>62</v>
      </c>
      <c r="D731" t="s">
        <v>63</v>
      </c>
      <c r="E731">
        <v>10.0</v>
      </c>
      <c r="F731">
        <v>12.0</v>
      </c>
      <c r="G731" s="2" t="s">
        <v>67</v>
      </c>
      <c r="H731" s="2">
        <v>40.0</v>
      </c>
      <c r="I731" s="2">
        <v>252.0</v>
      </c>
      <c r="J731" s="37">
        <v>1226.0</v>
      </c>
      <c r="K731" s="2">
        <v>46.0</v>
      </c>
      <c r="L731" s="2">
        <v>354.0</v>
      </c>
      <c r="M731" s="37">
        <v>1493.3600000000001</v>
      </c>
    </row>
    <row r="732" ht="14.25" customHeight="1">
      <c r="A732" t="s">
        <v>814</v>
      </c>
      <c r="B732" t="s">
        <v>638</v>
      </c>
      <c r="C732" t="s">
        <v>62</v>
      </c>
      <c r="D732" t="s">
        <v>63</v>
      </c>
      <c r="E732">
        <v>12.5</v>
      </c>
      <c r="F732">
        <v>15.0</v>
      </c>
      <c r="G732" s="2" t="s">
        <v>67</v>
      </c>
      <c r="H732" s="2">
        <v>48.0</v>
      </c>
      <c r="I732" s="2">
        <v>232.0</v>
      </c>
      <c r="J732" s="37">
        <v>1379.6799999999998</v>
      </c>
      <c r="K732" s="2">
        <v>56.0</v>
      </c>
      <c r="L732" s="2">
        <v>360.0</v>
      </c>
      <c r="M732" s="37">
        <v>1725.76</v>
      </c>
    </row>
    <row r="733" ht="14.25" customHeight="1">
      <c r="A733" t="s">
        <v>815</v>
      </c>
      <c r="B733" t="s">
        <v>638</v>
      </c>
      <c r="C733" t="s">
        <v>62</v>
      </c>
      <c r="D733" t="s">
        <v>63</v>
      </c>
      <c r="E733">
        <v>14.0</v>
      </c>
      <c r="F733">
        <v>16.5</v>
      </c>
      <c r="G733" s="2" t="s">
        <v>67</v>
      </c>
      <c r="H733" s="2">
        <v>53.0</v>
      </c>
      <c r="I733" s="2">
        <v>240.0</v>
      </c>
      <c r="J733" s="37">
        <v>1502.38</v>
      </c>
      <c r="K733" s="2">
        <v>61.0</v>
      </c>
      <c r="L733" s="2">
        <v>384.0</v>
      </c>
      <c r="M733" s="37">
        <v>1869.26</v>
      </c>
    </row>
    <row r="734" ht="14.25" customHeight="1">
      <c r="A734" t="s">
        <v>816</v>
      </c>
      <c r="B734" t="s">
        <v>638</v>
      </c>
      <c r="C734" t="s">
        <v>62</v>
      </c>
      <c r="D734" t="s">
        <v>63</v>
      </c>
      <c r="E734">
        <v>7.1</v>
      </c>
      <c r="F734">
        <v>8.0</v>
      </c>
      <c r="G734" s="2" t="s">
        <v>64</v>
      </c>
      <c r="H734" s="2">
        <v>0.0</v>
      </c>
      <c r="I734" s="2">
        <v>0.0</v>
      </c>
      <c r="J734" s="37">
        <v>0.0</v>
      </c>
      <c r="K734" s="2">
        <v>0.0</v>
      </c>
      <c r="L734" s="2">
        <v>0.0</v>
      </c>
      <c r="M734" s="37">
        <v>0.0</v>
      </c>
    </row>
    <row r="735" ht="14.25" customHeight="1">
      <c r="A735" t="s">
        <v>817</v>
      </c>
      <c r="B735" t="s">
        <v>638</v>
      </c>
      <c r="C735" t="s">
        <v>62</v>
      </c>
      <c r="D735" t="s">
        <v>63</v>
      </c>
      <c r="E735">
        <v>8.5</v>
      </c>
      <c r="F735">
        <v>10.0</v>
      </c>
      <c r="G735" s="2" t="s">
        <v>67</v>
      </c>
      <c r="H735" s="2">
        <v>28.0</v>
      </c>
      <c r="I735" s="2">
        <v>189.0</v>
      </c>
      <c r="J735" s="37">
        <v>874.58</v>
      </c>
      <c r="K735" s="2">
        <v>33.0</v>
      </c>
      <c r="L735" s="2">
        <v>267.0</v>
      </c>
      <c r="M735" s="37">
        <v>1088.2800000000002</v>
      </c>
    </row>
    <row r="736" ht="14.25" customHeight="1">
      <c r="A736" t="s">
        <v>818</v>
      </c>
      <c r="B736" t="s">
        <v>638</v>
      </c>
      <c r="C736" t="s">
        <v>62</v>
      </c>
      <c r="D736" t="s">
        <v>63</v>
      </c>
      <c r="E736">
        <v>10.0</v>
      </c>
      <c r="F736">
        <v>12.0</v>
      </c>
      <c r="G736" s="2" t="s">
        <v>67</v>
      </c>
      <c r="H736" s="2">
        <v>40.0</v>
      </c>
      <c r="I736" s="2">
        <v>252.0</v>
      </c>
      <c r="J736" s="37">
        <v>1226.0</v>
      </c>
      <c r="K736" s="2">
        <v>46.0</v>
      </c>
      <c r="L736" s="2">
        <v>354.0</v>
      </c>
      <c r="M736" s="37">
        <v>1493.3600000000001</v>
      </c>
    </row>
    <row r="737" ht="14.25" customHeight="1">
      <c r="A737" t="s">
        <v>819</v>
      </c>
      <c r="B737" t="s">
        <v>638</v>
      </c>
      <c r="C737" t="s">
        <v>62</v>
      </c>
      <c r="D737" t="s">
        <v>63</v>
      </c>
      <c r="E737">
        <v>12.5</v>
      </c>
      <c r="F737">
        <v>15.0</v>
      </c>
      <c r="G737" s="2" t="s">
        <v>67</v>
      </c>
      <c r="H737" s="2">
        <v>48.0</v>
      </c>
      <c r="I737" s="2">
        <v>232.0</v>
      </c>
      <c r="J737" s="37">
        <v>1379.6799999999998</v>
      </c>
      <c r="K737" s="2">
        <v>56.0</v>
      </c>
      <c r="L737" s="2">
        <v>360.0</v>
      </c>
      <c r="M737" s="37">
        <v>1725.76</v>
      </c>
    </row>
    <row r="738" ht="14.25" customHeight="1">
      <c r="A738" t="s">
        <v>820</v>
      </c>
      <c r="B738" t="s">
        <v>638</v>
      </c>
      <c r="C738" t="s">
        <v>62</v>
      </c>
      <c r="D738" t="s">
        <v>63</v>
      </c>
      <c r="E738">
        <v>14.0</v>
      </c>
      <c r="F738">
        <v>16.5</v>
      </c>
      <c r="G738" s="2" t="s">
        <v>67</v>
      </c>
      <c r="H738" s="2">
        <v>53.0</v>
      </c>
      <c r="I738" s="2">
        <v>240.0</v>
      </c>
      <c r="J738" s="37">
        <v>1502.38</v>
      </c>
      <c r="K738" s="2">
        <v>61.0</v>
      </c>
      <c r="L738" s="2">
        <v>384.0</v>
      </c>
      <c r="M738" s="37">
        <v>1869.26</v>
      </c>
    </row>
    <row r="739" ht="14.25" customHeight="1">
      <c r="A739" t="s">
        <v>821</v>
      </c>
      <c r="B739" t="s">
        <v>638</v>
      </c>
      <c r="C739" t="s">
        <v>62</v>
      </c>
      <c r="D739" t="s">
        <v>63</v>
      </c>
      <c r="E739">
        <v>7.1</v>
      </c>
      <c r="F739">
        <v>8.0</v>
      </c>
      <c r="G739" s="2" t="s">
        <v>64</v>
      </c>
      <c r="H739" s="2">
        <v>0.0</v>
      </c>
      <c r="I739" s="2">
        <v>0.0</v>
      </c>
      <c r="J739" s="37">
        <v>0.0</v>
      </c>
      <c r="K739" s="2">
        <v>0.0</v>
      </c>
      <c r="L739" s="2">
        <v>0.0</v>
      </c>
      <c r="M739" s="37">
        <v>0.0</v>
      </c>
    </row>
    <row r="740" ht="14.25" customHeight="1">
      <c r="A740" t="s">
        <v>822</v>
      </c>
      <c r="B740" t="s">
        <v>638</v>
      </c>
      <c r="C740" t="s">
        <v>62</v>
      </c>
      <c r="D740" t="s">
        <v>63</v>
      </c>
      <c r="E740">
        <v>8.5</v>
      </c>
      <c r="F740">
        <v>10.0</v>
      </c>
      <c r="G740" s="2" t="s">
        <v>64</v>
      </c>
      <c r="H740" s="2">
        <v>0.0</v>
      </c>
      <c r="I740" s="2">
        <v>0.0</v>
      </c>
      <c r="J740" s="37">
        <v>0.0</v>
      </c>
      <c r="K740" s="2">
        <v>0.0</v>
      </c>
      <c r="L740" s="2">
        <v>0.0</v>
      </c>
      <c r="M740" s="37">
        <v>0.0</v>
      </c>
    </row>
    <row r="741" ht="14.25" customHeight="1">
      <c r="A741" t="s">
        <v>823</v>
      </c>
      <c r="B741" t="s">
        <v>638</v>
      </c>
      <c r="C741" t="s">
        <v>62</v>
      </c>
      <c r="D741" t="s">
        <v>63</v>
      </c>
      <c r="E741">
        <v>10.0</v>
      </c>
      <c r="F741">
        <v>11.2</v>
      </c>
      <c r="G741" s="2" t="s">
        <v>67</v>
      </c>
      <c r="H741" s="2">
        <v>31.0</v>
      </c>
      <c r="I741" s="2">
        <v>164.0</v>
      </c>
      <c r="J741" s="37">
        <v>909.46</v>
      </c>
      <c r="K741" s="2">
        <v>37.0</v>
      </c>
      <c r="L741" s="2">
        <v>267.0</v>
      </c>
      <c r="M741" s="37">
        <v>1178.12</v>
      </c>
    </row>
    <row r="742" ht="14.25" customHeight="1">
      <c r="A742" t="s">
        <v>824</v>
      </c>
      <c r="B742" t="s">
        <v>638</v>
      </c>
      <c r="C742" t="s">
        <v>62</v>
      </c>
      <c r="D742" t="s">
        <v>63</v>
      </c>
      <c r="E742">
        <v>12.5</v>
      </c>
      <c r="F742">
        <v>14.0</v>
      </c>
      <c r="G742" s="2" t="s">
        <v>67</v>
      </c>
      <c r="H742" s="2">
        <v>40.0</v>
      </c>
      <c r="I742" s="2">
        <v>148.0</v>
      </c>
      <c r="J742" s="37">
        <v>1090.8000000000002</v>
      </c>
      <c r="K742" s="2">
        <v>47.0</v>
      </c>
      <c r="L742" s="2">
        <v>277.0</v>
      </c>
      <c r="M742" s="37">
        <v>1415.7200000000003</v>
      </c>
    </row>
    <row r="743" ht="14.25" customHeight="1">
      <c r="A743" t="s">
        <v>825</v>
      </c>
      <c r="B743" t="s">
        <v>638</v>
      </c>
      <c r="C743" t="s">
        <v>62</v>
      </c>
      <c r="D743" t="s">
        <v>63</v>
      </c>
      <c r="E743">
        <v>14.0</v>
      </c>
      <c r="F743">
        <v>16.0</v>
      </c>
      <c r="G743" s="2" t="s">
        <v>67</v>
      </c>
      <c r="H743" s="2">
        <v>47.0</v>
      </c>
      <c r="I743" s="2">
        <v>99.0</v>
      </c>
      <c r="J743" s="37">
        <v>1184.3200000000002</v>
      </c>
      <c r="K743" s="2">
        <v>55.0</v>
      </c>
      <c r="L743" s="2">
        <v>243.0</v>
      </c>
      <c r="M743" s="37">
        <v>1551.2</v>
      </c>
    </row>
    <row r="744" ht="14.25" customHeight="1">
      <c r="A744" t="s">
        <v>826</v>
      </c>
      <c r="B744" t="s">
        <v>638</v>
      </c>
      <c r="C744" t="s">
        <v>62</v>
      </c>
      <c r="D744" t="s">
        <v>63</v>
      </c>
      <c r="E744">
        <v>8.5</v>
      </c>
      <c r="F744">
        <v>10.0</v>
      </c>
      <c r="G744" s="2" t="s">
        <v>64</v>
      </c>
      <c r="H744" s="2">
        <v>0.0</v>
      </c>
      <c r="I744" s="2">
        <v>0.0</v>
      </c>
      <c r="J744" s="37">
        <v>0.0</v>
      </c>
      <c r="K744" s="2">
        <v>0.0</v>
      </c>
      <c r="L744" s="2">
        <v>0.0</v>
      </c>
      <c r="M744" s="37">
        <v>0.0</v>
      </c>
    </row>
    <row r="745" ht="14.25" customHeight="1">
      <c r="A745" t="s">
        <v>827</v>
      </c>
      <c r="B745" t="s">
        <v>638</v>
      </c>
      <c r="C745" t="s">
        <v>62</v>
      </c>
      <c r="D745" t="s">
        <v>63</v>
      </c>
      <c r="E745">
        <v>10.0</v>
      </c>
      <c r="F745">
        <v>11.2</v>
      </c>
      <c r="G745" s="2" t="s">
        <v>67</v>
      </c>
      <c r="H745" s="2">
        <v>43.0</v>
      </c>
      <c r="I745" s="2">
        <v>164.0</v>
      </c>
      <c r="J745" s="37">
        <v>1178.98</v>
      </c>
      <c r="K745" s="2">
        <v>49.0</v>
      </c>
      <c r="L745" s="2">
        <v>267.0</v>
      </c>
      <c r="M745" s="37">
        <v>1447.6399999999999</v>
      </c>
    </row>
    <row r="746" ht="14.25" customHeight="1">
      <c r="A746" t="s">
        <v>828</v>
      </c>
      <c r="B746" t="s">
        <v>638</v>
      </c>
      <c r="C746" t="s">
        <v>62</v>
      </c>
      <c r="D746" t="s">
        <v>63</v>
      </c>
      <c r="E746">
        <v>12.5</v>
      </c>
      <c r="F746">
        <v>14.0</v>
      </c>
      <c r="G746" s="2" t="s">
        <v>67</v>
      </c>
      <c r="H746" s="2">
        <v>53.0</v>
      </c>
      <c r="I746" s="2">
        <v>148.0</v>
      </c>
      <c r="J746" s="37">
        <v>1382.7800000000002</v>
      </c>
      <c r="K746" s="2">
        <v>60.0</v>
      </c>
      <c r="L746" s="2">
        <v>277.0</v>
      </c>
      <c r="M746" s="37">
        <v>1707.7000000000003</v>
      </c>
    </row>
    <row r="747" ht="14.25" customHeight="1">
      <c r="A747" t="s">
        <v>829</v>
      </c>
      <c r="B747" t="s">
        <v>638</v>
      </c>
      <c r="C747" t="s">
        <v>62</v>
      </c>
      <c r="D747" t="s">
        <v>63</v>
      </c>
      <c r="E747">
        <v>14.0</v>
      </c>
      <c r="F747">
        <v>16.0</v>
      </c>
      <c r="G747" s="2" t="s">
        <v>67</v>
      </c>
      <c r="H747" s="2">
        <v>47.0</v>
      </c>
      <c r="I747" s="2">
        <v>99.0</v>
      </c>
      <c r="J747" s="37">
        <v>1184.3200000000002</v>
      </c>
      <c r="K747" s="2">
        <v>55.0</v>
      </c>
      <c r="L747" s="2">
        <v>243.0</v>
      </c>
      <c r="M747" s="37">
        <v>1551.2</v>
      </c>
    </row>
    <row r="748" ht="14.25" customHeight="1">
      <c r="A748" t="s">
        <v>830</v>
      </c>
      <c r="B748" t="s">
        <v>638</v>
      </c>
      <c r="C748" t="s">
        <v>62</v>
      </c>
      <c r="D748" t="s">
        <v>63</v>
      </c>
      <c r="E748">
        <v>2.0</v>
      </c>
      <c r="F748">
        <v>2.7</v>
      </c>
      <c r="G748" s="2" t="s">
        <v>67</v>
      </c>
      <c r="H748" s="2">
        <v>6.0</v>
      </c>
      <c r="I748" s="2">
        <v>43.0</v>
      </c>
      <c r="J748" s="37">
        <v>190.66</v>
      </c>
      <c r="K748" s="2">
        <v>7.0</v>
      </c>
      <c r="L748" s="2">
        <v>59.0</v>
      </c>
      <c r="M748" s="37">
        <v>233.92000000000002</v>
      </c>
    </row>
    <row r="749" ht="14.25" customHeight="1">
      <c r="A749" t="s">
        <v>831</v>
      </c>
      <c r="B749" t="s">
        <v>638</v>
      </c>
      <c r="C749" t="s">
        <v>62</v>
      </c>
      <c r="D749" t="s">
        <v>63</v>
      </c>
      <c r="E749">
        <v>2.5</v>
      </c>
      <c r="F749">
        <v>3.2</v>
      </c>
      <c r="G749" s="2" t="s">
        <v>67</v>
      </c>
      <c r="H749" s="2">
        <v>8.0</v>
      </c>
      <c r="I749" s="2">
        <v>57.0</v>
      </c>
      <c r="J749" s="37">
        <v>253.78000000000003</v>
      </c>
      <c r="K749" s="2">
        <v>9.0</v>
      </c>
      <c r="L749" s="2">
        <v>77.0</v>
      </c>
      <c r="M749" s="37">
        <v>302.24</v>
      </c>
    </row>
    <row r="750" ht="14.25" customHeight="1">
      <c r="A750" t="s">
        <v>832</v>
      </c>
      <c r="B750" t="s">
        <v>638</v>
      </c>
      <c r="C750" t="s">
        <v>62</v>
      </c>
      <c r="D750" t="s">
        <v>63</v>
      </c>
      <c r="E750">
        <v>3.5</v>
      </c>
      <c r="F750">
        <v>3.7</v>
      </c>
      <c r="G750" s="2" t="s">
        <v>64</v>
      </c>
      <c r="H750" s="2">
        <v>0.0</v>
      </c>
      <c r="I750" s="2">
        <v>0.0</v>
      </c>
      <c r="J750" s="37">
        <v>0.0</v>
      </c>
      <c r="K750" s="2">
        <v>0.0</v>
      </c>
      <c r="L750" s="2">
        <v>0.0</v>
      </c>
      <c r="M750" s="37">
        <v>0.0</v>
      </c>
    </row>
    <row r="751" ht="14.25" customHeight="1">
      <c r="A751" t="s">
        <v>833</v>
      </c>
      <c r="B751" t="s">
        <v>638</v>
      </c>
      <c r="C751" t="s">
        <v>62</v>
      </c>
      <c r="D751" t="s">
        <v>63</v>
      </c>
      <c r="E751">
        <v>4.6</v>
      </c>
      <c r="F751">
        <v>4.7</v>
      </c>
      <c r="G751" s="2" t="s">
        <v>67</v>
      </c>
      <c r="H751" s="2">
        <v>14.0</v>
      </c>
      <c r="I751" s="2">
        <v>67.0</v>
      </c>
      <c r="J751" s="37">
        <v>401.54</v>
      </c>
      <c r="K751" s="2">
        <v>16.0</v>
      </c>
      <c r="L751" s="2">
        <v>109.0</v>
      </c>
      <c r="M751" s="37">
        <v>501.06000000000006</v>
      </c>
    </row>
    <row r="752" ht="14.25" customHeight="1">
      <c r="A752" t="s">
        <v>834</v>
      </c>
      <c r="B752" t="s">
        <v>638</v>
      </c>
      <c r="C752" t="s">
        <v>62</v>
      </c>
      <c r="D752" t="s">
        <v>63</v>
      </c>
      <c r="E752">
        <v>5.0</v>
      </c>
      <c r="F752">
        <v>6.0</v>
      </c>
      <c r="G752" s="2" t="s">
        <v>67</v>
      </c>
      <c r="H752" s="2">
        <v>18.0</v>
      </c>
      <c r="I752" s="2">
        <v>122.0</v>
      </c>
      <c r="J752" s="37">
        <v>562.88</v>
      </c>
      <c r="K752" s="2">
        <v>21.0</v>
      </c>
      <c r="L752" s="2">
        <v>167.0</v>
      </c>
      <c r="M752" s="37">
        <v>688.76</v>
      </c>
    </row>
    <row r="753" ht="14.25" customHeight="1">
      <c r="A753" t="s">
        <v>835</v>
      </c>
      <c r="B753" t="s">
        <v>638</v>
      </c>
      <c r="C753" t="s">
        <v>62</v>
      </c>
      <c r="D753" t="s">
        <v>63</v>
      </c>
      <c r="E753">
        <v>6.0</v>
      </c>
      <c r="F753">
        <v>7.2</v>
      </c>
      <c r="G753" s="2" t="s">
        <v>67</v>
      </c>
      <c r="H753" s="2">
        <v>21.0</v>
      </c>
      <c r="I753" s="2">
        <v>101.0</v>
      </c>
      <c r="J753" s="37">
        <v>602.96</v>
      </c>
      <c r="K753" s="2">
        <v>24.0</v>
      </c>
      <c r="L753" s="2">
        <v>156.0</v>
      </c>
      <c r="M753" s="37">
        <v>741.8399999999999</v>
      </c>
    </row>
    <row r="754" ht="14.25" customHeight="1">
      <c r="A754" t="s">
        <v>836</v>
      </c>
      <c r="B754" t="s">
        <v>638</v>
      </c>
      <c r="C754" t="s">
        <v>62</v>
      </c>
      <c r="D754" t="s">
        <v>63</v>
      </c>
      <c r="E754">
        <v>7.1</v>
      </c>
      <c r="F754">
        <v>8.0</v>
      </c>
      <c r="G754" s="2" t="s">
        <v>67</v>
      </c>
      <c r="H754" s="2">
        <v>22.0</v>
      </c>
      <c r="I754" s="2">
        <v>81.0</v>
      </c>
      <c r="J754" s="37">
        <v>599.42</v>
      </c>
      <c r="K754" s="2">
        <v>26.0</v>
      </c>
      <c r="L754" s="2">
        <v>146.0</v>
      </c>
      <c r="M754" s="37">
        <v>773.76</v>
      </c>
    </row>
    <row r="755" ht="14.25" customHeight="1">
      <c r="A755" t="s">
        <v>837</v>
      </c>
      <c r="B755" t="s">
        <v>638</v>
      </c>
      <c r="C755" t="s">
        <v>62</v>
      </c>
      <c r="D755" t="s">
        <v>63</v>
      </c>
      <c r="E755">
        <v>5.0</v>
      </c>
      <c r="F755">
        <v>6.0</v>
      </c>
      <c r="G755" s="2" t="s">
        <v>64</v>
      </c>
      <c r="H755" s="2">
        <v>0.0</v>
      </c>
      <c r="I755" s="2">
        <v>0.0</v>
      </c>
      <c r="J755" s="37">
        <v>0.0</v>
      </c>
      <c r="K755" s="2">
        <v>0.0</v>
      </c>
      <c r="L755" s="2">
        <v>0.0</v>
      </c>
      <c r="M755" s="37">
        <v>0.0</v>
      </c>
    </row>
    <row r="756" ht="14.25" customHeight="1">
      <c r="A756" t="s">
        <v>838</v>
      </c>
      <c r="B756" t="s">
        <v>638</v>
      </c>
      <c r="C756" t="s">
        <v>62</v>
      </c>
      <c r="D756" t="s">
        <v>63</v>
      </c>
      <c r="E756">
        <v>6.0</v>
      </c>
      <c r="F756">
        <v>7.1</v>
      </c>
      <c r="G756" s="2" t="s">
        <v>64</v>
      </c>
      <c r="H756" s="2">
        <v>0.0</v>
      </c>
      <c r="I756" s="2">
        <v>0.0</v>
      </c>
      <c r="J756" s="37">
        <v>0.0</v>
      </c>
      <c r="K756" s="2">
        <v>0.0</v>
      </c>
      <c r="L756" s="2">
        <v>0.0</v>
      </c>
      <c r="M756" s="37">
        <v>0.0</v>
      </c>
    </row>
    <row r="757" ht="14.25" customHeight="1">
      <c r="A757" t="s">
        <v>839</v>
      </c>
      <c r="B757" t="s">
        <v>638</v>
      </c>
      <c r="C757" t="s">
        <v>62</v>
      </c>
      <c r="D757" t="s">
        <v>63</v>
      </c>
      <c r="E757">
        <v>7.1</v>
      </c>
      <c r="F757">
        <v>8.0</v>
      </c>
      <c r="G757" s="2" t="s">
        <v>64</v>
      </c>
      <c r="H757" s="2">
        <v>0.0</v>
      </c>
      <c r="I757" s="2">
        <v>0.0</v>
      </c>
      <c r="J757" s="37">
        <v>0.0</v>
      </c>
      <c r="K757" s="2">
        <v>0.0</v>
      </c>
      <c r="L757" s="2">
        <v>0.0</v>
      </c>
      <c r="M757" s="37">
        <v>0.0</v>
      </c>
    </row>
    <row r="758" ht="14.25" customHeight="1">
      <c r="A758" t="s">
        <v>840</v>
      </c>
      <c r="B758" t="s">
        <v>638</v>
      </c>
      <c r="C758" t="s">
        <v>62</v>
      </c>
      <c r="D758" t="s">
        <v>63</v>
      </c>
      <c r="E758">
        <v>8.5</v>
      </c>
      <c r="F758">
        <v>10.0</v>
      </c>
      <c r="G758" s="2" t="s">
        <v>64</v>
      </c>
      <c r="H758" s="2">
        <v>0.0</v>
      </c>
      <c r="I758" s="2">
        <v>0.0</v>
      </c>
      <c r="J758" s="37">
        <v>0.0</v>
      </c>
      <c r="K758" s="2">
        <v>0.0</v>
      </c>
      <c r="L758" s="2">
        <v>0.0</v>
      </c>
      <c r="M758" s="37">
        <v>0.0</v>
      </c>
    </row>
    <row r="759" ht="14.25" customHeight="1">
      <c r="A759" t="s">
        <v>841</v>
      </c>
      <c r="B759" t="s">
        <v>638</v>
      </c>
      <c r="C759" t="s">
        <v>62</v>
      </c>
      <c r="D759" t="s">
        <v>63</v>
      </c>
      <c r="E759">
        <v>10.0</v>
      </c>
      <c r="F759">
        <v>12.0</v>
      </c>
      <c r="G759" s="2" t="s">
        <v>67</v>
      </c>
      <c r="H759" s="2">
        <v>37.0</v>
      </c>
      <c r="I759" s="2">
        <v>132.0</v>
      </c>
      <c r="J759" s="37">
        <v>1002.62</v>
      </c>
      <c r="K759" s="2">
        <v>43.0</v>
      </c>
      <c r="L759" s="2">
        <v>235.0</v>
      </c>
      <c r="M759" s="37">
        <v>1271.2800000000002</v>
      </c>
    </row>
    <row r="760" ht="14.25" customHeight="1">
      <c r="A760" t="s">
        <v>842</v>
      </c>
      <c r="B760" t="s">
        <v>638</v>
      </c>
      <c r="C760" t="s">
        <v>62</v>
      </c>
      <c r="D760" t="s">
        <v>63</v>
      </c>
      <c r="E760">
        <v>12.5</v>
      </c>
      <c r="F760">
        <v>15.0</v>
      </c>
      <c r="G760" s="2" t="s">
        <v>67</v>
      </c>
      <c r="H760" s="2">
        <v>44.0</v>
      </c>
      <c r="I760" s="2">
        <v>111.0</v>
      </c>
      <c r="J760" s="37">
        <v>1132.54</v>
      </c>
      <c r="K760" s="2">
        <v>51.0</v>
      </c>
      <c r="L760" s="2">
        <v>239.0</v>
      </c>
      <c r="M760" s="37">
        <v>1456.16</v>
      </c>
    </row>
    <row r="761" ht="14.25" customHeight="1">
      <c r="A761" t="s">
        <v>843</v>
      </c>
      <c r="B761" t="s">
        <v>638</v>
      </c>
      <c r="C761" t="s">
        <v>62</v>
      </c>
      <c r="D761" t="s">
        <v>63</v>
      </c>
      <c r="E761">
        <v>14.0</v>
      </c>
      <c r="F761">
        <v>16.5</v>
      </c>
      <c r="G761" s="2" t="s">
        <v>67</v>
      </c>
      <c r="H761" s="2">
        <v>48.0</v>
      </c>
      <c r="I761" s="2">
        <v>114.0</v>
      </c>
      <c r="J761" s="37">
        <v>1226.28</v>
      </c>
      <c r="K761" s="2">
        <v>56.0</v>
      </c>
      <c r="L761" s="2">
        <v>257.0</v>
      </c>
      <c r="M761" s="37">
        <v>1591.8600000000001</v>
      </c>
    </row>
    <row r="762" ht="14.25" customHeight="1">
      <c r="A762" t="s">
        <v>844</v>
      </c>
      <c r="B762" t="s">
        <v>638</v>
      </c>
      <c r="C762" t="s">
        <v>62</v>
      </c>
      <c r="D762" t="s">
        <v>63</v>
      </c>
      <c r="E762">
        <v>7.1</v>
      </c>
      <c r="F762">
        <v>8.0</v>
      </c>
      <c r="G762" s="2" t="s">
        <v>64</v>
      </c>
      <c r="H762" s="2">
        <v>0.0</v>
      </c>
      <c r="I762" s="2">
        <v>0.0</v>
      </c>
      <c r="J762" s="37">
        <v>0.0</v>
      </c>
      <c r="K762" s="2">
        <v>0.0</v>
      </c>
      <c r="L762" s="2">
        <v>0.0</v>
      </c>
      <c r="M762" s="37">
        <v>0.0</v>
      </c>
    </row>
    <row r="763" ht="14.25" customHeight="1">
      <c r="A763" t="s">
        <v>845</v>
      </c>
      <c r="B763" t="s">
        <v>638</v>
      </c>
      <c r="C763" t="s">
        <v>62</v>
      </c>
      <c r="D763" t="s">
        <v>63</v>
      </c>
      <c r="E763">
        <v>8.5</v>
      </c>
      <c r="F763">
        <v>10.0</v>
      </c>
      <c r="G763" s="2" t="s">
        <v>64</v>
      </c>
      <c r="H763" s="2">
        <v>0.0</v>
      </c>
      <c r="I763" s="2">
        <v>0.0</v>
      </c>
      <c r="J763" s="37">
        <v>0.0</v>
      </c>
      <c r="K763" s="2">
        <v>0.0</v>
      </c>
      <c r="L763" s="2">
        <v>0.0</v>
      </c>
      <c r="M763" s="37">
        <v>0.0</v>
      </c>
    </row>
    <row r="764" ht="14.25" customHeight="1">
      <c r="A764" t="s">
        <v>846</v>
      </c>
      <c r="B764" t="s">
        <v>638</v>
      </c>
      <c r="C764" t="s">
        <v>62</v>
      </c>
      <c r="D764" t="s">
        <v>63</v>
      </c>
      <c r="E764">
        <v>10.0</v>
      </c>
      <c r="F764">
        <v>12.0</v>
      </c>
      <c r="G764" s="2" t="s">
        <v>67</v>
      </c>
      <c r="H764" s="2">
        <v>37.0</v>
      </c>
      <c r="I764" s="2">
        <v>132.0</v>
      </c>
      <c r="J764" s="37">
        <v>1002.62</v>
      </c>
      <c r="K764" s="2">
        <v>43.0</v>
      </c>
      <c r="L764" s="2">
        <v>235.0</v>
      </c>
      <c r="M764" s="37">
        <v>1271.2800000000002</v>
      </c>
    </row>
    <row r="765" ht="14.25" customHeight="1">
      <c r="A765" t="s">
        <v>847</v>
      </c>
      <c r="B765" t="s">
        <v>638</v>
      </c>
      <c r="C765" t="s">
        <v>62</v>
      </c>
      <c r="D765" t="s">
        <v>63</v>
      </c>
      <c r="E765">
        <v>12.5</v>
      </c>
      <c r="F765">
        <v>15.0</v>
      </c>
      <c r="G765" s="2" t="s">
        <v>67</v>
      </c>
      <c r="H765" s="2">
        <v>44.0</v>
      </c>
      <c r="I765" s="2">
        <v>111.0</v>
      </c>
      <c r="J765" s="37">
        <v>1132.54</v>
      </c>
      <c r="K765" s="2">
        <v>51.0</v>
      </c>
      <c r="L765" s="2">
        <v>239.0</v>
      </c>
      <c r="M765" s="37">
        <v>1456.16</v>
      </c>
    </row>
    <row r="766" ht="14.25" customHeight="1">
      <c r="A766" t="s">
        <v>848</v>
      </c>
      <c r="B766" t="s">
        <v>638</v>
      </c>
      <c r="C766" t="s">
        <v>62</v>
      </c>
      <c r="D766" t="s">
        <v>63</v>
      </c>
      <c r="E766">
        <v>14.0</v>
      </c>
      <c r="F766">
        <v>16.5</v>
      </c>
      <c r="G766" s="2" t="s">
        <v>67</v>
      </c>
      <c r="H766" s="2">
        <v>48.0</v>
      </c>
      <c r="I766" s="2">
        <v>114.0</v>
      </c>
      <c r="J766" s="37">
        <v>1226.28</v>
      </c>
      <c r="K766" s="2">
        <v>56.0</v>
      </c>
      <c r="L766" s="2">
        <v>257.0</v>
      </c>
      <c r="M766" s="37">
        <v>1591.8600000000001</v>
      </c>
    </row>
    <row r="767" ht="14.25" customHeight="1">
      <c r="A767" t="s">
        <v>849</v>
      </c>
      <c r="B767" t="s">
        <v>638</v>
      </c>
      <c r="C767" t="s">
        <v>62</v>
      </c>
      <c r="D767" t="s">
        <v>63</v>
      </c>
      <c r="E767">
        <v>2.0</v>
      </c>
      <c r="F767">
        <v>2.5</v>
      </c>
      <c r="G767" s="2" t="s">
        <v>64</v>
      </c>
      <c r="H767" s="2">
        <v>0.0</v>
      </c>
      <c r="I767" s="2">
        <v>0.0</v>
      </c>
      <c r="J767" s="37">
        <v>0.0</v>
      </c>
      <c r="K767" s="2">
        <v>0.0</v>
      </c>
      <c r="L767" s="2">
        <v>0.0</v>
      </c>
      <c r="M767" s="37">
        <v>0.0</v>
      </c>
    </row>
    <row r="768" ht="14.25" customHeight="1">
      <c r="A768" t="s">
        <v>850</v>
      </c>
      <c r="B768" t="s">
        <v>638</v>
      </c>
      <c r="C768" t="s">
        <v>62</v>
      </c>
      <c r="D768" t="s">
        <v>63</v>
      </c>
      <c r="E768">
        <v>2.5</v>
      </c>
      <c r="F768">
        <v>3.0</v>
      </c>
      <c r="G768" s="2" t="s">
        <v>64</v>
      </c>
      <c r="H768" s="2">
        <v>0.0</v>
      </c>
      <c r="I768" s="2">
        <v>0.0</v>
      </c>
      <c r="J768" s="37">
        <v>0.0</v>
      </c>
      <c r="K768" s="2">
        <v>0.0</v>
      </c>
      <c r="L768" s="2">
        <v>0.0</v>
      </c>
      <c r="M768" s="37">
        <v>0.0</v>
      </c>
    </row>
    <row r="769" ht="14.25" customHeight="1">
      <c r="A769" t="s">
        <v>851</v>
      </c>
      <c r="B769" t="s">
        <v>638</v>
      </c>
      <c r="C769" t="s">
        <v>62</v>
      </c>
      <c r="D769" t="s">
        <v>63</v>
      </c>
      <c r="E769">
        <v>3.5</v>
      </c>
      <c r="F769">
        <v>3.7</v>
      </c>
      <c r="G769" s="2" t="s">
        <v>64</v>
      </c>
      <c r="H769" s="2">
        <v>0.0</v>
      </c>
      <c r="I769" s="2">
        <v>0.0</v>
      </c>
      <c r="J769" s="37">
        <v>0.0</v>
      </c>
      <c r="K769" s="2">
        <v>0.0</v>
      </c>
      <c r="L769" s="2">
        <v>0.0</v>
      </c>
      <c r="M769" s="37">
        <v>0.0</v>
      </c>
    </row>
    <row r="770" ht="14.25" customHeight="1">
      <c r="A770" t="s">
        <v>852</v>
      </c>
      <c r="B770" t="s">
        <v>638</v>
      </c>
      <c r="C770" t="s">
        <v>62</v>
      </c>
      <c r="D770" t="s">
        <v>63</v>
      </c>
      <c r="E770">
        <v>4.6</v>
      </c>
      <c r="F770">
        <v>4.7</v>
      </c>
      <c r="G770" s="2" t="s">
        <v>64</v>
      </c>
      <c r="H770" s="2">
        <v>0.0</v>
      </c>
      <c r="I770" s="2">
        <v>0.0</v>
      </c>
      <c r="J770" s="37">
        <v>0.0</v>
      </c>
      <c r="K770" s="2">
        <v>0.0</v>
      </c>
      <c r="L770" s="2">
        <v>0.0</v>
      </c>
      <c r="M770" s="37">
        <v>0.0</v>
      </c>
    </row>
    <row r="771" ht="14.25" customHeight="1">
      <c r="A771" t="s">
        <v>853</v>
      </c>
      <c r="B771" t="s">
        <v>638</v>
      </c>
      <c r="C771" t="s">
        <v>62</v>
      </c>
      <c r="D771" t="s">
        <v>63</v>
      </c>
      <c r="E771">
        <v>5.0</v>
      </c>
      <c r="F771">
        <v>5.2</v>
      </c>
      <c r="G771" s="2" t="s">
        <v>64</v>
      </c>
      <c r="H771" s="2">
        <v>0.0</v>
      </c>
      <c r="I771" s="2">
        <v>0.0</v>
      </c>
      <c r="J771" s="37">
        <v>0.0</v>
      </c>
      <c r="K771" s="2">
        <v>0.0</v>
      </c>
      <c r="L771" s="2">
        <v>0.0</v>
      </c>
      <c r="M771" s="37">
        <v>0.0</v>
      </c>
    </row>
    <row r="772" ht="14.25" customHeight="1">
      <c r="A772" t="s">
        <v>854</v>
      </c>
      <c r="B772" t="s">
        <v>638</v>
      </c>
      <c r="C772" t="s">
        <v>62</v>
      </c>
      <c r="D772" t="s">
        <v>63</v>
      </c>
      <c r="E772">
        <v>6.0</v>
      </c>
      <c r="F772">
        <v>6.5</v>
      </c>
      <c r="G772" s="2" t="s">
        <v>64</v>
      </c>
      <c r="H772" s="2">
        <v>0.0</v>
      </c>
      <c r="I772" s="2">
        <v>0.0</v>
      </c>
      <c r="J772" s="37">
        <v>0.0</v>
      </c>
      <c r="K772" s="2">
        <v>0.0</v>
      </c>
      <c r="L772" s="2">
        <v>0.0</v>
      </c>
      <c r="M772" s="37">
        <v>0.0</v>
      </c>
    </row>
    <row r="773" ht="14.25" customHeight="1">
      <c r="A773" t="s">
        <v>855</v>
      </c>
      <c r="B773" t="s">
        <v>638</v>
      </c>
      <c r="C773" t="s">
        <v>62</v>
      </c>
      <c r="D773" t="s">
        <v>63</v>
      </c>
      <c r="E773">
        <v>7.1</v>
      </c>
      <c r="F773">
        <v>8.0</v>
      </c>
      <c r="G773" s="2" t="s">
        <v>67</v>
      </c>
      <c r="H773" s="2">
        <v>21.0</v>
      </c>
      <c r="I773" s="2">
        <v>19.0</v>
      </c>
      <c r="J773" s="37">
        <v>496.36</v>
      </c>
      <c r="K773" s="2">
        <v>24.0</v>
      </c>
      <c r="L773" s="2">
        <v>83.0</v>
      </c>
      <c r="M773" s="37">
        <v>646.9399999999999</v>
      </c>
    </row>
    <row r="774" ht="14.25" customHeight="1">
      <c r="A774" t="s">
        <v>856</v>
      </c>
      <c r="B774" t="s">
        <v>638</v>
      </c>
      <c r="C774" t="s">
        <v>75</v>
      </c>
      <c r="D774" t="s">
        <v>63</v>
      </c>
      <c r="E774">
        <v>5.0</v>
      </c>
      <c r="F774">
        <v>6.0</v>
      </c>
      <c r="G774" s="2" t="s">
        <v>64</v>
      </c>
      <c r="H774" s="2">
        <v>0.0</v>
      </c>
      <c r="I774" s="2">
        <v>0.0</v>
      </c>
      <c r="J774" s="37">
        <v>0.0</v>
      </c>
      <c r="K774" s="2">
        <v>0.0</v>
      </c>
      <c r="L774" s="2">
        <v>0.0</v>
      </c>
      <c r="M774" s="37">
        <v>0.0</v>
      </c>
    </row>
    <row r="775" ht="14.25" customHeight="1">
      <c r="A775" t="s">
        <v>857</v>
      </c>
      <c r="B775" t="s">
        <v>638</v>
      </c>
      <c r="C775" t="s">
        <v>75</v>
      </c>
      <c r="D775" t="s">
        <v>63</v>
      </c>
      <c r="E775">
        <v>6.0</v>
      </c>
      <c r="F775">
        <v>7.1</v>
      </c>
      <c r="G775" s="2" t="s">
        <v>64</v>
      </c>
      <c r="H775" s="2">
        <v>0.0</v>
      </c>
      <c r="I775" s="2">
        <v>0.0</v>
      </c>
      <c r="J775" s="37">
        <v>0.0</v>
      </c>
      <c r="K775" s="2">
        <v>0.0</v>
      </c>
      <c r="L775" s="2">
        <v>0.0</v>
      </c>
      <c r="M775" s="37">
        <v>0.0</v>
      </c>
    </row>
    <row r="776" ht="14.25" customHeight="1">
      <c r="A776" t="s">
        <v>858</v>
      </c>
      <c r="B776" t="s">
        <v>638</v>
      </c>
      <c r="C776" t="s">
        <v>75</v>
      </c>
      <c r="D776" t="s">
        <v>63</v>
      </c>
      <c r="E776">
        <v>7.1</v>
      </c>
      <c r="F776">
        <v>8.0</v>
      </c>
      <c r="G776" s="2" t="s">
        <v>64</v>
      </c>
      <c r="H776" s="2">
        <v>0.0</v>
      </c>
      <c r="I776" s="2">
        <v>0.0</v>
      </c>
      <c r="J776" s="37">
        <v>0.0</v>
      </c>
      <c r="K776" s="2">
        <v>0.0</v>
      </c>
      <c r="L776" s="2">
        <v>0.0</v>
      </c>
      <c r="M776" s="37">
        <v>0.0</v>
      </c>
    </row>
    <row r="777" ht="14.25" customHeight="1">
      <c r="A777" t="s">
        <v>859</v>
      </c>
      <c r="B777" t="s">
        <v>638</v>
      </c>
      <c r="C777" t="s">
        <v>75</v>
      </c>
      <c r="D777" t="s">
        <v>63</v>
      </c>
      <c r="E777">
        <v>8.5</v>
      </c>
      <c r="F777">
        <v>10.0</v>
      </c>
      <c r="G777" s="2" t="s">
        <v>67</v>
      </c>
      <c r="H777" s="2">
        <v>28.0</v>
      </c>
      <c r="I777" s="2">
        <v>131.0</v>
      </c>
      <c r="J777" s="37">
        <v>799.1800000000001</v>
      </c>
      <c r="K777" s="2">
        <v>33.0</v>
      </c>
      <c r="L777" s="2">
        <v>218.0</v>
      </c>
      <c r="M777" s="37">
        <v>1024.5800000000002</v>
      </c>
    </row>
    <row r="778" ht="14.25" customHeight="1">
      <c r="A778" t="s">
        <v>860</v>
      </c>
      <c r="B778" t="s">
        <v>638</v>
      </c>
      <c r="C778" t="s">
        <v>75</v>
      </c>
      <c r="D778" t="s">
        <v>63</v>
      </c>
      <c r="E778">
        <v>10.0</v>
      </c>
      <c r="F778">
        <v>12.0</v>
      </c>
      <c r="G778" s="2" t="s">
        <v>67</v>
      </c>
      <c r="H778" s="2">
        <v>37.0</v>
      </c>
      <c r="I778" s="2">
        <v>129.0</v>
      </c>
      <c r="J778" s="37">
        <v>998.72</v>
      </c>
      <c r="K778" s="2">
        <v>43.0</v>
      </c>
      <c r="L778" s="2">
        <v>231.0</v>
      </c>
      <c r="M778" s="37">
        <v>1266.0800000000002</v>
      </c>
    </row>
    <row r="779" ht="14.25" customHeight="1">
      <c r="A779" t="s">
        <v>861</v>
      </c>
      <c r="B779" t="s">
        <v>638</v>
      </c>
      <c r="C779" t="s">
        <v>75</v>
      </c>
      <c r="D779" t="s">
        <v>63</v>
      </c>
      <c r="E779">
        <v>12.5</v>
      </c>
      <c r="F779">
        <v>15.0</v>
      </c>
      <c r="G779" s="2" t="s">
        <v>67</v>
      </c>
      <c r="H779" s="2">
        <v>44.0</v>
      </c>
      <c r="I779" s="2">
        <v>105.0</v>
      </c>
      <c r="J779" s="37">
        <v>1124.74</v>
      </c>
      <c r="K779" s="2">
        <v>51.0</v>
      </c>
      <c r="L779" s="2">
        <v>233.0</v>
      </c>
      <c r="M779" s="37">
        <v>1448.3600000000001</v>
      </c>
    </row>
    <row r="780" ht="14.25" customHeight="1">
      <c r="A780" t="s">
        <v>862</v>
      </c>
      <c r="B780" t="s">
        <v>638</v>
      </c>
      <c r="C780" t="s">
        <v>75</v>
      </c>
      <c r="D780" t="s">
        <v>63</v>
      </c>
      <c r="E780">
        <v>14.0</v>
      </c>
      <c r="F780">
        <v>16.5</v>
      </c>
      <c r="G780" s="2" t="s">
        <v>67</v>
      </c>
      <c r="H780" s="2">
        <v>48.0</v>
      </c>
      <c r="I780" s="2">
        <v>70.0</v>
      </c>
      <c r="J780" s="37">
        <v>1169.08</v>
      </c>
      <c r="K780" s="2">
        <v>56.0</v>
      </c>
      <c r="L780" s="2">
        <v>213.0</v>
      </c>
      <c r="M780" s="37">
        <v>1534.66</v>
      </c>
    </row>
    <row r="781" ht="14.25" customHeight="1">
      <c r="A781" t="s">
        <v>863</v>
      </c>
      <c r="B781" t="s">
        <v>638</v>
      </c>
      <c r="C781" t="s">
        <v>75</v>
      </c>
      <c r="D781" t="s">
        <v>63</v>
      </c>
      <c r="E781">
        <v>7.1</v>
      </c>
      <c r="F781">
        <v>8.0</v>
      </c>
      <c r="G781" s="2" t="s">
        <v>64</v>
      </c>
      <c r="H781" s="2">
        <v>0.0</v>
      </c>
      <c r="I781" s="2">
        <v>0.0</v>
      </c>
      <c r="J781" s="37">
        <v>0.0</v>
      </c>
      <c r="K781" s="2">
        <v>0.0</v>
      </c>
      <c r="L781" s="2">
        <v>0.0</v>
      </c>
      <c r="M781" s="37">
        <v>0.0</v>
      </c>
    </row>
    <row r="782" ht="14.25" customHeight="1">
      <c r="A782" t="s">
        <v>864</v>
      </c>
      <c r="B782" t="s">
        <v>638</v>
      </c>
      <c r="C782" t="s">
        <v>75</v>
      </c>
      <c r="D782" t="s">
        <v>63</v>
      </c>
      <c r="E782">
        <v>8.5</v>
      </c>
      <c r="F782">
        <v>10.0</v>
      </c>
      <c r="G782" s="2" t="s">
        <v>67</v>
      </c>
      <c r="H782" s="2">
        <v>28.0</v>
      </c>
      <c r="I782" s="2">
        <v>131.0</v>
      </c>
      <c r="J782" s="37">
        <v>799.1800000000001</v>
      </c>
      <c r="K782" s="2">
        <v>33.0</v>
      </c>
      <c r="L782" s="2">
        <v>218.0</v>
      </c>
      <c r="M782" s="37">
        <v>1024.5800000000002</v>
      </c>
    </row>
    <row r="783" ht="14.25" customHeight="1">
      <c r="A783" t="s">
        <v>865</v>
      </c>
      <c r="B783" t="s">
        <v>638</v>
      </c>
      <c r="C783" t="s">
        <v>75</v>
      </c>
      <c r="D783" t="s">
        <v>63</v>
      </c>
      <c r="E783">
        <v>10.0</v>
      </c>
      <c r="F783">
        <v>12.0</v>
      </c>
      <c r="G783" s="2" t="s">
        <v>67</v>
      </c>
      <c r="H783" s="2">
        <v>37.0</v>
      </c>
      <c r="I783" s="2">
        <v>129.0</v>
      </c>
      <c r="J783" s="37">
        <v>998.72</v>
      </c>
      <c r="K783" s="2">
        <v>43.0</v>
      </c>
      <c r="L783" s="2">
        <v>231.0</v>
      </c>
      <c r="M783" s="37">
        <v>1266.0800000000002</v>
      </c>
    </row>
    <row r="784" ht="14.25" customHeight="1">
      <c r="A784" t="s">
        <v>866</v>
      </c>
      <c r="B784" t="s">
        <v>638</v>
      </c>
      <c r="C784" t="s">
        <v>75</v>
      </c>
      <c r="D784" t="s">
        <v>63</v>
      </c>
      <c r="E784">
        <v>12.5</v>
      </c>
      <c r="F784">
        <v>15.0</v>
      </c>
      <c r="G784" s="2" t="s">
        <v>67</v>
      </c>
      <c r="H784" s="2">
        <v>44.0</v>
      </c>
      <c r="I784" s="2">
        <v>105.0</v>
      </c>
      <c r="J784" s="37">
        <v>1124.74</v>
      </c>
      <c r="K784" s="2">
        <v>51.0</v>
      </c>
      <c r="L784" s="2">
        <v>233.0</v>
      </c>
      <c r="M784" s="37">
        <v>1448.3600000000001</v>
      </c>
    </row>
    <row r="785" ht="14.25" customHeight="1">
      <c r="A785" t="s">
        <v>867</v>
      </c>
      <c r="B785" t="s">
        <v>638</v>
      </c>
      <c r="C785" t="s">
        <v>75</v>
      </c>
      <c r="D785" t="s">
        <v>63</v>
      </c>
      <c r="E785">
        <v>14.0</v>
      </c>
      <c r="F785">
        <v>16.5</v>
      </c>
      <c r="G785" s="2" t="s">
        <v>67</v>
      </c>
      <c r="H785" s="2">
        <v>48.0</v>
      </c>
      <c r="I785" s="2">
        <v>70.0</v>
      </c>
      <c r="J785" s="37">
        <v>1169.08</v>
      </c>
      <c r="K785" s="2">
        <v>56.0</v>
      </c>
      <c r="L785" s="2">
        <v>213.0</v>
      </c>
      <c r="M785" s="37">
        <v>1534.66</v>
      </c>
    </row>
    <row r="786" ht="14.25" customHeight="1">
      <c r="A786" t="s">
        <v>868</v>
      </c>
      <c r="B786" t="s">
        <v>638</v>
      </c>
      <c r="C786" t="s">
        <v>75</v>
      </c>
      <c r="D786" t="s">
        <v>63</v>
      </c>
      <c r="E786">
        <v>7.1</v>
      </c>
      <c r="F786">
        <v>8.0</v>
      </c>
      <c r="G786" s="2" t="s">
        <v>64</v>
      </c>
      <c r="H786" s="2">
        <v>0.0</v>
      </c>
      <c r="I786" s="2">
        <v>0.0</v>
      </c>
      <c r="J786" s="37">
        <v>0.0</v>
      </c>
      <c r="K786" s="2">
        <v>0.0</v>
      </c>
      <c r="L786" s="2">
        <v>0.0</v>
      </c>
      <c r="M786" s="37">
        <v>0.0</v>
      </c>
    </row>
    <row r="787" ht="14.25" customHeight="1">
      <c r="A787" t="s">
        <v>869</v>
      </c>
      <c r="B787" t="s">
        <v>638</v>
      </c>
      <c r="C787" t="s">
        <v>75</v>
      </c>
      <c r="D787" t="s">
        <v>63</v>
      </c>
      <c r="E787">
        <v>8.5</v>
      </c>
      <c r="F787">
        <v>10.0</v>
      </c>
      <c r="G787" s="2" t="s">
        <v>64</v>
      </c>
      <c r="H787" s="2">
        <v>0.0</v>
      </c>
      <c r="I787" s="2">
        <v>0.0</v>
      </c>
      <c r="J787" s="37">
        <v>0.0</v>
      </c>
      <c r="K787" s="2">
        <v>0.0</v>
      </c>
      <c r="L787" s="2">
        <v>0.0</v>
      </c>
      <c r="M787" s="37">
        <v>0.0</v>
      </c>
    </row>
    <row r="788" ht="14.25" customHeight="1">
      <c r="A788" t="s">
        <v>870</v>
      </c>
      <c r="B788" t="s">
        <v>638</v>
      </c>
      <c r="C788" t="s">
        <v>75</v>
      </c>
      <c r="D788" t="s">
        <v>63</v>
      </c>
      <c r="E788">
        <v>8.5</v>
      </c>
      <c r="F788">
        <v>10.0</v>
      </c>
      <c r="G788" s="2" t="s">
        <v>64</v>
      </c>
      <c r="H788" s="2">
        <v>0.0</v>
      </c>
      <c r="I788" s="2">
        <v>0.0</v>
      </c>
      <c r="J788" s="37">
        <v>0.0</v>
      </c>
      <c r="K788" s="2">
        <v>0.0</v>
      </c>
      <c r="L788" s="2">
        <v>0.0</v>
      </c>
      <c r="M788" s="37">
        <v>0.0</v>
      </c>
    </row>
    <row r="789" ht="14.25" customHeight="1">
      <c r="A789" t="s">
        <v>871</v>
      </c>
      <c r="B789" t="s">
        <v>638</v>
      </c>
      <c r="C789" t="s">
        <v>62</v>
      </c>
      <c r="D789" t="s">
        <v>63</v>
      </c>
      <c r="E789">
        <v>8.5</v>
      </c>
      <c r="F789">
        <v>9.0</v>
      </c>
      <c r="G789" s="2" t="s">
        <v>64</v>
      </c>
      <c r="H789" s="2">
        <v>0.0</v>
      </c>
      <c r="I789" s="2">
        <v>0.0</v>
      </c>
      <c r="J789" s="37">
        <v>0.0</v>
      </c>
      <c r="K789" s="2">
        <v>0.0</v>
      </c>
      <c r="L789" s="2">
        <v>0.0</v>
      </c>
      <c r="M789" s="37">
        <v>0.0</v>
      </c>
    </row>
    <row r="790" ht="14.25" customHeight="1">
      <c r="A790" t="s">
        <v>872</v>
      </c>
      <c r="B790" t="s">
        <v>638</v>
      </c>
      <c r="C790" t="s">
        <v>62</v>
      </c>
      <c r="D790" t="s">
        <v>63</v>
      </c>
      <c r="E790">
        <v>9.4</v>
      </c>
      <c r="F790">
        <v>10.3</v>
      </c>
      <c r="G790" s="2" t="s">
        <v>64</v>
      </c>
      <c r="H790" s="2">
        <v>0.0</v>
      </c>
      <c r="I790" s="2">
        <v>0.0</v>
      </c>
      <c r="J790" s="37">
        <v>0.0</v>
      </c>
      <c r="K790" s="2">
        <v>0.0</v>
      </c>
      <c r="L790" s="2">
        <v>0.0</v>
      </c>
      <c r="M790" s="37">
        <v>0.0</v>
      </c>
    </row>
    <row r="791" ht="14.25" customHeight="1">
      <c r="A791" t="s">
        <v>873</v>
      </c>
      <c r="B791" t="s">
        <v>638</v>
      </c>
      <c r="C791" t="s">
        <v>62</v>
      </c>
      <c r="D791" t="s">
        <v>63</v>
      </c>
      <c r="E791">
        <v>8.5</v>
      </c>
      <c r="F791">
        <v>9.0</v>
      </c>
      <c r="G791" s="2" t="s">
        <v>64</v>
      </c>
      <c r="H791" s="2">
        <v>0.0</v>
      </c>
      <c r="I791" s="2">
        <v>0.0</v>
      </c>
      <c r="J791" s="37">
        <v>0.0</v>
      </c>
      <c r="K791" s="2">
        <v>0.0</v>
      </c>
      <c r="L791" s="2">
        <v>0.0</v>
      </c>
      <c r="M791" s="37">
        <v>0.0</v>
      </c>
    </row>
    <row r="792" ht="14.25" customHeight="1">
      <c r="A792" t="s">
        <v>874</v>
      </c>
      <c r="B792" t="s">
        <v>638</v>
      </c>
      <c r="C792" t="s">
        <v>62</v>
      </c>
      <c r="D792" t="s">
        <v>63</v>
      </c>
      <c r="E792">
        <v>9.4</v>
      </c>
      <c r="F792">
        <v>10.3</v>
      </c>
      <c r="G792" s="2" t="s">
        <v>64</v>
      </c>
      <c r="H792" s="2">
        <v>0.0</v>
      </c>
      <c r="I792" s="2">
        <v>0.0</v>
      </c>
      <c r="J792" s="37">
        <v>0.0</v>
      </c>
      <c r="K792" s="2">
        <v>0.0</v>
      </c>
      <c r="L792" s="2">
        <v>0.0</v>
      </c>
      <c r="M792" s="37">
        <v>0.0</v>
      </c>
    </row>
    <row r="793" ht="14.25" customHeight="1">
      <c r="A793" t="s">
        <v>875</v>
      </c>
      <c r="B793" t="s">
        <v>638</v>
      </c>
      <c r="C793" t="s">
        <v>75</v>
      </c>
      <c r="D793" t="s">
        <v>82</v>
      </c>
      <c r="E793">
        <v>37.18</v>
      </c>
      <c r="F793">
        <v>34.32</v>
      </c>
      <c r="G793" s="2" t="s">
        <v>64</v>
      </c>
      <c r="H793" s="2">
        <v>0.0</v>
      </c>
      <c r="I793" s="2">
        <v>0.0</v>
      </c>
      <c r="J793" s="37">
        <v>0.0</v>
      </c>
      <c r="K793" s="2">
        <v>0.0</v>
      </c>
      <c r="L793" s="2">
        <v>0.0</v>
      </c>
      <c r="M793" s="37">
        <v>0.0</v>
      </c>
    </row>
    <row r="794" ht="14.25" customHeight="1">
      <c r="A794" t="s">
        <v>876</v>
      </c>
      <c r="B794" t="s">
        <v>638</v>
      </c>
      <c r="C794" t="s">
        <v>75</v>
      </c>
      <c r="D794" t="s">
        <v>63</v>
      </c>
      <c r="E794">
        <v>18.0</v>
      </c>
      <c r="F794">
        <v>20.0</v>
      </c>
      <c r="G794" s="2" t="s">
        <v>64</v>
      </c>
      <c r="H794" s="2">
        <v>0.0</v>
      </c>
      <c r="I794" s="2">
        <v>0.0</v>
      </c>
      <c r="J794" s="37">
        <v>0.0</v>
      </c>
      <c r="K794" s="2">
        <v>0.0</v>
      </c>
      <c r="L794" s="2">
        <v>0.0</v>
      </c>
      <c r="M794" s="37">
        <v>0.0</v>
      </c>
    </row>
    <row r="795" ht="14.25" customHeight="1">
      <c r="A795" t="s">
        <v>877</v>
      </c>
      <c r="B795" t="s">
        <v>638</v>
      </c>
      <c r="C795" t="s">
        <v>75</v>
      </c>
      <c r="D795" t="s">
        <v>63</v>
      </c>
      <c r="E795">
        <v>7.1</v>
      </c>
      <c r="F795">
        <v>7.5</v>
      </c>
      <c r="G795" s="2" t="s">
        <v>64</v>
      </c>
      <c r="H795" s="2">
        <v>0.0</v>
      </c>
      <c r="I795" s="2">
        <v>0.0</v>
      </c>
      <c r="J795" s="37">
        <v>0.0</v>
      </c>
      <c r="K795" s="2">
        <v>0.0</v>
      </c>
      <c r="L795" s="2">
        <v>0.0</v>
      </c>
      <c r="M795" s="37">
        <v>0.0</v>
      </c>
    </row>
    <row r="796" ht="14.25" customHeight="1">
      <c r="A796" t="s">
        <v>878</v>
      </c>
      <c r="B796" t="s">
        <v>638</v>
      </c>
      <c r="C796" t="s">
        <v>75</v>
      </c>
      <c r="D796" t="s">
        <v>63</v>
      </c>
      <c r="E796">
        <v>8.5</v>
      </c>
      <c r="F796">
        <v>10.0</v>
      </c>
      <c r="G796" s="2" t="s">
        <v>64</v>
      </c>
      <c r="H796" s="2">
        <v>0.0</v>
      </c>
      <c r="I796" s="2">
        <v>0.0</v>
      </c>
      <c r="J796" s="37">
        <v>0.0</v>
      </c>
      <c r="K796" s="2">
        <v>0.0</v>
      </c>
      <c r="L796" s="2">
        <v>0.0</v>
      </c>
      <c r="M796" s="37">
        <v>0.0</v>
      </c>
    </row>
    <row r="797" ht="14.25" customHeight="1">
      <c r="A797" t="s">
        <v>879</v>
      </c>
      <c r="B797" t="s">
        <v>638</v>
      </c>
      <c r="C797" t="s">
        <v>75</v>
      </c>
      <c r="D797" t="s">
        <v>63</v>
      </c>
      <c r="E797">
        <v>10.0</v>
      </c>
      <c r="F797">
        <v>12.5</v>
      </c>
      <c r="G797" s="2" t="s">
        <v>67</v>
      </c>
      <c r="H797" s="2">
        <v>33.0</v>
      </c>
      <c r="I797" s="2">
        <v>182.0</v>
      </c>
      <c r="J797" s="37">
        <v>977.7800000000001</v>
      </c>
      <c r="K797" s="2">
        <v>39.0</v>
      </c>
      <c r="L797" s="2">
        <v>285.0</v>
      </c>
      <c r="M797" s="37">
        <v>1246.44</v>
      </c>
    </row>
    <row r="798" ht="14.25" customHeight="1">
      <c r="A798" t="s">
        <v>880</v>
      </c>
      <c r="B798" t="s">
        <v>638</v>
      </c>
      <c r="C798" t="s">
        <v>75</v>
      </c>
      <c r="D798" t="s">
        <v>63</v>
      </c>
      <c r="E798">
        <v>12.5</v>
      </c>
      <c r="F798">
        <v>15.0</v>
      </c>
      <c r="G798" s="2" t="s">
        <v>64</v>
      </c>
      <c r="H798" s="2">
        <v>0.0</v>
      </c>
      <c r="I798" s="2">
        <v>0.0</v>
      </c>
      <c r="J798" s="37">
        <v>0.0</v>
      </c>
      <c r="K798" s="2">
        <v>0.0</v>
      </c>
      <c r="L798" s="2">
        <v>0.0</v>
      </c>
      <c r="M798" s="37">
        <v>0.0</v>
      </c>
    </row>
    <row r="799" ht="14.25" customHeight="1">
      <c r="A799" t="s">
        <v>881</v>
      </c>
      <c r="B799" t="s">
        <v>638</v>
      </c>
      <c r="C799" t="s">
        <v>75</v>
      </c>
      <c r="D799" t="s">
        <v>63</v>
      </c>
      <c r="E799">
        <v>14.0</v>
      </c>
      <c r="F799">
        <v>16.5</v>
      </c>
      <c r="G799" s="2" t="s">
        <v>67</v>
      </c>
      <c r="H799" s="2">
        <v>43.0</v>
      </c>
      <c r="I799" s="2">
        <v>173.0</v>
      </c>
      <c r="J799" s="37">
        <v>1190.68</v>
      </c>
      <c r="K799" s="2">
        <v>51.0</v>
      </c>
      <c r="L799" s="2">
        <v>317.0</v>
      </c>
      <c r="M799" s="37">
        <v>1557.56</v>
      </c>
    </row>
    <row r="800" ht="14.25" customHeight="1">
      <c r="A800" t="s">
        <v>882</v>
      </c>
      <c r="B800" t="s">
        <v>638</v>
      </c>
      <c r="C800" t="s">
        <v>75</v>
      </c>
      <c r="D800" t="s">
        <v>63</v>
      </c>
      <c r="E800">
        <v>16.0</v>
      </c>
      <c r="F800">
        <v>18.0</v>
      </c>
      <c r="G800" s="2" t="s">
        <v>67</v>
      </c>
      <c r="H800" s="2">
        <v>46.0</v>
      </c>
      <c r="I800" s="2">
        <v>92.0</v>
      </c>
      <c r="J800" s="37">
        <v>1152.76</v>
      </c>
      <c r="K800" s="2">
        <v>55.0</v>
      </c>
      <c r="L800" s="2">
        <v>256.0</v>
      </c>
      <c r="M800" s="37">
        <v>1568.1</v>
      </c>
    </row>
    <row r="801" ht="14.25" customHeight="1">
      <c r="A801" t="s">
        <v>883</v>
      </c>
      <c r="B801" t="s">
        <v>638</v>
      </c>
      <c r="C801" t="s">
        <v>75</v>
      </c>
      <c r="D801" t="s">
        <v>63</v>
      </c>
      <c r="E801">
        <v>5.0</v>
      </c>
      <c r="F801">
        <v>6.0</v>
      </c>
      <c r="G801" s="2" t="s">
        <v>64</v>
      </c>
      <c r="H801" s="2">
        <v>0.0</v>
      </c>
      <c r="I801" s="2">
        <v>0.0</v>
      </c>
      <c r="J801" s="37">
        <v>0.0</v>
      </c>
      <c r="K801" s="2">
        <v>0.0</v>
      </c>
      <c r="L801" s="2">
        <v>0.0</v>
      </c>
      <c r="M801" s="37">
        <v>0.0</v>
      </c>
    </row>
    <row r="802" ht="14.25" customHeight="1">
      <c r="A802" t="s">
        <v>884</v>
      </c>
      <c r="B802" t="s">
        <v>638</v>
      </c>
      <c r="C802" t="s">
        <v>75</v>
      </c>
      <c r="D802" t="s">
        <v>63</v>
      </c>
      <c r="E802">
        <v>6.0</v>
      </c>
      <c r="F802">
        <v>7.0</v>
      </c>
      <c r="G802" s="2" t="s">
        <v>64</v>
      </c>
      <c r="H802" s="2">
        <v>0.0</v>
      </c>
      <c r="I802" s="2">
        <v>0.0</v>
      </c>
      <c r="J802" s="37">
        <v>0.0</v>
      </c>
      <c r="K802" s="2">
        <v>0.0</v>
      </c>
      <c r="L802" s="2">
        <v>0.0</v>
      </c>
      <c r="M802" s="37">
        <v>0.0</v>
      </c>
    </row>
    <row r="803" ht="14.25" customHeight="1">
      <c r="A803" t="s">
        <v>885</v>
      </c>
      <c r="B803" t="s">
        <v>638</v>
      </c>
      <c r="C803" t="s">
        <v>75</v>
      </c>
      <c r="D803" t="s">
        <v>63</v>
      </c>
      <c r="E803">
        <v>7.1</v>
      </c>
      <c r="F803">
        <v>7.5</v>
      </c>
      <c r="G803" s="2" t="s">
        <v>64</v>
      </c>
      <c r="H803" s="2">
        <v>0.0</v>
      </c>
      <c r="I803" s="2">
        <v>0.0</v>
      </c>
      <c r="J803" s="37">
        <v>0.0</v>
      </c>
      <c r="K803" s="2">
        <v>0.0</v>
      </c>
      <c r="L803" s="2">
        <v>0.0</v>
      </c>
      <c r="M803" s="37">
        <v>0.0</v>
      </c>
    </row>
    <row r="804" ht="14.25" customHeight="1">
      <c r="A804" t="s">
        <v>886</v>
      </c>
      <c r="B804" t="s">
        <v>638</v>
      </c>
      <c r="C804" t="s">
        <v>75</v>
      </c>
      <c r="D804" t="s">
        <v>63</v>
      </c>
      <c r="E804">
        <v>8.5</v>
      </c>
      <c r="F804">
        <v>10.0</v>
      </c>
      <c r="G804" s="2" t="s">
        <v>64</v>
      </c>
      <c r="H804" s="2">
        <v>0.0</v>
      </c>
      <c r="I804" s="2">
        <v>0.0</v>
      </c>
      <c r="J804" s="37">
        <v>0.0</v>
      </c>
      <c r="K804" s="2">
        <v>0.0</v>
      </c>
      <c r="L804" s="2">
        <v>0.0</v>
      </c>
      <c r="M804" s="37">
        <v>0.0</v>
      </c>
    </row>
    <row r="805" ht="14.25" customHeight="1">
      <c r="A805" t="s">
        <v>887</v>
      </c>
      <c r="B805" t="s">
        <v>638</v>
      </c>
      <c r="C805" t="s">
        <v>75</v>
      </c>
      <c r="D805" t="s">
        <v>63</v>
      </c>
      <c r="E805">
        <v>10.0</v>
      </c>
      <c r="F805">
        <v>12.5</v>
      </c>
      <c r="G805" s="2" t="s">
        <v>64</v>
      </c>
      <c r="H805" s="2">
        <v>0.0</v>
      </c>
      <c r="I805" s="2">
        <v>0.0</v>
      </c>
      <c r="J805" s="37">
        <v>0.0</v>
      </c>
      <c r="K805" s="2">
        <v>0.0</v>
      </c>
      <c r="L805" s="2">
        <v>0.0</v>
      </c>
      <c r="M805" s="37">
        <v>0.0</v>
      </c>
    </row>
    <row r="806" ht="14.25" customHeight="1">
      <c r="A806" t="s">
        <v>888</v>
      </c>
      <c r="B806" t="s">
        <v>638</v>
      </c>
      <c r="C806" t="s">
        <v>75</v>
      </c>
      <c r="D806" t="s">
        <v>63</v>
      </c>
      <c r="E806">
        <v>12.5</v>
      </c>
      <c r="F806">
        <v>15.0</v>
      </c>
      <c r="G806" s="2" t="s">
        <v>64</v>
      </c>
      <c r="H806" s="2">
        <v>0.0</v>
      </c>
      <c r="I806" s="2">
        <v>0.0</v>
      </c>
      <c r="J806" s="37">
        <v>0.0</v>
      </c>
      <c r="K806" s="2">
        <v>0.0</v>
      </c>
      <c r="L806" s="2">
        <v>0.0</v>
      </c>
      <c r="M806" s="37">
        <v>0.0</v>
      </c>
    </row>
    <row r="807" ht="14.25" customHeight="1">
      <c r="A807" t="s">
        <v>889</v>
      </c>
      <c r="B807" t="s">
        <v>638</v>
      </c>
      <c r="C807" t="s">
        <v>75</v>
      </c>
      <c r="D807" t="s">
        <v>63</v>
      </c>
      <c r="E807">
        <v>14.0</v>
      </c>
      <c r="F807">
        <v>16.5</v>
      </c>
      <c r="G807" s="2" t="s">
        <v>64</v>
      </c>
      <c r="H807" s="2">
        <v>0.0</v>
      </c>
      <c r="I807" s="2">
        <v>0.0</v>
      </c>
      <c r="J807" s="37">
        <v>0.0</v>
      </c>
      <c r="K807" s="2">
        <v>0.0</v>
      </c>
      <c r="L807" s="2">
        <v>0.0</v>
      </c>
      <c r="M807" s="37">
        <v>0.0</v>
      </c>
    </row>
    <row r="808" ht="14.25" customHeight="1">
      <c r="A808" t="s">
        <v>890</v>
      </c>
      <c r="B808" t="s">
        <v>638</v>
      </c>
      <c r="C808" t="s">
        <v>75</v>
      </c>
      <c r="D808" t="s">
        <v>63</v>
      </c>
      <c r="E808">
        <v>15.5</v>
      </c>
      <c r="F808">
        <v>18.0</v>
      </c>
      <c r="G808" s="2" t="s">
        <v>64</v>
      </c>
      <c r="H808" s="2">
        <v>0.0</v>
      </c>
      <c r="I808" s="2">
        <v>0.0</v>
      </c>
      <c r="J808" s="37">
        <v>0.0</v>
      </c>
      <c r="K808" s="2">
        <v>0.0</v>
      </c>
      <c r="L808" s="2">
        <v>0.0</v>
      </c>
      <c r="M808" s="37">
        <v>0.0</v>
      </c>
    </row>
    <row r="809" ht="14.25" customHeight="1">
      <c r="A809" t="s">
        <v>891</v>
      </c>
      <c r="B809" t="s">
        <v>638</v>
      </c>
      <c r="C809" t="s">
        <v>75</v>
      </c>
      <c r="D809" t="s">
        <v>63</v>
      </c>
      <c r="E809">
        <v>7.1</v>
      </c>
      <c r="F809">
        <v>7.5</v>
      </c>
      <c r="G809" s="2" t="s">
        <v>64</v>
      </c>
      <c r="H809" s="2">
        <v>0.0</v>
      </c>
      <c r="I809" s="2">
        <v>0.0</v>
      </c>
      <c r="J809" s="37">
        <v>0.0</v>
      </c>
      <c r="K809" s="2">
        <v>0.0</v>
      </c>
      <c r="L809" s="2">
        <v>0.0</v>
      </c>
      <c r="M809" s="37">
        <v>0.0</v>
      </c>
    </row>
    <row r="810" ht="14.25" customHeight="1">
      <c r="A810" t="s">
        <v>892</v>
      </c>
      <c r="B810" t="s">
        <v>638</v>
      </c>
      <c r="C810" t="s">
        <v>75</v>
      </c>
      <c r="D810" t="s">
        <v>63</v>
      </c>
      <c r="E810">
        <v>8.5</v>
      </c>
      <c r="F810">
        <v>10.0</v>
      </c>
      <c r="G810" s="2" t="s">
        <v>64</v>
      </c>
      <c r="H810" s="2">
        <v>0.0</v>
      </c>
      <c r="I810" s="2">
        <v>0.0</v>
      </c>
      <c r="J810" s="37">
        <v>0.0</v>
      </c>
      <c r="K810" s="2">
        <v>0.0</v>
      </c>
      <c r="L810" s="2">
        <v>0.0</v>
      </c>
      <c r="M810" s="37">
        <v>0.0</v>
      </c>
    </row>
    <row r="811" ht="14.25" customHeight="1">
      <c r="A811" t="s">
        <v>893</v>
      </c>
      <c r="B811" t="s">
        <v>638</v>
      </c>
      <c r="C811" t="s">
        <v>75</v>
      </c>
      <c r="D811" t="s">
        <v>63</v>
      </c>
      <c r="E811">
        <v>10.0</v>
      </c>
      <c r="F811">
        <v>12.5</v>
      </c>
      <c r="G811" s="2" t="s">
        <v>64</v>
      </c>
      <c r="H811" s="2">
        <v>0.0</v>
      </c>
      <c r="I811" s="2">
        <v>0.0</v>
      </c>
      <c r="J811" s="37">
        <v>0.0</v>
      </c>
      <c r="K811" s="2">
        <v>0.0</v>
      </c>
      <c r="L811" s="2">
        <v>0.0</v>
      </c>
      <c r="M811" s="37">
        <v>0.0</v>
      </c>
    </row>
    <row r="812" ht="14.25" customHeight="1">
      <c r="A812" t="s">
        <v>894</v>
      </c>
      <c r="B812" t="s">
        <v>638</v>
      </c>
      <c r="C812" t="s">
        <v>75</v>
      </c>
      <c r="D812" t="s">
        <v>63</v>
      </c>
      <c r="E812">
        <v>12.5</v>
      </c>
      <c r="F812">
        <v>15.0</v>
      </c>
      <c r="G812" s="2" t="s">
        <v>64</v>
      </c>
      <c r="H812" s="2">
        <v>0.0</v>
      </c>
      <c r="I812" s="2">
        <v>0.0</v>
      </c>
      <c r="J812" s="37">
        <v>0.0</v>
      </c>
      <c r="K812" s="2">
        <v>0.0</v>
      </c>
      <c r="L812" s="2">
        <v>0.0</v>
      </c>
      <c r="M812" s="37">
        <v>0.0</v>
      </c>
    </row>
    <row r="813" ht="14.25" customHeight="1">
      <c r="A813" t="s">
        <v>895</v>
      </c>
      <c r="B813" t="s">
        <v>638</v>
      </c>
      <c r="C813" t="s">
        <v>75</v>
      </c>
      <c r="D813" t="s">
        <v>63</v>
      </c>
      <c r="E813">
        <v>14.0</v>
      </c>
      <c r="F813">
        <v>16.5</v>
      </c>
      <c r="G813" s="2" t="s">
        <v>64</v>
      </c>
      <c r="H813" s="2">
        <v>0.0</v>
      </c>
      <c r="I813" s="2">
        <v>0.0</v>
      </c>
      <c r="J813" s="37">
        <v>0.0</v>
      </c>
      <c r="K813" s="2">
        <v>0.0</v>
      </c>
      <c r="L813" s="2">
        <v>0.0</v>
      </c>
      <c r="M813" s="37">
        <v>0.0</v>
      </c>
    </row>
    <row r="814" ht="14.25" customHeight="1">
      <c r="A814" t="s">
        <v>896</v>
      </c>
      <c r="B814" t="s">
        <v>638</v>
      </c>
      <c r="C814" t="s">
        <v>75</v>
      </c>
      <c r="D814" t="s">
        <v>63</v>
      </c>
      <c r="E814">
        <v>15.5</v>
      </c>
      <c r="F814">
        <v>18.0</v>
      </c>
      <c r="G814" s="2" t="s">
        <v>64</v>
      </c>
      <c r="H814" s="2">
        <v>0.0</v>
      </c>
      <c r="I814" s="2">
        <v>0.0</v>
      </c>
      <c r="J814" s="37">
        <v>0.0</v>
      </c>
      <c r="K814" s="2">
        <v>0.0</v>
      </c>
      <c r="L814" s="2">
        <v>0.0</v>
      </c>
      <c r="M814" s="37">
        <v>0.0</v>
      </c>
    </row>
    <row r="815" ht="14.25" customHeight="1">
      <c r="A815" t="s">
        <v>897</v>
      </c>
      <c r="B815" t="s">
        <v>638</v>
      </c>
      <c r="C815" t="s">
        <v>75</v>
      </c>
      <c r="D815" t="s">
        <v>82</v>
      </c>
      <c r="E815">
        <v>40.82</v>
      </c>
      <c r="F815">
        <v>37.56</v>
      </c>
      <c r="G815" s="2" t="s">
        <v>64</v>
      </c>
      <c r="H815" s="2">
        <v>0.0</v>
      </c>
      <c r="I815" s="2">
        <v>0.0</v>
      </c>
      <c r="J815" s="37">
        <v>0.0</v>
      </c>
      <c r="K815" s="2">
        <v>0.0</v>
      </c>
      <c r="L815" s="2">
        <v>0.0</v>
      </c>
      <c r="M815" s="37">
        <v>0.0</v>
      </c>
    </row>
    <row r="816" ht="14.25" customHeight="1">
      <c r="A816" t="s">
        <v>898</v>
      </c>
      <c r="B816" t="s">
        <v>638</v>
      </c>
      <c r="C816" t="s">
        <v>75</v>
      </c>
      <c r="D816" t="s">
        <v>82</v>
      </c>
      <c r="E816">
        <v>45.8</v>
      </c>
      <c r="F816">
        <v>44.13</v>
      </c>
      <c r="G816" s="2" t="s">
        <v>64</v>
      </c>
      <c r="H816" s="2">
        <v>0.0</v>
      </c>
      <c r="I816" s="2">
        <v>0.0</v>
      </c>
      <c r="J816" s="37">
        <v>0.0</v>
      </c>
      <c r="K816" s="2">
        <v>0.0</v>
      </c>
      <c r="L816" s="2">
        <v>0.0</v>
      </c>
      <c r="M816" s="37">
        <v>0.0</v>
      </c>
    </row>
    <row r="817" ht="14.25" customHeight="1">
      <c r="A817" t="s">
        <v>899</v>
      </c>
      <c r="B817" t="s">
        <v>638</v>
      </c>
      <c r="C817" t="s">
        <v>75</v>
      </c>
      <c r="D817" t="s">
        <v>82</v>
      </c>
      <c r="E817">
        <v>53.43</v>
      </c>
      <c r="F817">
        <v>54.34</v>
      </c>
      <c r="G817" s="2" t="s">
        <v>64</v>
      </c>
      <c r="H817" s="2">
        <v>0.0</v>
      </c>
      <c r="I817" s="2">
        <v>0.0</v>
      </c>
      <c r="J817" s="37">
        <v>0.0</v>
      </c>
      <c r="K817" s="2">
        <v>0.0</v>
      </c>
      <c r="L817" s="2">
        <v>0.0</v>
      </c>
      <c r="M817" s="37">
        <v>0.0</v>
      </c>
    </row>
    <row r="818" ht="14.25" customHeight="1">
      <c r="A818" t="s">
        <v>900</v>
      </c>
      <c r="B818" t="s">
        <v>638</v>
      </c>
      <c r="C818" t="s">
        <v>62</v>
      </c>
      <c r="D818" t="s">
        <v>63</v>
      </c>
      <c r="E818">
        <v>2.0</v>
      </c>
      <c r="F818">
        <v>2.7</v>
      </c>
      <c r="G818" s="2" t="s">
        <v>67</v>
      </c>
      <c r="H818" s="2">
        <v>6.0</v>
      </c>
      <c r="I818" s="2">
        <v>43.0</v>
      </c>
      <c r="J818" s="37">
        <v>190.66</v>
      </c>
      <c r="K818" s="2">
        <v>7.0</v>
      </c>
      <c r="L818" s="2">
        <v>59.0</v>
      </c>
      <c r="M818" s="37">
        <v>233.92000000000002</v>
      </c>
    </row>
    <row r="819" ht="14.25" customHeight="1">
      <c r="A819" t="s">
        <v>901</v>
      </c>
      <c r="B819" t="s">
        <v>638</v>
      </c>
      <c r="C819" t="s">
        <v>62</v>
      </c>
      <c r="D819" t="s">
        <v>63</v>
      </c>
      <c r="E819">
        <v>2.5</v>
      </c>
      <c r="F819">
        <v>3.2</v>
      </c>
      <c r="G819" s="2" t="s">
        <v>67</v>
      </c>
      <c r="H819" s="2">
        <v>8.0</v>
      </c>
      <c r="I819" s="2">
        <v>57.0</v>
      </c>
      <c r="J819" s="37">
        <v>253.78000000000003</v>
      </c>
      <c r="K819" s="2">
        <v>9.0</v>
      </c>
      <c r="L819" s="2">
        <v>77.0</v>
      </c>
      <c r="M819" s="37">
        <v>302.24</v>
      </c>
    </row>
    <row r="820" ht="14.25" customHeight="1">
      <c r="A820" t="s">
        <v>902</v>
      </c>
      <c r="B820" t="s">
        <v>638</v>
      </c>
      <c r="C820" t="s">
        <v>62</v>
      </c>
      <c r="D820" t="s">
        <v>63</v>
      </c>
      <c r="E820">
        <v>3.5</v>
      </c>
      <c r="F820">
        <v>3.7</v>
      </c>
      <c r="G820" s="2" t="s">
        <v>64</v>
      </c>
      <c r="H820" s="2">
        <v>0.0</v>
      </c>
      <c r="I820" s="2">
        <v>0.0</v>
      </c>
      <c r="J820" s="37">
        <v>0.0</v>
      </c>
      <c r="K820" s="2">
        <v>0.0</v>
      </c>
      <c r="L820" s="2">
        <v>0.0</v>
      </c>
      <c r="M820" s="37">
        <v>0.0</v>
      </c>
    </row>
    <row r="821" ht="14.25" customHeight="1">
      <c r="A821" t="s">
        <v>903</v>
      </c>
      <c r="B821" t="s">
        <v>638</v>
      </c>
      <c r="C821" t="s">
        <v>62</v>
      </c>
      <c r="D821" t="s">
        <v>63</v>
      </c>
      <c r="E821">
        <v>4.6</v>
      </c>
      <c r="F821">
        <v>4.7</v>
      </c>
      <c r="G821" s="2" t="s">
        <v>67</v>
      </c>
      <c r="H821" s="2">
        <v>14.0</v>
      </c>
      <c r="I821" s="2">
        <v>67.0</v>
      </c>
      <c r="J821" s="37">
        <v>401.54</v>
      </c>
      <c r="K821" s="2">
        <v>16.0</v>
      </c>
      <c r="L821" s="2">
        <v>109.0</v>
      </c>
      <c r="M821" s="37">
        <v>501.06000000000006</v>
      </c>
    </row>
    <row r="822" ht="14.25" customHeight="1">
      <c r="A822" t="s">
        <v>904</v>
      </c>
      <c r="B822" t="s">
        <v>638</v>
      </c>
      <c r="C822" t="s">
        <v>62</v>
      </c>
      <c r="D822" t="s">
        <v>63</v>
      </c>
      <c r="E822">
        <v>5.0</v>
      </c>
      <c r="F822">
        <v>6.0</v>
      </c>
      <c r="G822" s="2" t="s">
        <v>67</v>
      </c>
      <c r="H822" s="2">
        <v>18.0</v>
      </c>
      <c r="I822" s="2">
        <v>122.0</v>
      </c>
      <c r="J822" s="37">
        <v>562.88</v>
      </c>
      <c r="K822" s="2">
        <v>21.0</v>
      </c>
      <c r="L822" s="2">
        <v>167.0</v>
      </c>
      <c r="M822" s="37">
        <v>688.76</v>
      </c>
    </row>
    <row r="823" ht="14.25" customHeight="1">
      <c r="A823" t="s">
        <v>905</v>
      </c>
      <c r="B823" t="s">
        <v>638</v>
      </c>
      <c r="C823" t="s">
        <v>62</v>
      </c>
      <c r="D823" t="s">
        <v>63</v>
      </c>
      <c r="E823">
        <v>6.0</v>
      </c>
      <c r="F823">
        <v>7.2</v>
      </c>
      <c r="G823" s="2" t="s">
        <v>67</v>
      </c>
      <c r="H823" s="2">
        <v>21.0</v>
      </c>
      <c r="I823" s="2">
        <v>101.0</v>
      </c>
      <c r="J823" s="37">
        <v>602.96</v>
      </c>
      <c r="K823" s="2">
        <v>24.0</v>
      </c>
      <c r="L823" s="2">
        <v>156.0</v>
      </c>
      <c r="M823" s="37">
        <v>741.8399999999999</v>
      </c>
    </row>
    <row r="824" ht="14.25" customHeight="1">
      <c r="A824" t="s">
        <v>906</v>
      </c>
      <c r="B824" t="s">
        <v>638</v>
      </c>
      <c r="C824" t="s">
        <v>62</v>
      </c>
      <c r="D824" t="s">
        <v>63</v>
      </c>
      <c r="E824">
        <v>7.1</v>
      </c>
      <c r="F824">
        <v>8.0</v>
      </c>
      <c r="G824" s="2" t="s">
        <v>67</v>
      </c>
      <c r="H824" s="2">
        <v>22.0</v>
      </c>
      <c r="I824" s="2">
        <v>81.0</v>
      </c>
      <c r="J824" s="37">
        <v>599.42</v>
      </c>
      <c r="K824" s="2">
        <v>26.0</v>
      </c>
      <c r="L824" s="2">
        <v>146.0</v>
      </c>
      <c r="M824" s="37">
        <v>773.76</v>
      </c>
    </row>
    <row r="825" ht="14.25" customHeight="1">
      <c r="A825" t="s">
        <v>907</v>
      </c>
      <c r="B825" t="s">
        <v>638</v>
      </c>
      <c r="C825" t="s">
        <v>62</v>
      </c>
      <c r="D825" t="s">
        <v>63</v>
      </c>
      <c r="E825">
        <v>2.2</v>
      </c>
      <c r="F825">
        <v>2.7</v>
      </c>
      <c r="G825" s="2" t="s">
        <v>67</v>
      </c>
      <c r="H825" s="2">
        <v>7.0</v>
      </c>
      <c r="I825" s="2">
        <v>55.0</v>
      </c>
      <c r="J825" s="37">
        <v>228.72</v>
      </c>
      <c r="K825" s="2">
        <v>8.0</v>
      </c>
      <c r="L825" s="2">
        <v>72.0</v>
      </c>
      <c r="M825" s="37">
        <v>273.28000000000003</v>
      </c>
    </row>
    <row r="826" ht="14.25" customHeight="1">
      <c r="A826" t="s">
        <v>908</v>
      </c>
      <c r="B826" t="s">
        <v>638</v>
      </c>
      <c r="C826" t="s">
        <v>62</v>
      </c>
      <c r="D826" t="s">
        <v>63</v>
      </c>
      <c r="E826">
        <v>2.5</v>
      </c>
      <c r="F826">
        <v>3.2</v>
      </c>
      <c r="G826" s="2" t="s">
        <v>67</v>
      </c>
      <c r="H826" s="2">
        <v>8.0</v>
      </c>
      <c r="I826" s="2">
        <v>64.0</v>
      </c>
      <c r="J826" s="37">
        <v>262.88</v>
      </c>
      <c r="K826" s="2">
        <v>10.0</v>
      </c>
      <c r="L826" s="2">
        <v>84.0</v>
      </c>
      <c r="M826" s="37">
        <v>333.8</v>
      </c>
    </row>
    <row r="827" ht="14.25" customHeight="1">
      <c r="A827" t="s">
        <v>909</v>
      </c>
      <c r="B827" t="s">
        <v>638</v>
      </c>
      <c r="C827" t="s">
        <v>62</v>
      </c>
      <c r="D827" t="s">
        <v>63</v>
      </c>
      <c r="E827">
        <v>3.5</v>
      </c>
      <c r="F827">
        <v>3.7</v>
      </c>
      <c r="G827" s="2" t="s">
        <v>67</v>
      </c>
      <c r="H827" s="2">
        <v>10.0</v>
      </c>
      <c r="I827" s="2">
        <v>46.0</v>
      </c>
      <c r="J827" s="37">
        <v>284.40000000000003</v>
      </c>
      <c r="K827" s="2">
        <v>11.0</v>
      </c>
      <c r="L827" s="2">
        <v>74.0</v>
      </c>
      <c r="M827" s="37">
        <v>343.26</v>
      </c>
    </row>
    <row r="828" ht="14.25" customHeight="1">
      <c r="A828" t="s">
        <v>910</v>
      </c>
      <c r="B828" t="s">
        <v>638</v>
      </c>
      <c r="C828" t="s">
        <v>62</v>
      </c>
      <c r="D828" t="s">
        <v>63</v>
      </c>
      <c r="E828">
        <v>4.6</v>
      </c>
      <c r="F828">
        <v>4.7</v>
      </c>
      <c r="G828" s="2" t="s">
        <v>67</v>
      </c>
      <c r="H828" s="2">
        <v>15.0</v>
      </c>
      <c r="I828" s="2">
        <v>78.0</v>
      </c>
      <c r="J828" s="37">
        <v>438.30000000000007</v>
      </c>
      <c r="K828" s="2">
        <v>17.0</v>
      </c>
      <c r="L828" s="2">
        <v>120.0</v>
      </c>
      <c r="M828" s="37">
        <v>537.8199999999999</v>
      </c>
    </row>
    <row r="829" ht="14.25" customHeight="1">
      <c r="A829" t="s">
        <v>911</v>
      </c>
      <c r="B829" t="s">
        <v>638</v>
      </c>
      <c r="C829" t="s">
        <v>62</v>
      </c>
      <c r="D829" t="s">
        <v>63</v>
      </c>
      <c r="E829">
        <v>5.0</v>
      </c>
      <c r="F829">
        <v>6.0</v>
      </c>
      <c r="G829" s="2" t="s">
        <v>67</v>
      </c>
      <c r="H829" s="2">
        <v>19.0</v>
      </c>
      <c r="I829" s="2">
        <v>125.0</v>
      </c>
      <c r="J829" s="37">
        <v>589.24</v>
      </c>
      <c r="K829" s="2">
        <v>22.0</v>
      </c>
      <c r="L829" s="2">
        <v>170.0</v>
      </c>
      <c r="M829" s="37">
        <v>715.12</v>
      </c>
    </row>
    <row r="830" ht="14.25" customHeight="1">
      <c r="A830" t="s">
        <v>912</v>
      </c>
      <c r="B830" t="s">
        <v>638</v>
      </c>
      <c r="C830" t="s">
        <v>62</v>
      </c>
      <c r="D830" t="s">
        <v>63</v>
      </c>
      <c r="E830">
        <v>6.0</v>
      </c>
      <c r="F830">
        <v>7.2</v>
      </c>
      <c r="G830" s="2" t="s">
        <v>67</v>
      </c>
      <c r="H830" s="2">
        <v>22.0</v>
      </c>
      <c r="I830" s="2">
        <v>113.0</v>
      </c>
      <c r="J830" s="37">
        <v>641.02</v>
      </c>
      <c r="K830" s="2">
        <v>25.0</v>
      </c>
      <c r="L830" s="2">
        <v>168.0</v>
      </c>
      <c r="M830" s="37">
        <v>779.9</v>
      </c>
    </row>
    <row r="831" ht="14.25" customHeight="1">
      <c r="A831" t="s">
        <v>913</v>
      </c>
      <c r="B831" t="s">
        <v>638</v>
      </c>
      <c r="C831" t="s">
        <v>62</v>
      </c>
      <c r="D831" t="s">
        <v>63</v>
      </c>
      <c r="E831">
        <v>7.1</v>
      </c>
      <c r="F831">
        <v>8.0</v>
      </c>
      <c r="G831" s="2" t="s">
        <v>67</v>
      </c>
      <c r="H831" s="2">
        <v>23.0</v>
      </c>
      <c r="I831" s="2">
        <v>60.0</v>
      </c>
      <c r="J831" s="37">
        <v>594.58</v>
      </c>
      <c r="K831" s="2">
        <v>26.0</v>
      </c>
      <c r="L831" s="2">
        <v>125.0</v>
      </c>
      <c r="M831" s="37">
        <v>746.46</v>
      </c>
    </row>
    <row r="832" ht="14.25" customHeight="1">
      <c r="A832" t="s">
        <v>914</v>
      </c>
      <c r="B832" t="s">
        <v>638</v>
      </c>
      <c r="C832" t="s">
        <v>62</v>
      </c>
      <c r="D832" t="s">
        <v>63</v>
      </c>
      <c r="E832">
        <v>2.0</v>
      </c>
      <c r="F832">
        <v>2.5</v>
      </c>
      <c r="G832" s="2" t="s">
        <v>64</v>
      </c>
      <c r="H832" s="2">
        <v>0.0</v>
      </c>
      <c r="I832" s="2">
        <v>0.0</v>
      </c>
      <c r="J832" s="37">
        <v>0.0</v>
      </c>
      <c r="K832" s="2">
        <v>0.0</v>
      </c>
      <c r="L832" s="2">
        <v>0.0</v>
      </c>
      <c r="M832" s="37">
        <v>0.0</v>
      </c>
    </row>
    <row r="833" ht="14.25" customHeight="1">
      <c r="A833" t="s">
        <v>915</v>
      </c>
      <c r="B833" t="s">
        <v>638</v>
      </c>
      <c r="C833" t="s">
        <v>62</v>
      </c>
      <c r="D833" t="s">
        <v>63</v>
      </c>
      <c r="E833">
        <v>2.5</v>
      </c>
      <c r="F833">
        <v>3.0</v>
      </c>
      <c r="G833" s="2" t="s">
        <v>64</v>
      </c>
      <c r="H833" s="2">
        <v>0.0</v>
      </c>
      <c r="I833" s="2">
        <v>0.0</v>
      </c>
      <c r="J833" s="37">
        <v>0.0</v>
      </c>
      <c r="K833" s="2">
        <v>0.0</v>
      </c>
      <c r="L833" s="2">
        <v>0.0</v>
      </c>
      <c r="M833" s="37">
        <v>0.0</v>
      </c>
    </row>
    <row r="834" ht="14.25" customHeight="1">
      <c r="A834" t="s">
        <v>916</v>
      </c>
      <c r="B834" t="s">
        <v>638</v>
      </c>
      <c r="C834" t="s">
        <v>62</v>
      </c>
      <c r="D834" t="s">
        <v>63</v>
      </c>
      <c r="E834">
        <v>3.5</v>
      </c>
      <c r="F834">
        <v>3.7</v>
      </c>
      <c r="G834" s="2" t="s">
        <v>64</v>
      </c>
      <c r="H834" s="2">
        <v>0.0</v>
      </c>
      <c r="I834" s="2">
        <v>0.0</v>
      </c>
      <c r="J834" s="37">
        <v>0.0</v>
      </c>
      <c r="K834" s="2">
        <v>0.0</v>
      </c>
      <c r="L834" s="2">
        <v>0.0</v>
      </c>
      <c r="M834" s="37">
        <v>0.0</v>
      </c>
    </row>
    <row r="835" ht="14.25" customHeight="1">
      <c r="A835" t="s">
        <v>917</v>
      </c>
      <c r="B835" t="s">
        <v>638</v>
      </c>
      <c r="C835" t="s">
        <v>62</v>
      </c>
      <c r="D835" t="s">
        <v>63</v>
      </c>
      <c r="E835">
        <v>4.6</v>
      </c>
      <c r="F835">
        <v>4.7</v>
      </c>
      <c r="G835" s="2" t="s">
        <v>64</v>
      </c>
      <c r="H835" s="2">
        <v>0.0</v>
      </c>
      <c r="I835" s="2">
        <v>0.0</v>
      </c>
      <c r="J835" s="37">
        <v>0.0</v>
      </c>
      <c r="K835" s="2">
        <v>0.0</v>
      </c>
      <c r="L835" s="2">
        <v>0.0</v>
      </c>
      <c r="M835" s="37">
        <v>0.0</v>
      </c>
    </row>
    <row r="836" ht="14.25" customHeight="1">
      <c r="A836" t="s">
        <v>918</v>
      </c>
      <c r="B836" t="s">
        <v>638</v>
      </c>
      <c r="C836" t="s">
        <v>62</v>
      </c>
      <c r="D836" t="s">
        <v>63</v>
      </c>
      <c r="E836">
        <v>5.0</v>
      </c>
      <c r="F836">
        <v>5.2</v>
      </c>
      <c r="G836" s="2" t="s">
        <v>64</v>
      </c>
      <c r="H836" s="2">
        <v>0.0</v>
      </c>
      <c r="I836" s="2">
        <v>0.0</v>
      </c>
      <c r="J836" s="37">
        <v>0.0</v>
      </c>
      <c r="K836" s="2">
        <v>0.0</v>
      </c>
      <c r="L836" s="2">
        <v>0.0</v>
      </c>
      <c r="M836" s="37">
        <v>0.0</v>
      </c>
    </row>
    <row r="837" ht="14.25" customHeight="1">
      <c r="A837" t="s">
        <v>919</v>
      </c>
      <c r="B837" t="s">
        <v>638</v>
      </c>
      <c r="C837" t="s">
        <v>62</v>
      </c>
      <c r="D837" t="s">
        <v>63</v>
      </c>
      <c r="E837">
        <v>6.0</v>
      </c>
      <c r="F837">
        <v>6.5</v>
      </c>
      <c r="G837" s="2" t="s">
        <v>64</v>
      </c>
      <c r="H837" s="2">
        <v>0.0</v>
      </c>
      <c r="I837" s="2">
        <v>0.0</v>
      </c>
      <c r="J837" s="37">
        <v>0.0</v>
      </c>
      <c r="K837" s="2">
        <v>0.0</v>
      </c>
      <c r="L837" s="2">
        <v>0.0</v>
      </c>
      <c r="M837" s="37">
        <v>0.0</v>
      </c>
    </row>
    <row r="838" ht="14.25" customHeight="1">
      <c r="A838" t="s">
        <v>920</v>
      </c>
      <c r="B838" t="s">
        <v>638</v>
      </c>
      <c r="C838" t="s">
        <v>62</v>
      </c>
      <c r="D838" t="s">
        <v>63</v>
      </c>
      <c r="E838">
        <v>7.1</v>
      </c>
      <c r="F838">
        <v>8.0</v>
      </c>
      <c r="G838" s="2" t="s">
        <v>67</v>
      </c>
      <c r="H838" s="2">
        <v>21.0</v>
      </c>
      <c r="I838" s="2">
        <v>19.0</v>
      </c>
      <c r="J838" s="37">
        <v>496.36</v>
      </c>
      <c r="K838" s="2">
        <v>24.0</v>
      </c>
      <c r="L838" s="2">
        <v>83.0</v>
      </c>
      <c r="M838" s="37">
        <v>646.9399999999999</v>
      </c>
    </row>
    <row r="839" ht="14.25" customHeight="1">
      <c r="A839" t="s">
        <v>921</v>
      </c>
      <c r="B839" t="s">
        <v>638</v>
      </c>
      <c r="C839" t="s">
        <v>62</v>
      </c>
      <c r="D839" t="s">
        <v>63</v>
      </c>
      <c r="E839">
        <v>8.5</v>
      </c>
      <c r="F839">
        <v>9.0</v>
      </c>
      <c r="G839" s="2" t="s">
        <v>64</v>
      </c>
      <c r="H839" s="2">
        <v>0.0</v>
      </c>
      <c r="I839" s="2">
        <v>0.0</v>
      </c>
      <c r="J839" s="37">
        <v>0.0</v>
      </c>
      <c r="K839" s="2">
        <v>0.0</v>
      </c>
      <c r="L839" s="2">
        <v>0.0</v>
      </c>
      <c r="M839" s="37">
        <v>0.0</v>
      </c>
    </row>
    <row r="840" ht="14.25" customHeight="1">
      <c r="A840" t="s">
        <v>922</v>
      </c>
      <c r="B840" t="s">
        <v>638</v>
      </c>
      <c r="C840" t="s">
        <v>62</v>
      </c>
      <c r="D840" t="s">
        <v>63</v>
      </c>
      <c r="E840">
        <v>9.5</v>
      </c>
      <c r="F840">
        <v>10.3</v>
      </c>
      <c r="G840" s="2" t="s">
        <v>64</v>
      </c>
      <c r="H840" s="2">
        <v>0.0</v>
      </c>
      <c r="I840" s="2">
        <v>0.0</v>
      </c>
      <c r="J840" s="37">
        <v>0.0</v>
      </c>
      <c r="K840" s="2">
        <v>0.0</v>
      </c>
      <c r="L840" s="2">
        <v>0.0</v>
      </c>
      <c r="M840" s="37">
        <v>0.0</v>
      </c>
    </row>
    <row r="841" ht="14.25" customHeight="1">
      <c r="A841" t="s">
        <v>923</v>
      </c>
      <c r="B841" t="s">
        <v>638</v>
      </c>
      <c r="C841" t="s">
        <v>62</v>
      </c>
      <c r="D841" t="s">
        <v>63</v>
      </c>
      <c r="E841">
        <v>8.0</v>
      </c>
      <c r="F841">
        <v>9.0</v>
      </c>
      <c r="G841" s="2" t="s">
        <v>64</v>
      </c>
      <c r="H841" s="2">
        <v>0.0</v>
      </c>
      <c r="I841" s="2">
        <v>0.0</v>
      </c>
      <c r="J841" s="37">
        <v>0.0</v>
      </c>
      <c r="K841" s="2">
        <v>0.0</v>
      </c>
      <c r="L841" s="2">
        <v>0.0</v>
      </c>
      <c r="M841" s="37">
        <v>0.0</v>
      </c>
    </row>
    <row r="842" ht="14.25" customHeight="1">
      <c r="A842" t="s">
        <v>924</v>
      </c>
      <c r="B842" t="s">
        <v>638</v>
      </c>
      <c r="C842" t="s">
        <v>62</v>
      </c>
      <c r="D842" t="s">
        <v>63</v>
      </c>
      <c r="E842">
        <v>9.0</v>
      </c>
      <c r="F842">
        <v>10.3</v>
      </c>
      <c r="G842" s="2" t="s">
        <v>64</v>
      </c>
      <c r="H842" s="2">
        <v>0.0</v>
      </c>
      <c r="I842" s="2">
        <v>0.0</v>
      </c>
      <c r="J842" s="37">
        <v>0.0</v>
      </c>
      <c r="K842" s="2">
        <v>0.0</v>
      </c>
      <c r="L842" s="2">
        <v>0.0</v>
      </c>
      <c r="M842" s="37">
        <v>0.0</v>
      </c>
    </row>
    <row r="843" ht="14.25" customHeight="1">
      <c r="A843" t="s">
        <v>925</v>
      </c>
      <c r="B843" t="s">
        <v>638</v>
      </c>
      <c r="C843" t="s">
        <v>75</v>
      </c>
      <c r="D843" t="s">
        <v>63</v>
      </c>
      <c r="E843">
        <v>7.1</v>
      </c>
      <c r="F843">
        <v>7.5</v>
      </c>
      <c r="G843" s="2" t="s">
        <v>64</v>
      </c>
      <c r="H843" s="2">
        <v>0.0</v>
      </c>
      <c r="I843" s="2">
        <v>0.0</v>
      </c>
      <c r="J843" s="37">
        <v>0.0</v>
      </c>
      <c r="K843" s="2">
        <v>0.0</v>
      </c>
      <c r="L843" s="2">
        <v>0.0</v>
      </c>
      <c r="M843" s="37">
        <v>0.0</v>
      </c>
    </row>
    <row r="844" ht="14.25" customHeight="1">
      <c r="A844" t="s">
        <v>926</v>
      </c>
      <c r="B844" t="s">
        <v>638</v>
      </c>
      <c r="C844" t="s">
        <v>75</v>
      </c>
      <c r="D844" t="s">
        <v>63</v>
      </c>
      <c r="E844">
        <v>12.5</v>
      </c>
      <c r="F844">
        <v>15.0</v>
      </c>
      <c r="G844" s="2" t="s">
        <v>64</v>
      </c>
      <c r="H844" s="2">
        <v>0.0</v>
      </c>
      <c r="I844" s="2">
        <v>0.0</v>
      </c>
      <c r="J844" s="37">
        <v>0.0</v>
      </c>
      <c r="K844" s="2">
        <v>0.0</v>
      </c>
      <c r="L844" s="2">
        <v>0.0</v>
      </c>
      <c r="M844" s="37">
        <v>0.0</v>
      </c>
    </row>
    <row r="845" ht="14.25" customHeight="1">
      <c r="A845" t="s">
        <v>927</v>
      </c>
      <c r="B845" t="s">
        <v>638</v>
      </c>
      <c r="C845" t="s">
        <v>75</v>
      </c>
      <c r="D845" t="s">
        <v>63</v>
      </c>
      <c r="E845">
        <v>15.5</v>
      </c>
      <c r="F845">
        <v>18.0</v>
      </c>
      <c r="G845" s="2" t="s">
        <v>64</v>
      </c>
      <c r="H845" s="2">
        <v>0.0</v>
      </c>
      <c r="I845" s="2">
        <v>0.0</v>
      </c>
      <c r="J845" s="37">
        <v>0.0</v>
      </c>
      <c r="K845" s="2">
        <v>0.0</v>
      </c>
      <c r="L845" s="2">
        <v>0.0</v>
      </c>
      <c r="M845" s="37">
        <v>0.0</v>
      </c>
    </row>
    <row r="846" ht="14.25" customHeight="1">
      <c r="A846" t="s">
        <v>928</v>
      </c>
      <c r="B846" t="s">
        <v>638</v>
      </c>
      <c r="C846" t="s">
        <v>75</v>
      </c>
      <c r="D846" t="s">
        <v>63</v>
      </c>
      <c r="E846">
        <v>7.1</v>
      </c>
      <c r="F846">
        <v>7.5</v>
      </c>
      <c r="G846" s="2" t="s">
        <v>64</v>
      </c>
      <c r="H846" s="2">
        <v>0.0</v>
      </c>
      <c r="I846" s="2">
        <v>0.0</v>
      </c>
      <c r="J846" s="37">
        <v>0.0</v>
      </c>
      <c r="K846" s="2">
        <v>0.0</v>
      </c>
      <c r="L846" s="2">
        <v>0.0</v>
      </c>
      <c r="M846" s="37">
        <v>0.0</v>
      </c>
    </row>
    <row r="847" ht="14.25" customHeight="1">
      <c r="A847" t="s">
        <v>929</v>
      </c>
      <c r="B847" t="s">
        <v>638</v>
      </c>
      <c r="C847" t="s">
        <v>75</v>
      </c>
      <c r="D847" t="s">
        <v>63</v>
      </c>
      <c r="E847">
        <v>12.5</v>
      </c>
      <c r="F847">
        <v>15.0</v>
      </c>
      <c r="G847" s="2" t="s">
        <v>64</v>
      </c>
      <c r="H847" s="2">
        <v>0.0</v>
      </c>
      <c r="I847" s="2">
        <v>0.0</v>
      </c>
      <c r="J847" s="37">
        <v>0.0</v>
      </c>
      <c r="K847" s="2">
        <v>0.0</v>
      </c>
      <c r="L847" s="2">
        <v>0.0</v>
      </c>
      <c r="M847" s="37">
        <v>0.0</v>
      </c>
    </row>
    <row r="848" ht="14.25" customHeight="1">
      <c r="A848" t="s">
        <v>930</v>
      </c>
      <c r="B848" t="s">
        <v>638</v>
      </c>
      <c r="C848" t="s">
        <v>75</v>
      </c>
      <c r="D848" t="s">
        <v>63</v>
      </c>
      <c r="E848">
        <v>15.5</v>
      </c>
      <c r="F848">
        <v>18.0</v>
      </c>
      <c r="G848" s="2" t="s">
        <v>64</v>
      </c>
      <c r="H848" s="2">
        <v>0.0</v>
      </c>
      <c r="I848" s="2">
        <v>0.0</v>
      </c>
      <c r="J848" s="37">
        <v>0.0</v>
      </c>
      <c r="K848" s="2">
        <v>0.0</v>
      </c>
      <c r="L848" s="2">
        <v>0.0</v>
      </c>
      <c r="M848" s="37">
        <v>0.0</v>
      </c>
    </row>
    <row r="849" ht="14.25" customHeight="1">
      <c r="A849" t="s">
        <v>931</v>
      </c>
      <c r="B849" t="s">
        <v>638</v>
      </c>
      <c r="C849" t="s">
        <v>75</v>
      </c>
      <c r="D849" t="s">
        <v>63</v>
      </c>
      <c r="E849">
        <v>5.0</v>
      </c>
      <c r="F849">
        <v>6.0</v>
      </c>
      <c r="G849" s="2" t="s">
        <v>64</v>
      </c>
      <c r="H849" s="2">
        <v>0.0</v>
      </c>
      <c r="I849" s="2">
        <v>0.0</v>
      </c>
      <c r="J849" s="37">
        <v>0.0</v>
      </c>
      <c r="K849" s="2">
        <v>0.0</v>
      </c>
      <c r="L849" s="2">
        <v>0.0</v>
      </c>
      <c r="M849" s="37">
        <v>0.0</v>
      </c>
    </row>
    <row r="850" ht="14.25" customHeight="1">
      <c r="A850" t="s">
        <v>932</v>
      </c>
      <c r="B850" t="s">
        <v>638</v>
      </c>
      <c r="C850" t="s">
        <v>75</v>
      </c>
      <c r="D850" t="s">
        <v>63</v>
      </c>
      <c r="E850">
        <v>6.0</v>
      </c>
      <c r="F850">
        <v>7.0</v>
      </c>
      <c r="G850" s="2" t="s">
        <v>64</v>
      </c>
      <c r="H850" s="2">
        <v>0.0</v>
      </c>
      <c r="I850" s="2">
        <v>0.0</v>
      </c>
      <c r="J850" s="37">
        <v>0.0</v>
      </c>
      <c r="K850" s="2">
        <v>0.0</v>
      </c>
      <c r="L850" s="2">
        <v>0.0</v>
      </c>
      <c r="M850" s="37">
        <v>0.0</v>
      </c>
    </row>
    <row r="851" ht="14.25" customHeight="1">
      <c r="A851" t="s">
        <v>933</v>
      </c>
      <c r="B851" t="s">
        <v>638</v>
      </c>
      <c r="C851" t="s">
        <v>75</v>
      </c>
      <c r="D851" t="s">
        <v>63</v>
      </c>
      <c r="E851">
        <v>7.1</v>
      </c>
      <c r="F851">
        <v>7.5</v>
      </c>
      <c r="G851" s="2" t="s">
        <v>64</v>
      </c>
      <c r="H851" s="2">
        <v>0.0</v>
      </c>
      <c r="I851" s="2">
        <v>0.0</v>
      </c>
      <c r="J851" s="37">
        <v>0.0</v>
      </c>
      <c r="K851" s="2">
        <v>0.0</v>
      </c>
      <c r="L851" s="2">
        <v>0.0</v>
      </c>
      <c r="M851" s="37">
        <v>0.0</v>
      </c>
    </row>
    <row r="852" ht="14.25" customHeight="1">
      <c r="A852" t="s">
        <v>934</v>
      </c>
      <c r="B852" t="s">
        <v>638</v>
      </c>
      <c r="C852" t="s">
        <v>62</v>
      </c>
      <c r="D852" t="s">
        <v>63</v>
      </c>
      <c r="E852">
        <v>5.0</v>
      </c>
      <c r="F852">
        <v>6.0</v>
      </c>
      <c r="G852" s="2" t="s">
        <v>64</v>
      </c>
      <c r="H852" s="2">
        <v>0.0</v>
      </c>
      <c r="I852" s="2">
        <v>0.0</v>
      </c>
      <c r="J852" s="37">
        <v>0.0</v>
      </c>
      <c r="K852" s="2">
        <v>0.0</v>
      </c>
      <c r="L852" s="2">
        <v>0.0</v>
      </c>
      <c r="M852" s="37">
        <v>0.0</v>
      </c>
    </row>
    <row r="853" ht="14.25" customHeight="1">
      <c r="A853" t="s">
        <v>935</v>
      </c>
      <c r="B853" t="s">
        <v>638</v>
      </c>
      <c r="C853" t="s">
        <v>62</v>
      </c>
      <c r="D853" t="s">
        <v>63</v>
      </c>
      <c r="E853">
        <v>6.0</v>
      </c>
      <c r="F853">
        <v>7.1</v>
      </c>
      <c r="G853" s="2" t="s">
        <v>64</v>
      </c>
      <c r="H853" s="2">
        <v>0.0</v>
      </c>
      <c r="I853" s="2">
        <v>0.0</v>
      </c>
      <c r="J853" s="37">
        <v>0.0</v>
      </c>
      <c r="K853" s="2">
        <v>0.0</v>
      </c>
      <c r="L853" s="2">
        <v>0.0</v>
      </c>
      <c r="M853" s="37">
        <v>0.0</v>
      </c>
    </row>
    <row r="854" ht="14.25" customHeight="1">
      <c r="A854" t="s">
        <v>936</v>
      </c>
      <c r="B854" t="s">
        <v>638</v>
      </c>
      <c r="C854" t="s">
        <v>62</v>
      </c>
      <c r="D854" t="s">
        <v>63</v>
      </c>
      <c r="E854">
        <v>5.0</v>
      </c>
      <c r="F854">
        <v>6.0</v>
      </c>
      <c r="G854" s="2" t="s">
        <v>64</v>
      </c>
      <c r="H854" s="2">
        <v>0.0</v>
      </c>
      <c r="I854" s="2">
        <v>0.0</v>
      </c>
      <c r="J854" s="37">
        <v>0.0</v>
      </c>
      <c r="K854" s="2">
        <v>0.0</v>
      </c>
      <c r="L854" s="2">
        <v>0.0</v>
      </c>
      <c r="M854" s="37">
        <v>0.0</v>
      </c>
    </row>
    <row r="855" ht="14.25" customHeight="1">
      <c r="A855" t="s">
        <v>937</v>
      </c>
      <c r="B855" t="s">
        <v>638</v>
      </c>
      <c r="C855" t="s">
        <v>62</v>
      </c>
      <c r="D855" t="s">
        <v>63</v>
      </c>
      <c r="E855">
        <v>6.0</v>
      </c>
      <c r="F855">
        <v>7.1</v>
      </c>
      <c r="G855" s="2" t="s">
        <v>67</v>
      </c>
      <c r="H855" s="2">
        <v>21.0</v>
      </c>
      <c r="I855" s="2">
        <v>128.0</v>
      </c>
      <c r="J855" s="37">
        <v>638.0600000000001</v>
      </c>
      <c r="K855" s="2">
        <v>24.0</v>
      </c>
      <c r="L855" s="2">
        <v>183.0</v>
      </c>
      <c r="M855" s="37">
        <v>776.9399999999999</v>
      </c>
    </row>
    <row r="856" ht="14.25" customHeight="1">
      <c r="A856" t="s">
        <v>938</v>
      </c>
      <c r="B856" t="s">
        <v>638</v>
      </c>
      <c r="C856" t="s">
        <v>62</v>
      </c>
      <c r="D856" t="s">
        <v>63</v>
      </c>
      <c r="E856">
        <v>7.1</v>
      </c>
      <c r="F856">
        <v>8.0</v>
      </c>
      <c r="G856" s="2" t="s">
        <v>64</v>
      </c>
      <c r="H856" s="2">
        <v>0.0</v>
      </c>
      <c r="I856" s="2">
        <v>0.0</v>
      </c>
      <c r="J856" s="37">
        <v>0.0</v>
      </c>
      <c r="K856" s="2">
        <v>0.0</v>
      </c>
      <c r="L856" s="2">
        <v>0.0</v>
      </c>
      <c r="M856" s="37">
        <v>0.0</v>
      </c>
    </row>
    <row r="857" ht="14.25" customHeight="1">
      <c r="A857" t="s">
        <v>939</v>
      </c>
      <c r="B857" t="s">
        <v>638</v>
      </c>
      <c r="C857" t="s">
        <v>75</v>
      </c>
      <c r="D857" t="s">
        <v>63</v>
      </c>
      <c r="E857">
        <v>2.5</v>
      </c>
      <c r="F857">
        <v>3.5</v>
      </c>
      <c r="G857" s="2" t="s">
        <v>64</v>
      </c>
      <c r="H857" s="2">
        <v>0.0</v>
      </c>
      <c r="I857" s="2">
        <v>0.0</v>
      </c>
      <c r="J857" s="37">
        <v>0.0</v>
      </c>
      <c r="K857" s="2">
        <v>0.0</v>
      </c>
      <c r="L857" s="2">
        <v>0.0</v>
      </c>
      <c r="M857" s="37">
        <v>0.0</v>
      </c>
    </row>
    <row r="858" ht="14.25" customHeight="1">
      <c r="A858" t="s">
        <v>940</v>
      </c>
      <c r="B858" t="s">
        <v>638</v>
      </c>
      <c r="C858" t="s">
        <v>75</v>
      </c>
      <c r="D858" t="s">
        <v>63</v>
      </c>
      <c r="E858">
        <v>3.5</v>
      </c>
      <c r="F858">
        <v>4.0</v>
      </c>
      <c r="G858" s="2" t="s">
        <v>64</v>
      </c>
      <c r="H858" s="2">
        <v>0.0</v>
      </c>
      <c r="I858" s="2">
        <v>0.0</v>
      </c>
      <c r="J858" s="37">
        <v>0.0</v>
      </c>
      <c r="K858" s="2">
        <v>0.0</v>
      </c>
      <c r="L858" s="2">
        <v>0.0</v>
      </c>
      <c r="M858" s="37">
        <v>0.0</v>
      </c>
    </row>
    <row r="859" ht="14.25" customHeight="1">
      <c r="A859" t="s">
        <v>941</v>
      </c>
      <c r="B859" t="s">
        <v>638</v>
      </c>
      <c r="C859" t="s">
        <v>75</v>
      </c>
      <c r="D859" t="s">
        <v>63</v>
      </c>
      <c r="E859">
        <v>5.0</v>
      </c>
      <c r="F859">
        <v>6.0</v>
      </c>
      <c r="G859" s="2" t="s">
        <v>67</v>
      </c>
      <c r="H859" s="2">
        <v>16.0</v>
      </c>
      <c r="I859" s="2">
        <v>72.0</v>
      </c>
      <c r="J859" s="37">
        <v>452.96000000000004</v>
      </c>
      <c r="K859" s="2">
        <v>19.0</v>
      </c>
      <c r="L859" s="2">
        <v>123.0</v>
      </c>
      <c r="M859" s="37">
        <v>586.64</v>
      </c>
    </row>
    <row r="860" ht="14.25" customHeight="1">
      <c r="A860" t="s">
        <v>942</v>
      </c>
      <c r="B860" t="s">
        <v>638</v>
      </c>
      <c r="C860" t="s">
        <v>75</v>
      </c>
      <c r="D860" t="s">
        <v>63</v>
      </c>
      <c r="E860">
        <v>6.0</v>
      </c>
      <c r="F860">
        <v>7.0</v>
      </c>
      <c r="G860" s="2" t="s">
        <v>67</v>
      </c>
      <c r="H860" s="2">
        <v>20.0</v>
      </c>
      <c r="I860" s="2">
        <v>69.0</v>
      </c>
      <c r="J860" s="37">
        <v>538.9000000000001</v>
      </c>
      <c r="K860" s="2">
        <v>24.0</v>
      </c>
      <c r="L860" s="2">
        <v>131.0</v>
      </c>
      <c r="M860" s="37">
        <v>709.3399999999999</v>
      </c>
    </row>
    <row r="861" ht="14.25" customHeight="1">
      <c r="A861" t="s">
        <v>943</v>
      </c>
      <c r="B861" t="s">
        <v>638</v>
      </c>
      <c r="C861" t="s">
        <v>75</v>
      </c>
      <c r="D861" t="s">
        <v>63</v>
      </c>
      <c r="E861">
        <v>7.1</v>
      </c>
      <c r="F861">
        <v>8.0</v>
      </c>
      <c r="G861" s="2" t="s">
        <v>67</v>
      </c>
      <c r="H861" s="2">
        <v>22.0</v>
      </c>
      <c r="I861" s="2">
        <v>50.0</v>
      </c>
      <c r="J861" s="37">
        <v>559.12</v>
      </c>
      <c r="K861" s="2">
        <v>26.0</v>
      </c>
      <c r="L861" s="2">
        <v>123.0</v>
      </c>
      <c r="M861" s="37">
        <v>743.86</v>
      </c>
    </row>
    <row r="862" ht="14.25" customHeight="1">
      <c r="A862" t="s">
        <v>944</v>
      </c>
      <c r="B862" t="s">
        <v>638</v>
      </c>
      <c r="C862" t="s">
        <v>62</v>
      </c>
      <c r="D862" t="s">
        <v>63</v>
      </c>
      <c r="E862">
        <v>5.0</v>
      </c>
      <c r="F862">
        <v>6.0</v>
      </c>
      <c r="G862" s="2" t="s">
        <v>64</v>
      </c>
      <c r="H862" s="2">
        <v>0.0</v>
      </c>
      <c r="I862" s="2">
        <v>0.0</v>
      </c>
      <c r="J862" s="37">
        <v>0.0</v>
      </c>
      <c r="K862" s="2">
        <v>0.0</v>
      </c>
      <c r="L862" s="2">
        <v>0.0</v>
      </c>
      <c r="M862" s="37">
        <v>0.0</v>
      </c>
    </row>
    <row r="863" ht="14.25" customHeight="1">
      <c r="A863" t="s">
        <v>945</v>
      </c>
      <c r="B863" t="s">
        <v>638</v>
      </c>
      <c r="C863" t="s">
        <v>62</v>
      </c>
      <c r="D863" t="s">
        <v>63</v>
      </c>
      <c r="E863">
        <v>6.0</v>
      </c>
      <c r="F863">
        <v>7.1</v>
      </c>
      <c r="G863" s="2" t="s">
        <v>64</v>
      </c>
      <c r="H863" s="2">
        <v>0.0</v>
      </c>
      <c r="I863" s="2">
        <v>0.0</v>
      </c>
      <c r="J863" s="37">
        <v>0.0</v>
      </c>
      <c r="K863" s="2">
        <v>0.0</v>
      </c>
      <c r="L863" s="2">
        <v>0.0</v>
      </c>
      <c r="M863" s="37">
        <v>0.0</v>
      </c>
    </row>
    <row r="864" ht="14.25" customHeight="1">
      <c r="A864" t="s">
        <v>946</v>
      </c>
      <c r="B864" t="s">
        <v>638</v>
      </c>
      <c r="C864" t="s">
        <v>75</v>
      </c>
      <c r="D864" t="s">
        <v>63</v>
      </c>
      <c r="E864">
        <v>5.0</v>
      </c>
      <c r="F864">
        <v>6.0</v>
      </c>
      <c r="G864" s="2" t="s">
        <v>64</v>
      </c>
      <c r="H864" s="2">
        <v>0.0</v>
      </c>
      <c r="I864" s="2">
        <v>0.0</v>
      </c>
      <c r="J864" s="37">
        <v>0.0</v>
      </c>
      <c r="K864" s="2">
        <v>0.0</v>
      </c>
      <c r="L864" s="2">
        <v>0.0</v>
      </c>
      <c r="M864" s="37">
        <v>0.0</v>
      </c>
    </row>
    <row r="865" ht="14.25" customHeight="1">
      <c r="A865" t="s">
        <v>947</v>
      </c>
      <c r="B865" t="s">
        <v>638</v>
      </c>
      <c r="C865" t="s">
        <v>75</v>
      </c>
      <c r="D865" t="s">
        <v>63</v>
      </c>
      <c r="E865">
        <v>6.0</v>
      </c>
      <c r="F865">
        <v>7.1</v>
      </c>
      <c r="G865" s="2" t="s">
        <v>64</v>
      </c>
      <c r="H865" s="2">
        <v>0.0</v>
      </c>
      <c r="I865" s="2">
        <v>0.0</v>
      </c>
      <c r="J865" s="37">
        <v>0.0</v>
      </c>
      <c r="K865" s="2">
        <v>0.0</v>
      </c>
      <c r="L865" s="2">
        <v>0.0</v>
      </c>
      <c r="M865" s="37">
        <v>0.0</v>
      </c>
    </row>
    <row r="866" ht="14.25" customHeight="1">
      <c r="A866" t="s">
        <v>948</v>
      </c>
      <c r="B866" t="s">
        <v>638</v>
      </c>
      <c r="C866" t="s">
        <v>75</v>
      </c>
      <c r="D866" t="s">
        <v>63</v>
      </c>
      <c r="E866">
        <v>7.1</v>
      </c>
      <c r="F866">
        <v>8.0</v>
      </c>
      <c r="G866" s="2" t="s">
        <v>64</v>
      </c>
      <c r="H866" s="2">
        <v>0.0</v>
      </c>
      <c r="I866" s="2">
        <v>0.0</v>
      </c>
      <c r="J866" s="37">
        <v>0.0</v>
      </c>
      <c r="K866" s="2">
        <v>0.0</v>
      </c>
      <c r="L866" s="2">
        <v>0.0</v>
      </c>
      <c r="M866" s="37">
        <v>0.0</v>
      </c>
    </row>
    <row r="867" ht="14.25" customHeight="1">
      <c r="A867" t="s">
        <v>949</v>
      </c>
      <c r="B867" t="s">
        <v>638</v>
      </c>
      <c r="C867" t="s">
        <v>62</v>
      </c>
      <c r="D867" t="s">
        <v>63</v>
      </c>
      <c r="E867">
        <v>7.1</v>
      </c>
      <c r="F867">
        <v>8.0</v>
      </c>
      <c r="G867" s="2" t="s">
        <v>67</v>
      </c>
      <c r="H867" s="2">
        <v>21.0</v>
      </c>
      <c r="I867" s="2">
        <v>60.0</v>
      </c>
      <c r="J867" s="37">
        <v>549.6600000000001</v>
      </c>
      <c r="K867" s="2">
        <v>24.0</v>
      </c>
      <c r="L867" s="2">
        <v>125.0</v>
      </c>
      <c r="M867" s="37">
        <v>701.54</v>
      </c>
    </row>
    <row r="868" ht="14.25" customHeight="1">
      <c r="A868" t="s">
        <v>950</v>
      </c>
      <c r="B868" t="s">
        <v>638</v>
      </c>
      <c r="C868" t="s">
        <v>62</v>
      </c>
      <c r="D868" t="s">
        <v>63</v>
      </c>
      <c r="E868">
        <v>2.5</v>
      </c>
      <c r="F868">
        <v>3.2</v>
      </c>
      <c r="G868" s="2" t="s">
        <v>64</v>
      </c>
      <c r="H868" s="2">
        <v>0.0</v>
      </c>
      <c r="I868" s="2">
        <v>0.0</v>
      </c>
      <c r="J868" s="37">
        <v>0.0</v>
      </c>
      <c r="K868" s="2">
        <v>0.0</v>
      </c>
      <c r="L868" s="2">
        <v>0.0</v>
      </c>
      <c r="M868" s="37">
        <v>0.0</v>
      </c>
    </row>
    <row r="869" ht="14.25" customHeight="1">
      <c r="A869" t="s">
        <v>951</v>
      </c>
      <c r="B869" t="s">
        <v>638</v>
      </c>
      <c r="C869" t="s">
        <v>62</v>
      </c>
      <c r="D869" t="s">
        <v>63</v>
      </c>
      <c r="E869">
        <v>3.5</v>
      </c>
      <c r="F869">
        <v>4.2</v>
      </c>
      <c r="G869" s="2" t="s">
        <v>64</v>
      </c>
      <c r="H869" s="2">
        <v>0.0</v>
      </c>
      <c r="I869" s="2">
        <v>0.0</v>
      </c>
      <c r="J869" s="37">
        <v>0.0</v>
      </c>
      <c r="K869" s="2">
        <v>0.0</v>
      </c>
      <c r="L869" s="2">
        <v>0.0</v>
      </c>
      <c r="M869" s="37">
        <v>0.0</v>
      </c>
    </row>
    <row r="870" ht="14.25" customHeight="1">
      <c r="A870" t="s">
        <v>952</v>
      </c>
      <c r="B870" t="s">
        <v>638</v>
      </c>
      <c r="C870" t="s">
        <v>62</v>
      </c>
      <c r="D870" t="s">
        <v>63</v>
      </c>
      <c r="E870">
        <v>5.0</v>
      </c>
      <c r="F870">
        <v>6.0</v>
      </c>
      <c r="G870" s="2" t="s">
        <v>67</v>
      </c>
      <c r="H870" s="2">
        <v>17.0</v>
      </c>
      <c r="I870" s="2">
        <v>131.0</v>
      </c>
      <c r="J870" s="37">
        <v>552.12</v>
      </c>
      <c r="K870" s="2">
        <v>19.0</v>
      </c>
      <c r="L870" s="2">
        <v>176.0</v>
      </c>
      <c r="M870" s="37">
        <v>655.54</v>
      </c>
    </row>
    <row r="871" ht="14.25" customHeight="1">
      <c r="A871" t="s">
        <v>953</v>
      </c>
      <c r="B871" t="s">
        <v>638</v>
      </c>
      <c r="C871" t="s">
        <v>62</v>
      </c>
      <c r="D871" t="s">
        <v>63</v>
      </c>
      <c r="E871">
        <v>6.0</v>
      </c>
      <c r="F871">
        <v>7.1</v>
      </c>
      <c r="G871" s="2" t="s">
        <v>67</v>
      </c>
      <c r="H871" s="2">
        <v>19.0</v>
      </c>
      <c r="I871" s="2">
        <v>107.0</v>
      </c>
      <c r="J871" s="37">
        <v>565.84</v>
      </c>
      <c r="K871" s="2">
        <v>22.0</v>
      </c>
      <c r="L871" s="2">
        <v>162.0</v>
      </c>
      <c r="M871" s="37">
        <v>704.72</v>
      </c>
    </row>
    <row r="872" ht="14.25" customHeight="1">
      <c r="A872" t="s">
        <v>954</v>
      </c>
      <c r="B872" t="s">
        <v>638</v>
      </c>
      <c r="C872" t="s">
        <v>62</v>
      </c>
      <c r="D872" t="s">
        <v>63</v>
      </c>
      <c r="E872">
        <v>2.5</v>
      </c>
      <c r="F872">
        <v>3.0</v>
      </c>
      <c r="G872" s="2" t="s">
        <v>64</v>
      </c>
      <c r="H872" s="2">
        <v>0.0</v>
      </c>
      <c r="I872" s="2">
        <v>0.0</v>
      </c>
      <c r="J872" s="37">
        <v>0.0</v>
      </c>
      <c r="K872" s="2">
        <v>0.0</v>
      </c>
      <c r="L872" s="2">
        <v>0.0</v>
      </c>
      <c r="M872" s="37">
        <v>0.0</v>
      </c>
    </row>
    <row r="873" ht="14.25" customHeight="1">
      <c r="A873" t="s">
        <v>955</v>
      </c>
      <c r="B873" t="s">
        <v>638</v>
      </c>
      <c r="C873" t="s">
        <v>62</v>
      </c>
      <c r="D873" t="s">
        <v>63</v>
      </c>
      <c r="E873">
        <v>3.5</v>
      </c>
      <c r="F873">
        <v>3.7</v>
      </c>
      <c r="G873" s="2" t="s">
        <v>64</v>
      </c>
      <c r="H873" s="2">
        <v>0.0</v>
      </c>
      <c r="I873" s="2">
        <v>0.0</v>
      </c>
      <c r="J873" s="37">
        <v>0.0</v>
      </c>
      <c r="K873" s="2">
        <v>0.0</v>
      </c>
      <c r="L873" s="2">
        <v>0.0</v>
      </c>
      <c r="M873" s="37">
        <v>0.0</v>
      </c>
    </row>
    <row r="874" ht="14.25" customHeight="1">
      <c r="A874" t="s">
        <v>956</v>
      </c>
      <c r="B874" t="s">
        <v>638</v>
      </c>
      <c r="C874" t="s">
        <v>62</v>
      </c>
      <c r="D874" t="s">
        <v>63</v>
      </c>
      <c r="E874">
        <v>5.0</v>
      </c>
      <c r="F874">
        <v>5.2</v>
      </c>
      <c r="G874" s="2" t="s">
        <v>64</v>
      </c>
      <c r="H874" s="2">
        <v>0.0</v>
      </c>
      <c r="I874" s="2">
        <v>0.0</v>
      </c>
      <c r="J874" s="37">
        <v>0.0</v>
      </c>
      <c r="K874" s="2">
        <v>0.0</v>
      </c>
      <c r="L874" s="2">
        <v>0.0</v>
      </c>
      <c r="M874" s="37">
        <v>0.0</v>
      </c>
    </row>
    <row r="875" ht="14.25" customHeight="1">
      <c r="A875" t="s">
        <v>957</v>
      </c>
      <c r="B875" t="s">
        <v>638</v>
      </c>
      <c r="C875" t="s">
        <v>62</v>
      </c>
      <c r="D875" t="s">
        <v>63</v>
      </c>
      <c r="E875">
        <v>6.0</v>
      </c>
      <c r="F875">
        <v>6.5</v>
      </c>
      <c r="G875" s="2" t="s">
        <v>64</v>
      </c>
      <c r="H875" s="2">
        <v>0.0</v>
      </c>
      <c r="I875" s="2">
        <v>0.0</v>
      </c>
      <c r="J875" s="37">
        <v>0.0</v>
      </c>
      <c r="K875" s="2">
        <v>0.0</v>
      </c>
      <c r="L875" s="2">
        <v>0.0</v>
      </c>
      <c r="M875" s="37">
        <v>0.0</v>
      </c>
    </row>
    <row r="876" ht="14.25" customHeight="1">
      <c r="A876" t="s">
        <v>958</v>
      </c>
      <c r="B876" t="s">
        <v>638</v>
      </c>
      <c r="C876" t="s">
        <v>62</v>
      </c>
      <c r="D876" t="s">
        <v>63</v>
      </c>
      <c r="E876">
        <v>7.1</v>
      </c>
      <c r="F876">
        <v>8.0</v>
      </c>
      <c r="G876" s="2" t="s">
        <v>64</v>
      </c>
      <c r="H876" s="2">
        <v>0.0</v>
      </c>
      <c r="I876" s="2">
        <v>0.0</v>
      </c>
      <c r="J876" s="37">
        <v>0.0</v>
      </c>
      <c r="K876" s="2">
        <v>0.0</v>
      </c>
      <c r="L876" s="2">
        <v>0.0</v>
      </c>
      <c r="M876" s="37">
        <v>0.0</v>
      </c>
    </row>
    <row r="877" ht="14.25" customHeight="1">
      <c r="A877" t="s">
        <v>959</v>
      </c>
      <c r="B877" t="s">
        <v>638</v>
      </c>
      <c r="C877" t="s">
        <v>62</v>
      </c>
      <c r="D877" t="s">
        <v>63</v>
      </c>
      <c r="E877">
        <v>2.5</v>
      </c>
      <c r="F877">
        <v>3.2</v>
      </c>
      <c r="G877" s="2" t="s">
        <v>64</v>
      </c>
      <c r="H877" s="2">
        <v>0.0</v>
      </c>
      <c r="I877" s="2">
        <v>0.0</v>
      </c>
      <c r="J877" s="37">
        <v>0.0</v>
      </c>
      <c r="K877" s="2">
        <v>0.0</v>
      </c>
      <c r="L877" s="2">
        <v>0.0</v>
      </c>
      <c r="M877" s="37">
        <v>0.0</v>
      </c>
    </row>
    <row r="878" ht="14.25" customHeight="1">
      <c r="A878" t="s">
        <v>960</v>
      </c>
      <c r="B878" t="s">
        <v>638</v>
      </c>
      <c r="C878" t="s">
        <v>62</v>
      </c>
      <c r="D878" t="s">
        <v>63</v>
      </c>
      <c r="E878">
        <v>2.5</v>
      </c>
      <c r="F878">
        <v>3.2</v>
      </c>
      <c r="G878" s="2" t="s">
        <v>64</v>
      </c>
      <c r="H878" s="2">
        <v>0.0</v>
      </c>
      <c r="I878" s="2">
        <v>0.0</v>
      </c>
      <c r="J878" s="37">
        <v>0.0</v>
      </c>
      <c r="K878" s="2">
        <v>0.0</v>
      </c>
      <c r="L878" s="2">
        <v>0.0</v>
      </c>
      <c r="M878" s="37">
        <v>0.0</v>
      </c>
    </row>
    <row r="879" ht="14.25" customHeight="1">
      <c r="A879" t="s">
        <v>961</v>
      </c>
      <c r="B879" t="s">
        <v>638</v>
      </c>
      <c r="C879" t="s">
        <v>62</v>
      </c>
      <c r="D879" t="s">
        <v>63</v>
      </c>
      <c r="E879">
        <v>2.5</v>
      </c>
      <c r="F879">
        <v>3.2</v>
      </c>
      <c r="G879" s="2" t="s">
        <v>64</v>
      </c>
      <c r="H879" s="2">
        <v>0.0</v>
      </c>
      <c r="I879" s="2">
        <v>0.0</v>
      </c>
      <c r="J879" s="37">
        <v>0.0</v>
      </c>
      <c r="K879" s="2">
        <v>0.0</v>
      </c>
      <c r="L879" s="2">
        <v>0.0</v>
      </c>
      <c r="M879" s="37">
        <v>0.0</v>
      </c>
    </row>
    <row r="880" ht="14.25" customHeight="1">
      <c r="A880" t="s">
        <v>962</v>
      </c>
      <c r="B880" t="s">
        <v>638</v>
      </c>
      <c r="C880" t="s">
        <v>62</v>
      </c>
      <c r="D880" t="s">
        <v>63</v>
      </c>
      <c r="E880">
        <v>3.5</v>
      </c>
      <c r="F880">
        <v>3.7</v>
      </c>
      <c r="G880" s="2" t="s">
        <v>64</v>
      </c>
      <c r="H880" s="2">
        <v>0.0</v>
      </c>
      <c r="I880" s="2">
        <v>0.0</v>
      </c>
      <c r="J880" s="37">
        <v>0.0</v>
      </c>
      <c r="K880" s="2">
        <v>0.0</v>
      </c>
      <c r="L880" s="2">
        <v>0.0</v>
      </c>
      <c r="M880" s="37">
        <v>0.0</v>
      </c>
    </row>
    <row r="881" ht="14.25" customHeight="1">
      <c r="A881" t="s">
        <v>963</v>
      </c>
      <c r="B881" t="s">
        <v>638</v>
      </c>
      <c r="C881" t="s">
        <v>62</v>
      </c>
      <c r="D881" t="s">
        <v>63</v>
      </c>
      <c r="E881">
        <v>3.5</v>
      </c>
      <c r="F881">
        <v>3.7</v>
      </c>
      <c r="G881" s="2" t="s">
        <v>64</v>
      </c>
      <c r="H881" s="2">
        <v>0.0</v>
      </c>
      <c r="I881" s="2">
        <v>0.0</v>
      </c>
      <c r="J881" s="37">
        <v>0.0</v>
      </c>
      <c r="K881" s="2">
        <v>0.0</v>
      </c>
      <c r="L881" s="2">
        <v>0.0</v>
      </c>
      <c r="M881" s="37">
        <v>0.0</v>
      </c>
    </row>
    <row r="882" ht="14.25" customHeight="1">
      <c r="A882" t="s">
        <v>964</v>
      </c>
      <c r="B882" t="s">
        <v>638</v>
      </c>
      <c r="C882" t="s">
        <v>62</v>
      </c>
      <c r="D882" t="s">
        <v>63</v>
      </c>
      <c r="E882">
        <v>3.5</v>
      </c>
      <c r="F882">
        <v>3.7</v>
      </c>
      <c r="G882" s="2" t="s">
        <v>64</v>
      </c>
      <c r="H882" s="2">
        <v>0.0</v>
      </c>
      <c r="I882" s="2">
        <v>0.0</v>
      </c>
      <c r="J882" s="37">
        <v>0.0</v>
      </c>
      <c r="K882" s="2">
        <v>0.0</v>
      </c>
      <c r="L882" s="2">
        <v>0.0</v>
      </c>
      <c r="M882" s="37">
        <v>0.0</v>
      </c>
    </row>
    <row r="883" ht="14.25" customHeight="1">
      <c r="A883" t="s">
        <v>965</v>
      </c>
      <c r="B883" t="s">
        <v>638</v>
      </c>
      <c r="C883" t="s">
        <v>62</v>
      </c>
      <c r="D883" t="s">
        <v>63</v>
      </c>
      <c r="E883">
        <v>5.0</v>
      </c>
      <c r="F883">
        <v>6.0</v>
      </c>
      <c r="G883" s="2" t="s">
        <v>64</v>
      </c>
      <c r="H883" s="2">
        <v>0.0</v>
      </c>
      <c r="I883" s="2">
        <v>0.0</v>
      </c>
      <c r="J883" s="37">
        <v>0.0</v>
      </c>
      <c r="K883" s="2">
        <v>0.0</v>
      </c>
      <c r="L883" s="2">
        <v>0.0</v>
      </c>
      <c r="M883" s="37">
        <v>0.0</v>
      </c>
    </row>
    <row r="884" ht="14.25" customHeight="1">
      <c r="A884" t="s">
        <v>966</v>
      </c>
      <c r="B884" t="s">
        <v>638</v>
      </c>
      <c r="C884" t="s">
        <v>62</v>
      </c>
      <c r="D884" t="s">
        <v>63</v>
      </c>
      <c r="E884">
        <v>5.0</v>
      </c>
      <c r="F884">
        <v>6.0</v>
      </c>
      <c r="G884" s="2" t="s">
        <v>64</v>
      </c>
      <c r="H884" s="2">
        <v>0.0</v>
      </c>
      <c r="I884" s="2">
        <v>0.0</v>
      </c>
      <c r="J884" s="37">
        <v>0.0</v>
      </c>
      <c r="K884" s="2">
        <v>0.0</v>
      </c>
      <c r="L884" s="2">
        <v>0.0</v>
      </c>
      <c r="M884" s="37">
        <v>0.0</v>
      </c>
    </row>
    <row r="885" ht="14.25" customHeight="1">
      <c r="A885" t="s">
        <v>967</v>
      </c>
      <c r="B885" t="s">
        <v>638</v>
      </c>
      <c r="C885" t="s">
        <v>62</v>
      </c>
      <c r="D885" t="s">
        <v>63</v>
      </c>
      <c r="E885">
        <v>5.0</v>
      </c>
      <c r="F885">
        <v>6.0</v>
      </c>
      <c r="G885" s="2" t="s">
        <v>64</v>
      </c>
      <c r="H885" s="2">
        <v>0.0</v>
      </c>
      <c r="I885" s="2">
        <v>0.0</v>
      </c>
      <c r="J885" s="37">
        <v>0.0</v>
      </c>
      <c r="K885" s="2">
        <v>0.0</v>
      </c>
      <c r="L885" s="2">
        <v>0.0</v>
      </c>
      <c r="M885" s="37">
        <v>0.0</v>
      </c>
    </row>
    <row r="886" ht="14.25" customHeight="1">
      <c r="A886" t="s">
        <v>968</v>
      </c>
      <c r="B886" t="s">
        <v>638</v>
      </c>
      <c r="C886" t="s">
        <v>62</v>
      </c>
      <c r="D886" t="s">
        <v>63</v>
      </c>
      <c r="E886">
        <v>6.0</v>
      </c>
      <c r="F886">
        <v>7.2</v>
      </c>
      <c r="G886" s="2" t="s">
        <v>64</v>
      </c>
      <c r="H886" s="2">
        <v>0.0</v>
      </c>
      <c r="I886" s="2">
        <v>0.0</v>
      </c>
      <c r="J886" s="37">
        <v>0.0</v>
      </c>
      <c r="K886" s="2">
        <v>0.0</v>
      </c>
      <c r="L886" s="2">
        <v>0.0</v>
      </c>
      <c r="M886" s="37">
        <v>0.0</v>
      </c>
    </row>
    <row r="887" ht="14.25" customHeight="1">
      <c r="A887" t="s">
        <v>969</v>
      </c>
      <c r="B887" t="s">
        <v>638</v>
      </c>
      <c r="C887" t="s">
        <v>62</v>
      </c>
      <c r="D887" t="s">
        <v>63</v>
      </c>
      <c r="E887">
        <v>6.0</v>
      </c>
      <c r="F887">
        <v>7.2</v>
      </c>
      <c r="G887" s="2" t="s">
        <v>64</v>
      </c>
      <c r="H887" s="2">
        <v>0.0</v>
      </c>
      <c r="I887" s="2">
        <v>0.0</v>
      </c>
      <c r="J887" s="37">
        <v>0.0</v>
      </c>
      <c r="K887" s="2">
        <v>0.0</v>
      </c>
      <c r="L887" s="2">
        <v>0.0</v>
      </c>
      <c r="M887" s="37">
        <v>0.0</v>
      </c>
    </row>
    <row r="888" ht="14.25" customHeight="1">
      <c r="A888" t="s">
        <v>970</v>
      </c>
      <c r="B888" t="s">
        <v>638</v>
      </c>
      <c r="C888" t="s">
        <v>62</v>
      </c>
      <c r="D888" t="s">
        <v>63</v>
      </c>
      <c r="E888">
        <v>6.0</v>
      </c>
      <c r="F888">
        <v>7.2</v>
      </c>
      <c r="G888" s="2" t="s">
        <v>64</v>
      </c>
      <c r="H888" s="2">
        <v>0.0</v>
      </c>
      <c r="I888" s="2">
        <v>0.0</v>
      </c>
      <c r="J888" s="37">
        <v>0.0</v>
      </c>
      <c r="K888" s="2">
        <v>0.0</v>
      </c>
      <c r="L888" s="2">
        <v>0.0</v>
      </c>
      <c r="M888" s="37">
        <v>0.0</v>
      </c>
    </row>
    <row r="889" ht="14.25" customHeight="1">
      <c r="A889" t="s">
        <v>971</v>
      </c>
      <c r="B889" t="s">
        <v>638</v>
      </c>
      <c r="C889" t="s">
        <v>62</v>
      </c>
      <c r="D889" t="s">
        <v>63</v>
      </c>
      <c r="E889">
        <v>2.46</v>
      </c>
      <c r="F889">
        <v>2.9</v>
      </c>
      <c r="G889" s="2" t="s">
        <v>64</v>
      </c>
      <c r="H889" s="2">
        <v>0.0</v>
      </c>
      <c r="I889" s="2">
        <v>0.0</v>
      </c>
      <c r="J889" s="37">
        <v>0.0</v>
      </c>
      <c r="K889" s="2">
        <v>0.0</v>
      </c>
      <c r="L889" s="2">
        <v>0.0</v>
      </c>
      <c r="M889" s="37">
        <v>0.0</v>
      </c>
    </row>
    <row r="890" ht="14.25" customHeight="1">
      <c r="A890" t="s">
        <v>972</v>
      </c>
      <c r="B890" t="s">
        <v>638</v>
      </c>
      <c r="C890" t="s">
        <v>62</v>
      </c>
      <c r="D890" t="s">
        <v>63</v>
      </c>
      <c r="E890">
        <v>3.5</v>
      </c>
      <c r="F890">
        <v>4.52</v>
      </c>
      <c r="G890" s="2" t="s">
        <v>64</v>
      </c>
      <c r="H890" s="2">
        <v>0.0</v>
      </c>
      <c r="I890" s="2">
        <v>0.0</v>
      </c>
      <c r="J890" s="37">
        <v>0.0</v>
      </c>
      <c r="K890" s="2">
        <v>0.0</v>
      </c>
      <c r="L890" s="2">
        <v>0.0</v>
      </c>
      <c r="M890" s="37">
        <v>0.0</v>
      </c>
    </row>
    <row r="891" ht="14.25" customHeight="1">
      <c r="A891" t="s">
        <v>973</v>
      </c>
      <c r="B891" t="s">
        <v>638</v>
      </c>
      <c r="C891" t="s">
        <v>62</v>
      </c>
      <c r="D891" t="s">
        <v>63</v>
      </c>
      <c r="E891">
        <v>4.5</v>
      </c>
      <c r="F891">
        <v>5.56</v>
      </c>
      <c r="G891" s="2" t="s">
        <v>64</v>
      </c>
      <c r="H891" s="2">
        <v>0.0</v>
      </c>
      <c r="I891" s="2">
        <v>0.0</v>
      </c>
      <c r="J891" s="37">
        <v>0.0</v>
      </c>
      <c r="K891" s="2">
        <v>0.0</v>
      </c>
      <c r="L891" s="2">
        <v>0.0</v>
      </c>
      <c r="M891" s="37">
        <v>0.0</v>
      </c>
    </row>
    <row r="892" ht="14.25" customHeight="1">
      <c r="A892" t="s">
        <v>974</v>
      </c>
      <c r="B892" t="s">
        <v>638</v>
      </c>
      <c r="C892" t="s">
        <v>62</v>
      </c>
      <c r="D892" t="s">
        <v>63</v>
      </c>
      <c r="E892">
        <v>5.0</v>
      </c>
      <c r="F892">
        <v>5.8</v>
      </c>
      <c r="G892" s="2" t="s">
        <v>67</v>
      </c>
      <c r="H892" s="2">
        <v>16.0</v>
      </c>
      <c r="I892" s="2">
        <v>77.0</v>
      </c>
      <c r="J892" s="37">
        <v>459.46000000000004</v>
      </c>
      <c r="K892" s="2">
        <v>19.0</v>
      </c>
      <c r="L892" s="2">
        <v>123.0</v>
      </c>
      <c r="M892" s="37">
        <v>586.64</v>
      </c>
    </row>
    <row r="893" ht="14.25" customHeight="1">
      <c r="A893" t="s">
        <v>975</v>
      </c>
      <c r="B893" t="s">
        <v>638</v>
      </c>
      <c r="C893" t="s">
        <v>62</v>
      </c>
      <c r="D893" t="s">
        <v>63</v>
      </c>
      <c r="E893">
        <v>6.0</v>
      </c>
      <c r="F893">
        <v>7.0</v>
      </c>
      <c r="G893" s="2" t="s">
        <v>64</v>
      </c>
      <c r="H893" s="2">
        <v>0.0</v>
      </c>
      <c r="I893" s="2">
        <v>0.0</v>
      </c>
      <c r="J893" s="37">
        <v>0.0</v>
      </c>
      <c r="K893" s="2">
        <v>0.0</v>
      </c>
      <c r="L893" s="2">
        <v>0.0</v>
      </c>
      <c r="M893" s="37">
        <v>0.0</v>
      </c>
    </row>
    <row r="894" ht="14.25" customHeight="1">
      <c r="A894" t="s">
        <v>976</v>
      </c>
      <c r="B894" t="s">
        <v>638</v>
      </c>
      <c r="C894" t="s">
        <v>62</v>
      </c>
      <c r="D894" t="s">
        <v>63</v>
      </c>
      <c r="E894">
        <v>7.1</v>
      </c>
      <c r="F894">
        <v>7.65</v>
      </c>
      <c r="G894" s="2" t="s">
        <v>64</v>
      </c>
      <c r="H894" s="2">
        <v>0.0</v>
      </c>
      <c r="I894" s="2">
        <v>0.0</v>
      </c>
      <c r="J894" s="37">
        <v>0.0</v>
      </c>
      <c r="K894" s="2">
        <v>0.0</v>
      </c>
      <c r="L894" s="2">
        <v>0.0</v>
      </c>
      <c r="M894" s="37">
        <v>0.0</v>
      </c>
    </row>
    <row r="895" ht="14.25" customHeight="1">
      <c r="A895" t="s">
        <v>977</v>
      </c>
      <c r="B895" t="s">
        <v>638</v>
      </c>
      <c r="C895" t="s">
        <v>62</v>
      </c>
      <c r="D895" t="s">
        <v>63</v>
      </c>
      <c r="E895">
        <v>5.0</v>
      </c>
      <c r="F895">
        <v>6.0</v>
      </c>
      <c r="G895" s="2" t="s">
        <v>64</v>
      </c>
      <c r="H895" s="2">
        <v>0.0</v>
      </c>
      <c r="I895" s="2">
        <v>0.0</v>
      </c>
      <c r="J895" s="37">
        <v>0.0</v>
      </c>
      <c r="K895" s="2">
        <v>0.0</v>
      </c>
      <c r="L895" s="2">
        <v>0.0</v>
      </c>
      <c r="M895" s="37">
        <v>0.0</v>
      </c>
    </row>
    <row r="896" ht="14.25" customHeight="1">
      <c r="A896" t="s">
        <v>978</v>
      </c>
      <c r="B896" t="s">
        <v>638</v>
      </c>
      <c r="C896" t="s">
        <v>62</v>
      </c>
      <c r="D896" t="s">
        <v>63</v>
      </c>
      <c r="E896">
        <v>6.0</v>
      </c>
      <c r="F896">
        <v>7.1</v>
      </c>
      <c r="G896" s="2" t="s">
        <v>67</v>
      </c>
      <c r="H896" s="2">
        <v>21.0</v>
      </c>
      <c r="I896" s="2">
        <v>128.0</v>
      </c>
      <c r="J896" s="37">
        <v>638.0600000000001</v>
      </c>
      <c r="K896" s="2">
        <v>24.0</v>
      </c>
      <c r="L896" s="2">
        <v>183.0</v>
      </c>
      <c r="M896" s="37">
        <v>776.9399999999999</v>
      </c>
    </row>
    <row r="897" ht="14.25" customHeight="1">
      <c r="A897" t="s">
        <v>979</v>
      </c>
      <c r="B897" t="s">
        <v>638</v>
      </c>
      <c r="C897" t="s">
        <v>62</v>
      </c>
      <c r="D897" t="s">
        <v>63</v>
      </c>
      <c r="E897">
        <v>7.1</v>
      </c>
      <c r="F897">
        <v>8.0</v>
      </c>
      <c r="G897" s="2" t="s">
        <v>64</v>
      </c>
      <c r="H897" s="2">
        <v>0.0</v>
      </c>
      <c r="I897" s="2">
        <v>0.0</v>
      </c>
      <c r="J897" s="37">
        <v>0.0</v>
      </c>
      <c r="K897" s="2">
        <v>0.0</v>
      </c>
      <c r="L897" s="2">
        <v>0.0</v>
      </c>
      <c r="M897" s="37">
        <v>0.0</v>
      </c>
    </row>
    <row r="898" ht="14.25" customHeight="1">
      <c r="A898" t="s">
        <v>980</v>
      </c>
      <c r="B898" t="s">
        <v>638</v>
      </c>
      <c r="C898" t="s">
        <v>62</v>
      </c>
      <c r="D898" t="s">
        <v>63</v>
      </c>
      <c r="E898">
        <v>7.1</v>
      </c>
      <c r="F898">
        <v>8.0</v>
      </c>
      <c r="G898" s="2" t="s">
        <v>64</v>
      </c>
      <c r="H898" s="2">
        <v>0.0</v>
      </c>
      <c r="I898" s="2">
        <v>0.0</v>
      </c>
      <c r="J898" s="37">
        <v>0.0</v>
      </c>
      <c r="K898" s="2">
        <v>0.0</v>
      </c>
      <c r="L898" s="2">
        <v>0.0</v>
      </c>
      <c r="M898" s="37">
        <v>0.0</v>
      </c>
    </row>
    <row r="899" ht="14.25" customHeight="1">
      <c r="A899" t="s">
        <v>981</v>
      </c>
      <c r="B899" t="s">
        <v>638</v>
      </c>
      <c r="C899" t="s">
        <v>62</v>
      </c>
      <c r="D899" t="s">
        <v>63</v>
      </c>
      <c r="E899">
        <v>8.5</v>
      </c>
      <c r="F899">
        <v>10.0</v>
      </c>
      <c r="G899" s="2" t="s">
        <v>67</v>
      </c>
      <c r="H899" s="2">
        <v>28.0</v>
      </c>
      <c r="I899" s="2">
        <v>189.0</v>
      </c>
      <c r="J899" s="37">
        <v>874.58</v>
      </c>
      <c r="K899" s="2">
        <v>32.0</v>
      </c>
      <c r="L899" s="2">
        <v>267.0</v>
      </c>
      <c r="M899" s="37">
        <v>1065.8200000000002</v>
      </c>
    </row>
    <row r="900" ht="14.25" customHeight="1">
      <c r="A900" t="s">
        <v>982</v>
      </c>
      <c r="B900" t="s">
        <v>638</v>
      </c>
      <c r="C900" t="s">
        <v>62</v>
      </c>
      <c r="D900" t="s">
        <v>63</v>
      </c>
      <c r="E900">
        <v>8.5</v>
      </c>
      <c r="F900">
        <v>10.0</v>
      </c>
      <c r="G900" s="2" t="s">
        <v>67</v>
      </c>
      <c r="H900" s="2">
        <v>28.0</v>
      </c>
      <c r="I900" s="2">
        <v>189.0</v>
      </c>
      <c r="J900" s="37">
        <v>874.58</v>
      </c>
      <c r="K900" s="2">
        <v>32.0</v>
      </c>
      <c r="L900" s="2">
        <v>267.0</v>
      </c>
      <c r="M900" s="37">
        <v>1065.8200000000002</v>
      </c>
    </row>
    <row r="901" ht="14.25" customHeight="1">
      <c r="A901" t="s">
        <v>983</v>
      </c>
      <c r="B901" t="s">
        <v>638</v>
      </c>
      <c r="C901" t="s">
        <v>62</v>
      </c>
      <c r="D901" t="s">
        <v>63</v>
      </c>
      <c r="E901">
        <v>10.0</v>
      </c>
      <c r="F901">
        <v>12.0</v>
      </c>
      <c r="G901" s="2" t="s">
        <v>67</v>
      </c>
      <c r="H901" s="2">
        <v>40.0</v>
      </c>
      <c r="I901" s="2">
        <v>252.0</v>
      </c>
      <c r="J901" s="37">
        <v>1226.0</v>
      </c>
      <c r="K901" s="2">
        <v>46.0</v>
      </c>
      <c r="L901" s="2">
        <v>354.0</v>
      </c>
      <c r="M901" s="37">
        <v>1493.3600000000001</v>
      </c>
    </row>
    <row r="902" ht="14.25" customHeight="1">
      <c r="A902" t="s">
        <v>984</v>
      </c>
      <c r="B902" t="s">
        <v>638</v>
      </c>
      <c r="C902" t="s">
        <v>62</v>
      </c>
      <c r="D902" t="s">
        <v>63</v>
      </c>
      <c r="E902">
        <v>10.0</v>
      </c>
      <c r="F902">
        <v>12.0</v>
      </c>
      <c r="G902" s="2" t="s">
        <v>67</v>
      </c>
      <c r="H902" s="2">
        <v>40.0</v>
      </c>
      <c r="I902" s="2">
        <v>252.0</v>
      </c>
      <c r="J902" s="37">
        <v>1226.0</v>
      </c>
      <c r="K902" s="2">
        <v>46.0</v>
      </c>
      <c r="L902" s="2">
        <v>354.0</v>
      </c>
      <c r="M902" s="37">
        <v>1493.3600000000001</v>
      </c>
    </row>
    <row r="903" ht="14.25" customHeight="1">
      <c r="A903" t="s">
        <v>985</v>
      </c>
      <c r="B903" t="s">
        <v>638</v>
      </c>
      <c r="C903" t="s">
        <v>62</v>
      </c>
      <c r="D903" t="s">
        <v>63</v>
      </c>
      <c r="E903">
        <v>12.5</v>
      </c>
      <c r="F903">
        <v>15.0</v>
      </c>
      <c r="G903" s="2" t="s">
        <v>67</v>
      </c>
      <c r="H903" s="2">
        <v>48.0</v>
      </c>
      <c r="I903" s="2">
        <v>232.0</v>
      </c>
      <c r="J903" s="37">
        <v>1379.6799999999998</v>
      </c>
      <c r="K903" s="2">
        <v>55.0</v>
      </c>
      <c r="L903" s="2">
        <v>360.0</v>
      </c>
      <c r="M903" s="37">
        <v>1703.3</v>
      </c>
    </row>
    <row r="904" ht="14.25" customHeight="1">
      <c r="A904" t="s">
        <v>986</v>
      </c>
      <c r="B904" t="s">
        <v>638</v>
      </c>
      <c r="C904" t="s">
        <v>62</v>
      </c>
      <c r="D904" t="s">
        <v>63</v>
      </c>
      <c r="E904">
        <v>12.5</v>
      </c>
      <c r="F904">
        <v>15.0</v>
      </c>
      <c r="G904" s="2" t="s">
        <v>67</v>
      </c>
      <c r="H904" s="2">
        <v>48.0</v>
      </c>
      <c r="I904" s="2">
        <v>232.0</v>
      </c>
      <c r="J904" s="37">
        <v>1379.6799999999998</v>
      </c>
      <c r="K904" s="2">
        <v>55.0</v>
      </c>
      <c r="L904" s="2">
        <v>360.0</v>
      </c>
      <c r="M904" s="37">
        <v>1703.3</v>
      </c>
    </row>
    <row r="905" ht="14.25" customHeight="1">
      <c r="A905" t="s">
        <v>987</v>
      </c>
      <c r="B905" t="s">
        <v>638</v>
      </c>
      <c r="C905" t="s">
        <v>62</v>
      </c>
      <c r="D905" t="s">
        <v>63</v>
      </c>
      <c r="E905">
        <v>14.0</v>
      </c>
      <c r="F905">
        <v>16.5</v>
      </c>
      <c r="G905" s="2" t="s">
        <v>67</v>
      </c>
      <c r="H905" s="2">
        <v>53.0</v>
      </c>
      <c r="I905" s="2">
        <v>240.0</v>
      </c>
      <c r="J905" s="37">
        <v>1502.38</v>
      </c>
      <c r="K905" s="2">
        <v>60.0</v>
      </c>
      <c r="L905" s="2">
        <v>384.0</v>
      </c>
      <c r="M905" s="37">
        <v>1846.8000000000002</v>
      </c>
    </row>
    <row r="906" ht="14.25" customHeight="1">
      <c r="A906" t="s">
        <v>988</v>
      </c>
      <c r="B906" t="s">
        <v>638</v>
      </c>
      <c r="C906" t="s">
        <v>62</v>
      </c>
      <c r="D906" t="s">
        <v>63</v>
      </c>
      <c r="E906">
        <v>14.0</v>
      </c>
      <c r="F906">
        <v>16.5</v>
      </c>
      <c r="G906" s="2" t="s">
        <v>67</v>
      </c>
      <c r="H906" s="2">
        <v>53.0</v>
      </c>
      <c r="I906" s="2">
        <v>240.0</v>
      </c>
      <c r="J906" s="37">
        <v>1502.38</v>
      </c>
      <c r="K906" s="2">
        <v>60.0</v>
      </c>
      <c r="L906" s="2">
        <v>384.0</v>
      </c>
      <c r="M906" s="37">
        <v>1846.8000000000002</v>
      </c>
    </row>
    <row r="907" ht="14.25" customHeight="1">
      <c r="A907" t="s">
        <v>989</v>
      </c>
      <c r="B907" t="s">
        <v>638</v>
      </c>
      <c r="C907" t="s">
        <v>62</v>
      </c>
      <c r="D907" t="s">
        <v>63</v>
      </c>
      <c r="E907">
        <v>7.1</v>
      </c>
      <c r="F907">
        <v>8.0</v>
      </c>
      <c r="G907" s="2" t="s">
        <v>64</v>
      </c>
      <c r="H907" s="2">
        <v>0.0</v>
      </c>
      <c r="I907" s="2">
        <v>0.0</v>
      </c>
      <c r="J907" s="37">
        <v>0.0</v>
      </c>
      <c r="K907" s="2">
        <v>0.0</v>
      </c>
      <c r="L907" s="2">
        <v>0.0</v>
      </c>
      <c r="M907" s="37">
        <v>0.0</v>
      </c>
    </row>
    <row r="908" ht="14.25" customHeight="1">
      <c r="A908" t="s">
        <v>990</v>
      </c>
      <c r="B908" t="s">
        <v>638</v>
      </c>
      <c r="C908" t="s">
        <v>62</v>
      </c>
      <c r="D908" t="s">
        <v>63</v>
      </c>
      <c r="E908">
        <v>7.1</v>
      </c>
      <c r="F908">
        <v>8.0</v>
      </c>
      <c r="G908" s="2" t="s">
        <v>64</v>
      </c>
      <c r="H908" s="2">
        <v>0.0</v>
      </c>
      <c r="I908" s="2">
        <v>0.0</v>
      </c>
      <c r="J908" s="37">
        <v>0.0</v>
      </c>
      <c r="K908" s="2">
        <v>0.0</v>
      </c>
      <c r="L908" s="2">
        <v>0.0</v>
      </c>
      <c r="M908" s="37">
        <v>0.0</v>
      </c>
    </row>
    <row r="909" ht="14.25" customHeight="1">
      <c r="A909" t="s">
        <v>991</v>
      </c>
      <c r="B909" t="s">
        <v>638</v>
      </c>
      <c r="C909" t="s">
        <v>62</v>
      </c>
      <c r="D909" t="s">
        <v>63</v>
      </c>
      <c r="E909">
        <v>8.5</v>
      </c>
      <c r="F909">
        <v>10.0</v>
      </c>
      <c r="G909" s="2" t="s">
        <v>64</v>
      </c>
      <c r="H909" s="2">
        <v>0.0</v>
      </c>
      <c r="I909" s="2">
        <v>0.0</v>
      </c>
      <c r="J909" s="37">
        <v>0.0</v>
      </c>
      <c r="K909" s="2">
        <v>0.0</v>
      </c>
      <c r="L909" s="2">
        <v>0.0</v>
      </c>
      <c r="M909" s="37">
        <v>0.0</v>
      </c>
    </row>
    <row r="910" ht="14.25" customHeight="1">
      <c r="A910" t="s">
        <v>992</v>
      </c>
      <c r="B910" t="s">
        <v>638</v>
      </c>
      <c r="C910" t="s">
        <v>62</v>
      </c>
      <c r="D910" t="s">
        <v>63</v>
      </c>
      <c r="E910">
        <v>8.5</v>
      </c>
      <c r="F910">
        <v>10.0</v>
      </c>
      <c r="G910" s="2" t="s">
        <v>64</v>
      </c>
      <c r="H910" s="2">
        <v>0.0</v>
      </c>
      <c r="I910" s="2">
        <v>0.0</v>
      </c>
      <c r="J910" s="37">
        <v>0.0</v>
      </c>
      <c r="K910" s="2">
        <v>0.0</v>
      </c>
      <c r="L910" s="2">
        <v>0.0</v>
      </c>
      <c r="M910" s="37">
        <v>0.0</v>
      </c>
    </row>
    <row r="911" ht="14.25" customHeight="1">
      <c r="A911" t="s">
        <v>993</v>
      </c>
      <c r="B911" t="s">
        <v>638</v>
      </c>
      <c r="C911" t="s">
        <v>62</v>
      </c>
      <c r="D911" t="s">
        <v>63</v>
      </c>
      <c r="E911">
        <v>10.0</v>
      </c>
      <c r="F911">
        <v>12.0</v>
      </c>
      <c r="G911" s="2" t="s">
        <v>67</v>
      </c>
      <c r="H911" s="2">
        <v>37.0</v>
      </c>
      <c r="I911" s="2">
        <v>132.0</v>
      </c>
      <c r="J911" s="37">
        <v>1002.62</v>
      </c>
      <c r="K911" s="2">
        <v>43.0</v>
      </c>
      <c r="L911" s="2">
        <v>235.0</v>
      </c>
      <c r="M911" s="37">
        <v>1271.2800000000002</v>
      </c>
    </row>
    <row r="912" ht="14.25" customHeight="1">
      <c r="A912" t="s">
        <v>994</v>
      </c>
      <c r="B912" t="s">
        <v>638</v>
      </c>
      <c r="C912" t="s">
        <v>62</v>
      </c>
      <c r="D912" t="s">
        <v>63</v>
      </c>
      <c r="E912">
        <v>10.0</v>
      </c>
      <c r="F912">
        <v>12.0</v>
      </c>
      <c r="G912" s="2" t="s">
        <v>67</v>
      </c>
      <c r="H912" s="2">
        <v>37.0</v>
      </c>
      <c r="I912" s="2">
        <v>132.0</v>
      </c>
      <c r="J912" s="37">
        <v>1002.62</v>
      </c>
      <c r="K912" s="2">
        <v>43.0</v>
      </c>
      <c r="L912" s="2">
        <v>235.0</v>
      </c>
      <c r="M912" s="37">
        <v>1271.2800000000002</v>
      </c>
    </row>
    <row r="913" ht="14.25" customHeight="1">
      <c r="A913" t="s">
        <v>995</v>
      </c>
      <c r="B913" t="s">
        <v>638</v>
      </c>
      <c r="C913" t="s">
        <v>62</v>
      </c>
      <c r="D913" t="s">
        <v>63</v>
      </c>
      <c r="E913">
        <v>12.5</v>
      </c>
      <c r="F913">
        <v>15.0</v>
      </c>
      <c r="G913" s="2" t="s">
        <v>67</v>
      </c>
      <c r="H913" s="2">
        <v>44.0</v>
      </c>
      <c r="I913" s="2">
        <v>111.0</v>
      </c>
      <c r="J913" s="37">
        <v>1132.54</v>
      </c>
      <c r="K913" s="2">
        <v>51.0</v>
      </c>
      <c r="L913" s="2">
        <v>239.0</v>
      </c>
      <c r="M913" s="37">
        <v>1456.16</v>
      </c>
    </row>
    <row r="914" ht="14.25" customHeight="1">
      <c r="A914" t="s">
        <v>996</v>
      </c>
      <c r="B914" t="s">
        <v>638</v>
      </c>
      <c r="C914" t="s">
        <v>62</v>
      </c>
      <c r="D914" t="s">
        <v>63</v>
      </c>
      <c r="E914">
        <v>12.5</v>
      </c>
      <c r="F914">
        <v>15.0</v>
      </c>
      <c r="G914" s="2" t="s">
        <v>67</v>
      </c>
      <c r="H914" s="2">
        <v>44.0</v>
      </c>
      <c r="I914" s="2">
        <v>111.0</v>
      </c>
      <c r="J914" s="37">
        <v>1132.54</v>
      </c>
      <c r="K914" s="2">
        <v>51.0</v>
      </c>
      <c r="L914" s="2">
        <v>239.0</v>
      </c>
      <c r="M914" s="37">
        <v>1456.16</v>
      </c>
    </row>
    <row r="915" ht="14.25" customHeight="1">
      <c r="A915" t="s">
        <v>997</v>
      </c>
      <c r="B915" t="s">
        <v>638</v>
      </c>
      <c r="C915" t="s">
        <v>62</v>
      </c>
      <c r="D915" t="s">
        <v>63</v>
      </c>
      <c r="E915">
        <v>14.0</v>
      </c>
      <c r="F915">
        <v>16.5</v>
      </c>
      <c r="G915" s="2" t="s">
        <v>67</v>
      </c>
      <c r="H915" s="2">
        <v>48.0</v>
      </c>
      <c r="I915" s="2">
        <v>114.0</v>
      </c>
      <c r="J915" s="37">
        <v>1226.28</v>
      </c>
      <c r="K915" s="2">
        <v>56.0</v>
      </c>
      <c r="L915" s="2">
        <v>257.0</v>
      </c>
      <c r="M915" s="37">
        <v>1591.8600000000001</v>
      </c>
    </row>
    <row r="916" ht="14.25" customHeight="1">
      <c r="A916" t="s">
        <v>998</v>
      </c>
      <c r="B916" t="s">
        <v>638</v>
      </c>
      <c r="C916" t="s">
        <v>62</v>
      </c>
      <c r="D916" t="s">
        <v>63</v>
      </c>
      <c r="E916">
        <v>14.0</v>
      </c>
      <c r="F916">
        <v>16.5</v>
      </c>
      <c r="G916" s="2" t="s">
        <v>67</v>
      </c>
      <c r="H916" s="2">
        <v>48.0</v>
      </c>
      <c r="I916" s="2">
        <v>114.0</v>
      </c>
      <c r="J916" s="37">
        <v>1226.28</v>
      </c>
      <c r="K916" s="2">
        <v>56.0</v>
      </c>
      <c r="L916" s="2">
        <v>257.0</v>
      </c>
      <c r="M916" s="37">
        <v>1591.8600000000001</v>
      </c>
    </row>
    <row r="917" ht="14.25" customHeight="1">
      <c r="A917" t="s">
        <v>999</v>
      </c>
      <c r="B917" t="s">
        <v>638</v>
      </c>
      <c r="C917" t="s">
        <v>75</v>
      </c>
      <c r="D917" t="s">
        <v>63</v>
      </c>
      <c r="E917">
        <v>7.1</v>
      </c>
      <c r="F917">
        <v>7.5</v>
      </c>
      <c r="G917" s="2" t="s">
        <v>64</v>
      </c>
      <c r="H917" s="2">
        <v>0.0</v>
      </c>
      <c r="I917" s="2">
        <v>0.0</v>
      </c>
      <c r="J917" s="37">
        <v>0.0</v>
      </c>
      <c r="K917" s="2">
        <v>0.0</v>
      </c>
      <c r="L917" s="2">
        <v>0.0</v>
      </c>
      <c r="M917" s="37">
        <v>0.0</v>
      </c>
    </row>
    <row r="918" ht="14.25" customHeight="1">
      <c r="A918" t="s">
        <v>1000</v>
      </c>
      <c r="B918" t="s">
        <v>638</v>
      </c>
      <c r="C918" t="s">
        <v>75</v>
      </c>
      <c r="D918" t="s">
        <v>63</v>
      </c>
      <c r="E918">
        <v>7.1</v>
      </c>
      <c r="F918">
        <v>7.5</v>
      </c>
      <c r="G918" s="2" t="s">
        <v>64</v>
      </c>
      <c r="H918" s="2">
        <v>0.0</v>
      </c>
      <c r="I918" s="2">
        <v>0.0</v>
      </c>
      <c r="J918" s="37">
        <v>0.0</v>
      </c>
      <c r="K918" s="2">
        <v>0.0</v>
      </c>
      <c r="L918" s="2">
        <v>0.0</v>
      </c>
      <c r="M918" s="37">
        <v>0.0</v>
      </c>
    </row>
    <row r="919" ht="14.25" customHeight="1">
      <c r="A919" t="s">
        <v>1001</v>
      </c>
      <c r="B919" t="s">
        <v>638</v>
      </c>
      <c r="C919" t="s">
        <v>75</v>
      </c>
      <c r="D919" t="s">
        <v>63</v>
      </c>
      <c r="E919">
        <v>12.5</v>
      </c>
      <c r="F919">
        <v>15.0</v>
      </c>
      <c r="G919" s="2" t="s">
        <v>64</v>
      </c>
      <c r="H919" s="2">
        <v>0.0</v>
      </c>
      <c r="I919" s="2">
        <v>0.0</v>
      </c>
      <c r="J919" s="37">
        <v>0.0</v>
      </c>
      <c r="K919" s="2">
        <v>0.0</v>
      </c>
      <c r="L919" s="2">
        <v>0.0</v>
      </c>
      <c r="M919" s="37">
        <v>0.0</v>
      </c>
    </row>
    <row r="920" ht="14.25" customHeight="1">
      <c r="A920" t="s">
        <v>1002</v>
      </c>
      <c r="B920" t="s">
        <v>638</v>
      </c>
      <c r="C920" t="s">
        <v>75</v>
      </c>
      <c r="D920" t="s">
        <v>63</v>
      </c>
      <c r="E920">
        <v>12.5</v>
      </c>
      <c r="F920">
        <v>15.0</v>
      </c>
      <c r="G920" s="2" t="s">
        <v>64</v>
      </c>
      <c r="H920" s="2">
        <v>0.0</v>
      </c>
      <c r="I920" s="2">
        <v>0.0</v>
      </c>
      <c r="J920" s="37">
        <v>0.0</v>
      </c>
      <c r="K920" s="2">
        <v>0.0</v>
      </c>
      <c r="L920" s="2">
        <v>0.0</v>
      </c>
      <c r="M920" s="37">
        <v>0.0</v>
      </c>
    </row>
    <row r="921" ht="14.25" customHeight="1">
      <c r="A921" t="s">
        <v>1003</v>
      </c>
      <c r="B921" t="s">
        <v>638</v>
      </c>
      <c r="C921" t="s">
        <v>75</v>
      </c>
      <c r="D921" t="s">
        <v>63</v>
      </c>
      <c r="E921">
        <v>15.5</v>
      </c>
      <c r="F921">
        <v>18.0</v>
      </c>
      <c r="G921" s="2" t="s">
        <v>64</v>
      </c>
      <c r="H921" s="2">
        <v>0.0</v>
      </c>
      <c r="I921" s="2">
        <v>0.0</v>
      </c>
      <c r="J921" s="37">
        <v>0.0</v>
      </c>
      <c r="K921" s="2">
        <v>0.0</v>
      </c>
      <c r="L921" s="2">
        <v>0.0</v>
      </c>
      <c r="M921" s="37">
        <v>0.0</v>
      </c>
    </row>
    <row r="922" ht="14.25" customHeight="1">
      <c r="A922" t="s">
        <v>1004</v>
      </c>
      <c r="B922" t="s">
        <v>638</v>
      </c>
      <c r="C922" t="s">
        <v>75</v>
      </c>
      <c r="D922" t="s">
        <v>63</v>
      </c>
      <c r="E922">
        <v>15.5</v>
      </c>
      <c r="F922">
        <v>18.0</v>
      </c>
      <c r="G922" s="2" t="s">
        <v>64</v>
      </c>
      <c r="H922" s="2">
        <v>0.0</v>
      </c>
      <c r="I922" s="2">
        <v>0.0</v>
      </c>
      <c r="J922" s="37">
        <v>0.0</v>
      </c>
      <c r="K922" s="2">
        <v>0.0</v>
      </c>
      <c r="L922" s="2">
        <v>0.0</v>
      </c>
      <c r="M922" s="37">
        <v>0.0</v>
      </c>
    </row>
    <row r="923" ht="14.25" customHeight="1">
      <c r="A923" t="s">
        <v>1005</v>
      </c>
      <c r="B923" t="s">
        <v>638</v>
      </c>
      <c r="C923" t="s">
        <v>75</v>
      </c>
      <c r="D923" t="s">
        <v>63</v>
      </c>
      <c r="E923">
        <v>7.1</v>
      </c>
      <c r="F923">
        <v>7.5</v>
      </c>
      <c r="G923" s="2" t="s">
        <v>64</v>
      </c>
      <c r="H923" s="2">
        <v>0.0</v>
      </c>
      <c r="I923" s="2">
        <v>0.0</v>
      </c>
      <c r="J923" s="37">
        <v>0.0</v>
      </c>
      <c r="K923" s="2">
        <v>0.0</v>
      </c>
      <c r="L923" s="2">
        <v>0.0</v>
      </c>
      <c r="M923" s="37">
        <v>0.0</v>
      </c>
    </row>
    <row r="924" ht="14.25" customHeight="1">
      <c r="A924" t="s">
        <v>1006</v>
      </c>
      <c r="B924" t="s">
        <v>638</v>
      </c>
      <c r="C924" t="s">
        <v>75</v>
      </c>
      <c r="D924" t="s">
        <v>63</v>
      </c>
      <c r="E924">
        <v>12.5</v>
      </c>
      <c r="F924">
        <v>15.0</v>
      </c>
      <c r="G924" s="2" t="s">
        <v>64</v>
      </c>
      <c r="H924" s="2">
        <v>0.0</v>
      </c>
      <c r="I924" s="2">
        <v>0.0</v>
      </c>
      <c r="J924" s="37">
        <v>0.0</v>
      </c>
      <c r="K924" s="2">
        <v>0.0</v>
      </c>
      <c r="L924" s="2">
        <v>0.0</v>
      </c>
      <c r="M924" s="37">
        <v>0.0</v>
      </c>
    </row>
    <row r="925" ht="14.25" customHeight="1">
      <c r="A925" t="s">
        <v>1007</v>
      </c>
      <c r="B925" t="s">
        <v>638</v>
      </c>
      <c r="C925" t="s">
        <v>75</v>
      </c>
      <c r="D925" t="s">
        <v>63</v>
      </c>
      <c r="E925">
        <v>16.0</v>
      </c>
      <c r="F925">
        <v>18.0</v>
      </c>
      <c r="G925" s="2" t="s">
        <v>67</v>
      </c>
      <c r="H925" s="2">
        <v>46.0</v>
      </c>
      <c r="I925" s="2">
        <v>92.0</v>
      </c>
      <c r="J925" s="37">
        <v>1152.76</v>
      </c>
      <c r="K925" s="2">
        <v>55.0</v>
      </c>
      <c r="L925" s="2">
        <v>256.0</v>
      </c>
      <c r="M925" s="37">
        <v>1568.1</v>
      </c>
    </row>
    <row r="926" ht="14.25" customHeight="1">
      <c r="A926" t="s">
        <v>1008</v>
      </c>
      <c r="B926" t="s">
        <v>638</v>
      </c>
      <c r="C926" t="s">
        <v>62</v>
      </c>
      <c r="D926" t="s">
        <v>63</v>
      </c>
      <c r="E926">
        <v>5.0</v>
      </c>
      <c r="F926">
        <v>5.8</v>
      </c>
      <c r="G926" s="2" t="s">
        <v>64</v>
      </c>
      <c r="H926" s="2">
        <v>0.0</v>
      </c>
      <c r="I926" s="2">
        <v>0.0</v>
      </c>
      <c r="J926" s="37">
        <v>0.0</v>
      </c>
      <c r="K926" s="2">
        <v>0.0</v>
      </c>
      <c r="L926" s="2">
        <v>0.0</v>
      </c>
      <c r="M926" s="37">
        <v>0.0</v>
      </c>
    </row>
    <row r="927" ht="14.25" customHeight="1">
      <c r="A927" t="s">
        <v>1009</v>
      </c>
      <c r="B927" t="s">
        <v>638</v>
      </c>
      <c r="C927" t="s">
        <v>62</v>
      </c>
      <c r="D927" t="s">
        <v>63</v>
      </c>
      <c r="E927">
        <v>5.0</v>
      </c>
      <c r="F927">
        <v>5.8</v>
      </c>
      <c r="G927" s="2" t="s">
        <v>64</v>
      </c>
      <c r="H927" s="2">
        <v>0.0</v>
      </c>
      <c r="I927" s="2">
        <v>0.0</v>
      </c>
      <c r="J927" s="37">
        <v>0.0</v>
      </c>
      <c r="K927" s="2">
        <v>0.0</v>
      </c>
      <c r="L927" s="2">
        <v>0.0</v>
      </c>
      <c r="M927" s="37">
        <v>0.0</v>
      </c>
    </row>
    <row r="928" ht="14.25" customHeight="1">
      <c r="A928" t="s">
        <v>1010</v>
      </c>
      <c r="B928" t="s">
        <v>638</v>
      </c>
      <c r="C928" t="s">
        <v>62</v>
      </c>
      <c r="D928" t="s">
        <v>63</v>
      </c>
      <c r="E928">
        <v>5.0</v>
      </c>
      <c r="F928">
        <v>5.8</v>
      </c>
      <c r="G928" s="2" t="s">
        <v>64</v>
      </c>
      <c r="H928" s="2">
        <v>0.0</v>
      </c>
      <c r="I928" s="2">
        <v>0.0</v>
      </c>
      <c r="J928" s="37">
        <v>0.0</v>
      </c>
      <c r="K928" s="2">
        <v>0.0</v>
      </c>
      <c r="L928" s="2">
        <v>0.0</v>
      </c>
      <c r="M928" s="37">
        <v>0.0</v>
      </c>
    </row>
    <row r="929" ht="14.25" customHeight="1">
      <c r="A929" t="s">
        <v>1011</v>
      </c>
      <c r="B929" t="s">
        <v>638</v>
      </c>
      <c r="C929" t="s">
        <v>62</v>
      </c>
      <c r="D929" t="s">
        <v>63</v>
      </c>
      <c r="E929">
        <v>5.0</v>
      </c>
      <c r="F929">
        <v>5.8</v>
      </c>
      <c r="G929" s="2" t="s">
        <v>64</v>
      </c>
      <c r="H929" s="2">
        <v>0.0</v>
      </c>
      <c r="I929" s="2">
        <v>0.0</v>
      </c>
      <c r="J929" s="37">
        <v>0.0</v>
      </c>
      <c r="K929" s="2">
        <v>0.0</v>
      </c>
      <c r="L929" s="2">
        <v>0.0</v>
      </c>
      <c r="M929" s="37">
        <v>0.0</v>
      </c>
    </row>
    <row r="930" ht="14.25" customHeight="1">
      <c r="A930" t="s">
        <v>1012</v>
      </c>
      <c r="B930" t="s">
        <v>638</v>
      </c>
      <c r="C930" t="s">
        <v>62</v>
      </c>
      <c r="D930" t="s">
        <v>63</v>
      </c>
      <c r="E930">
        <v>5.0</v>
      </c>
      <c r="F930">
        <v>5.8</v>
      </c>
      <c r="G930" s="2" t="s">
        <v>64</v>
      </c>
      <c r="H930" s="2">
        <v>0.0</v>
      </c>
      <c r="I930" s="2">
        <v>0.0</v>
      </c>
      <c r="J930" s="37">
        <v>0.0</v>
      </c>
      <c r="K930" s="2">
        <v>0.0</v>
      </c>
      <c r="L930" s="2">
        <v>0.0</v>
      </c>
      <c r="M930" s="37">
        <v>0.0</v>
      </c>
    </row>
    <row r="931" ht="14.25" customHeight="1">
      <c r="A931" t="s">
        <v>1013</v>
      </c>
      <c r="B931" t="s">
        <v>638</v>
      </c>
      <c r="C931" t="s">
        <v>62</v>
      </c>
      <c r="D931" t="s">
        <v>63</v>
      </c>
      <c r="E931">
        <v>5.0</v>
      </c>
      <c r="F931">
        <v>5.8</v>
      </c>
      <c r="G931" s="2" t="s">
        <v>64</v>
      </c>
      <c r="H931" s="2">
        <v>0.0</v>
      </c>
      <c r="I931" s="2">
        <v>0.0</v>
      </c>
      <c r="J931" s="37">
        <v>0.0</v>
      </c>
      <c r="K931" s="2">
        <v>0.0</v>
      </c>
      <c r="L931" s="2">
        <v>0.0</v>
      </c>
      <c r="M931" s="37">
        <v>0.0</v>
      </c>
    </row>
    <row r="932" ht="14.25" customHeight="1">
      <c r="A932" t="s">
        <v>1014</v>
      </c>
      <c r="B932" t="s">
        <v>638</v>
      </c>
      <c r="C932" t="s">
        <v>62</v>
      </c>
      <c r="D932" t="s">
        <v>63</v>
      </c>
      <c r="E932">
        <v>3.4</v>
      </c>
      <c r="F932">
        <v>4.5</v>
      </c>
      <c r="G932" s="2" t="s">
        <v>64</v>
      </c>
      <c r="H932" s="2">
        <v>0.0</v>
      </c>
      <c r="I932" s="2">
        <v>0.0</v>
      </c>
      <c r="J932" s="37">
        <v>0.0</v>
      </c>
      <c r="K932" s="2">
        <v>0.0</v>
      </c>
      <c r="L932" s="2">
        <v>0.0</v>
      </c>
      <c r="M932" s="37">
        <v>0.0</v>
      </c>
    </row>
    <row r="933" ht="14.25" customHeight="1">
      <c r="A933" t="s">
        <v>1015</v>
      </c>
      <c r="B933" t="s">
        <v>638</v>
      </c>
      <c r="C933" t="s">
        <v>62</v>
      </c>
      <c r="D933" t="s">
        <v>63</v>
      </c>
      <c r="E933">
        <v>3.4</v>
      </c>
      <c r="F933">
        <v>4.5</v>
      </c>
      <c r="G933" s="2" t="s">
        <v>64</v>
      </c>
      <c r="H933" s="2">
        <v>0.0</v>
      </c>
      <c r="I933" s="2">
        <v>0.0</v>
      </c>
      <c r="J933" s="37">
        <v>0.0</v>
      </c>
      <c r="K933" s="2">
        <v>0.0</v>
      </c>
      <c r="L933" s="2">
        <v>0.0</v>
      </c>
      <c r="M933" s="37">
        <v>0.0</v>
      </c>
    </row>
    <row r="934" ht="14.25" customHeight="1">
      <c r="A934" t="s">
        <v>1016</v>
      </c>
      <c r="B934" t="s">
        <v>638</v>
      </c>
      <c r="C934" t="s">
        <v>62</v>
      </c>
      <c r="D934" t="s">
        <v>63</v>
      </c>
      <c r="E934">
        <v>3.4</v>
      </c>
      <c r="F934">
        <v>4.5</v>
      </c>
      <c r="G934" s="2" t="s">
        <v>64</v>
      </c>
      <c r="H934" s="2">
        <v>0.0</v>
      </c>
      <c r="I934" s="2">
        <v>0.0</v>
      </c>
      <c r="J934" s="37">
        <v>0.0</v>
      </c>
      <c r="K934" s="2">
        <v>0.0</v>
      </c>
      <c r="L934" s="2">
        <v>0.0</v>
      </c>
      <c r="M934" s="37">
        <v>0.0</v>
      </c>
    </row>
    <row r="935" ht="14.25" customHeight="1">
      <c r="A935" t="s">
        <v>1017</v>
      </c>
      <c r="B935" t="s">
        <v>638</v>
      </c>
      <c r="C935" t="s">
        <v>62</v>
      </c>
      <c r="D935" t="s">
        <v>63</v>
      </c>
      <c r="E935">
        <v>3.4</v>
      </c>
      <c r="F935">
        <v>4.5</v>
      </c>
      <c r="G935" s="2" t="s">
        <v>64</v>
      </c>
      <c r="H935" s="2">
        <v>0.0</v>
      </c>
      <c r="I935" s="2">
        <v>0.0</v>
      </c>
      <c r="J935" s="37">
        <v>0.0</v>
      </c>
      <c r="K935" s="2">
        <v>0.0</v>
      </c>
      <c r="L935" s="2">
        <v>0.0</v>
      </c>
      <c r="M935" s="37">
        <v>0.0</v>
      </c>
    </row>
    <row r="936" ht="14.25" customHeight="1">
      <c r="A936" t="s">
        <v>1018</v>
      </c>
      <c r="B936" t="s">
        <v>638</v>
      </c>
      <c r="C936" t="s">
        <v>62</v>
      </c>
      <c r="D936" t="s">
        <v>63</v>
      </c>
      <c r="E936">
        <v>3.4</v>
      </c>
      <c r="F936">
        <v>4.5</v>
      </c>
      <c r="G936" s="2" t="s">
        <v>64</v>
      </c>
      <c r="H936" s="2">
        <v>0.0</v>
      </c>
      <c r="I936" s="2">
        <v>0.0</v>
      </c>
      <c r="J936" s="37">
        <v>0.0</v>
      </c>
      <c r="K936" s="2">
        <v>0.0</v>
      </c>
      <c r="L936" s="2">
        <v>0.0</v>
      </c>
      <c r="M936" s="37">
        <v>0.0</v>
      </c>
    </row>
    <row r="937" ht="14.25" customHeight="1">
      <c r="A937" t="s">
        <v>1019</v>
      </c>
      <c r="B937" t="s">
        <v>638</v>
      </c>
      <c r="C937" t="s">
        <v>62</v>
      </c>
      <c r="D937" t="s">
        <v>63</v>
      </c>
      <c r="E937">
        <v>2.4</v>
      </c>
      <c r="F937">
        <v>3.4</v>
      </c>
      <c r="G937" s="2" t="s">
        <v>64</v>
      </c>
      <c r="H937" s="2">
        <v>0.0</v>
      </c>
      <c r="I937" s="2">
        <v>0.0</v>
      </c>
      <c r="J937" s="37">
        <v>0.0</v>
      </c>
      <c r="K937" s="2">
        <v>0.0</v>
      </c>
      <c r="L937" s="2">
        <v>0.0</v>
      </c>
      <c r="M937" s="37">
        <v>0.0</v>
      </c>
    </row>
    <row r="938" ht="14.25" customHeight="1">
      <c r="A938" t="s">
        <v>1020</v>
      </c>
      <c r="B938" t="s">
        <v>638</v>
      </c>
      <c r="C938" t="s">
        <v>62</v>
      </c>
      <c r="D938" t="s">
        <v>63</v>
      </c>
      <c r="E938">
        <v>2.4</v>
      </c>
      <c r="F938">
        <v>3.4</v>
      </c>
      <c r="G938" s="2" t="s">
        <v>64</v>
      </c>
      <c r="H938" s="2">
        <v>0.0</v>
      </c>
      <c r="I938" s="2">
        <v>0.0</v>
      </c>
      <c r="J938" s="37">
        <v>0.0</v>
      </c>
      <c r="K938" s="2">
        <v>0.0</v>
      </c>
      <c r="L938" s="2">
        <v>0.0</v>
      </c>
      <c r="M938" s="37">
        <v>0.0</v>
      </c>
    </row>
    <row r="939" ht="14.25" customHeight="1">
      <c r="A939" t="s">
        <v>1021</v>
      </c>
      <c r="B939" t="s">
        <v>638</v>
      </c>
      <c r="C939" t="s">
        <v>62</v>
      </c>
      <c r="D939" t="s">
        <v>63</v>
      </c>
      <c r="E939">
        <v>2.4</v>
      </c>
      <c r="F939">
        <v>3.4</v>
      </c>
      <c r="G939" s="2" t="s">
        <v>64</v>
      </c>
      <c r="H939" s="2">
        <v>0.0</v>
      </c>
      <c r="I939" s="2">
        <v>0.0</v>
      </c>
      <c r="J939" s="37">
        <v>0.0</v>
      </c>
      <c r="K939" s="2">
        <v>0.0</v>
      </c>
      <c r="L939" s="2">
        <v>0.0</v>
      </c>
      <c r="M939" s="37">
        <v>0.0</v>
      </c>
    </row>
    <row r="940" ht="14.25" customHeight="1">
      <c r="A940" t="s">
        <v>1022</v>
      </c>
      <c r="B940" t="s">
        <v>638</v>
      </c>
      <c r="C940" t="s">
        <v>62</v>
      </c>
      <c r="D940" t="s">
        <v>63</v>
      </c>
      <c r="E940">
        <v>2.4</v>
      </c>
      <c r="F940">
        <v>3.4</v>
      </c>
      <c r="G940" s="2" t="s">
        <v>64</v>
      </c>
      <c r="H940" s="2">
        <v>0.0</v>
      </c>
      <c r="I940" s="2">
        <v>0.0</v>
      </c>
      <c r="J940" s="37">
        <v>0.0</v>
      </c>
      <c r="K940" s="2">
        <v>0.0</v>
      </c>
      <c r="L940" s="2">
        <v>0.0</v>
      </c>
      <c r="M940" s="37">
        <v>0.0</v>
      </c>
    </row>
    <row r="941" ht="14.25" customHeight="1">
      <c r="A941" t="s">
        <v>1023</v>
      </c>
      <c r="B941" t="s">
        <v>638</v>
      </c>
      <c r="C941" t="s">
        <v>62</v>
      </c>
      <c r="D941" t="s">
        <v>63</v>
      </c>
      <c r="E941">
        <v>2.4</v>
      </c>
      <c r="F941">
        <v>3.4</v>
      </c>
      <c r="G941" s="2" t="s">
        <v>64</v>
      </c>
      <c r="H941" s="2">
        <v>0.0</v>
      </c>
      <c r="I941" s="2">
        <v>0.0</v>
      </c>
      <c r="J941" s="37">
        <v>0.0</v>
      </c>
      <c r="K941" s="2">
        <v>0.0</v>
      </c>
      <c r="L941" s="2">
        <v>0.0</v>
      </c>
      <c r="M941" s="37">
        <v>0.0</v>
      </c>
    </row>
    <row r="942" ht="14.25" customHeight="1">
      <c r="A942" t="s">
        <v>1024</v>
      </c>
      <c r="B942" t="s">
        <v>638</v>
      </c>
      <c r="C942" t="s">
        <v>62</v>
      </c>
      <c r="D942" t="s">
        <v>63</v>
      </c>
      <c r="E942">
        <v>2.4</v>
      </c>
      <c r="F942">
        <v>3.4</v>
      </c>
      <c r="G942" s="2" t="s">
        <v>64</v>
      </c>
      <c r="H942" s="2">
        <v>0.0</v>
      </c>
      <c r="I942" s="2">
        <v>0.0</v>
      </c>
      <c r="J942" s="37">
        <v>0.0</v>
      </c>
      <c r="K942" s="2">
        <v>0.0</v>
      </c>
      <c r="L942" s="2">
        <v>0.0</v>
      </c>
      <c r="M942" s="37">
        <v>0.0</v>
      </c>
    </row>
    <row r="943" ht="14.25" customHeight="1">
      <c r="A943" t="s">
        <v>1025</v>
      </c>
      <c r="B943" t="s">
        <v>638</v>
      </c>
      <c r="C943" t="s">
        <v>75</v>
      </c>
      <c r="D943" t="s">
        <v>63</v>
      </c>
      <c r="E943">
        <v>18.0</v>
      </c>
      <c r="F943">
        <v>20.0</v>
      </c>
      <c r="G943" s="2" t="s">
        <v>64</v>
      </c>
      <c r="H943" s="2">
        <v>0.0</v>
      </c>
      <c r="I943" s="2">
        <v>0.0</v>
      </c>
      <c r="J943" s="37">
        <v>0.0</v>
      </c>
      <c r="K943" s="2">
        <v>0.0</v>
      </c>
      <c r="L943" s="2">
        <v>0.0</v>
      </c>
      <c r="M943" s="37">
        <v>0.0</v>
      </c>
    </row>
    <row r="944" ht="14.25" customHeight="1">
      <c r="A944" t="s">
        <v>1026</v>
      </c>
      <c r="B944" t="s">
        <v>638</v>
      </c>
      <c r="C944" t="s">
        <v>75</v>
      </c>
      <c r="D944" t="s">
        <v>63</v>
      </c>
      <c r="E944">
        <v>18.0</v>
      </c>
      <c r="F944">
        <v>20.0</v>
      </c>
      <c r="G944" s="2" t="s">
        <v>64</v>
      </c>
      <c r="H944" s="2">
        <v>0.0</v>
      </c>
      <c r="I944" s="2">
        <v>0.0</v>
      </c>
      <c r="J944" s="37">
        <v>0.0</v>
      </c>
      <c r="K944" s="2">
        <v>0.0</v>
      </c>
      <c r="L944" s="2">
        <v>0.0</v>
      </c>
      <c r="M944" s="37">
        <v>0.0</v>
      </c>
    </row>
    <row r="945" ht="14.25" customHeight="1">
      <c r="A945" t="s">
        <v>1027</v>
      </c>
      <c r="B945" t="s">
        <v>638</v>
      </c>
      <c r="C945" t="s">
        <v>62</v>
      </c>
      <c r="D945" t="s">
        <v>63</v>
      </c>
      <c r="E945">
        <v>5.0</v>
      </c>
      <c r="F945">
        <v>6.0</v>
      </c>
      <c r="G945" s="2" t="s">
        <v>64</v>
      </c>
      <c r="H945" s="2">
        <v>0.0</v>
      </c>
      <c r="I945" s="2">
        <v>0.0</v>
      </c>
      <c r="J945" s="37">
        <v>0.0</v>
      </c>
      <c r="K945" s="2">
        <v>0.0</v>
      </c>
      <c r="L945" s="2">
        <v>0.0</v>
      </c>
      <c r="M945" s="37">
        <v>0.0</v>
      </c>
    </row>
    <row r="946" ht="14.25" customHeight="1">
      <c r="A946" t="s">
        <v>1028</v>
      </c>
      <c r="B946" t="s">
        <v>638</v>
      </c>
      <c r="C946" t="s">
        <v>62</v>
      </c>
      <c r="D946" t="s">
        <v>63</v>
      </c>
      <c r="E946">
        <v>6.0</v>
      </c>
      <c r="F946">
        <v>7.1</v>
      </c>
      <c r="G946" s="2" t="s">
        <v>67</v>
      </c>
      <c r="H946" s="2">
        <v>27.0</v>
      </c>
      <c r="I946" s="2">
        <v>128.0</v>
      </c>
      <c r="J946" s="37">
        <v>772.82</v>
      </c>
      <c r="K946" s="2">
        <v>29.0</v>
      </c>
      <c r="L946" s="2">
        <v>183.0</v>
      </c>
      <c r="M946" s="37">
        <v>889.24</v>
      </c>
    </row>
    <row r="947" ht="14.25" customHeight="1">
      <c r="A947" t="s">
        <v>1029</v>
      </c>
      <c r="B947" t="s">
        <v>638</v>
      </c>
      <c r="C947" t="s">
        <v>62</v>
      </c>
      <c r="D947" t="s">
        <v>63</v>
      </c>
      <c r="E947">
        <v>7.1</v>
      </c>
      <c r="F947">
        <v>8.0</v>
      </c>
      <c r="G947" s="2" t="s">
        <v>64</v>
      </c>
      <c r="H947" s="2">
        <v>0.0</v>
      </c>
      <c r="I947" s="2">
        <v>0.0</v>
      </c>
      <c r="J947" s="37">
        <v>0.0</v>
      </c>
      <c r="K947" s="2">
        <v>0.0</v>
      </c>
      <c r="L947" s="2">
        <v>0.0</v>
      </c>
      <c r="M947" s="37">
        <v>0.0</v>
      </c>
    </row>
    <row r="948" ht="14.25" customHeight="1">
      <c r="A948" t="s">
        <v>1030</v>
      </c>
      <c r="B948" t="s">
        <v>638</v>
      </c>
      <c r="C948" t="s">
        <v>62</v>
      </c>
      <c r="D948" t="s">
        <v>63</v>
      </c>
      <c r="E948">
        <v>7.1</v>
      </c>
      <c r="F948">
        <v>8.0</v>
      </c>
      <c r="G948" s="2" t="s">
        <v>64</v>
      </c>
      <c r="H948" s="2">
        <v>0.0</v>
      </c>
      <c r="I948" s="2">
        <v>0.0</v>
      </c>
      <c r="J948" s="37">
        <v>0.0</v>
      </c>
      <c r="K948" s="2">
        <v>0.0</v>
      </c>
      <c r="L948" s="2">
        <v>0.0</v>
      </c>
      <c r="M948" s="37">
        <v>0.0</v>
      </c>
    </row>
    <row r="949" ht="14.25" customHeight="1">
      <c r="A949" t="s">
        <v>1031</v>
      </c>
      <c r="B949" t="s">
        <v>638</v>
      </c>
      <c r="C949" t="s">
        <v>62</v>
      </c>
      <c r="D949" t="s">
        <v>63</v>
      </c>
      <c r="E949">
        <v>8.5</v>
      </c>
      <c r="F949">
        <v>10.0</v>
      </c>
      <c r="G949" s="2" t="s">
        <v>64</v>
      </c>
      <c r="H949" s="2">
        <v>0.0</v>
      </c>
      <c r="I949" s="2">
        <v>0.0</v>
      </c>
      <c r="J949" s="37">
        <v>0.0</v>
      </c>
      <c r="K949" s="2">
        <v>0.0</v>
      </c>
      <c r="L949" s="2">
        <v>0.0</v>
      </c>
      <c r="M949" s="37">
        <v>0.0</v>
      </c>
    </row>
    <row r="950" ht="14.25" customHeight="1">
      <c r="A950" t="s">
        <v>1032</v>
      </c>
      <c r="B950" t="s">
        <v>638</v>
      </c>
      <c r="C950" t="s">
        <v>62</v>
      </c>
      <c r="D950" t="s">
        <v>63</v>
      </c>
      <c r="E950">
        <v>8.5</v>
      </c>
      <c r="F950">
        <v>10.0</v>
      </c>
      <c r="G950" s="2" t="s">
        <v>67</v>
      </c>
      <c r="H950" s="2">
        <v>28.0</v>
      </c>
      <c r="I950" s="2">
        <v>189.0</v>
      </c>
      <c r="J950" s="37">
        <v>874.58</v>
      </c>
      <c r="K950" s="2">
        <v>32.0</v>
      </c>
      <c r="L950" s="2">
        <v>267.0</v>
      </c>
      <c r="M950" s="37">
        <v>1065.8200000000002</v>
      </c>
    </row>
    <row r="951" ht="14.25" customHeight="1">
      <c r="A951" t="s">
        <v>1033</v>
      </c>
      <c r="B951" t="s">
        <v>638</v>
      </c>
      <c r="C951" t="s">
        <v>62</v>
      </c>
      <c r="D951" t="s">
        <v>63</v>
      </c>
      <c r="E951">
        <v>10.0</v>
      </c>
      <c r="F951">
        <v>12.0</v>
      </c>
      <c r="G951" s="2" t="s">
        <v>67</v>
      </c>
      <c r="H951" s="2">
        <v>48.0</v>
      </c>
      <c r="I951" s="2">
        <v>252.0</v>
      </c>
      <c r="J951" s="37">
        <v>1405.6799999999998</v>
      </c>
      <c r="K951" s="2">
        <v>54.0</v>
      </c>
      <c r="L951" s="2">
        <v>354.0</v>
      </c>
      <c r="M951" s="37">
        <v>1673.0400000000002</v>
      </c>
    </row>
    <row r="952" ht="14.25" customHeight="1">
      <c r="A952" t="s">
        <v>1034</v>
      </c>
      <c r="B952" t="s">
        <v>638</v>
      </c>
      <c r="C952" t="s">
        <v>62</v>
      </c>
      <c r="D952" t="s">
        <v>63</v>
      </c>
      <c r="E952">
        <v>10.0</v>
      </c>
      <c r="F952">
        <v>12.0</v>
      </c>
      <c r="G952" s="2" t="s">
        <v>67</v>
      </c>
      <c r="H952" s="2">
        <v>47.0</v>
      </c>
      <c r="I952" s="2">
        <v>252.0</v>
      </c>
      <c r="J952" s="37">
        <v>1383.2200000000003</v>
      </c>
      <c r="K952" s="2">
        <v>53.0</v>
      </c>
      <c r="L952" s="2">
        <v>354.0</v>
      </c>
      <c r="M952" s="37">
        <v>1650.5800000000002</v>
      </c>
    </row>
    <row r="953" ht="14.25" customHeight="1">
      <c r="A953" t="s">
        <v>1035</v>
      </c>
      <c r="B953" t="s">
        <v>638</v>
      </c>
      <c r="C953" t="s">
        <v>62</v>
      </c>
      <c r="D953" t="s">
        <v>63</v>
      </c>
      <c r="E953">
        <v>12.5</v>
      </c>
      <c r="F953">
        <v>15.0</v>
      </c>
      <c r="G953" s="2" t="s">
        <v>64</v>
      </c>
      <c r="H953" s="2">
        <v>0.0</v>
      </c>
      <c r="I953" s="2">
        <v>0.0</v>
      </c>
      <c r="J953" s="37">
        <v>0.0</v>
      </c>
      <c r="K953" s="2">
        <v>0.0</v>
      </c>
      <c r="L953" s="2">
        <v>0.0</v>
      </c>
      <c r="M953" s="37">
        <v>0.0</v>
      </c>
    </row>
    <row r="954" ht="14.25" customHeight="1">
      <c r="A954" t="s">
        <v>1036</v>
      </c>
      <c r="B954" t="s">
        <v>638</v>
      </c>
      <c r="C954" t="s">
        <v>62</v>
      </c>
      <c r="D954" t="s">
        <v>63</v>
      </c>
      <c r="E954">
        <v>12.5</v>
      </c>
      <c r="F954">
        <v>15.0</v>
      </c>
      <c r="G954" s="2" t="s">
        <v>67</v>
      </c>
      <c r="H954" s="2">
        <v>48.0</v>
      </c>
      <c r="I954" s="2">
        <v>232.0</v>
      </c>
      <c r="J954" s="37">
        <v>1379.6799999999998</v>
      </c>
      <c r="K954" s="2">
        <v>56.0</v>
      </c>
      <c r="L954" s="2">
        <v>360.0</v>
      </c>
      <c r="M954" s="37">
        <v>1725.76</v>
      </c>
    </row>
    <row r="955" ht="14.25" customHeight="1">
      <c r="A955" t="s">
        <v>1037</v>
      </c>
      <c r="B955" t="s">
        <v>638</v>
      </c>
      <c r="C955" t="s">
        <v>62</v>
      </c>
      <c r="D955" t="s">
        <v>63</v>
      </c>
      <c r="E955">
        <v>14.0</v>
      </c>
      <c r="F955">
        <v>16.5</v>
      </c>
      <c r="G955" s="2" t="s">
        <v>67</v>
      </c>
      <c r="H955" s="2">
        <v>53.0</v>
      </c>
      <c r="I955" s="2">
        <v>240.0</v>
      </c>
      <c r="J955" s="37">
        <v>1502.38</v>
      </c>
      <c r="K955" s="2">
        <v>61.0</v>
      </c>
      <c r="L955" s="2">
        <v>384.0</v>
      </c>
      <c r="M955" s="37">
        <v>1869.26</v>
      </c>
    </row>
    <row r="956" ht="14.25" customHeight="1">
      <c r="A956" t="s">
        <v>1038</v>
      </c>
      <c r="B956" t="s">
        <v>638</v>
      </c>
      <c r="C956" t="s">
        <v>62</v>
      </c>
      <c r="D956" t="s">
        <v>63</v>
      </c>
      <c r="E956">
        <v>14.0</v>
      </c>
      <c r="F956">
        <v>16.5</v>
      </c>
      <c r="G956" s="2" t="s">
        <v>67</v>
      </c>
      <c r="H956" s="2">
        <v>53.0</v>
      </c>
      <c r="I956" s="2">
        <v>240.0</v>
      </c>
      <c r="J956" s="37">
        <v>1502.38</v>
      </c>
      <c r="K956" s="2">
        <v>61.0</v>
      </c>
      <c r="L956" s="2">
        <v>384.0</v>
      </c>
      <c r="M956" s="37">
        <v>1869.26</v>
      </c>
    </row>
    <row r="957" ht="14.25" customHeight="1">
      <c r="A957" t="s">
        <v>1039</v>
      </c>
      <c r="B957" t="s">
        <v>638</v>
      </c>
      <c r="C957" t="s">
        <v>75</v>
      </c>
      <c r="D957" t="s">
        <v>63</v>
      </c>
      <c r="E957">
        <v>18.0</v>
      </c>
      <c r="F957">
        <v>20.0</v>
      </c>
      <c r="G957" s="2" t="s">
        <v>64</v>
      </c>
      <c r="H957" s="2">
        <v>0.0</v>
      </c>
      <c r="I957" s="2">
        <v>0.0</v>
      </c>
      <c r="J957" s="37">
        <v>0.0</v>
      </c>
      <c r="K957" s="2">
        <v>0.0</v>
      </c>
      <c r="L957" s="2">
        <v>0.0</v>
      </c>
      <c r="M957" s="37">
        <v>0.0</v>
      </c>
    </row>
    <row r="958" ht="14.25" customHeight="1">
      <c r="A958" t="s">
        <v>1040</v>
      </c>
      <c r="B958" t="s">
        <v>638</v>
      </c>
      <c r="C958" t="s">
        <v>75</v>
      </c>
      <c r="D958" t="s">
        <v>63</v>
      </c>
      <c r="E958">
        <v>20.0</v>
      </c>
      <c r="F958">
        <v>22.4</v>
      </c>
      <c r="G958" s="2" t="s">
        <v>64</v>
      </c>
      <c r="H958" s="2">
        <v>0.0</v>
      </c>
      <c r="I958" s="2">
        <v>0.0</v>
      </c>
      <c r="J958" s="37">
        <v>0.0</v>
      </c>
      <c r="K958" s="2">
        <v>0.0</v>
      </c>
      <c r="L958" s="2">
        <v>0.0</v>
      </c>
      <c r="M958" s="37">
        <v>0.0</v>
      </c>
    </row>
    <row r="959" ht="14.25" customHeight="1">
      <c r="A959" t="s">
        <v>1041</v>
      </c>
      <c r="B959" t="s">
        <v>638</v>
      </c>
      <c r="C959" t="s">
        <v>75</v>
      </c>
      <c r="D959" t="s">
        <v>63</v>
      </c>
      <c r="E959">
        <v>24.0</v>
      </c>
      <c r="F959">
        <v>26.8</v>
      </c>
      <c r="G959" s="2" t="s">
        <v>64</v>
      </c>
      <c r="H959" s="2">
        <v>0.0</v>
      </c>
      <c r="I959" s="2">
        <v>0.0</v>
      </c>
      <c r="J959" s="37">
        <v>0.0</v>
      </c>
      <c r="K959" s="2">
        <v>0.0</v>
      </c>
      <c r="L959" s="2">
        <v>0.0</v>
      </c>
      <c r="M959" s="37">
        <v>0.0</v>
      </c>
    </row>
    <row r="960" ht="14.25" customHeight="1">
      <c r="A960" t="s">
        <v>1042</v>
      </c>
      <c r="B960" t="s">
        <v>638</v>
      </c>
      <c r="C960" t="s">
        <v>62</v>
      </c>
      <c r="D960" t="s">
        <v>63</v>
      </c>
      <c r="E960">
        <v>2.2</v>
      </c>
      <c r="F960">
        <v>2.7</v>
      </c>
      <c r="G960" s="2" t="s">
        <v>67</v>
      </c>
      <c r="H960" s="2">
        <v>7.0</v>
      </c>
      <c r="I960" s="2">
        <v>54.0</v>
      </c>
      <c r="J960" s="37">
        <v>227.42000000000002</v>
      </c>
      <c r="K960" s="2">
        <v>8.0</v>
      </c>
      <c r="L960" s="2">
        <v>72.0</v>
      </c>
      <c r="M960" s="37">
        <v>273.28000000000003</v>
      </c>
    </row>
    <row r="961" ht="14.25" customHeight="1">
      <c r="A961" t="s">
        <v>1043</v>
      </c>
      <c r="B961" t="s">
        <v>638</v>
      </c>
      <c r="C961" t="s">
        <v>62</v>
      </c>
      <c r="D961" t="s">
        <v>63</v>
      </c>
      <c r="E961">
        <v>2.5</v>
      </c>
      <c r="F961">
        <v>3.2</v>
      </c>
      <c r="G961" s="2" t="s">
        <v>67</v>
      </c>
      <c r="H961" s="2">
        <v>8.0</v>
      </c>
      <c r="I961" s="2">
        <v>64.0</v>
      </c>
      <c r="J961" s="37">
        <v>262.88</v>
      </c>
      <c r="K961" s="2">
        <v>10.0</v>
      </c>
      <c r="L961" s="2">
        <v>84.0</v>
      </c>
      <c r="M961" s="37">
        <v>333.8</v>
      </c>
    </row>
    <row r="962" ht="14.25" customHeight="1">
      <c r="A962" t="s">
        <v>1044</v>
      </c>
      <c r="B962" t="s">
        <v>638</v>
      </c>
      <c r="C962" t="s">
        <v>62</v>
      </c>
      <c r="D962" t="s">
        <v>63</v>
      </c>
      <c r="E962">
        <v>3.5</v>
      </c>
      <c r="F962">
        <v>3.7</v>
      </c>
      <c r="G962" s="2" t="s">
        <v>67</v>
      </c>
      <c r="H962" s="2">
        <v>10.0</v>
      </c>
      <c r="I962" s="2">
        <v>46.0</v>
      </c>
      <c r="J962" s="37">
        <v>284.40000000000003</v>
      </c>
      <c r="K962" s="2">
        <v>11.0</v>
      </c>
      <c r="L962" s="2">
        <v>74.0</v>
      </c>
      <c r="M962" s="37">
        <v>343.26</v>
      </c>
    </row>
    <row r="963" ht="14.25" customHeight="1">
      <c r="A963" t="s">
        <v>1045</v>
      </c>
      <c r="B963" t="s">
        <v>638</v>
      </c>
      <c r="C963" t="s">
        <v>75</v>
      </c>
      <c r="D963" t="s">
        <v>63</v>
      </c>
      <c r="E963">
        <v>7.1</v>
      </c>
      <c r="F963">
        <v>7.5</v>
      </c>
      <c r="G963" s="2" t="s">
        <v>67</v>
      </c>
      <c r="H963" s="2">
        <v>22.0</v>
      </c>
      <c r="I963" s="2">
        <v>115.0</v>
      </c>
      <c r="J963" s="37">
        <v>643.62</v>
      </c>
      <c r="K963" s="2">
        <v>25.0</v>
      </c>
      <c r="L963" s="2">
        <v>188.0</v>
      </c>
      <c r="M963" s="37">
        <v>805.9</v>
      </c>
    </row>
    <row r="964" ht="14.25" customHeight="1">
      <c r="A964" t="s">
        <v>1046</v>
      </c>
      <c r="B964" t="s">
        <v>638</v>
      </c>
      <c r="C964" t="s">
        <v>75</v>
      </c>
      <c r="D964" t="s">
        <v>63</v>
      </c>
      <c r="E964">
        <v>8.5</v>
      </c>
      <c r="F964">
        <v>10.0</v>
      </c>
      <c r="G964" s="2" t="s">
        <v>67</v>
      </c>
      <c r="H964" s="2">
        <v>27.0</v>
      </c>
      <c r="I964" s="2">
        <v>116.0</v>
      </c>
      <c r="J964" s="37">
        <v>757.22</v>
      </c>
      <c r="K964" s="2">
        <v>32.0</v>
      </c>
      <c r="L964" s="2">
        <v>203.0</v>
      </c>
      <c r="M964" s="37">
        <v>982.6200000000001</v>
      </c>
    </row>
    <row r="965" ht="14.25" customHeight="1">
      <c r="A965" t="s">
        <v>1047</v>
      </c>
      <c r="B965" t="s">
        <v>638</v>
      </c>
      <c r="C965" t="s">
        <v>75</v>
      </c>
      <c r="D965" t="s">
        <v>63</v>
      </c>
      <c r="E965">
        <v>12.5</v>
      </c>
      <c r="F965">
        <v>15.0</v>
      </c>
      <c r="G965" s="2" t="s">
        <v>67</v>
      </c>
      <c r="H965" s="2">
        <v>41.0</v>
      </c>
      <c r="I965" s="2">
        <v>172.0</v>
      </c>
      <c r="J965" s="37">
        <v>1144.46</v>
      </c>
      <c r="K965" s="2">
        <v>49.0</v>
      </c>
      <c r="L965" s="2">
        <v>300.0</v>
      </c>
      <c r="M965" s="37">
        <v>1490.54</v>
      </c>
    </row>
    <row r="966" ht="14.25" customHeight="1">
      <c r="A966" t="s">
        <v>1048</v>
      </c>
      <c r="B966" t="s">
        <v>638</v>
      </c>
      <c r="C966" t="s">
        <v>75</v>
      </c>
      <c r="D966" t="s">
        <v>63</v>
      </c>
      <c r="E966">
        <v>16.0</v>
      </c>
      <c r="F966">
        <v>18.0</v>
      </c>
      <c r="G966" s="2" t="s">
        <v>67</v>
      </c>
      <c r="H966" s="2">
        <v>49.0</v>
      </c>
      <c r="I966" s="2">
        <v>92.0</v>
      </c>
      <c r="J966" s="37">
        <v>1220.1399999999999</v>
      </c>
      <c r="K966" s="2">
        <v>58.0</v>
      </c>
      <c r="L966" s="2">
        <v>256.0</v>
      </c>
      <c r="M966" s="37">
        <v>1635.48</v>
      </c>
    </row>
    <row r="967" ht="14.25" customHeight="1">
      <c r="A967" t="s">
        <v>1049</v>
      </c>
      <c r="B967" t="s">
        <v>638</v>
      </c>
      <c r="C967" t="s">
        <v>75</v>
      </c>
      <c r="D967" t="s">
        <v>63</v>
      </c>
      <c r="E967">
        <v>14.0</v>
      </c>
      <c r="F967">
        <v>16.5</v>
      </c>
      <c r="G967" s="2" t="s">
        <v>67</v>
      </c>
      <c r="H967" s="2">
        <v>46.0</v>
      </c>
      <c r="I967" s="2">
        <v>173.0</v>
      </c>
      <c r="J967" s="37">
        <v>1258.0600000000002</v>
      </c>
      <c r="K967" s="2">
        <v>54.0</v>
      </c>
      <c r="L967" s="2">
        <v>317.0</v>
      </c>
      <c r="M967" s="37">
        <v>1624.94</v>
      </c>
    </row>
    <row r="968" ht="14.25" customHeight="1">
      <c r="A968" t="s">
        <v>1050</v>
      </c>
      <c r="B968" t="s">
        <v>638</v>
      </c>
      <c r="C968" t="s">
        <v>75</v>
      </c>
      <c r="D968" t="s">
        <v>82</v>
      </c>
      <c r="E968">
        <v>16.27</v>
      </c>
      <c r="F968">
        <v>15.24</v>
      </c>
      <c r="G968" s="2" t="s">
        <v>64</v>
      </c>
      <c r="H968" s="2">
        <v>0.0</v>
      </c>
      <c r="I968" s="2">
        <v>0.0</v>
      </c>
      <c r="J968" s="37">
        <v>0.0</v>
      </c>
      <c r="K968" s="2">
        <v>0.0</v>
      </c>
      <c r="L968" s="2">
        <v>0.0</v>
      </c>
      <c r="M968" s="37">
        <v>0.0</v>
      </c>
    </row>
    <row r="969" ht="14.25" customHeight="1">
      <c r="A969" t="s">
        <v>1051</v>
      </c>
      <c r="B969" t="s">
        <v>638</v>
      </c>
      <c r="C969" t="s">
        <v>75</v>
      </c>
      <c r="D969" t="s">
        <v>63</v>
      </c>
      <c r="E969">
        <v>10.0</v>
      </c>
      <c r="F969">
        <v>12.5</v>
      </c>
      <c r="G969" s="2" t="s">
        <v>67</v>
      </c>
      <c r="H969" s="2">
        <v>33.0</v>
      </c>
      <c r="I969" s="2">
        <v>182.0</v>
      </c>
      <c r="J969" s="37">
        <v>977.7800000000001</v>
      </c>
      <c r="K969" s="2">
        <v>39.0</v>
      </c>
      <c r="L969" s="2">
        <v>285.0</v>
      </c>
      <c r="M969" s="37">
        <v>1246.44</v>
      </c>
    </row>
    <row r="970" ht="14.25" customHeight="1">
      <c r="A970" t="s">
        <v>1052</v>
      </c>
      <c r="B970" t="s">
        <v>638</v>
      </c>
      <c r="C970" t="s">
        <v>75</v>
      </c>
      <c r="D970" t="s">
        <v>82</v>
      </c>
      <c r="E970">
        <v>26.54</v>
      </c>
      <c r="F970">
        <v>25.68</v>
      </c>
      <c r="G970" s="2" t="s">
        <v>64</v>
      </c>
      <c r="H970" s="2">
        <v>0.0</v>
      </c>
      <c r="I970" s="2">
        <v>0.0</v>
      </c>
      <c r="J970" s="37">
        <v>0.0</v>
      </c>
      <c r="K970" s="2">
        <v>0.0</v>
      </c>
      <c r="L970" s="2">
        <v>0.0</v>
      </c>
      <c r="M970" s="37">
        <v>0.0</v>
      </c>
    </row>
    <row r="971" ht="14.25" customHeight="1">
      <c r="A971" t="s">
        <v>1053</v>
      </c>
      <c r="B971" t="s">
        <v>638</v>
      </c>
      <c r="C971" t="s">
        <v>75</v>
      </c>
      <c r="D971" t="s">
        <v>82</v>
      </c>
      <c r="E971">
        <v>29.64</v>
      </c>
      <c r="F971">
        <v>28.55</v>
      </c>
      <c r="G971" s="2" t="s">
        <v>64</v>
      </c>
      <c r="H971" s="2">
        <v>0.0</v>
      </c>
      <c r="I971" s="2">
        <v>0.0</v>
      </c>
      <c r="J971" s="37">
        <v>0.0</v>
      </c>
      <c r="K971" s="2">
        <v>0.0</v>
      </c>
      <c r="L971" s="2">
        <v>0.0</v>
      </c>
      <c r="M971" s="37">
        <v>0.0</v>
      </c>
    </row>
    <row r="972" ht="14.25" customHeight="1">
      <c r="A972" t="s">
        <v>1054</v>
      </c>
      <c r="B972" t="s">
        <v>638</v>
      </c>
      <c r="C972" t="s">
        <v>75</v>
      </c>
      <c r="D972" t="s">
        <v>82</v>
      </c>
      <c r="E972">
        <v>42.81</v>
      </c>
      <c r="F972">
        <v>43.1</v>
      </c>
      <c r="G972" s="2" t="s">
        <v>64</v>
      </c>
      <c r="H972" s="2">
        <v>0.0</v>
      </c>
      <c r="I972" s="2">
        <v>0.0</v>
      </c>
      <c r="J972" s="37">
        <v>0.0</v>
      </c>
      <c r="K972" s="2">
        <v>0.0</v>
      </c>
      <c r="L972" s="2">
        <v>0.0</v>
      </c>
      <c r="M972" s="37">
        <v>0.0</v>
      </c>
    </row>
    <row r="973" ht="14.25" customHeight="1">
      <c r="A973" t="s">
        <v>1055</v>
      </c>
      <c r="B973" t="s">
        <v>638</v>
      </c>
      <c r="C973" t="s">
        <v>75</v>
      </c>
      <c r="D973" t="s">
        <v>82</v>
      </c>
      <c r="E973">
        <v>53.11</v>
      </c>
      <c r="F973">
        <v>56.1</v>
      </c>
      <c r="G973" s="2" t="s">
        <v>64</v>
      </c>
      <c r="H973" s="2">
        <v>0.0</v>
      </c>
      <c r="I973" s="2">
        <v>0.0</v>
      </c>
      <c r="J973" s="37">
        <v>0.0</v>
      </c>
      <c r="K973" s="2">
        <v>0.0</v>
      </c>
      <c r="L973" s="2">
        <v>0.0</v>
      </c>
      <c r="M973" s="37">
        <v>0.0</v>
      </c>
    </row>
    <row r="974" ht="14.25" customHeight="1">
      <c r="A974" t="s">
        <v>1056</v>
      </c>
      <c r="B974" t="s">
        <v>638</v>
      </c>
      <c r="C974" t="s">
        <v>75</v>
      </c>
      <c r="D974" t="s">
        <v>82</v>
      </c>
      <c r="E974">
        <v>63.69</v>
      </c>
      <c r="F974">
        <v>63.95</v>
      </c>
      <c r="G974" s="2" t="s">
        <v>64</v>
      </c>
      <c r="H974" s="2">
        <v>0.0</v>
      </c>
      <c r="I974" s="2">
        <v>0.0</v>
      </c>
      <c r="J974" s="37">
        <v>0.0</v>
      </c>
      <c r="K974" s="2">
        <v>0.0</v>
      </c>
      <c r="L974" s="2">
        <v>0.0</v>
      </c>
      <c r="M974" s="37">
        <v>0.0</v>
      </c>
    </row>
    <row r="975" ht="14.25" customHeight="1">
      <c r="A975" t="s">
        <v>1057</v>
      </c>
      <c r="B975" t="s">
        <v>638</v>
      </c>
      <c r="C975" t="s">
        <v>75</v>
      </c>
      <c r="D975" t="s">
        <v>63</v>
      </c>
      <c r="E975">
        <v>7.1</v>
      </c>
      <c r="F975">
        <v>7.5</v>
      </c>
      <c r="G975" s="2" t="s">
        <v>67</v>
      </c>
      <c r="H975" s="2">
        <v>22.0</v>
      </c>
      <c r="I975" s="2">
        <v>115.0</v>
      </c>
      <c r="J975" s="37">
        <v>643.62</v>
      </c>
      <c r="K975" s="2">
        <v>25.0</v>
      </c>
      <c r="L975" s="2">
        <v>188.0</v>
      </c>
      <c r="M975" s="37">
        <v>805.9</v>
      </c>
    </row>
    <row r="976" ht="14.25" customHeight="1">
      <c r="A976" t="s">
        <v>1058</v>
      </c>
      <c r="B976" t="s">
        <v>638</v>
      </c>
      <c r="C976" t="s">
        <v>75</v>
      </c>
      <c r="D976" t="s">
        <v>63</v>
      </c>
      <c r="E976">
        <v>12.5</v>
      </c>
      <c r="F976">
        <v>15.0</v>
      </c>
      <c r="G976" s="2" t="s">
        <v>67</v>
      </c>
      <c r="H976" s="2">
        <v>41.0</v>
      </c>
      <c r="I976" s="2">
        <v>172.0</v>
      </c>
      <c r="J976" s="37">
        <v>1144.46</v>
      </c>
      <c r="K976" s="2">
        <v>49.0</v>
      </c>
      <c r="L976" s="2">
        <v>300.0</v>
      </c>
      <c r="M976" s="37">
        <v>1490.54</v>
      </c>
    </row>
    <row r="977" ht="14.25" customHeight="1">
      <c r="A977" t="s">
        <v>1059</v>
      </c>
      <c r="B977" t="s">
        <v>638</v>
      </c>
      <c r="C977" t="s">
        <v>75</v>
      </c>
      <c r="D977" t="s">
        <v>63</v>
      </c>
      <c r="E977">
        <v>16.0</v>
      </c>
      <c r="F977">
        <v>18.0</v>
      </c>
      <c r="G977" s="2" t="s">
        <v>67</v>
      </c>
      <c r="H977" s="2">
        <v>49.0</v>
      </c>
      <c r="I977" s="2">
        <v>92.0</v>
      </c>
      <c r="J977" s="37">
        <v>1220.1399999999999</v>
      </c>
      <c r="K977" s="2">
        <v>58.0</v>
      </c>
      <c r="L977" s="2">
        <v>256.0</v>
      </c>
      <c r="M977" s="37">
        <v>1635.48</v>
      </c>
    </row>
    <row r="978" ht="14.25" customHeight="1">
      <c r="A978" t="s">
        <v>1060</v>
      </c>
      <c r="B978" t="s">
        <v>638</v>
      </c>
      <c r="C978" t="s">
        <v>75</v>
      </c>
      <c r="D978" t="s">
        <v>63</v>
      </c>
      <c r="E978">
        <v>12.5</v>
      </c>
      <c r="F978">
        <v>15.0</v>
      </c>
      <c r="G978" s="2" t="s">
        <v>64</v>
      </c>
      <c r="H978" s="2">
        <v>0.0</v>
      </c>
      <c r="I978" s="2">
        <v>0.0</v>
      </c>
      <c r="J978" s="37">
        <v>0.0</v>
      </c>
      <c r="K978" s="2">
        <v>0.0</v>
      </c>
      <c r="L978" s="2">
        <v>0.0</v>
      </c>
      <c r="M978" s="37">
        <v>0.0</v>
      </c>
    </row>
    <row r="979" ht="14.25" customHeight="1">
      <c r="A979" t="s">
        <v>1061</v>
      </c>
      <c r="B979" t="s">
        <v>638</v>
      </c>
      <c r="C979" t="s">
        <v>75</v>
      </c>
      <c r="D979" t="s">
        <v>63</v>
      </c>
      <c r="E979">
        <v>12.5</v>
      </c>
      <c r="F979">
        <v>15.0</v>
      </c>
      <c r="G979" s="2" t="s">
        <v>64</v>
      </c>
      <c r="H979" s="2">
        <v>0.0</v>
      </c>
      <c r="I979" s="2">
        <v>0.0</v>
      </c>
      <c r="J979" s="37">
        <v>0.0</v>
      </c>
      <c r="K979" s="2">
        <v>0.0</v>
      </c>
      <c r="L979" s="2">
        <v>0.0</v>
      </c>
      <c r="M979" s="37">
        <v>0.0</v>
      </c>
    </row>
    <row r="980" ht="14.25" customHeight="1">
      <c r="A980" t="s">
        <v>1062</v>
      </c>
      <c r="B980" t="s">
        <v>638</v>
      </c>
      <c r="C980" t="s">
        <v>75</v>
      </c>
      <c r="D980" t="s">
        <v>82</v>
      </c>
      <c r="E980">
        <v>34.4244</v>
      </c>
      <c r="F980">
        <v>35.78</v>
      </c>
      <c r="G980" s="2" t="s">
        <v>64</v>
      </c>
      <c r="H980" s="2">
        <v>0.0</v>
      </c>
      <c r="I980" s="2">
        <v>0.0</v>
      </c>
      <c r="J980" s="37">
        <v>0.0</v>
      </c>
      <c r="K980" s="2">
        <v>0.0</v>
      </c>
      <c r="L980" s="2">
        <v>0.0</v>
      </c>
      <c r="M980" s="37">
        <v>0.0</v>
      </c>
    </row>
    <row r="981" ht="14.25" customHeight="1">
      <c r="A981" t="s">
        <v>1063</v>
      </c>
      <c r="B981" t="s">
        <v>638</v>
      </c>
      <c r="C981" t="s">
        <v>62</v>
      </c>
      <c r="D981" t="s">
        <v>63</v>
      </c>
      <c r="E981">
        <v>4.5</v>
      </c>
      <c r="F981">
        <v>5.4</v>
      </c>
      <c r="G981" s="2" t="s">
        <v>64</v>
      </c>
      <c r="H981" s="2">
        <v>0.0</v>
      </c>
      <c r="I981" s="2">
        <v>0.0</v>
      </c>
      <c r="J981" s="37">
        <v>0.0</v>
      </c>
      <c r="K981" s="2">
        <v>0.0</v>
      </c>
      <c r="L981" s="2">
        <v>0.0</v>
      </c>
      <c r="M981" s="37">
        <v>0.0</v>
      </c>
    </row>
    <row r="982" ht="14.25" customHeight="1">
      <c r="A982" t="s">
        <v>1064</v>
      </c>
      <c r="B982" t="s">
        <v>638</v>
      </c>
      <c r="C982" t="s">
        <v>75</v>
      </c>
      <c r="D982" t="s">
        <v>63</v>
      </c>
      <c r="E982">
        <v>7.1</v>
      </c>
      <c r="F982">
        <v>7.5</v>
      </c>
      <c r="G982" s="2" t="s">
        <v>64</v>
      </c>
      <c r="H982" s="2">
        <v>0.0</v>
      </c>
      <c r="I982" s="2">
        <v>0.0</v>
      </c>
      <c r="J982" s="37">
        <v>0.0</v>
      </c>
      <c r="K982" s="2">
        <v>0.0</v>
      </c>
      <c r="L982" s="2">
        <v>0.0</v>
      </c>
      <c r="M982" s="37">
        <v>0.0</v>
      </c>
    </row>
    <row r="983" ht="14.25" customHeight="1">
      <c r="A983" t="s">
        <v>1065</v>
      </c>
      <c r="B983" t="s">
        <v>638</v>
      </c>
      <c r="C983" t="s">
        <v>75</v>
      </c>
      <c r="D983" t="s">
        <v>63</v>
      </c>
      <c r="E983">
        <v>7.1</v>
      </c>
      <c r="F983">
        <v>7.5</v>
      </c>
      <c r="G983" s="2" t="s">
        <v>64</v>
      </c>
      <c r="H983" s="2">
        <v>0.0</v>
      </c>
      <c r="I983" s="2">
        <v>0.0</v>
      </c>
      <c r="J983" s="37">
        <v>0.0</v>
      </c>
      <c r="K983" s="2">
        <v>0.0</v>
      </c>
      <c r="L983" s="2">
        <v>0.0</v>
      </c>
      <c r="M983" s="37">
        <v>0.0</v>
      </c>
    </row>
    <row r="984" ht="14.25" customHeight="1">
      <c r="A984" t="s">
        <v>1066</v>
      </c>
      <c r="B984" t="s">
        <v>638</v>
      </c>
      <c r="C984" t="s">
        <v>75</v>
      </c>
      <c r="D984" t="s">
        <v>63</v>
      </c>
      <c r="E984">
        <v>16.0</v>
      </c>
      <c r="F984">
        <v>18.0</v>
      </c>
      <c r="G984" s="2" t="s">
        <v>67</v>
      </c>
      <c r="H984" s="2">
        <v>46.0</v>
      </c>
      <c r="I984" s="2">
        <v>92.0</v>
      </c>
      <c r="J984" s="37">
        <v>1152.76</v>
      </c>
      <c r="K984" s="2">
        <v>55.0</v>
      </c>
      <c r="L984" s="2">
        <v>256.0</v>
      </c>
      <c r="M984" s="37">
        <v>1568.1</v>
      </c>
    </row>
    <row r="985" ht="14.25" customHeight="1">
      <c r="A985" t="s">
        <v>1067</v>
      </c>
      <c r="B985" t="s">
        <v>638</v>
      </c>
      <c r="C985" t="s">
        <v>75</v>
      </c>
      <c r="D985" t="s">
        <v>63</v>
      </c>
      <c r="E985">
        <v>16.0</v>
      </c>
      <c r="F985">
        <v>18.0</v>
      </c>
      <c r="G985" s="2" t="s">
        <v>67</v>
      </c>
      <c r="H985" s="2">
        <v>46.0</v>
      </c>
      <c r="I985" s="2">
        <v>92.0</v>
      </c>
      <c r="J985" s="37">
        <v>1152.76</v>
      </c>
      <c r="K985" s="2">
        <v>55.0</v>
      </c>
      <c r="L985" s="2">
        <v>256.0</v>
      </c>
      <c r="M985" s="37">
        <v>1568.1</v>
      </c>
    </row>
    <row r="986" ht="14.25" customHeight="1">
      <c r="A986" t="s">
        <v>1068</v>
      </c>
      <c r="B986" t="s">
        <v>638</v>
      </c>
      <c r="C986" t="s">
        <v>62</v>
      </c>
      <c r="D986" t="s">
        <v>63</v>
      </c>
      <c r="E986">
        <v>5.0</v>
      </c>
      <c r="F986">
        <v>6.0</v>
      </c>
      <c r="G986" s="2" t="s">
        <v>67</v>
      </c>
      <c r="H986" s="2">
        <v>17.0</v>
      </c>
      <c r="I986" s="2">
        <v>110.0</v>
      </c>
      <c r="J986" s="37">
        <v>524.8199999999999</v>
      </c>
      <c r="K986" s="2">
        <v>20.0</v>
      </c>
      <c r="L986" s="2">
        <v>156.0</v>
      </c>
      <c r="M986" s="37">
        <v>652.0</v>
      </c>
    </row>
    <row r="987" ht="14.25" customHeight="1">
      <c r="A987" t="s">
        <v>1069</v>
      </c>
      <c r="B987" t="s">
        <v>638</v>
      </c>
      <c r="C987" t="s">
        <v>62</v>
      </c>
      <c r="D987" t="s">
        <v>63</v>
      </c>
      <c r="E987">
        <v>6.0</v>
      </c>
      <c r="F987">
        <v>7.0</v>
      </c>
      <c r="G987" s="2" t="s">
        <v>67</v>
      </c>
      <c r="H987" s="2">
        <v>18.0</v>
      </c>
      <c r="I987" s="2">
        <v>60.0</v>
      </c>
      <c r="J987" s="37">
        <v>482.28000000000003</v>
      </c>
      <c r="K987" s="2">
        <v>21.0</v>
      </c>
      <c r="L987" s="2">
        <v>114.0</v>
      </c>
      <c r="M987" s="37">
        <v>619.86</v>
      </c>
    </row>
    <row r="988" ht="14.25" customHeight="1">
      <c r="A988" t="s">
        <v>1070</v>
      </c>
      <c r="B988" t="s">
        <v>638</v>
      </c>
      <c r="C988" t="s">
        <v>62</v>
      </c>
      <c r="D988" t="s">
        <v>63</v>
      </c>
      <c r="E988">
        <v>6.7</v>
      </c>
      <c r="F988">
        <v>8.0</v>
      </c>
      <c r="G988" s="2" t="s">
        <v>67</v>
      </c>
      <c r="H988" s="2">
        <v>20.0</v>
      </c>
      <c r="I988" s="2">
        <v>32.0</v>
      </c>
      <c r="J988" s="37">
        <v>490.80000000000007</v>
      </c>
      <c r="K988" s="2">
        <v>24.0</v>
      </c>
      <c r="L988" s="2">
        <v>93.0</v>
      </c>
      <c r="M988" s="37">
        <v>659.9399999999999</v>
      </c>
    </row>
    <row r="989" ht="14.25" customHeight="1">
      <c r="A989" t="s">
        <v>1071</v>
      </c>
      <c r="B989" t="s">
        <v>638</v>
      </c>
      <c r="C989" t="s">
        <v>62</v>
      </c>
      <c r="D989" t="s">
        <v>63</v>
      </c>
      <c r="E989">
        <v>2.5</v>
      </c>
      <c r="F989">
        <v>3.5</v>
      </c>
      <c r="G989" s="2" t="s">
        <v>64</v>
      </c>
      <c r="H989" s="2">
        <v>0.0</v>
      </c>
      <c r="I989" s="2">
        <v>0.0</v>
      </c>
      <c r="J989" s="37">
        <v>0.0</v>
      </c>
      <c r="K989" s="2">
        <v>0.0</v>
      </c>
      <c r="L989" s="2">
        <v>0.0</v>
      </c>
      <c r="M989" s="37">
        <v>0.0</v>
      </c>
    </row>
    <row r="990" ht="14.25" customHeight="1">
      <c r="A990" t="s">
        <v>1072</v>
      </c>
      <c r="B990" t="s">
        <v>638</v>
      </c>
      <c r="C990" t="s">
        <v>62</v>
      </c>
      <c r="D990" t="s">
        <v>63</v>
      </c>
      <c r="E990">
        <v>3.5</v>
      </c>
      <c r="F990">
        <v>4.5</v>
      </c>
      <c r="G990" s="2" t="s">
        <v>64</v>
      </c>
      <c r="H990" s="2">
        <v>0.0</v>
      </c>
      <c r="I990" s="2">
        <v>0.0</v>
      </c>
      <c r="J990" s="37">
        <v>0.0</v>
      </c>
      <c r="K990" s="2">
        <v>0.0</v>
      </c>
      <c r="L990" s="2">
        <v>0.0</v>
      </c>
      <c r="M990" s="37">
        <v>0.0</v>
      </c>
    </row>
    <row r="991" ht="14.25" customHeight="1">
      <c r="A991" t="s">
        <v>1073</v>
      </c>
      <c r="B991" t="s">
        <v>638</v>
      </c>
      <c r="C991" t="s">
        <v>75</v>
      </c>
      <c r="D991" t="s">
        <v>63</v>
      </c>
      <c r="E991">
        <v>12.5</v>
      </c>
      <c r="F991">
        <v>15.0</v>
      </c>
      <c r="G991" s="2" t="s">
        <v>64</v>
      </c>
      <c r="H991" s="2">
        <v>0.0</v>
      </c>
      <c r="I991" s="2">
        <v>0.0</v>
      </c>
      <c r="J991" s="37">
        <v>0.0</v>
      </c>
      <c r="K991" s="2">
        <v>0.0</v>
      </c>
      <c r="L991" s="2">
        <v>0.0</v>
      </c>
      <c r="M991" s="37">
        <v>0.0</v>
      </c>
    </row>
    <row r="992" ht="14.25" customHeight="1">
      <c r="A992" t="s">
        <v>1074</v>
      </c>
      <c r="B992" t="s">
        <v>638</v>
      </c>
      <c r="C992" t="s">
        <v>75</v>
      </c>
      <c r="D992" t="s">
        <v>63</v>
      </c>
      <c r="E992">
        <v>12.5</v>
      </c>
      <c r="F992">
        <v>15.0</v>
      </c>
      <c r="G992" s="2" t="s">
        <v>64</v>
      </c>
      <c r="H992" s="2">
        <v>0.0</v>
      </c>
      <c r="I992" s="2">
        <v>0.0</v>
      </c>
      <c r="J992" s="37">
        <v>0.0</v>
      </c>
      <c r="K992" s="2">
        <v>0.0</v>
      </c>
      <c r="L992" s="2">
        <v>0.0</v>
      </c>
      <c r="M992" s="37">
        <v>0.0</v>
      </c>
    </row>
    <row r="993" ht="14.25" customHeight="1">
      <c r="A993" t="s">
        <v>1075</v>
      </c>
      <c r="B993" t="s">
        <v>638</v>
      </c>
      <c r="C993" t="s">
        <v>62</v>
      </c>
      <c r="D993" t="s">
        <v>63</v>
      </c>
      <c r="E993">
        <v>11.2</v>
      </c>
      <c r="F993">
        <v>12.5</v>
      </c>
      <c r="G993" s="2" t="s">
        <v>64</v>
      </c>
      <c r="H993" s="2">
        <v>0.0</v>
      </c>
      <c r="I993" s="2">
        <v>0.0</v>
      </c>
      <c r="J993" s="37">
        <v>0.0</v>
      </c>
      <c r="K993" s="2">
        <v>0.0</v>
      </c>
      <c r="L993" s="2">
        <v>0.0</v>
      </c>
      <c r="M993" s="37">
        <v>0.0</v>
      </c>
    </row>
    <row r="994" ht="14.25" customHeight="1">
      <c r="A994" t="s">
        <v>1076</v>
      </c>
      <c r="B994" t="s">
        <v>638</v>
      </c>
      <c r="C994" t="s">
        <v>62</v>
      </c>
      <c r="D994" t="s">
        <v>63</v>
      </c>
      <c r="E994">
        <v>14.0</v>
      </c>
      <c r="F994">
        <v>16.0</v>
      </c>
      <c r="G994" s="2" t="s">
        <v>64</v>
      </c>
      <c r="H994" s="2">
        <v>0.0</v>
      </c>
      <c r="I994" s="2">
        <v>0.0</v>
      </c>
      <c r="J994" s="37">
        <v>0.0</v>
      </c>
      <c r="K994" s="2">
        <v>0.0</v>
      </c>
      <c r="L994" s="2">
        <v>0.0</v>
      </c>
      <c r="M994" s="37">
        <v>0.0</v>
      </c>
    </row>
    <row r="995" ht="14.25" customHeight="1">
      <c r="A995" t="s">
        <v>1077</v>
      </c>
      <c r="B995" t="s">
        <v>638</v>
      </c>
      <c r="C995" t="s">
        <v>62</v>
      </c>
      <c r="D995" t="s">
        <v>63</v>
      </c>
      <c r="E995">
        <v>8.0</v>
      </c>
      <c r="F995">
        <v>9.0</v>
      </c>
      <c r="G995" s="2" t="s">
        <v>64</v>
      </c>
      <c r="H995" s="2">
        <v>0.0</v>
      </c>
      <c r="I995" s="2">
        <v>0.0</v>
      </c>
      <c r="J995" s="37">
        <v>0.0</v>
      </c>
      <c r="K995" s="2">
        <v>0.0</v>
      </c>
      <c r="L995" s="2">
        <v>0.0</v>
      </c>
      <c r="M995" s="37">
        <v>0.0</v>
      </c>
    </row>
    <row r="996" ht="14.25" customHeight="1">
      <c r="A996" t="s">
        <v>1078</v>
      </c>
      <c r="B996" t="s">
        <v>638</v>
      </c>
      <c r="C996" t="s">
        <v>62</v>
      </c>
      <c r="D996" t="s">
        <v>63</v>
      </c>
      <c r="E996">
        <v>5.0</v>
      </c>
      <c r="F996">
        <v>6.0</v>
      </c>
      <c r="G996" s="2" t="s">
        <v>64</v>
      </c>
      <c r="H996" s="2">
        <v>0.0</v>
      </c>
      <c r="I996" s="2">
        <v>0.0</v>
      </c>
      <c r="J996" s="37">
        <v>0.0</v>
      </c>
      <c r="K996" s="2">
        <v>0.0</v>
      </c>
      <c r="L996" s="2">
        <v>0.0</v>
      </c>
      <c r="M996" s="37">
        <v>0.0</v>
      </c>
    </row>
    <row r="997" ht="14.25" customHeight="1">
      <c r="A997" t="s">
        <v>1079</v>
      </c>
      <c r="B997" t="s">
        <v>638</v>
      </c>
      <c r="C997" t="s">
        <v>62</v>
      </c>
      <c r="D997" t="s">
        <v>63</v>
      </c>
      <c r="E997">
        <v>6.0</v>
      </c>
      <c r="F997">
        <v>7.1</v>
      </c>
      <c r="G997" s="2" t="s">
        <v>67</v>
      </c>
      <c r="H997" s="2">
        <v>21.0</v>
      </c>
      <c r="I997" s="2">
        <v>128.0</v>
      </c>
      <c r="J997" s="37">
        <v>638.0600000000001</v>
      </c>
      <c r="K997" s="2">
        <v>24.0</v>
      </c>
      <c r="L997" s="2">
        <v>183.0</v>
      </c>
      <c r="M997" s="37">
        <v>776.9399999999999</v>
      </c>
    </row>
    <row r="998" ht="14.25" customHeight="1">
      <c r="A998" t="s">
        <v>1080</v>
      </c>
      <c r="B998" t="s">
        <v>638</v>
      </c>
      <c r="C998" t="s">
        <v>75</v>
      </c>
      <c r="D998" t="s">
        <v>63</v>
      </c>
      <c r="E998">
        <v>5.0</v>
      </c>
      <c r="F998">
        <v>6.0</v>
      </c>
      <c r="G998" s="2" t="s">
        <v>64</v>
      </c>
      <c r="H998" s="2">
        <v>0.0</v>
      </c>
      <c r="I998" s="2">
        <v>0.0</v>
      </c>
      <c r="J998" s="37">
        <v>0.0</v>
      </c>
      <c r="K998" s="2">
        <v>0.0</v>
      </c>
      <c r="L998" s="2">
        <v>0.0</v>
      </c>
      <c r="M998" s="37">
        <v>0.0</v>
      </c>
    </row>
    <row r="999" ht="14.25" customHeight="1">
      <c r="A999" t="s">
        <v>1081</v>
      </c>
      <c r="B999" t="s">
        <v>638</v>
      </c>
      <c r="C999" t="s">
        <v>75</v>
      </c>
      <c r="D999" t="s">
        <v>63</v>
      </c>
      <c r="E999">
        <v>6.0</v>
      </c>
      <c r="F999">
        <v>7.1</v>
      </c>
      <c r="G999" s="2" t="s">
        <v>64</v>
      </c>
      <c r="H999" s="2">
        <v>0.0</v>
      </c>
      <c r="I999" s="2">
        <v>0.0</v>
      </c>
      <c r="J999" s="37">
        <v>0.0</v>
      </c>
      <c r="K999" s="2">
        <v>0.0</v>
      </c>
      <c r="L999" s="2">
        <v>0.0</v>
      </c>
      <c r="M999" s="37">
        <v>0.0</v>
      </c>
    </row>
    <row r="1000" ht="14.25" customHeight="1">
      <c r="A1000" t="s">
        <v>1082</v>
      </c>
      <c r="B1000" t="s">
        <v>638</v>
      </c>
      <c r="C1000" t="s">
        <v>62</v>
      </c>
      <c r="D1000" t="s">
        <v>63</v>
      </c>
      <c r="E1000">
        <v>5.0</v>
      </c>
      <c r="F1000">
        <v>6.0</v>
      </c>
      <c r="G1000" s="2" t="s">
        <v>64</v>
      </c>
      <c r="H1000" s="2">
        <v>0.0</v>
      </c>
      <c r="I1000" s="2">
        <v>0.0</v>
      </c>
      <c r="J1000" s="37">
        <v>0.0</v>
      </c>
      <c r="K1000" s="2">
        <v>0.0</v>
      </c>
      <c r="L1000" s="2">
        <v>0.0</v>
      </c>
      <c r="M1000" s="37">
        <v>0.0</v>
      </c>
    </row>
    <row r="1001" ht="14.25" customHeight="1">
      <c r="A1001" t="s">
        <v>1083</v>
      </c>
      <c r="B1001" t="s">
        <v>638</v>
      </c>
      <c r="C1001" t="s">
        <v>62</v>
      </c>
      <c r="D1001" t="s">
        <v>63</v>
      </c>
      <c r="E1001">
        <v>6.0</v>
      </c>
      <c r="F1001">
        <v>7.1</v>
      </c>
      <c r="G1001" s="2" t="s">
        <v>64</v>
      </c>
      <c r="H1001" s="2">
        <v>0.0</v>
      </c>
      <c r="I1001" s="2">
        <v>0.0</v>
      </c>
      <c r="J1001" s="37">
        <v>0.0</v>
      </c>
      <c r="K1001" s="2">
        <v>0.0</v>
      </c>
      <c r="L1001" s="2">
        <v>0.0</v>
      </c>
      <c r="M1001" s="37">
        <v>0.0</v>
      </c>
    </row>
    <row r="1002" ht="14.25" customHeight="1">
      <c r="A1002" t="s">
        <v>1084</v>
      </c>
      <c r="B1002" t="s">
        <v>638</v>
      </c>
      <c r="C1002" t="s">
        <v>62</v>
      </c>
      <c r="D1002" t="s">
        <v>63</v>
      </c>
      <c r="E1002">
        <v>5.0</v>
      </c>
      <c r="F1002">
        <v>6.0</v>
      </c>
      <c r="G1002" s="2" t="s">
        <v>64</v>
      </c>
      <c r="H1002" s="2">
        <v>0.0</v>
      </c>
      <c r="I1002" s="2">
        <v>0.0</v>
      </c>
      <c r="J1002" s="37">
        <v>0.0</v>
      </c>
      <c r="K1002" s="2">
        <v>0.0</v>
      </c>
      <c r="L1002" s="2">
        <v>0.0</v>
      </c>
      <c r="M1002" s="37">
        <v>0.0</v>
      </c>
    </row>
    <row r="1003" ht="14.25" customHeight="1">
      <c r="A1003" t="s">
        <v>1085</v>
      </c>
      <c r="B1003" t="s">
        <v>638</v>
      </c>
      <c r="C1003" t="s">
        <v>62</v>
      </c>
      <c r="D1003" t="s">
        <v>63</v>
      </c>
      <c r="E1003">
        <v>6.0</v>
      </c>
      <c r="F1003">
        <v>7.1</v>
      </c>
      <c r="G1003" s="2" t="s">
        <v>64</v>
      </c>
      <c r="H1003" s="2">
        <v>0.0</v>
      </c>
      <c r="I1003" s="2">
        <v>0.0</v>
      </c>
      <c r="J1003" s="37">
        <v>0.0</v>
      </c>
      <c r="K1003" s="2">
        <v>0.0</v>
      </c>
      <c r="L1003" s="2">
        <v>0.0</v>
      </c>
      <c r="M1003" s="37">
        <v>0.0</v>
      </c>
    </row>
    <row r="1004" ht="14.25" customHeight="1">
      <c r="A1004" t="s">
        <v>1086</v>
      </c>
      <c r="B1004" t="s">
        <v>638</v>
      </c>
      <c r="C1004" t="s">
        <v>75</v>
      </c>
      <c r="D1004" t="s">
        <v>63</v>
      </c>
      <c r="E1004">
        <v>5.0</v>
      </c>
      <c r="F1004">
        <v>6.0</v>
      </c>
      <c r="G1004" s="2" t="s">
        <v>64</v>
      </c>
      <c r="H1004" s="2">
        <v>0.0</v>
      </c>
      <c r="I1004" s="2">
        <v>0.0</v>
      </c>
      <c r="J1004" s="37">
        <v>0.0</v>
      </c>
      <c r="K1004" s="2">
        <v>0.0</v>
      </c>
      <c r="L1004" s="2">
        <v>0.0</v>
      </c>
      <c r="M1004" s="37">
        <v>0.0</v>
      </c>
    </row>
    <row r="1005" ht="14.25" customHeight="1">
      <c r="A1005" t="s">
        <v>1087</v>
      </c>
      <c r="B1005" t="s">
        <v>638</v>
      </c>
      <c r="C1005" t="s">
        <v>75</v>
      </c>
      <c r="D1005" t="s">
        <v>63</v>
      </c>
      <c r="E1005">
        <v>6.0</v>
      </c>
      <c r="F1005">
        <v>7.0</v>
      </c>
      <c r="G1005" s="2" t="s">
        <v>64</v>
      </c>
      <c r="H1005" s="2">
        <v>0.0</v>
      </c>
      <c r="I1005" s="2">
        <v>0.0</v>
      </c>
      <c r="J1005" s="37">
        <v>0.0</v>
      </c>
      <c r="K1005" s="2">
        <v>0.0</v>
      </c>
      <c r="L1005" s="2">
        <v>0.0</v>
      </c>
      <c r="M1005" s="37">
        <v>0.0</v>
      </c>
    </row>
    <row r="1006" ht="14.25" customHeight="1">
      <c r="A1006" t="s">
        <v>1088</v>
      </c>
      <c r="B1006" t="s">
        <v>638</v>
      </c>
      <c r="C1006" t="s">
        <v>75</v>
      </c>
      <c r="D1006" t="s">
        <v>63</v>
      </c>
      <c r="E1006">
        <v>7.1</v>
      </c>
      <c r="F1006">
        <v>7.5</v>
      </c>
      <c r="G1006" s="2" t="s">
        <v>64</v>
      </c>
      <c r="H1006" s="2">
        <v>0.0</v>
      </c>
      <c r="I1006" s="2">
        <v>0.0</v>
      </c>
      <c r="J1006" s="37">
        <v>0.0</v>
      </c>
      <c r="K1006" s="2">
        <v>0.0</v>
      </c>
      <c r="L1006" s="2">
        <v>0.0</v>
      </c>
      <c r="M1006" s="37">
        <v>0.0</v>
      </c>
    </row>
    <row r="1007" ht="14.25" customHeight="1">
      <c r="A1007" t="s">
        <v>1089</v>
      </c>
      <c r="B1007" t="s">
        <v>638</v>
      </c>
      <c r="C1007" t="s">
        <v>75</v>
      </c>
      <c r="D1007" t="s">
        <v>63</v>
      </c>
      <c r="E1007">
        <v>5.0</v>
      </c>
      <c r="F1007">
        <v>6.0</v>
      </c>
      <c r="G1007" s="2" t="s">
        <v>67</v>
      </c>
      <c r="H1007" s="2">
        <v>16.0</v>
      </c>
      <c r="I1007" s="2">
        <v>72.0</v>
      </c>
      <c r="J1007" s="37">
        <v>452.96000000000004</v>
      </c>
      <c r="K1007" s="2">
        <v>19.0</v>
      </c>
      <c r="L1007" s="2">
        <v>123.0</v>
      </c>
      <c r="M1007" s="37">
        <v>586.64</v>
      </c>
    </row>
    <row r="1008" ht="14.25" customHeight="1">
      <c r="A1008" t="s">
        <v>1090</v>
      </c>
      <c r="B1008" t="s">
        <v>638</v>
      </c>
      <c r="C1008" t="s">
        <v>75</v>
      </c>
      <c r="D1008" t="s">
        <v>63</v>
      </c>
      <c r="E1008">
        <v>6.0</v>
      </c>
      <c r="F1008">
        <v>7.0</v>
      </c>
      <c r="G1008" s="2" t="s">
        <v>67</v>
      </c>
      <c r="H1008" s="2">
        <v>20.0</v>
      </c>
      <c r="I1008" s="2">
        <v>69.0</v>
      </c>
      <c r="J1008" s="37">
        <v>538.9000000000001</v>
      </c>
      <c r="K1008" s="2">
        <v>24.0</v>
      </c>
      <c r="L1008" s="2">
        <v>131.0</v>
      </c>
      <c r="M1008" s="37">
        <v>709.3399999999999</v>
      </c>
    </row>
    <row r="1009" ht="14.25" customHeight="1">
      <c r="A1009" t="s">
        <v>1091</v>
      </c>
      <c r="B1009" t="s">
        <v>638</v>
      </c>
      <c r="C1009" t="s">
        <v>62</v>
      </c>
      <c r="D1009" t="s">
        <v>63</v>
      </c>
      <c r="E1009">
        <v>5.0</v>
      </c>
      <c r="F1009">
        <v>6.0</v>
      </c>
      <c r="G1009" s="2" t="s">
        <v>64</v>
      </c>
      <c r="H1009" s="2">
        <v>0.0</v>
      </c>
      <c r="I1009" s="2">
        <v>0.0</v>
      </c>
      <c r="J1009" s="37">
        <v>0.0</v>
      </c>
      <c r="K1009" s="2">
        <v>0.0</v>
      </c>
      <c r="L1009" s="2">
        <v>0.0</v>
      </c>
      <c r="M1009" s="37">
        <v>0.0</v>
      </c>
    </row>
    <row r="1010" ht="14.25" customHeight="1">
      <c r="A1010" t="s">
        <v>1092</v>
      </c>
      <c r="B1010" t="s">
        <v>638</v>
      </c>
      <c r="C1010" t="s">
        <v>62</v>
      </c>
      <c r="D1010" t="s">
        <v>63</v>
      </c>
      <c r="E1010">
        <v>6.0</v>
      </c>
      <c r="F1010">
        <v>7.1</v>
      </c>
      <c r="G1010" s="2" t="s">
        <v>67</v>
      </c>
      <c r="H1010" s="2">
        <v>21.0</v>
      </c>
      <c r="I1010" s="2">
        <v>128.0</v>
      </c>
      <c r="J1010" s="37">
        <v>638.0600000000001</v>
      </c>
      <c r="K1010" s="2">
        <v>24.0</v>
      </c>
      <c r="L1010" s="2">
        <v>183.0</v>
      </c>
      <c r="M1010" s="37">
        <v>776.9399999999999</v>
      </c>
    </row>
    <row r="1011" ht="14.25" customHeight="1">
      <c r="A1011" t="s">
        <v>1093</v>
      </c>
      <c r="B1011" t="s">
        <v>638</v>
      </c>
      <c r="C1011" t="s">
        <v>75</v>
      </c>
      <c r="D1011" t="s">
        <v>63</v>
      </c>
      <c r="E1011">
        <v>7.1</v>
      </c>
      <c r="F1011">
        <v>7.5</v>
      </c>
      <c r="G1011" s="2" t="s">
        <v>64</v>
      </c>
      <c r="H1011" s="2">
        <v>0.0</v>
      </c>
      <c r="I1011" s="2">
        <v>0.0</v>
      </c>
      <c r="J1011" s="37">
        <v>0.0</v>
      </c>
      <c r="K1011" s="2">
        <v>0.0</v>
      </c>
      <c r="L1011" s="2">
        <v>0.0</v>
      </c>
      <c r="M1011" s="37">
        <v>0.0</v>
      </c>
    </row>
    <row r="1012" ht="14.25" customHeight="1">
      <c r="A1012" t="s">
        <v>1094</v>
      </c>
      <c r="B1012" t="s">
        <v>638</v>
      </c>
      <c r="C1012" t="s">
        <v>62</v>
      </c>
      <c r="D1012" t="s">
        <v>63</v>
      </c>
      <c r="E1012">
        <v>7.1</v>
      </c>
      <c r="F1012">
        <v>8.0</v>
      </c>
      <c r="G1012" s="2" t="s">
        <v>64</v>
      </c>
      <c r="H1012" s="2">
        <v>0.0</v>
      </c>
      <c r="I1012" s="2">
        <v>0.0</v>
      </c>
      <c r="J1012" s="37">
        <v>0.0</v>
      </c>
      <c r="K1012" s="2">
        <v>0.0</v>
      </c>
      <c r="L1012" s="2">
        <v>0.0</v>
      </c>
      <c r="M1012" s="37">
        <v>0.0</v>
      </c>
    </row>
    <row r="1013" ht="14.25" customHeight="1">
      <c r="A1013" t="s">
        <v>1095</v>
      </c>
      <c r="B1013" t="s">
        <v>638</v>
      </c>
      <c r="C1013" t="s">
        <v>75</v>
      </c>
      <c r="D1013" t="s">
        <v>63</v>
      </c>
      <c r="E1013">
        <v>7.1</v>
      </c>
      <c r="F1013">
        <v>8.0</v>
      </c>
      <c r="G1013" s="2" t="s">
        <v>64</v>
      </c>
      <c r="H1013" s="2">
        <v>0.0</v>
      </c>
      <c r="I1013" s="2">
        <v>0.0</v>
      </c>
      <c r="J1013" s="37">
        <v>0.0</v>
      </c>
      <c r="K1013" s="2">
        <v>0.0</v>
      </c>
      <c r="L1013" s="2">
        <v>0.0</v>
      </c>
      <c r="M1013" s="37">
        <v>0.0</v>
      </c>
    </row>
    <row r="1014" ht="14.25" customHeight="1">
      <c r="A1014" t="s">
        <v>1096</v>
      </c>
      <c r="B1014" t="s">
        <v>638</v>
      </c>
      <c r="C1014" t="s">
        <v>75</v>
      </c>
      <c r="D1014" t="s">
        <v>82</v>
      </c>
      <c r="E1014">
        <v>17.43</v>
      </c>
      <c r="F1014">
        <v>17.23</v>
      </c>
      <c r="G1014" s="2" t="s">
        <v>64</v>
      </c>
      <c r="H1014" s="2">
        <v>0.0</v>
      </c>
      <c r="I1014" s="2">
        <v>0.0</v>
      </c>
      <c r="J1014" s="37">
        <v>0.0</v>
      </c>
      <c r="K1014" s="2">
        <v>0.0</v>
      </c>
      <c r="L1014" s="2">
        <v>0.0</v>
      </c>
      <c r="M1014" s="37">
        <v>0.0</v>
      </c>
    </row>
    <row r="1015" ht="14.25" customHeight="1">
      <c r="A1015" t="s">
        <v>1097</v>
      </c>
      <c r="B1015" t="s">
        <v>638</v>
      </c>
      <c r="C1015" t="s">
        <v>75</v>
      </c>
      <c r="D1015" t="s">
        <v>63</v>
      </c>
      <c r="E1015">
        <v>19.5</v>
      </c>
      <c r="F1015">
        <v>22.4</v>
      </c>
      <c r="G1015" s="2" t="s">
        <v>64</v>
      </c>
      <c r="H1015" s="2">
        <v>0.0</v>
      </c>
      <c r="I1015" s="2">
        <v>0.0</v>
      </c>
      <c r="J1015" s="37">
        <v>0.0</v>
      </c>
      <c r="K1015" s="2">
        <v>0.0</v>
      </c>
      <c r="L1015" s="2">
        <v>0.0</v>
      </c>
      <c r="M1015" s="37">
        <v>0.0</v>
      </c>
    </row>
    <row r="1016" ht="14.25" customHeight="1">
      <c r="A1016" t="s">
        <v>1098</v>
      </c>
      <c r="B1016" t="s">
        <v>638</v>
      </c>
      <c r="C1016" t="s">
        <v>75</v>
      </c>
      <c r="D1016" t="s">
        <v>63</v>
      </c>
      <c r="E1016">
        <v>23.5</v>
      </c>
      <c r="F1016">
        <v>26.8</v>
      </c>
      <c r="G1016" s="2" t="s">
        <v>64</v>
      </c>
      <c r="H1016" s="2">
        <v>0.0</v>
      </c>
      <c r="I1016" s="2">
        <v>0.0</v>
      </c>
      <c r="J1016" s="37">
        <v>0.0</v>
      </c>
      <c r="K1016" s="2">
        <v>0.0</v>
      </c>
      <c r="L1016" s="2">
        <v>0.0</v>
      </c>
      <c r="M1016" s="37">
        <v>0.0</v>
      </c>
    </row>
    <row r="1017" ht="14.25" customHeight="1">
      <c r="A1017" t="s">
        <v>1099</v>
      </c>
      <c r="B1017" t="s">
        <v>638</v>
      </c>
      <c r="C1017" t="s">
        <v>75</v>
      </c>
      <c r="D1017" t="s">
        <v>63</v>
      </c>
      <c r="E1017">
        <v>20.0</v>
      </c>
      <c r="F1017">
        <v>22.4</v>
      </c>
      <c r="G1017" s="2" t="s">
        <v>64</v>
      </c>
      <c r="H1017" s="2">
        <v>0.0</v>
      </c>
      <c r="I1017" s="2">
        <v>0.0</v>
      </c>
      <c r="J1017" s="37">
        <v>0.0</v>
      </c>
      <c r="K1017" s="2">
        <v>0.0</v>
      </c>
      <c r="L1017" s="2">
        <v>0.0</v>
      </c>
      <c r="M1017" s="37">
        <v>0.0</v>
      </c>
    </row>
    <row r="1018" ht="14.25" customHeight="1">
      <c r="A1018" t="s">
        <v>1100</v>
      </c>
      <c r="B1018" t="s">
        <v>638</v>
      </c>
      <c r="C1018" t="s">
        <v>75</v>
      </c>
      <c r="D1018" t="s">
        <v>63</v>
      </c>
      <c r="E1018">
        <v>24.0</v>
      </c>
      <c r="F1018">
        <v>26.8</v>
      </c>
      <c r="G1018" s="2" t="s">
        <v>64</v>
      </c>
      <c r="H1018" s="2">
        <v>0.0</v>
      </c>
      <c r="I1018" s="2">
        <v>0.0</v>
      </c>
      <c r="J1018" s="37">
        <v>0.0</v>
      </c>
      <c r="K1018" s="2">
        <v>0.0</v>
      </c>
      <c r="L1018" s="2">
        <v>0.0</v>
      </c>
      <c r="M1018" s="37">
        <v>0.0</v>
      </c>
    </row>
    <row r="1019" ht="14.25" customHeight="1">
      <c r="A1019" t="s">
        <v>1101</v>
      </c>
      <c r="B1019" t="s">
        <v>638</v>
      </c>
      <c r="C1019" t="s">
        <v>75</v>
      </c>
      <c r="D1019" t="s">
        <v>63</v>
      </c>
      <c r="E1019">
        <v>18.0</v>
      </c>
      <c r="F1019">
        <v>20.0</v>
      </c>
      <c r="G1019" s="2" t="s">
        <v>64</v>
      </c>
      <c r="H1019" s="2">
        <v>0.0</v>
      </c>
      <c r="I1019" s="2">
        <v>0.0</v>
      </c>
      <c r="J1019" s="37">
        <v>0.0</v>
      </c>
      <c r="K1019" s="2">
        <v>0.0</v>
      </c>
      <c r="L1019" s="2">
        <v>0.0</v>
      </c>
      <c r="M1019" s="37">
        <v>0.0</v>
      </c>
    </row>
    <row r="1020" ht="14.25" customHeight="1">
      <c r="A1020" t="s">
        <v>1102</v>
      </c>
      <c r="B1020" t="s">
        <v>638</v>
      </c>
      <c r="C1020" t="s">
        <v>75</v>
      </c>
      <c r="D1020" t="s">
        <v>63</v>
      </c>
      <c r="E1020">
        <v>18.0</v>
      </c>
      <c r="F1020">
        <v>20.0</v>
      </c>
      <c r="G1020" s="2" t="s">
        <v>64</v>
      </c>
      <c r="H1020" s="2">
        <v>0.0</v>
      </c>
      <c r="I1020" s="2">
        <v>0.0</v>
      </c>
      <c r="J1020" s="37">
        <v>0.0</v>
      </c>
      <c r="K1020" s="2">
        <v>0.0</v>
      </c>
      <c r="L1020" s="2">
        <v>0.0</v>
      </c>
      <c r="M1020" s="37">
        <v>0.0</v>
      </c>
    </row>
    <row r="1021" ht="14.25" customHeight="1">
      <c r="A1021" t="s">
        <v>1103</v>
      </c>
      <c r="B1021" t="s">
        <v>638</v>
      </c>
      <c r="C1021" t="s">
        <v>62</v>
      </c>
      <c r="D1021" t="s">
        <v>63</v>
      </c>
      <c r="E1021">
        <v>2.5</v>
      </c>
      <c r="F1021">
        <v>3.2</v>
      </c>
      <c r="G1021" s="2" t="s">
        <v>64</v>
      </c>
      <c r="H1021" s="2">
        <v>0.0</v>
      </c>
      <c r="I1021" s="2">
        <v>0.0</v>
      </c>
      <c r="J1021" s="37">
        <v>0.0</v>
      </c>
      <c r="K1021" s="2">
        <v>0.0</v>
      </c>
      <c r="L1021" s="2">
        <v>0.0</v>
      </c>
      <c r="M1021" s="37">
        <v>0.0</v>
      </c>
    </row>
    <row r="1022" ht="14.25" customHeight="1">
      <c r="A1022" t="s">
        <v>1104</v>
      </c>
      <c r="B1022" t="s">
        <v>638</v>
      </c>
      <c r="C1022" t="s">
        <v>62</v>
      </c>
      <c r="D1022" t="s">
        <v>63</v>
      </c>
      <c r="E1022">
        <v>3.5</v>
      </c>
      <c r="F1022">
        <v>4.2</v>
      </c>
      <c r="G1022" s="2" t="s">
        <v>64</v>
      </c>
      <c r="H1022" s="2">
        <v>0.0</v>
      </c>
      <c r="I1022" s="2">
        <v>0.0</v>
      </c>
      <c r="J1022" s="37">
        <v>0.0</v>
      </c>
      <c r="K1022" s="2">
        <v>0.0</v>
      </c>
      <c r="L1022" s="2">
        <v>0.0</v>
      </c>
      <c r="M1022" s="37">
        <v>0.0</v>
      </c>
    </row>
    <row r="1023" ht="14.25" customHeight="1">
      <c r="A1023" t="s">
        <v>1105</v>
      </c>
      <c r="B1023" t="s">
        <v>638</v>
      </c>
      <c r="C1023" t="s">
        <v>62</v>
      </c>
      <c r="D1023" t="s">
        <v>63</v>
      </c>
      <c r="E1023">
        <v>5.0</v>
      </c>
      <c r="F1023">
        <v>6.0</v>
      </c>
      <c r="G1023" s="2" t="s">
        <v>67</v>
      </c>
      <c r="H1023" s="2">
        <v>17.0</v>
      </c>
      <c r="I1023" s="2">
        <v>131.0</v>
      </c>
      <c r="J1023" s="37">
        <v>552.12</v>
      </c>
      <c r="K1023" s="2">
        <v>19.0</v>
      </c>
      <c r="L1023" s="2">
        <v>176.0</v>
      </c>
      <c r="M1023" s="37">
        <v>655.54</v>
      </c>
    </row>
    <row r="1024" ht="14.25" customHeight="1">
      <c r="A1024" t="s">
        <v>1106</v>
      </c>
      <c r="B1024" t="s">
        <v>638</v>
      </c>
      <c r="C1024" t="s">
        <v>62</v>
      </c>
      <c r="D1024" t="s">
        <v>63</v>
      </c>
      <c r="E1024">
        <v>6.0</v>
      </c>
      <c r="F1024">
        <v>7.1</v>
      </c>
      <c r="G1024" s="2" t="s">
        <v>67</v>
      </c>
      <c r="H1024" s="2">
        <v>19.0</v>
      </c>
      <c r="I1024" s="2">
        <v>107.0</v>
      </c>
      <c r="J1024" s="37">
        <v>565.84</v>
      </c>
      <c r="K1024" s="2">
        <v>22.0</v>
      </c>
      <c r="L1024" s="2">
        <v>162.0</v>
      </c>
      <c r="M1024" s="37">
        <v>704.72</v>
      </c>
    </row>
    <row r="1025" ht="14.25" customHeight="1">
      <c r="A1025" t="s">
        <v>1107</v>
      </c>
      <c r="B1025" t="s">
        <v>638</v>
      </c>
      <c r="C1025" t="s">
        <v>62</v>
      </c>
      <c r="D1025" t="s">
        <v>63</v>
      </c>
      <c r="E1025">
        <v>7.1</v>
      </c>
      <c r="F1025">
        <v>8.0</v>
      </c>
      <c r="G1025" s="2" t="s">
        <v>67</v>
      </c>
      <c r="H1025" s="2">
        <v>21.0</v>
      </c>
      <c r="I1025" s="2">
        <v>60.0</v>
      </c>
      <c r="J1025" s="37">
        <v>549.6600000000001</v>
      </c>
      <c r="K1025" s="2">
        <v>24.0</v>
      </c>
      <c r="L1025" s="2">
        <v>125.0</v>
      </c>
      <c r="M1025" s="37">
        <v>701.54</v>
      </c>
    </row>
    <row r="1026" ht="14.25" customHeight="1">
      <c r="A1026" t="s">
        <v>1108</v>
      </c>
      <c r="B1026" t="s">
        <v>638</v>
      </c>
      <c r="C1026" t="s">
        <v>75</v>
      </c>
      <c r="D1026" t="s">
        <v>63</v>
      </c>
      <c r="E1026">
        <v>18.0</v>
      </c>
      <c r="F1026">
        <v>20.0</v>
      </c>
      <c r="G1026" s="2" t="s">
        <v>67</v>
      </c>
      <c r="H1026" s="2">
        <v>59.0</v>
      </c>
      <c r="I1026" s="2">
        <v>212.0</v>
      </c>
      <c r="J1026" s="37">
        <v>1600.7400000000002</v>
      </c>
      <c r="K1026" s="2">
        <v>69.0</v>
      </c>
      <c r="L1026" s="2">
        <v>396.0</v>
      </c>
      <c r="M1026" s="37">
        <v>2064.54</v>
      </c>
    </row>
    <row r="1027" ht="14.25" customHeight="1">
      <c r="A1027" t="s">
        <v>1109</v>
      </c>
      <c r="B1027" t="s">
        <v>638</v>
      </c>
      <c r="C1027" t="s">
        <v>75</v>
      </c>
      <c r="D1027" t="s">
        <v>63</v>
      </c>
      <c r="E1027">
        <v>20.0</v>
      </c>
      <c r="F1027">
        <v>22.4</v>
      </c>
      <c r="G1027" s="2" t="s">
        <v>67</v>
      </c>
      <c r="H1027" s="2">
        <v>64.0</v>
      </c>
      <c r="I1027" s="2">
        <v>151.0</v>
      </c>
      <c r="J1027" s="37">
        <v>1633.74</v>
      </c>
      <c r="K1027" s="2">
        <v>75.0</v>
      </c>
      <c r="L1027" s="2">
        <v>356.0</v>
      </c>
      <c r="M1027" s="37">
        <v>2147.3</v>
      </c>
    </row>
    <row r="1028" ht="14.25" customHeight="1">
      <c r="A1028" t="s">
        <v>1110</v>
      </c>
      <c r="B1028" t="s">
        <v>638</v>
      </c>
      <c r="C1028" t="s">
        <v>75</v>
      </c>
      <c r="D1028" t="s">
        <v>63</v>
      </c>
      <c r="E1028">
        <v>5.0</v>
      </c>
      <c r="F1028">
        <v>6.0</v>
      </c>
      <c r="G1028" s="2" t="s">
        <v>64</v>
      </c>
      <c r="H1028" s="2">
        <v>0.0</v>
      </c>
      <c r="I1028" s="2">
        <v>0.0</v>
      </c>
      <c r="J1028" s="37">
        <v>0.0</v>
      </c>
      <c r="K1028" s="2">
        <v>0.0</v>
      </c>
      <c r="L1028" s="2">
        <v>0.0</v>
      </c>
      <c r="M1028" s="37">
        <v>0.0</v>
      </c>
    </row>
    <row r="1029" ht="14.25" customHeight="1">
      <c r="A1029" t="s">
        <v>1111</v>
      </c>
      <c r="B1029" t="s">
        <v>638</v>
      </c>
      <c r="C1029" t="s">
        <v>75</v>
      </c>
      <c r="D1029" t="s">
        <v>63</v>
      </c>
      <c r="E1029">
        <v>6.0</v>
      </c>
      <c r="F1029">
        <v>7.0</v>
      </c>
      <c r="G1029" s="2" t="s">
        <v>64</v>
      </c>
      <c r="H1029" s="2">
        <v>0.0</v>
      </c>
      <c r="I1029" s="2">
        <v>0.0</v>
      </c>
      <c r="J1029" s="37">
        <v>0.0</v>
      </c>
      <c r="K1029" s="2">
        <v>0.0</v>
      </c>
      <c r="L1029" s="2">
        <v>0.0</v>
      </c>
      <c r="M1029" s="37">
        <v>0.0</v>
      </c>
    </row>
    <row r="1030" ht="14.25" customHeight="1">
      <c r="A1030" t="s">
        <v>1112</v>
      </c>
      <c r="B1030" t="s">
        <v>638</v>
      </c>
      <c r="C1030" t="s">
        <v>75</v>
      </c>
      <c r="D1030" t="s">
        <v>63</v>
      </c>
      <c r="E1030">
        <v>7.1</v>
      </c>
      <c r="F1030">
        <v>7.5</v>
      </c>
      <c r="G1030" s="2" t="s">
        <v>64</v>
      </c>
      <c r="H1030" s="2">
        <v>0.0</v>
      </c>
      <c r="I1030" s="2">
        <v>0.0</v>
      </c>
      <c r="J1030" s="37">
        <v>0.0</v>
      </c>
      <c r="K1030" s="2">
        <v>0.0</v>
      </c>
      <c r="L1030" s="2">
        <v>0.0</v>
      </c>
      <c r="M1030" s="37">
        <v>0.0</v>
      </c>
    </row>
    <row r="1031" ht="14.25" customHeight="1">
      <c r="A1031" t="s">
        <v>1113</v>
      </c>
      <c r="B1031" t="s">
        <v>638</v>
      </c>
      <c r="C1031" t="s">
        <v>75</v>
      </c>
      <c r="D1031" t="s">
        <v>63</v>
      </c>
      <c r="E1031">
        <v>8.5</v>
      </c>
      <c r="F1031">
        <v>10.0</v>
      </c>
      <c r="G1031" s="2" t="s">
        <v>64</v>
      </c>
      <c r="H1031" s="2">
        <v>0.0</v>
      </c>
      <c r="I1031" s="2">
        <v>0.0</v>
      </c>
      <c r="J1031" s="37">
        <v>0.0</v>
      </c>
      <c r="K1031" s="2">
        <v>0.0</v>
      </c>
      <c r="L1031" s="2">
        <v>0.0</v>
      </c>
      <c r="M1031" s="37">
        <v>0.0</v>
      </c>
    </row>
    <row r="1032" ht="14.25" customHeight="1">
      <c r="A1032" t="s">
        <v>1114</v>
      </c>
      <c r="B1032" t="s">
        <v>638</v>
      </c>
      <c r="C1032" t="s">
        <v>75</v>
      </c>
      <c r="D1032" t="s">
        <v>63</v>
      </c>
      <c r="E1032">
        <v>10.0</v>
      </c>
      <c r="F1032">
        <v>12.5</v>
      </c>
      <c r="G1032" s="2" t="s">
        <v>64</v>
      </c>
      <c r="H1032" s="2">
        <v>0.0</v>
      </c>
      <c r="I1032" s="2">
        <v>0.0</v>
      </c>
      <c r="J1032" s="37">
        <v>0.0</v>
      </c>
      <c r="K1032" s="2">
        <v>0.0</v>
      </c>
      <c r="L1032" s="2">
        <v>0.0</v>
      </c>
      <c r="M1032" s="37">
        <v>0.0</v>
      </c>
    </row>
    <row r="1033" ht="14.25" customHeight="1">
      <c r="A1033" t="s">
        <v>1115</v>
      </c>
      <c r="B1033" t="s">
        <v>638</v>
      </c>
      <c r="C1033" t="s">
        <v>75</v>
      </c>
      <c r="D1033" t="s">
        <v>63</v>
      </c>
      <c r="E1033">
        <v>12.5</v>
      </c>
      <c r="F1033">
        <v>15.0</v>
      </c>
      <c r="G1033" s="2" t="s">
        <v>64</v>
      </c>
      <c r="H1033" s="2">
        <v>0.0</v>
      </c>
      <c r="I1033" s="2">
        <v>0.0</v>
      </c>
      <c r="J1033" s="37">
        <v>0.0</v>
      </c>
      <c r="K1033" s="2">
        <v>0.0</v>
      </c>
      <c r="L1033" s="2">
        <v>0.0</v>
      </c>
      <c r="M1033" s="37">
        <v>0.0</v>
      </c>
    </row>
    <row r="1034" ht="14.25" customHeight="1">
      <c r="A1034" t="s">
        <v>1116</v>
      </c>
      <c r="B1034" t="s">
        <v>638</v>
      </c>
      <c r="C1034" t="s">
        <v>75</v>
      </c>
      <c r="D1034" t="s">
        <v>63</v>
      </c>
      <c r="E1034">
        <v>14.0</v>
      </c>
      <c r="F1034">
        <v>16.5</v>
      </c>
      <c r="G1034" s="2" t="s">
        <v>64</v>
      </c>
      <c r="H1034" s="2">
        <v>0.0</v>
      </c>
      <c r="I1034" s="2">
        <v>0.0</v>
      </c>
      <c r="J1034" s="37">
        <v>0.0</v>
      </c>
      <c r="K1034" s="2">
        <v>0.0</v>
      </c>
      <c r="L1034" s="2">
        <v>0.0</v>
      </c>
      <c r="M1034" s="37">
        <v>0.0</v>
      </c>
    </row>
    <row r="1035" ht="14.25" customHeight="1">
      <c r="A1035" t="s">
        <v>1117</v>
      </c>
      <c r="B1035" t="s">
        <v>638</v>
      </c>
      <c r="C1035" t="s">
        <v>75</v>
      </c>
      <c r="D1035" t="s">
        <v>63</v>
      </c>
      <c r="E1035">
        <v>15.5</v>
      </c>
      <c r="F1035">
        <v>18.0</v>
      </c>
      <c r="G1035" s="2" t="s">
        <v>64</v>
      </c>
      <c r="H1035" s="2">
        <v>0.0</v>
      </c>
      <c r="I1035" s="2">
        <v>0.0</v>
      </c>
      <c r="J1035" s="37">
        <v>0.0</v>
      </c>
      <c r="K1035" s="2">
        <v>0.0</v>
      </c>
      <c r="L1035" s="2">
        <v>0.0</v>
      </c>
      <c r="M1035" s="37">
        <v>0.0</v>
      </c>
    </row>
    <row r="1036" ht="14.25" customHeight="1">
      <c r="A1036" t="s">
        <v>1118</v>
      </c>
      <c r="B1036" t="s">
        <v>629</v>
      </c>
      <c r="C1036" t="s">
        <v>62</v>
      </c>
      <c r="D1036" t="s">
        <v>63</v>
      </c>
      <c r="E1036">
        <v>4.6</v>
      </c>
      <c r="F1036">
        <v>4.7</v>
      </c>
      <c r="G1036" s="2" t="s">
        <v>67</v>
      </c>
      <c r="H1036" s="2">
        <v>13.0</v>
      </c>
      <c r="I1036" s="2">
        <v>61.0</v>
      </c>
      <c r="J1036" s="37">
        <v>371.28000000000003</v>
      </c>
      <c r="K1036" s="2">
        <v>15.0</v>
      </c>
      <c r="L1036" s="2">
        <v>103.0</v>
      </c>
      <c r="M1036" s="37">
        <v>470.80000000000007</v>
      </c>
    </row>
    <row r="1037" ht="14.25" customHeight="1">
      <c r="A1037" t="s">
        <v>1119</v>
      </c>
      <c r="B1037" t="s">
        <v>638</v>
      </c>
      <c r="C1037" t="s">
        <v>75</v>
      </c>
      <c r="D1037" t="s">
        <v>63</v>
      </c>
      <c r="E1037">
        <v>7.1</v>
      </c>
      <c r="F1037">
        <v>7.5</v>
      </c>
      <c r="G1037" s="2" t="s">
        <v>64</v>
      </c>
      <c r="H1037" s="2">
        <v>0.0</v>
      </c>
      <c r="I1037" s="2">
        <v>0.0</v>
      </c>
      <c r="J1037" s="37">
        <v>0.0</v>
      </c>
      <c r="K1037" s="2">
        <v>0.0</v>
      </c>
      <c r="L1037" s="2">
        <v>0.0</v>
      </c>
      <c r="M1037" s="37">
        <v>0.0</v>
      </c>
    </row>
    <row r="1038" ht="14.25" customHeight="1">
      <c r="A1038" t="s">
        <v>1120</v>
      </c>
      <c r="B1038" t="s">
        <v>638</v>
      </c>
      <c r="C1038" t="s">
        <v>75</v>
      </c>
      <c r="D1038" t="s">
        <v>63</v>
      </c>
      <c r="E1038">
        <v>7.1</v>
      </c>
      <c r="F1038">
        <v>7.5</v>
      </c>
      <c r="G1038" s="2" t="s">
        <v>64</v>
      </c>
      <c r="H1038" s="2">
        <v>0.0</v>
      </c>
      <c r="I1038" s="2">
        <v>0.0</v>
      </c>
      <c r="J1038" s="37">
        <v>0.0</v>
      </c>
      <c r="K1038" s="2">
        <v>0.0</v>
      </c>
      <c r="L1038" s="2">
        <v>0.0</v>
      </c>
      <c r="M1038" s="37">
        <v>0.0</v>
      </c>
    </row>
    <row r="1039" ht="14.25" customHeight="1">
      <c r="A1039" t="s">
        <v>1121</v>
      </c>
      <c r="B1039" t="s">
        <v>638</v>
      </c>
      <c r="C1039" t="s">
        <v>75</v>
      </c>
      <c r="D1039" t="s">
        <v>63</v>
      </c>
      <c r="E1039">
        <v>8.5</v>
      </c>
      <c r="F1039">
        <v>10.0</v>
      </c>
      <c r="G1039" s="2" t="s">
        <v>64</v>
      </c>
      <c r="H1039" s="2">
        <v>0.0</v>
      </c>
      <c r="I1039" s="2">
        <v>0.0</v>
      </c>
      <c r="J1039" s="37">
        <v>0.0</v>
      </c>
      <c r="K1039" s="2">
        <v>0.0</v>
      </c>
      <c r="L1039" s="2">
        <v>0.0</v>
      </c>
      <c r="M1039" s="37">
        <v>0.0</v>
      </c>
    </row>
    <row r="1040" ht="14.25" customHeight="1">
      <c r="A1040" t="s">
        <v>1122</v>
      </c>
      <c r="B1040" t="s">
        <v>638</v>
      </c>
      <c r="C1040" t="s">
        <v>75</v>
      </c>
      <c r="D1040" t="s">
        <v>63</v>
      </c>
      <c r="E1040">
        <v>8.5</v>
      </c>
      <c r="F1040">
        <v>10.0</v>
      </c>
      <c r="G1040" s="2" t="s">
        <v>64</v>
      </c>
      <c r="H1040" s="2">
        <v>0.0</v>
      </c>
      <c r="I1040" s="2">
        <v>0.0</v>
      </c>
      <c r="J1040" s="37">
        <v>0.0</v>
      </c>
      <c r="K1040" s="2">
        <v>0.0</v>
      </c>
      <c r="L1040" s="2">
        <v>0.0</v>
      </c>
      <c r="M1040" s="37">
        <v>0.0</v>
      </c>
    </row>
    <row r="1041" ht="14.25" customHeight="1">
      <c r="A1041" t="s">
        <v>1123</v>
      </c>
      <c r="B1041" t="s">
        <v>638</v>
      </c>
      <c r="C1041" t="s">
        <v>75</v>
      </c>
      <c r="D1041" t="s">
        <v>63</v>
      </c>
      <c r="E1041">
        <v>10.0</v>
      </c>
      <c r="F1041">
        <v>12.5</v>
      </c>
      <c r="G1041" s="2" t="s">
        <v>67</v>
      </c>
      <c r="H1041" s="2">
        <v>33.0</v>
      </c>
      <c r="I1041" s="2">
        <v>182.0</v>
      </c>
      <c r="J1041" s="37">
        <v>977.7800000000001</v>
      </c>
      <c r="K1041" s="2">
        <v>39.0</v>
      </c>
      <c r="L1041" s="2">
        <v>285.0</v>
      </c>
      <c r="M1041" s="37">
        <v>1246.44</v>
      </c>
    </row>
    <row r="1042" ht="14.25" customHeight="1">
      <c r="A1042" t="s">
        <v>1124</v>
      </c>
      <c r="B1042" t="s">
        <v>638</v>
      </c>
      <c r="C1042" t="s">
        <v>75</v>
      </c>
      <c r="D1042" t="s">
        <v>63</v>
      </c>
      <c r="E1042">
        <v>10.0</v>
      </c>
      <c r="F1042">
        <v>12.5</v>
      </c>
      <c r="G1042" s="2" t="s">
        <v>67</v>
      </c>
      <c r="H1042" s="2">
        <v>33.0</v>
      </c>
      <c r="I1042" s="2">
        <v>182.0</v>
      </c>
      <c r="J1042" s="37">
        <v>977.7800000000001</v>
      </c>
      <c r="K1042" s="2">
        <v>39.0</v>
      </c>
      <c r="L1042" s="2">
        <v>285.0</v>
      </c>
      <c r="M1042" s="37">
        <v>1246.44</v>
      </c>
    </row>
    <row r="1043" ht="14.25" customHeight="1">
      <c r="A1043" t="s">
        <v>1125</v>
      </c>
      <c r="B1043" t="s">
        <v>638</v>
      </c>
      <c r="C1043" t="s">
        <v>75</v>
      </c>
      <c r="D1043" t="s">
        <v>63</v>
      </c>
      <c r="E1043">
        <v>14.0</v>
      </c>
      <c r="F1043">
        <v>16.5</v>
      </c>
      <c r="G1043" s="2" t="s">
        <v>67</v>
      </c>
      <c r="H1043" s="2">
        <v>43.0</v>
      </c>
      <c r="I1043" s="2">
        <v>173.0</v>
      </c>
      <c r="J1043" s="37">
        <v>1190.68</v>
      </c>
      <c r="K1043" s="2">
        <v>51.0</v>
      </c>
      <c r="L1043" s="2">
        <v>317.0</v>
      </c>
      <c r="M1043" s="37">
        <v>1557.56</v>
      </c>
    </row>
    <row r="1044" ht="14.25" customHeight="1">
      <c r="A1044" t="s">
        <v>1126</v>
      </c>
      <c r="B1044" t="s">
        <v>638</v>
      </c>
      <c r="C1044" t="s">
        <v>75</v>
      </c>
      <c r="D1044" t="s">
        <v>63</v>
      </c>
      <c r="E1044">
        <v>14.0</v>
      </c>
      <c r="F1044">
        <v>16.5</v>
      </c>
      <c r="G1044" s="2" t="s">
        <v>67</v>
      </c>
      <c r="H1044" s="2">
        <v>43.0</v>
      </c>
      <c r="I1044" s="2">
        <v>173.0</v>
      </c>
      <c r="J1044" s="37">
        <v>1190.68</v>
      </c>
      <c r="K1044" s="2">
        <v>51.0</v>
      </c>
      <c r="L1044" s="2">
        <v>317.0</v>
      </c>
      <c r="M1044" s="37">
        <v>1557.56</v>
      </c>
    </row>
    <row r="1045" ht="14.25" customHeight="1">
      <c r="A1045" t="s">
        <v>1127</v>
      </c>
      <c r="B1045" t="s">
        <v>638</v>
      </c>
      <c r="C1045" t="s">
        <v>75</v>
      </c>
      <c r="D1045" t="s">
        <v>63</v>
      </c>
      <c r="E1045">
        <v>16.0</v>
      </c>
      <c r="F1045">
        <v>18.0</v>
      </c>
      <c r="G1045" s="2" t="s">
        <v>67</v>
      </c>
      <c r="H1045" s="2">
        <v>46.0</v>
      </c>
      <c r="I1045" s="2">
        <v>92.0</v>
      </c>
      <c r="J1045" s="37">
        <v>1152.76</v>
      </c>
      <c r="K1045" s="2">
        <v>55.0</v>
      </c>
      <c r="L1045" s="2">
        <v>256.0</v>
      </c>
      <c r="M1045" s="37">
        <v>1568.1</v>
      </c>
    </row>
    <row r="1046" ht="14.25" customHeight="1">
      <c r="A1046" t="s">
        <v>1128</v>
      </c>
      <c r="B1046" t="s">
        <v>638</v>
      </c>
      <c r="C1046" t="s">
        <v>75</v>
      </c>
      <c r="D1046" t="s">
        <v>63</v>
      </c>
      <c r="E1046">
        <v>16.0</v>
      </c>
      <c r="F1046">
        <v>18.0</v>
      </c>
      <c r="G1046" s="2" t="s">
        <v>67</v>
      </c>
      <c r="H1046" s="2">
        <v>46.0</v>
      </c>
      <c r="I1046" s="2">
        <v>92.0</v>
      </c>
      <c r="J1046" s="37">
        <v>1152.76</v>
      </c>
      <c r="K1046" s="2">
        <v>55.0</v>
      </c>
      <c r="L1046" s="2">
        <v>256.0</v>
      </c>
      <c r="M1046" s="37">
        <v>1568.1</v>
      </c>
    </row>
    <row r="1047" ht="14.25" customHeight="1">
      <c r="A1047" t="s">
        <v>1129</v>
      </c>
      <c r="B1047" t="s">
        <v>638</v>
      </c>
      <c r="C1047" t="s">
        <v>75</v>
      </c>
      <c r="D1047" t="s">
        <v>63</v>
      </c>
      <c r="E1047">
        <v>7.1</v>
      </c>
      <c r="F1047">
        <v>7.5</v>
      </c>
      <c r="G1047" s="2" t="s">
        <v>64</v>
      </c>
      <c r="H1047" s="2">
        <v>0.0</v>
      </c>
      <c r="I1047" s="2">
        <v>0.0</v>
      </c>
      <c r="J1047" s="37">
        <v>0.0</v>
      </c>
      <c r="K1047" s="2">
        <v>0.0</v>
      </c>
      <c r="L1047" s="2">
        <v>0.0</v>
      </c>
      <c r="M1047" s="37">
        <v>0.0</v>
      </c>
    </row>
    <row r="1048" ht="14.25" customHeight="1">
      <c r="A1048" t="s">
        <v>1130</v>
      </c>
      <c r="B1048" t="s">
        <v>638</v>
      </c>
      <c r="C1048" t="s">
        <v>75</v>
      </c>
      <c r="D1048" t="s">
        <v>63</v>
      </c>
      <c r="E1048">
        <v>8.5</v>
      </c>
      <c r="F1048">
        <v>10.0</v>
      </c>
      <c r="G1048" s="2" t="s">
        <v>64</v>
      </c>
      <c r="H1048" s="2">
        <v>0.0</v>
      </c>
      <c r="I1048" s="2">
        <v>0.0</v>
      </c>
      <c r="J1048" s="37">
        <v>0.0</v>
      </c>
      <c r="K1048" s="2">
        <v>0.0</v>
      </c>
      <c r="L1048" s="2">
        <v>0.0</v>
      </c>
      <c r="M1048" s="37">
        <v>0.0</v>
      </c>
    </row>
    <row r="1049" ht="14.25" customHeight="1">
      <c r="A1049" t="s">
        <v>1131</v>
      </c>
      <c r="B1049" t="s">
        <v>638</v>
      </c>
      <c r="C1049" t="s">
        <v>75</v>
      </c>
      <c r="D1049" t="s">
        <v>63</v>
      </c>
      <c r="E1049">
        <v>10.0</v>
      </c>
      <c r="F1049">
        <v>12.5</v>
      </c>
      <c r="G1049" s="2" t="s">
        <v>64</v>
      </c>
      <c r="H1049" s="2">
        <v>0.0</v>
      </c>
      <c r="I1049" s="2">
        <v>0.0</v>
      </c>
      <c r="J1049" s="37">
        <v>0.0</v>
      </c>
      <c r="K1049" s="2">
        <v>0.0</v>
      </c>
      <c r="L1049" s="2">
        <v>0.0</v>
      </c>
      <c r="M1049" s="37">
        <v>0.0</v>
      </c>
    </row>
    <row r="1050" ht="14.25" customHeight="1">
      <c r="A1050" t="s">
        <v>1132</v>
      </c>
      <c r="B1050" t="s">
        <v>638</v>
      </c>
      <c r="C1050" t="s">
        <v>75</v>
      </c>
      <c r="D1050" t="s">
        <v>63</v>
      </c>
      <c r="E1050">
        <v>12.5</v>
      </c>
      <c r="F1050">
        <v>15.0</v>
      </c>
      <c r="G1050" s="2" t="s">
        <v>64</v>
      </c>
      <c r="H1050" s="2">
        <v>0.0</v>
      </c>
      <c r="I1050" s="2">
        <v>0.0</v>
      </c>
      <c r="J1050" s="37">
        <v>0.0</v>
      </c>
      <c r="K1050" s="2">
        <v>0.0</v>
      </c>
      <c r="L1050" s="2">
        <v>0.0</v>
      </c>
      <c r="M1050" s="37">
        <v>0.0</v>
      </c>
    </row>
    <row r="1051" ht="14.25" customHeight="1">
      <c r="A1051" t="s">
        <v>1133</v>
      </c>
      <c r="B1051" t="s">
        <v>638</v>
      </c>
      <c r="C1051" t="s">
        <v>75</v>
      </c>
      <c r="D1051" t="s">
        <v>63</v>
      </c>
      <c r="E1051">
        <v>14.0</v>
      </c>
      <c r="F1051">
        <v>16.5</v>
      </c>
      <c r="G1051" s="2" t="s">
        <v>64</v>
      </c>
      <c r="H1051" s="2">
        <v>0.0</v>
      </c>
      <c r="I1051" s="2">
        <v>0.0</v>
      </c>
      <c r="J1051" s="37">
        <v>0.0</v>
      </c>
      <c r="K1051" s="2">
        <v>0.0</v>
      </c>
      <c r="L1051" s="2">
        <v>0.0</v>
      </c>
      <c r="M1051" s="37">
        <v>0.0</v>
      </c>
    </row>
    <row r="1052" ht="14.25" customHeight="1">
      <c r="A1052" t="s">
        <v>1134</v>
      </c>
      <c r="B1052" t="s">
        <v>638</v>
      </c>
      <c r="C1052" t="s">
        <v>75</v>
      </c>
      <c r="D1052" t="s">
        <v>63</v>
      </c>
      <c r="E1052">
        <v>15.5</v>
      </c>
      <c r="F1052">
        <v>18.0</v>
      </c>
      <c r="G1052" s="2" t="s">
        <v>64</v>
      </c>
      <c r="H1052" s="2">
        <v>0.0</v>
      </c>
      <c r="I1052" s="2">
        <v>0.0</v>
      </c>
      <c r="J1052" s="37">
        <v>0.0</v>
      </c>
      <c r="K1052" s="2">
        <v>0.0</v>
      </c>
      <c r="L1052" s="2">
        <v>0.0</v>
      </c>
      <c r="M1052" s="37">
        <v>0.0</v>
      </c>
    </row>
    <row r="1053" ht="14.25" customHeight="1">
      <c r="A1053" t="s">
        <v>1135</v>
      </c>
      <c r="B1053" t="s">
        <v>638</v>
      </c>
      <c r="C1053" t="s">
        <v>62</v>
      </c>
      <c r="D1053" t="s">
        <v>63</v>
      </c>
      <c r="E1053">
        <v>2.0</v>
      </c>
      <c r="F1053">
        <v>2.7</v>
      </c>
      <c r="G1053" s="2" t="s">
        <v>64</v>
      </c>
      <c r="H1053" s="2">
        <v>0.0</v>
      </c>
      <c r="I1053" s="2">
        <v>0.0</v>
      </c>
      <c r="J1053" s="37">
        <v>0.0</v>
      </c>
      <c r="K1053" s="2">
        <v>0.0</v>
      </c>
      <c r="L1053" s="2">
        <v>0.0</v>
      </c>
      <c r="M1053" s="37">
        <v>0.0</v>
      </c>
    </row>
    <row r="1054" ht="14.25" customHeight="1">
      <c r="A1054" t="s">
        <v>1136</v>
      </c>
      <c r="B1054" t="s">
        <v>638</v>
      </c>
      <c r="C1054" t="s">
        <v>62</v>
      </c>
      <c r="D1054" t="s">
        <v>63</v>
      </c>
      <c r="E1054">
        <v>2.5</v>
      </c>
      <c r="F1054">
        <v>3.2</v>
      </c>
      <c r="G1054" s="2" t="s">
        <v>67</v>
      </c>
      <c r="H1054" s="2">
        <v>8.0</v>
      </c>
      <c r="I1054" s="2">
        <v>48.0</v>
      </c>
      <c r="J1054" s="37">
        <v>242.08</v>
      </c>
      <c r="K1054" s="2">
        <v>9.0</v>
      </c>
      <c r="L1054" s="2">
        <v>68.0</v>
      </c>
      <c r="M1054" s="37">
        <v>290.54</v>
      </c>
    </row>
    <row r="1055" ht="14.25" customHeight="1">
      <c r="A1055" t="s">
        <v>1137</v>
      </c>
      <c r="B1055" t="s">
        <v>638</v>
      </c>
      <c r="C1055" t="s">
        <v>62</v>
      </c>
      <c r="D1055" t="s">
        <v>63</v>
      </c>
      <c r="E1055">
        <v>3.5</v>
      </c>
      <c r="F1055">
        <v>3.7</v>
      </c>
      <c r="G1055" s="2" t="s">
        <v>64</v>
      </c>
      <c r="H1055" s="2">
        <v>0.0</v>
      </c>
      <c r="I1055" s="2">
        <v>0.0</v>
      </c>
      <c r="J1055" s="37">
        <v>0.0</v>
      </c>
      <c r="K1055" s="2">
        <v>0.0</v>
      </c>
      <c r="L1055" s="2">
        <v>0.0</v>
      </c>
      <c r="M1055" s="37">
        <v>0.0</v>
      </c>
    </row>
    <row r="1056" ht="14.25" customHeight="1">
      <c r="A1056" t="s">
        <v>1118</v>
      </c>
      <c r="B1056" t="s">
        <v>638</v>
      </c>
      <c r="C1056" t="s">
        <v>62</v>
      </c>
      <c r="D1056" t="s">
        <v>63</v>
      </c>
      <c r="E1056">
        <v>4.6</v>
      </c>
      <c r="F1056">
        <v>4.7</v>
      </c>
      <c r="G1056" s="2" t="s">
        <v>67</v>
      </c>
      <c r="H1056" s="2">
        <v>13.0</v>
      </c>
      <c r="I1056" s="2">
        <v>61.0</v>
      </c>
      <c r="J1056" s="37">
        <v>371.28000000000003</v>
      </c>
      <c r="K1056" s="2">
        <v>15.0</v>
      </c>
      <c r="L1056" s="2">
        <v>103.0</v>
      </c>
      <c r="M1056" s="37">
        <v>470.80000000000007</v>
      </c>
    </row>
    <row r="1057" ht="14.25" customHeight="1">
      <c r="A1057" t="s">
        <v>1138</v>
      </c>
      <c r="B1057" t="s">
        <v>638</v>
      </c>
      <c r="C1057" t="s">
        <v>62</v>
      </c>
      <c r="D1057" t="s">
        <v>63</v>
      </c>
      <c r="E1057">
        <v>5.0</v>
      </c>
      <c r="F1057">
        <v>6.0</v>
      </c>
      <c r="G1057" s="2" t="s">
        <v>67</v>
      </c>
      <c r="H1057" s="2">
        <v>18.0</v>
      </c>
      <c r="I1057" s="2">
        <v>80.0</v>
      </c>
      <c r="J1057" s="37">
        <v>508.28000000000003</v>
      </c>
      <c r="K1057" s="2">
        <v>20.0</v>
      </c>
      <c r="L1057" s="2">
        <v>126.0</v>
      </c>
      <c r="M1057" s="37">
        <v>613.0</v>
      </c>
    </row>
    <row r="1058" ht="14.25" customHeight="1">
      <c r="A1058" t="s">
        <v>1139</v>
      </c>
      <c r="B1058" t="s">
        <v>638</v>
      </c>
      <c r="C1058" t="s">
        <v>62</v>
      </c>
      <c r="D1058" t="s">
        <v>63</v>
      </c>
      <c r="E1058">
        <v>6.0</v>
      </c>
      <c r="F1058">
        <v>7.2</v>
      </c>
      <c r="G1058" s="2" t="s">
        <v>67</v>
      </c>
      <c r="H1058" s="2">
        <v>20.0</v>
      </c>
      <c r="I1058" s="2">
        <v>66.0</v>
      </c>
      <c r="J1058" s="37">
        <v>535.0</v>
      </c>
      <c r="K1058" s="2">
        <v>23.0</v>
      </c>
      <c r="L1058" s="2">
        <v>120.0</v>
      </c>
      <c r="M1058" s="37">
        <v>672.58</v>
      </c>
    </row>
    <row r="1059" ht="14.25" customHeight="1">
      <c r="A1059" t="s">
        <v>1140</v>
      </c>
      <c r="B1059" t="s">
        <v>638</v>
      </c>
      <c r="C1059" t="s">
        <v>62</v>
      </c>
      <c r="D1059" t="s">
        <v>63</v>
      </c>
      <c r="E1059">
        <v>7.1</v>
      </c>
      <c r="F1059">
        <v>8.0</v>
      </c>
      <c r="G1059" s="2" t="s">
        <v>67</v>
      </c>
      <c r="H1059" s="2">
        <v>22.0</v>
      </c>
      <c r="I1059" s="2">
        <v>63.0</v>
      </c>
      <c r="J1059" s="37">
        <v>576.02</v>
      </c>
      <c r="K1059" s="2">
        <v>25.0</v>
      </c>
      <c r="L1059" s="2">
        <v>128.0</v>
      </c>
      <c r="M1059" s="37">
        <v>727.9</v>
      </c>
    </row>
    <row r="1060" ht="14.25" customHeight="1">
      <c r="A1060" t="s">
        <v>1141</v>
      </c>
      <c r="B1060" t="s">
        <v>638</v>
      </c>
      <c r="C1060" t="s">
        <v>62</v>
      </c>
      <c r="D1060" t="s">
        <v>63</v>
      </c>
      <c r="E1060">
        <v>2.5</v>
      </c>
      <c r="F1060">
        <v>3.0</v>
      </c>
      <c r="G1060" s="2" t="s">
        <v>64</v>
      </c>
      <c r="H1060" s="2">
        <v>0.0</v>
      </c>
      <c r="I1060" s="2">
        <v>0.0</v>
      </c>
      <c r="J1060" s="37">
        <v>0.0</v>
      </c>
      <c r="K1060" s="2">
        <v>0.0</v>
      </c>
      <c r="L1060" s="2">
        <v>0.0</v>
      </c>
      <c r="M1060" s="37">
        <v>0.0</v>
      </c>
    </row>
    <row r="1061" ht="14.25" customHeight="1">
      <c r="A1061" t="s">
        <v>1142</v>
      </c>
      <c r="B1061" t="s">
        <v>638</v>
      </c>
      <c r="C1061" t="s">
        <v>62</v>
      </c>
      <c r="D1061" t="s">
        <v>63</v>
      </c>
      <c r="E1061">
        <v>3.5</v>
      </c>
      <c r="F1061">
        <v>3.7</v>
      </c>
      <c r="G1061" s="2" t="s">
        <v>64</v>
      </c>
      <c r="H1061" s="2">
        <v>0.0</v>
      </c>
      <c r="I1061" s="2">
        <v>0.0</v>
      </c>
      <c r="J1061" s="37">
        <v>0.0</v>
      </c>
      <c r="K1061" s="2">
        <v>0.0</v>
      </c>
      <c r="L1061" s="2">
        <v>0.0</v>
      </c>
      <c r="M1061" s="37">
        <v>0.0</v>
      </c>
    </row>
    <row r="1062" ht="14.25" customHeight="1">
      <c r="A1062" t="s">
        <v>1143</v>
      </c>
      <c r="B1062" t="s">
        <v>638</v>
      </c>
      <c r="C1062" t="s">
        <v>62</v>
      </c>
      <c r="D1062" t="s">
        <v>63</v>
      </c>
      <c r="E1062">
        <v>4.6</v>
      </c>
      <c r="F1062">
        <v>4.7</v>
      </c>
      <c r="G1062" s="2" t="s">
        <v>64</v>
      </c>
      <c r="H1062" s="2">
        <v>0.0</v>
      </c>
      <c r="I1062" s="2">
        <v>0.0</v>
      </c>
      <c r="J1062" s="37">
        <v>0.0</v>
      </c>
      <c r="K1062" s="2">
        <v>0.0</v>
      </c>
      <c r="L1062" s="2">
        <v>0.0</v>
      </c>
      <c r="M1062" s="37">
        <v>0.0</v>
      </c>
    </row>
    <row r="1063" ht="14.25" customHeight="1">
      <c r="A1063" t="s">
        <v>1144</v>
      </c>
      <c r="B1063" t="s">
        <v>638</v>
      </c>
      <c r="C1063" t="s">
        <v>62</v>
      </c>
      <c r="D1063" t="s">
        <v>63</v>
      </c>
      <c r="E1063">
        <v>5.0</v>
      </c>
      <c r="F1063">
        <v>5.2</v>
      </c>
      <c r="G1063" s="2" t="s">
        <v>64</v>
      </c>
      <c r="H1063" s="2">
        <v>0.0</v>
      </c>
      <c r="I1063" s="2">
        <v>0.0</v>
      </c>
      <c r="J1063" s="37">
        <v>0.0</v>
      </c>
      <c r="K1063" s="2">
        <v>0.0</v>
      </c>
      <c r="L1063" s="2">
        <v>0.0</v>
      </c>
      <c r="M1063" s="37">
        <v>0.0</v>
      </c>
    </row>
    <row r="1064" ht="14.25" customHeight="1">
      <c r="A1064" t="s">
        <v>1145</v>
      </c>
      <c r="B1064" t="s">
        <v>638</v>
      </c>
      <c r="C1064" t="s">
        <v>62</v>
      </c>
      <c r="D1064" t="s">
        <v>63</v>
      </c>
      <c r="E1064">
        <v>6.0</v>
      </c>
      <c r="F1064">
        <v>6.5</v>
      </c>
      <c r="G1064" s="2" t="s">
        <v>64</v>
      </c>
      <c r="H1064" s="2">
        <v>0.0</v>
      </c>
      <c r="I1064" s="2">
        <v>0.0</v>
      </c>
      <c r="J1064" s="37">
        <v>0.0</v>
      </c>
      <c r="K1064" s="2">
        <v>0.0</v>
      </c>
      <c r="L1064" s="2">
        <v>0.0</v>
      </c>
      <c r="M1064" s="37">
        <v>0.0</v>
      </c>
    </row>
    <row r="1065" ht="14.25" customHeight="1">
      <c r="A1065" t="s">
        <v>1146</v>
      </c>
      <c r="B1065" t="s">
        <v>638</v>
      </c>
      <c r="C1065" t="s">
        <v>62</v>
      </c>
      <c r="D1065" t="s">
        <v>63</v>
      </c>
      <c r="E1065">
        <v>7.1</v>
      </c>
      <c r="F1065">
        <v>8.0</v>
      </c>
      <c r="G1065" s="2" t="s">
        <v>67</v>
      </c>
      <c r="H1065" s="2">
        <v>21.0</v>
      </c>
      <c r="I1065" s="2">
        <v>19.0</v>
      </c>
      <c r="J1065" s="37">
        <v>496.36</v>
      </c>
      <c r="K1065" s="2">
        <v>24.0</v>
      </c>
      <c r="L1065" s="2">
        <v>83.0</v>
      </c>
      <c r="M1065" s="37">
        <v>646.9399999999999</v>
      </c>
    </row>
    <row r="1066" ht="14.25" customHeight="1">
      <c r="A1066" t="s">
        <v>1147</v>
      </c>
      <c r="B1066" t="s">
        <v>638</v>
      </c>
      <c r="C1066" t="s">
        <v>62</v>
      </c>
      <c r="D1066" t="s">
        <v>63</v>
      </c>
      <c r="E1066">
        <v>2.0</v>
      </c>
      <c r="F1066">
        <v>2.5</v>
      </c>
      <c r="G1066" s="2" t="s">
        <v>64</v>
      </c>
      <c r="H1066" s="2">
        <v>0.0</v>
      </c>
      <c r="I1066" s="2">
        <v>0.0</v>
      </c>
      <c r="J1066" s="37">
        <v>0.0</v>
      </c>
      <c r="K1066" s="2">
        <v>0.0</v>
      </c>
      <c r="L1066" s="2">
        <v>0.0</v>
      </c>
      <c r="M1066" s="37">
        <v>0.0</v>
      </c>
    </row>
    <row r="1067" ht="14.25" customHeight="1">
      <c r="A1067" t="s">
        <v>1148</v>
      </c>
      <c r="B1067" t="s">
        <v>638</v>
      </c>
      <c r="C1067" t="s">
        <v>62</v>
      </c>
      <c r="D1067" t="s">
        <v>63</v>
      </c>
      <c r="E1067">
        <v>2.5</v>
      </c>
      <c r="F1067">
        <v>3.2</v>
      </c>
      <c r="G1067" s="2" t="s">
        <v>67</v>
      </c>
      <c r="H1067" s="2">
        <v>8.0</v>
      </c>
      <c r="I1067" s="2">
        <v>57.0</v>
      </c>
      <c r="J1067" s="37">
        <v>253.78000000000003</v>
      </c>
      <c r="K1067" s="2">
        <v>9.0</v>
      </c>
      <c r="L1067" s="2">
        <v>77.0</v>
      </c>
      <c r="M1067" s="37">
        <v>302.24</v>
      </c>
    </row>
    <row r="1068" ht="14.25" customHeight="1">
      <c r="A1068" t="s">
        <v>1149</v>
      </c>
      <c r="B1068" t="s">
        <v>638</v>
      </c>
      <c r="C1068" t="s">
        <v>75</v>
      </c>
      <c r="D1068" t="s">
        <v>63</v>
      </c>
      <c r="E1068">
        <v>18.0</v>
      </c>
      <c r="F1068">
        <v>20.0</v>
      </c>
      <c r="G1068" s="2" t="s">
        <v>67</v>
      </c>
      <c r="H1068" s="2">
        <v>59.0</v>
      </c>
      <c r="I1068" s="2">
        <v>191.0</v>
      </c>
      <c r="J1068" s="37">
        <v>1573.44</v>
      </c>
      <c r="K1068" s="2">
        <v>69.0</v>
      </c>
      <c r="L1068" s="2">
        <v>376.0</v>
      </c>
      <c r="M1068" s="37">
        <v>2038.54</v>
      </c>
    </row>
    <row r="1069" ht="14.25" customHeight="1">
      <c r="A1069" t="s">
        <v>1150</v>
      </c>
      <c r="B1069" t="s">
        <v>1151</v>
      </c>
      <c r="C1069" t="s">
        <v>62</v>
      </c>
      <c r="D1069" t="s">
        <v>467</v>
      </c>
      <c r="E1069">
        <v>2.7</v>
      </c>
      <c r="F1069">
        <v>2.4</v>
      </c>
      <c r="G1069" s="2" t="s">
        <v>64</v>
      </c>
      <c r="H1069" s="2">
        <v>0.0</v>
      </c>
      <c r="I1069" s="2">
        <v>0.0</v>
      </c>
      <c r="J1069" s="37">
        <v>0.0</v>
      </c>
      <c r="K1069" s="2">
        <v>0.0</v>
      </c>
      <c r="L1069" s="2">
        <v>0.0</v>
      </c>
      <c r="M1069" s="37">
        <v>0.0</v>
      </c>
    </row>
    <row r="1070" ht="14.25" customHeight="1">
      <c r="A1070" t="s">
        <v>1152</v>
      </c>
      <c r="B1070" t="s">
        <v>1153</v>
      </c>
      <c r="C1070" t="s">
        <v>62</v>
      </c>
      <c r="D1070" t="s">
        <v>268</v>
      </c>
      <c r="E1070">
        <v>3.3</v>
      </c>
      <c r="F1070">
        <v>2.9</v>
      </c>
      <c r="G1070" s="2" t="s">
        <v>64</v>
      </c>
      <c r="H1070" s="2">
        <v>0.0</v>
      </c>
      <c r="I1070" s="2">
        <v>0.0</v>
      </c>
      <c r="J1070" s="37">
        <v>0.0</v>
      </c>
      <c r="K1070" s="2">
        <v>0.0</v>
      </c>
      <c r="L1070" s="2">
        <v>0.0</v>
      </c>
      <c r="M1070" s="37">
        <v>0.0</v>
      </c>
    </row>
    <row r="1071" ht="14.25" customHeight="1">
      <c r="A1071" t="s">
        <v>1154</v>
      </c>
      <c r="B1071" t="s">
        <v>1153</v>
      </c>
      <c r="C1071" t="s">
        <v>62</v>
      </c>
      <c r="D1071" t="s">
        <v>268</v>
      </c>
      <c r="E1071">
        <v>4.0</v>
      </c>
      <c r="F1071">
        <v>4.0</v>
      </c>
      <c r="G1071" s="2" t="s">
        <v>64</v>
      </c>
      <c r="H1071" s="2">
        <v>0.0</v>
      </c>
      <c r="I1071" s="2">
        <v>0.0</v>
      </c>
      <c r="J1071" s="37">
        <v>0.0</v>
      </c>
      <c r="K1071" s="2">
        <v>0.0</v>
      </c>
      <c r="L1071" s="2">
        <v>0.0</v>
      </c>
      <c r="M1071" s="37">
        <v>0.0</v>
      </c>
    </row>
    <row r="1072" ht="14.25" customHeight="1">
      <c r="A1072" t="s">
        <v>1155</v>
      </c>
      <c r="B1072" t="s">
        <v>1156</v>
      </c>
      <c r="C1072" t="s">
        <v>62</v>
      </c>
      <c r="D1072" t="s">
        <v>63</v>
      </c>
      <c r="E1072">
        <v>5.25</v>
      </c>
      <c r="F1072">
        <v>5.4</v>
      </c>
      <c r="G1072" s="2" t="s">
        <v>64</v>
      </c>
      <c r="H1072" s="2">
        <v>0.0</v>
      </c>
      <c r="I1072" s="2">
        <v>0.0</v>
      </c>
      <c r="J1072" s="37">
        <v>0.0</v>
      </c>
      <c r="K1072" s="2">
        <v>0.0</v>
      </c>
      <c r="L1072" s="2">
        <v>0.0</v>
      </c>
      <c r="M1072" s="37">
        <v>0.0</v>
      </c>
    </row>
    <row r="1073" ht="14.25" customHeight="1">
      <c r="A1073" t="s">
        <v>1157</v>
      </c>
      <c r="B1073" t="s">
        <v>1153</v>
      </c>
      <c r="C1073" t="s">
        <v>62</v>
      </c>
      <c r="D1073" t="s">
        <v>268</v>
      </c>
      <c r="E1073">
        <v>3.25</v>
      </c>
      <c r="F1073">
        <v>2.81</v>
      </c>
      <c r="G1073" s="2" t="s">
        <v>64</v>
      </c>
      <c r="H1073" s="2">
        <v>0.0</v>
      </c>
      <c r="I1073" s="2">
        <v>0.0</v>
      </c>
      <c r="J1073" s="37">
        <v>0.0</v>
      </c>
      <c r="K1073" s="2">
        <v>0.0</v>
      </c>
      <c r="L1073" s="2">
        <v>0.0</v>
      </c>
      <c r="M1073" s="37">
        <v>0.0</v>
      </c>
    </row>
    <row r="1074" ht="14.25" customHeight="1">
      <c r="A1074" t="s">
        <v>1158</v>
      </c>
      <c r="B1074" t="s">
        <v>1153</v>
      </c>
      <c r="C1074" t="s">
        <v>62</v>
      </c>
      <c r="D1074" t="s">
        <v>268</v>
      </c>
      <c r="E1074">
        <v>2.05</v>
      </c>
      <c r="F1074">
        <v>1.77</v>
      </c>
      <c r="G1074" s="2" t="s">
        <v>64</v>
      </c>
      <c r="H1074" s="2">
        <v>0.0</v>
      </c>
      <c r="I1074" s="2">
        <v>0.0</v>
      </c>
      <c r="J1074" s="37">
        <v>0.0</v>
      </c>
      <c r="K1074" s="2">
        <v>0.0</v>
      </c>
      <c r="L1074" s="2">
        <v>0.0</v>
      </c>
      <c r="M1074" s="37">
        <v>0.0</v>
      </c>
    </row>
    <row r="1075" ht="14.25" customHeight="1">
      <c r="A1075" t="s">
        <v>1159</v>
      </c>
      <c r="B1075" t="s">
        <v>1153</v>
      </c>
      <c r="C1075" t="s">
        <v>62</v>
      </c>
      <c r="D1075" t="s">
        <v>268</v>
      </c>
      <c r="E1075">
        <v>2.637</v>
      </c>
      <c r="F1075">
        <v>2.14</v>
      </c>
      <c r="G1075" s="2" t="s">
        <v>64</v>
      </c>
      <c r="H1075" s="2">
        <v>0.0</v>
      </c>
      <c r="I1075" s="2">
        <v>0.0</v>
      </c>
      <c r="J1075" s="37">
        <v>0.0</v>
      </c>
      <c r="K1075" s="2">
        <v>0.0</v>
      </c>
      <c r="L1075" s="2">
        <v>0.0</v>
      </c>
      <c r="M1075" s="37">
        <v>0.0</v>
      </c>
    </row>
    <row r="1076" ht="14.25" customHeight="1">
      <c r="A1076" t="s">
        <v>1160</v>
      </c>
      <c r="B1076" t="s">
        <v>1153</v>
      </c>
      <c r="C1076" t="s">
        <v>62</v>
      </c>
      <c r="D1076" t="s">
        <v>268</v>
      </c>
      <c r="E1076">
        <v>2.93</v>
      </c>
      <c r="F1076">
        <v>2.49</v>
      </c>
      <c r="G1076" s="2" t="s">
        <v>64</v>
      </c>
      <c r="H1076" s="2">
        <v>0.0</v>
      </c>
      <c r="I1076" s="2">
        <v>0.0</v>
      </c>
      <c r="J1076" s="37">
        <v>0.0</v>
      </c>
      <c r="K1076" s="2">
        <v>0.0</v>
      </c>
      <c r="L1076" s="2">
        <v>0.0</v>
      </c>
      <c r="M1076" s="37">
        <v>0.0</v>
      </c>
    </row>
    <row r="1077" ht="14.25" customHeight="1">
      <c r="A1077" t="s">
        <v>1161</v>
      </c>
      <c r="B1077" t="s">
        <v>1153</v>
      </c>
      <c r="C1077" t="s">
        <v>62</v>
      </c>
      <c r="D1077" t="s">
        <v>268</v>
      </c>
      <c r="E1077">
        <v>4.1</v>
      </c>
      <c r="F1077">
        <v>3.37</v>
      </c>
      <c r="G1077" s="2" t="s">
        <v>64</v>
      </c>
      <c r="H1077" s="2">
        <v>0.0</v>
      </c>
      <c r="I1077" s="2">
        <v>0.0</v>
      </c>
      <c r="J1077" s="37">
        <v>0.0</v>
      </c>
      <c r="K1077" s="2">
        <v>0.0</v>
      </c>
      <c r="L1077" s="2">
        <v>0.0</v>
      </c>
      <c r="M1077" s="37">
        <v>0.0</v>
      </c>
    </row>
    <row r="1078" ht="14.25" customHeight="1">
      <c r="A1078" t="s">
        <v>1162</v>
      </c>
      <c r="B1078" t="s">
        <v>1156</v>
      </c>
      <c r="C1078" t="s">
        <v>62</v>
      </c>
      <c r="D1078" t="s">
        <v>467</v>
      </c>
      <c r="E1078">
        <v>2.7</v>
      </c>
      <c r="F1078">
        <v>2.4</v>
      </c>
      <c r="G1078" s="2" t="s">
        <v>64</v>
      </c>
      <c r="H1078" s="2">
        <v>0.0</v>
      </c>
      <c r="I1078" s="2">
        <v>0.0</v>
      </c>
      <c r="J1078" s="37">
        <v>0.0</v>
      </c>
      <c r="K1078" s="2">
        <v>0.0</v>
      </c>
      <c r="L1078" s="2">
        <v>0.0</v>
      </c>
      <c r="M1078" s="37">
        <v>0.0</v>
      </c>
    </row>
    <row r="1079" ht="14.25" customHeight="1">
      <c r="A1079" t="s">
        <v>1163</v>
      </c>
      <c r="B1079" t="s">
        <v>1156</v>
      </c>
      <c r="C1079" t="s">
        <v>62</v>
      </c>
      <c r="D1079" t="s">
        <v>467</v>
      </c>
      <c r="E1079">
        <v>4.2</v>
      </c>
      <c r="F1079">
        <v>3.6</v>
      </c>
      <c r="G1079" s="2" t="s">
        <v>64</v>
      </c>
      <c r="H1079" s="2">
        <v>0.0</v>
      </c>
      <c r="I1079" s="2">
        <v>0.0</v>
      </c>
      <c r="J1079" s="37">
        <v>0.0</v>
      </c>
      <c r="K1079" s="2">
        <v>0.0</v>
      </c>
      <c r="L1079" s="2">
        <v>0.0</v>
      </c>
      <c r="M1079" s="37">
        <v>0.0</v>
      </c>
    </row>
    <row r="1080" ht="14.25" customHeight="1">
      <c r="A1080" t="s">
        <v>1164</v>
      </c>
      <c r="B1080" t="s">
        <v>1165</v>
      </c>
      <c r="C1080" t="s">
        <v>62</v>
      </c>
      <c r="D1080" t="s">
        <v>63</v>
      </c>
      <c r="E1080">
        <v>3.5</v>
      </c>
      <c r="F1080">
        <v>4.5</v>
      </c>
      <c r="G1080" s="2" t="s">
        <v>64</v>
      </c>
      <c r="H1080" s="2">
        <v>0.0</v>
      </c>
      <c r="I1080" s="2">
        <v>0.0</v>
      </c>
      <c r="J1080" s="37">
        <v>0.0</v>
      </c>
      <c r="K1080" s="2">
        <v>0.0</v>
      </c>
      <c r="L1080" s="2">
        <v>0.0</v>
      </c>
      <c r="M1080" s="37">
        <v>0.0</v>
      </c>
    </row>
    <row r="1081" ht="14.25" customHeight="1">
      <c r="A1081" t="s">
        <v>1166</v>
      </c>
      <c r="B1081" t="s">
        <v>1165</v>
      </c>
      <c r="C1081" t="s">
        <v>62</v>
      </c>
      <c r="D1081" t="s">
        <v>63</v>
      </c>
      <c r="E1081">
        <v>7.2</v>
      </c>
      <c r="F1081">
        <v>7.2</v>
      </c>
      <c r="G1081" s="2" t="s">
        <v>67</v>
      </c>
      <c r="H1081" s="2">
        <v>21.0</v>
      </c>
      <c r="I1081" s="2">
        <v>99.0</v>
      </c>
      <c r="J1081" s="37">
        <v>600.36</v>
      </c>
      <c r="K1081" s="2">
        <v>24.0</v>
      </c>
      <c r="L1081" s="2">
        <v>165.0</v>
      </c>
      <c r="M1081" s="37">
        <v>753.54</v>
      </c>
    </row>
    <row r="1082" ht="14.25" customHeight="1">
      <c r="A1082" t="s">
        <v>1167</v>
      </c>
      <c r="B1082" t="s">
        <v>1165</v>
      </c>
      <c r="C1082" t="s">
        <v>62</v>
      </c>
      <c r="D1082" t="s">
        <v>63</v>
      </c>
      <c r="E1082">
        <v>5.2</v>
      </c>
      <c r="F1082">
        <v>5.2</v>
      </c>
      <c r="G1082" s="2" t="s">
        <v>67</v>
      </c>
      <c r="H1082" s="2">
        <v>15.0</v>
      </c>
      <c r="I1082" s="2">
        <v>63.0</v>
      </c>
      <c r="J1082" s="37">
        <v>418.80000000000007</v>
      </c>
      <c r="K1082" s="2">
        <v>17.0</v>
      </c>
      <c r="L1082" s="2">
        <v>111.0</v>
      </c>
      <c r="M1082" s="37">
        <v>526.12</v>
      </c>
    </row>
    <row r="1083" ht="14.25" customHeight="1">
      <c r="A1083" t="s">
        <v>1168</v>
      </c>
      <c r="B1083" t="s">
        <v>1165</v>
      </c>
      <c r="C1083" t="s">
        <v>62</v>
      </c>
      <c r="D1083" t="s">
        <v>63</v>
      </c>
      <c r="E1083">
        <v>2.64</v>
      </c>
      <c r="F1083">
        <v>4.05</v>
      </c>
      <c r="G1083" s="2" t="s">
        <v>64</v>
      </c>
      <c r="H1083" s="2">
        <v>0.0</v>
      </c>
      <c r="I1083" s="2">
        <v>0.0</v>
      </c>
      <c r="J1083" s="37">
        <v>0.0</v>
      </c>
      <c r="K1083" s="2">
        <v>0.0</v>
      </c>
      <c r="L1083" s="2">
        <v>0.0</v>
      </c>
      <c r="M1083" s="37">
        <v>0.0</v>
      </c>
    </row>
    <row r="1084" ht="14.25" customHeight="1">
      <c r="A1084" t="s">
        <v>1169</v>
      </c>
      <c r="B1084" t="s">
        <v>1165</v>
      </c>
      <c r="C1084" t="s">
        <v>62</v>
      </c>
      <c r="D1084" t="s">
        <v>467</v>
      </c>
      <c r="E1084">
        <v>2.7</v>
      </c>
      <c r="F1084">
        <v>2.4</v>
      </c>
      <c r="G1084" s="2" t="s">
        <v>64</v>
      </c>
      <c r="H1084" s="2">
        <v>0.0</v>
      </c>
      <c r="I1084" s="2">
        <v>0.0</v>
      </c>
      <c r="J1084" s="37">
        <v>0.0</v>
      </c>
      <c r="K1084" s="2">
        <v>0.0</v>
      </c>
      <c r="L1084" s="2">
        <v>0.0</v>
      </c>
      <c r="M1084" s="37">
        <v>0.0</v>
      </c>
    </row>
    <row r="1085" ht="14.25" customHeight="1">
      <c r="A1085" t="s">
        <v>1170</v>
      </c>
      <c r="B1085" t="s">
        <v>1165</v>
      </c>
      <c r="C1085" t="s">
        <v>62</v>
      </c>
      <c r="D1085" t="s">
        <v>467</v>
      </c>
      <c r="E1085">
        <v>4.2</v>
      </c>
      <c r="F1085">
        <v>3.6</v>
      </c>
      <c r="G1085" s="2" t="s">
        <v>64</v>
      </c>
      <c r="H1085" s="2">
        <v>0.0</v>
      </c>
      <c r="I1085" s="2">
        <v>0.0</v>
      </c>
      <c r="J1085" s="37">
        <v>0.0</v>
      </c>
      <c r="K1085" s="2">
        <v>0.0</v>
      </c>
      <c r="L1085" s="2">
        <v>0.0</v>
      </c>
      <c r="M1085" s="37">
        <v>0.0</v>
      </c>
    </row>
    <row r="1086" ht="14.25" customHeight="1">
      <c r="A1086" t="s">
        <v>1171</v>
      </c>
      <c r="B1086" t="s">
        <v>1165</v>
      </c>
      <c r="C1086" t="s">
        <v>62</v>
      </c>
      <c r="D1086" t="s">
        <v>63</v>
      </c>
      <c r="E1086">
        <v>2.64</v>
      </c>
      <c r="F1086">
        <v>3.3</v>
      </c>
      <c r="G1086" s="2" t="s">
        <v>67</v>
      </c>
      <c r="H1086" s="2">
        <v>8.0</v>
      </c>
      <c r="I1086" s="2">
        <v>47.0</v>
      </c>
      <c r="J1086" s="37">
        <v>240.78</v>
      </c>
      <c r="K1086" s="2">
        <v>9.0</v>
      </c>
      <c r="L1086" s="2">
        <v>69.0</v>
      </c>
      <c r="M1086" s="37">
        <v>291.84000000000003</v>
      </c>
    </row>
    <row r="1087" ht="14.25" customHeight="1">
      <c r="A1087" t="s">
        <v>1172</v>
      </c>
      <c r="B1087" t="s">
        <v>1165</v>
      </c>
      <c r="C1087" t="s">
        <v>62</v>
      </c>
      <c r="D1087" t="s">
        <v>63</v>
      </c>
      <c r="E1087">
        <v>3.53</v>
      </c>
      <c r="F1087">
        <v>3.65</v>
      </c>
      <c r="G1087" s="2" t="s">
        <v>67</v>
      </c>
      <c r="H1087" s="2">
        <v>9.0</v>
      </c>
      <c r="I1087" s="2">
        <v>28.0</v>
      </c>
      <c r="J1087" s="37">
        <v>238.54000000000002</v>
      </c>
      <c r="K1087" s="2">
        <v>11.0</v>
      </c>
      <c r="L1087" s="2">
        <v>56.0</v>
      </c>
      <c r="M1087" s="37">
        <v>319.86</v>
      </c>
    </row>
    <row r="1088" ht="14.25" customHeight="1">
      <c r="A1088" t="s">
        <v>1173</v>
      </c>
      <c r="B1088" t="s">
        <v>1165</v>
      </c>
      <c r="C1088" t="s">
        <v>62</v>
      </c>
      <c r="D1088" t="s">
        <v>63</v>
      </c>
      <c r="E1088">
        <v>5.3</v>
      </c>
      <c r="F1088">
        <v>5.3</v>
      </c>
      <c r="G1088" s="2" t="s">
        <v>67</v>
      </c>
      <c r="H1088" s="2">
        <v>16.0</v>
      </c>
      <c r="I1088" s="2">
        <v>102.0</v>
      </c>
      <c r="J1088" s="37">
        <v>491.96000000000004</v>
      </c>
      <c r="K1088" s="2">
        <v>19.0</v>
      </c>
      <c r="L1088" s="2">
        <v>150.0</v>
      </c>
      <c r="M1088" s="37">
        <v>621.74</v>
      </c>
    </row>
    <row r="1089" ht="14.25" customHeight="1">
      <c r="A1089" t="s">
        <v>1174</v>
      </c>
      <c r="B1089" t="s">
        <v>1165</v>
      </c>
      <c r="C1089" t="s">
        <v>62</v>
      </c>
      <c r="D1089" t="s">
        <v>63</v>
      </c>
      <c r="E1089">
        <v>7.2</v>
      </c>
      <c r="F1089">
        <v>7.3</v>
      </c>
      <c r="G1089" s="2" t="s">
        <v>67</v>
      </c>
      <c r="H1089" s="2">
        <v>21.0</v>
      </c>
      <c r="I1089" s="2">
        <v>43.0</v>
      </c>
      <c r="J1089" s="37">
        <v>527.5600000000001</v>
      </c>
      <c r="K1089" s="2">
        <v>24.0</v>
      </c>
      <c r="L1089" s="2">
        <v>108.0</v>
      </c>
      <c r="M1089" s="37">
        <v>679.4399999999999</v>
      </c>
    </row>
    <row r="1090" ht="14.25" customHeight="1">
      <c r="A1090" t="s">
        <v>1175</v>
      </c>
      <c r="B1090" t="s">
        <v>1176</v>
      </c>
      <c r="C1090" t="s">
        <v>62</v>
      </c>
      <c r="D1090" t="s">
        <v>258</v>
      </c>
      <c r="E1090">
        <v>2.35</v>
      </c>
      <c r="F1090">
        <v>2.63</v>
      </c>
      <c r="G1090" s="2" t="s">
        <v>64</v>
      </c>
      <c r="H1090" s="2">
        <v>0.0</v>
      </c>
      <c r="I1090" s="2">
        <v>0.0</v>
      </c>
      <c r="J1090" s="37">
        <v>0.0</v>
      </c>
      <c r="K1090" s="2">
        <v>0.0</v>
      </c>
      <c r="L1090" s="2">
        <v>0.0</v>
      </c>
      <c r="M1090" s="37">
        <v>0.0</v>
      </c>
    </row>
    <row r="1091" ht="14.25" customHeight="1">
      <c r="A1091" t="s">
        <v>1177</v>
      </c>
      <c r="B1091" t="s">
        <v>1176</v>
      </c>
      <c r="C1091" t="s">
        <v>62</v>
      </c>
      <c r="D1091" t="s">
        <v>258</v>
      </c>
      <c r="E1091">
        <v>2.35</v>
      </c>
      <c r="F1091">
        <v>2.63</v>
      </c>
      <c r="G1091" s="2" t="s">
        <v>64</v>
      </c>
      <c r="H1091" s="2">
        <v>0.0</v>
      </c>
      <c r="I1091" s="2">
        <v>0.0</v>
      </c>
      <c r="J1091" s="37">
        <v>0.0</v>
      </c>
      <c r="K1091" s="2">
        <v>0.0</v>
      </c>
      <c r="L1091" s="2">
        <v>0.0</v>
      </c>
      <c r="M1091" s="37">
        <v>0.0</v>
      </c>
    </row>
    <row r="1092" ht="14.25" customHeight="1">
      <c r="A1092" t="s">
        <v>1178</v>
      </c>
      <c r="B1092" t="s">
        <v>1176</v>
      </c>
      <c r="C1092" t="s">
        <v>62</v>
      </c>
      <c r="D1092" t="s">
        <v>258</v>
      </c>
      <c r="E1092">
        <v>2.35</v>
      </c>
      <c r="F1092">
        <v>2.63</v>
      </c>
      <c r="G1092" s="2" t="s">
        <v>64</v>
      </c>
      <c r="H1092" s="2">
        <v>0.0</v>
      </c>
      <c r="I1092" s="2">
        <v>0.0</v>
      </c>
      <c r="J1092" s="37">
        <v>0.0</v>
      </c>
      <c r="K1092" s="2">
        <v>0.0</v>
      </c>
      <c r="L1092" s="2">
        <v>0.0</v>
      </c>
      <c r="M1092" s="37">
        <v>0.0</v>
      </c>
    </row>
    <row r="1093" ht="14.25" customHeight="1">
      <c r="A1093" t="s">
        <v>1176</v>
      </c>
      <c r="B1093" t="s">
        <v>1176</v>
      </c>
      <c r="C1093" t="s">
        <v>62</v>
      </c>
      <c r="D1093" t="s">
        <v>258</v>
      </c>
      <c r="E1093">
        <v>2.35</v>
      </c>
      <c r="F1093">
        <v>2.63</v>
      </c>
      <c r="G1093" s="2" t="s">
        <v>64</v>
      </c>
      <c r="H1093" s="2">
        <v>0.0</v>
      </c>
      <c r="I1093" s="2">
        <v>0.0</v>
      </c>
      <c r="J1093" s="37">
        <v>0.0</v>
      </c>
      <c r="K1093" s="2">
        <v>0.0</v>
      </c>
      <c r="L1093" s="2">
        <v>0.0</v>
      </c>
      <c r="M1093" s="37">
        <v>0.0</v>
      </c>
    </row>
    <row r="1094" ht="14.25" customHeight="1">
      <c r="A1094" t="s">
        <v>1179</v>
      </c>
      <c r="B1094" t="s">
        <v>1180</v>
      </c>
      <c r="C1094" t="s">
        <v>62</v>
      </c>
      <c r="D1094" t="s">
        <v>268</v>
      </c>
      <c r="E1094">
        <v>1.5</v>
      </c>
      <c r="F1094">
        <v>1.8</v>
      </c>
      <c r="G1094" s="2" t="s">
        <v>64</v>
      </c>
      <c r="H1094" s="2">
        <v>0.0</v>
      </c>
      <c r="I1094" s="2">
        <v>0.0</v>
      </c>
      <c r="J1094" s="37">
        <v>0.0</v>
      </c>
      <c r="K1094" s="2">
        <v>0.0</v>
      </c>
      <c r="L1094" s="2">
        <v>0.0</v>
      </c>
      <c r="M1094" s="37">
        <v>0.0</v>
      </c>
    </row>
    <row r="1095" ht="14.25" customHeight="1">
      <c r="A1095" t="s">
        <v>1181</v>
      </c>
      <c r="B1095" t="s">
        <v>1182</v>
      </c>
      <c r="C1095" t="s">
        <v>62</v>
      </c>
      <c r="D1095" t="s">
        <v>63</v>
      </c>
      <c r="E1095">
        <v>2.8</v>
      </c>
      <c r="F1095">
        <v>2.65</v>
      </c>
      <c r="G1095" s="2" t="s">
        <v>67</v>
      </c>
      <c r="H1095" s="2">
        <v>7.0</v>
      </c>
      <c r="I1095" s="2">
        <v>68.0</v>
      </c>
      <c r="J1095" s="37">
        <v>245.62</v>
      </c>
      <c r="K1095" s="2">
        <v>8.0</v>
      </c>
      <c r="L1095" s="2">
        <v>90.0</v>
      </c>
      <c r="M1095" s="37">
        <v>296.68</v>
      </c>
    </row>
    <row r="1096" ht="14.25" customHeight="1">
      <c r="A1096" t="s">
        <v>1183</v>
      </c>
      <c r="B1096" t="s">
        <v>1184</v>
      </c>
      <c r="C1096" t="s">
        <v>62</v>
      </c>
      <c r="D1096" t="s">
        <v>63</v>
      </c>
      <c r="E1096">
        <v>7.6</v>
      </c>
      <c r="F1096">
        <v>9.6</v>
      </c>
      <c r="G1096" s="2" t="s">
        <v>67</v>
      </c>
      <c r="H1096" s="2">
        <v>28.0</v>
      </c>
      <c r="I1096" s="2">
        <v>177.0</v>
      </c>
      <c r="J1096" s="37">
        <v>858.98</v>
      </c>
      <c r="K1096" s="2">
        <v>32.0</v>
      </c>
      <c r="L1096" s="2">
        <v>247.0</v>
      </c>
      <c r="M1096" s="37">
        <v>1039.8200000000002</v>
      </c>
    </row>
    <row r="1097" ht="14.25" customHeight="1">
      <c r="A1097" t="s">
        <v>1185</v>
      </c>
      <c r="B1097" t="s">
        <v>1184</v>
      </c>
      <c r="C1097" t="s">
        <v>62</v>
      </c>
      <c r="D1097" t="s">
        <v>63</v>
      </c>
      <c r="E1097">
        <v>9.9</v>
      </c>
      <c r="F1097">
        <v>11.5</v>
      </c>
      <c r="G1097" s="2" t="s">
        <v>67</v>
      </c>
      <c r="H1097" s="2">
        <v>33.0</v>
      </c>
      <c r="I1097" s="2">
        <v>235.0</v>
      </c>
      <c r="J1097" s="37">
        <v>1046.68</v>
      </c>
      <c r="K1097" s="2">
        <v>38.0</v>
      </c>
      <c r="L1097" s="2">
        <v>325.0</v>
      </c>
      <c r="M1097" s="37">
        <v>1275.98</v>
      </c>
    </row>
    <row r="1098" ht="14.25" customHeight="1">
      <c r="A1098" t="s">
        <v>1186</v>
      </c>
      <c r="B1098" t="s">
        <v>1187</v>
      </c>
      <c r="C1098" t="s">
        <v>62</v>
      </c>
      <c r="D1098" t="s">
        <v>63</v>
      </c>
      <c r="E1098">
        <v>5.0</v>
      </c>
      <c r="F1098">
        <v>5.3</v>
      </c>
      <c r="G1098" s="2" t="s">
        <v>67</v>
      </c>
      <c r="H1098" s="2">
        <v>16.0</v>
      </c>
      <c r="I1098" s="2">
        <v>95.0</v>
      </c>
      <c r="J1098" s="37">
        <v>482.86</v>
      </c>
      <c r="K1098" s="2">
        <v>18.0</v>
      </c>
      <c r="L1098" s="2">
        <v>141.0</v>
      </c>
      <c r="M1098" s="37">
        <v>587.58</v>
      </c>
    </row>
    <row r="1099" ht="14.25" customHeight="1">
      <c r="A1099" t="s">
        <v>1188</v>
      </c>
      <c r="B1099" t="s">
        <v>1187</v>
      </c>
      <c r="C1099" t="s">
        <v>62</v>
      </c>
      <c r="D1099" t="s">
        <v>63</v>
      </c>
      <c r="E1099">
        <v>2.5</v>
      </c>
      <c r="F1099">
        <v>3.2</v>
      </c>
      <c r="G1099" s="2" t="s">
        <v>67</v>
      </c>
      <c r="H1099" s="2">
        <v>8.0</v>
      </c>
      <c r="I1099" s="2">
        <v>48.0</v>
      </c>
      <c r="J1099" s="37">
        <v>242.08</v>
      </c>
      <c r="K1099" s="2">
        <v>9.0</v>
      </c>
      <c r="L1099" s="2">
        <v>68.0</v>
      </c>
      <c r="M1099" s="37">
        <v>290.54</v>
      </c>
    </row>
    <row r="1100" ht="14.25" customHeight="1">
      <c r="A1100" t="s">
        <v>1189</v>
      </c>
      <c r="B1100" t="s">
        <v>1187</v>
      </c>
      <c r="C1100" t="s">
        <v>62</v>
      </c>
      <c r="D1100" t="s">
        <v>63</v>
      </c>
      <c r="E1100">
        <v>7.2</v>
      </c>
      <c r="F1100">
        <v>7.5</v>
      </c>
      <c r="G1100" s="2" t="s">
        <v>67</v>
      </c>
      <c r="H1100" s="2">
        <v>22.0</v>
      </c>
      <c r="I1100" s="2">
        <v>117.0</v>
      </c>
      <c r="J1100" s="37">
        <v>646.22</v>
      </c>
      <c r="K1100" s="2">
        <v>25.0</v>
      </c>
      <c r="L1100" s="2">
        <v>183.0</v>
      </c>
      <c r="M1100" s="37">
        <v>799.4</v>
      </c>
    </row>
    <row r="1101" ht="14.25" customHeight="1">
      <c r="A1101" t="s">
        <v>1190</v>
      </c>
      <c r="B1101" t="s">
        <v>1187</v>
      </c>
      <c r="C1101" t="s">
        <v>62</v>
      </c>
      <c r="D1101" t="s">
        <v>63</v>
      </c>
      <c r="E1101">
        <v>3.5</v>
      </c>
      <c r="F1101">
        <v>3.7</v>
      </c>
      <c r="G1101" s="2" t="s">
        <v>67</v>
      </c>
      <c r="H1101" s="2">
        <v>9.0</v>
      </c>
      <c r="I1101" s="2">
        <v>43.0</v>
      </c>
      <c r="J1101" s="37">
        <v>258.04</v>
      </c>
      <c r="K1101" s="2">
        <v>11.0</v>
      </c>
      <c r="L1101" s="2">
        <v>71.0</v>
      </c>
      <c r="M1101" s="37">
        <v>339.36</v>
      </c>
    </row>
    <row r="1102" ht="14.25" customHeight="1">
      <c r="A1102" t="s">
        <v>1191</v>
      </c>
      <c r="B1102" t="s">
        <v>1187</v>
      </c>
      <c r="C1102" t="s">
        <v>75</v>
      </c>
      <c r="D1102" t="s">
        <v>63</v>
      </c>
      <c r="E1102">
        <v>16.0</v>
      </c>
      <c r="F1102">
        <v>18.9</v>
      </c>
      <c r="G1102" s="2" t="s">
        <v>67</v>
      </c>
      <c r="H1102" s="2">
        <v>52.0</v>
      </c>
      <c r="I1102" s="2">
        <v>114.0</v>
      </c>
      <c r="J1102" s="37">
        <v>1316.1200000000001</v>
      </c>
      <c r="K1102" s="2">
        <v>61.0</v>
      </c>
      <c r="L1102" s="2">
        <v>278.0</v>
      </c>
      <c r="M1102" s="37">
        <v>1731.46</v>
      </c>
    </row>
    <row r="1103" ht="14.25" customHeight="1">
      <c r="A1103" t="s">
        <v>1192</v>
      </c>
      <c r="B1103" t="s">
        <v>1193</v>
      </c>
      <c r="C1103" t="s">
        <v>62</v>
      </c>
      <c r="D1103" t="s">
        <v>63</v>
      </c>
      <c r="E1103">
        <v>2.8</v>
      </c>
      <c r="F1103">
        <v>2.65</v>
      </c>
      <c r="G1103" s="2" t="s">
        <v>67</v>
      </c>
      <c r="H1103" s="2">
        <v>7.0</v>
      </c>
      <c r="I1103" s="2">
        <v>68.0</v>
      </c>
      <c r="J1103" s="37">
        <v>245.62</v>
      </c>
      <c r="K1103" s="2">
        <v>8.0</v>
      </c>
      <c r="L1103" s="2">
        <v>90.0</v>
      </c>
      <c r="M1103" s="37">
        <v>296.68</v>
      </c>
    </row>
    <row r="1104" ht="14.25" customHeight="1">
      <c r="A1104" t="s">
        <v>1194</v>
      </c>
      <c r="B1104" t="s">
        <v>1193</v>
      </c>
      <c r="C1104" t="s">
        <v>62</v>
      </c>
      <c r="D1104" t="s">
        <v>63</v>
      </c>
      <c r="E1104">
        <v>5.2</v>
      </c>
      <c r="F1104">
        <v>5.2</v>
      </c>
      <c r="G1104" s="2" t="s">
        <v>67</v>
      </c>
      <c r="H1104" s="2">
        <v>15.0</v>
      </c>
      <c r="I1104" s="2">
        <v>63.0</v>
      </c>
      <c r="J1104" s="37">
        <v>418.80000000000007</v>
      </c>
      <c r="K1104" s="2">
        <v>17.0</v>
      </c>
      <c r="L1104" s="2">
        <v>111.0</v>
      </c>
      <c r="M1104" s="37">
        <v>526.12</v>
      </c>
    </row>
    <row r="1105" ht="14.25" customHeight="1">
      <c r="A1105" t="s">
        <v>1195</v>
      </c>
      <c r="B1105" t="s">
        <v>1193</v>
      </c>
      <c r="C1105" t="s">
        <v>62</v>
      </c>
      <c r="D1105" t="s">
        <v>63</v>
      </c>
      <c r="E1105">
        <v>7.2</v>
      </c>
      <c r="F1105">
        <v>7.2</v>
      </c>
      <c r="G1105" s="2" t="s">
        <v>67</v>
      </c>
      <c r="H1105" s="2">
        <v>21.0</v>
      </c>
      <c r="I1105" s="2">
        <v>99.0</v>
      </c>
      <c r="J1105" s="37">
        <v>600.36</v>
      </c>
      <c r="K1105" s="2">
        <v>24.0</v>
      </c>
      <c r="L1105" s="2">
        <v>165.0</v>
      </c>
      <c r="M1105" s="37">
        <v>753.54</v>
      </c>
    </row>
    <row r="1106" ht="14.25" customHeight="1">
      <c r="A1106" t="s">
        <v>1196</v>
      </c>
      <c r="B1106" t="s">
        <v>1193</v>
      </c>
      <c r="C1106" t="s">
        <v>62</v>
      </c>
      <c r="D1106" t="s">
        <v>63</v>
      </c>
      <c r="E1106">
        <v>8.2</v>
      </c>
      <c r="F1106">
        <v>8.5</v>
      </c>
      <c r="G1106" s="2" t="s">
        <v>67</v>
      </c>
      <c r="H1106" s="2">
        <v>24.0</v>
      </c>
      <c r="I1106" s="2">
        <v>73.0</v>
      </c>
      <c r="J1106" s="37">
        <v>633.9399999999999</v>
      </c>
      <c r="K1106" s="2">
        <v>28.0</v>
      </c>
      <c r="L1106" s="2">
        <v>147.0</v>
      </c>
      <c r="M1106" s="37">
        <v>819.98</v>
      </c>
    </row>
    <row r="1107" ht="14.25" customHeight="1">
      <c r="A1107" t="s">
        <v>1197</v>
      </c>
      <c r="B1107" t="s">
        <v>1198</v>
      </c>
      <c r="C1107" t="s">
        <v>62</v>
      </c>
      <c r="D1107" t="s">
        <v>63</v>
      </c>
      <c r="E1107">
        <v>2.69</v>
      </c>
      <c r="F1107">
        <v>2.6</v>
      </c>
      <c r="G1107" s="2" t="s">
        <v>64</v>
      </c>
      <c r="H1107" s="2">
        <v>0.0</v>
      </c>
      <c r="I1107" s="2">
        <v>0.0</v>
      </c>
      <c r="J1107" s="37">
        <v>0.0</v>
      </c>
      <c r="K1107" s="2">
        <v>0.0</v>
      </c>
      <c r="L1107" s="2">
        <v>0.0</v>
      </c>
      <c r="M1107" s="37">
        <v>0.0</v>
      </c>
    </row>
    <row r="1108" ht="14.25" customHeight="1">
      <c r="A1108" t="s">
        <v>1199</v>
      </c>
      <c r="B1108" t="s">
        <v>1198</v>
      </c>
      <c r="C1108" t="s">
        <v>62</v>
      </c>
      <c r="D1108" t="s">
        <v>467</v>
      </c>
      <c r="E1108">
        <v>2.6</v>
      </c>
      <c r="F1108">
        <v>2.4</v>
      </c>
      <c r="G1108" s="2" t="s">
        <v>64</v>
      </c>
      <c r="H1108" s="2">
        <v>0.0</v>
      </c>
      <c r="I1108" s="2">
        <v>0.0</v>
      </c>
      <c r="J1108" s="37">
        <v>0.0</v>
      </c>
      <c r="K1108" s="2">
        <v>0.0</v>
      </c>
      <c r="L1108" s="2">
        <v>0.0</v>
      </c>
      <c r="M1108" s="37">
        <v>0.0</v>
      </c>
    </row>
    <row r="1109" ht="14.25" customHeight="1">
      <c r="A1109" t="s">
        <v>1200</v>
      </c>
      <c r="B1109" t="s">
        <v>1198</v>
      </c>
      <c r="C1109" t="s">
        <v>62</v>
      </c>
      <c r="D1109" t="s">
        <v>63</v>
      </c>
      <c r="E1109">
        <v>2.64</v>
      </c>
      <c r="F1109">
        <v>4.05</v>
      </c>
      <c r="G1109" s="2" t="s">
        <v>64</v>
      </c>
      <c r="H1109" s="2">
        <v>0.0</v>
      </c>
      <c r="I1109" s="2">
        <v>0.0</v>
      </c>
      <c r="J1109" s="37">
        <v>0.0</v>
      </c>
      <c r="K1109" s="2">
        <v>0.0</v>
      </c>
      <c r="L1109" s="2">
        <v>0.0</v>
      </c>
      <c r="M1109" s="37">
        <v>0.0</v>
      </c>
    </row>
    <row r="1110" ht="14.25" customHeight="1">
      <c r="A1110" t="s">
        <v>1201</v>
      </c>
      <c r="B1110" t="s">
        <v>1198</v>
      </c>
      <c r="C1110" t="s">
        <v>62</v>
      </c>
      <c r="D1110" t="s">
        <v>467</v>
      </c>
      <c r="E1110">
        <v>2.7</v>
      </c>
      <c r="F1110">
        <v>2.4</v>
      </c>
      <c r="G1110" s="2" t="s">
        <v>64</v>
      </c>
      <c r="H1110" s="2">
        <v>0.0</v>
      </c>
      <c r="I1110" s="2">
        <v>0.0</v>
      </c>
      <c r="J1110" s="37">
        <v>0.0</v>
      </c>
      <c r="K1110" s="2">
        <v>0.0</v>
      </c>
      <c r="L1110" s="2">
        <v>0.0</v>
      </c>
      <c r="M1110" s="37">
        <v>0.0</v>
      </c>
    </row>
    <row r="1111" ht="14.25" customHeight="1">
      <c r="A1111" t="s">
        <v>1202</v>
      </c>
      <c r="B1111" t="s">
        <v>1203</v>
      </c>
      <c r="C1111" t="s">
        <v>62</v>
      </c>
      <c r="D1111" t="s">
        <v>268</v>
      </c>
      <c r="E1111">
        <v>4.1</v>
      </c>
      <c r="F1111">
        <v>3.3</v>
      </c>
      <c r="G1111" s="2" t="s">
        <v>64</v>
      </c>
      <c r="H1111" s="2">
        <v>0.0</v>
      </c>
      <c r="I1111" s="2">
        <v>0.0</v>
      </c>
      <c r="J1111" s="37">
        <v>0.0</v>
      </c>
      <c r="K1111" s="2">
        <v>0.0</v>
      </c>
      <c r="L1111" s="2">
        <v>0.0</v>
      </c>
      <c r="M1111" s="37">
        <v>0.0</v>
      </c>
    </row>
    <row r="1112" ht="14.25" customHeight="1">
      <c r="A1112" t="s">
        <v>1204</v>
      </c>
      <c r="B1112" t="s">
        <v>1205</v>
      </c>
      <c r="C1112" t="s">
        <v>62</v>
      </c>
      <c r="D1112" t="s">
        <v>63</v>
      </c>
      <c r="E1112">
        <v>5.0</v>
      </c>
      <c r="F1112">
        <v>6.0</v>
      </c>
      <c r="G1112" s="2" t="s">
        <v>64</v>
      </c>
      <c r="H1112" s="2">
        <v>0.0</v>
      </c>
      <c r="I1112" s="2">
        <v>0.0</v>
      </c>
      <c r="J1112" s="37">
        <v>0.0</v>
      </c>
      <c r="K1112" s="2">
        <v>0.0</v>
      </c>
      <c r="L1112" s="2">
        <v>0.0</v>
      </c>
      <c r="M1112" s="37">
        <v>0.0</v>
      </c>
    </row>
    <row r="1113" ht="14.25" customHeight="1">
      <c r="A1113" t="s">
        <v>1206</v>
      </c>
      <c r="B1113" t="s">
        <v>1205</v>
      </c>
      <c r="C1113" t="s">
        <v>62</v>
      </c>
      <c r="D1113" t="s">
        <v>63</v>
      </c>
      <c r="E1113">
        <v>3.5</v>
      </c>
      <c r="F1113">
        <v>4.0</v>
      </c>
      <c r="G1113" s="2" t="s">
        <v>64</v>
      </c>
      <c r="H1113" s="2">
        <v>0.0</v>
      </c>
      <c r="I1113" s="2">
        <v>0.0</v>
      </c>
      <c r="J1113" s="37">
        <v>0.0</v>
      </c>
      <c r="K1113" s="2">
        <v>0.0</v>
      </c>
      <c r="L1113" s="2">
        <v>0.0</v>
      </c>
      <c r="M1113" s="37">
        <v>0.0</v>
      </c>
    </row>
    <row r="1114" ht="14.25" customHeight="1">
      <c r="A1114" t="s">
        <v>1207</v>
      </c>
      <c r="B1114" t="s">
        <v>1205</v>
      </c>
      <c r="C1114" t="s">
        <v>62</v>
      </c>
      <c r="D1114" t="s">
        <v>63</v>
      </c>
      <c r="E1114">
        <v>2.5</v>
      </c>
      <c r="F1114">
        <v>3.2</v>
      </c>
      <c r="G1114" s="2" t="s">
        <v>64</v>
      </c>
      <c r="H1114" s="2">
        <v>0.0</v>
      </c>
      <c r="I1114" s="2">
        <v>0.0</v>
      </c>
      <c r="J1114" s="37">
        <v>0.0</v>
      </c>
      <c r="K1114" s="2">
        <v>0.0</v>
      </c>
      <c r="L1114" s="2">
        <v>0.0</v>
      </c>
      <c r="M1114" s="37">
        <v>0.0</v>
      </c>
    </row>
    <row r="1115" ht="14.25" customHeight="1">
      <c r="A1115" t="s">
        <v>1208</v>
      </c>
      <c r="B1115" t="s">
        <v>1205</v>
      </c>
      <c r="C1115" t="s">
        <v>75</v>
      </c>
      <c r="D1115" t="s">
        <v>63</v>
      </c>
      <c r="E1115">
        <v>5.0</v>
      </c>
      <c r="F1115">
        <v>6.0</v>
      </c>
      <c r="G1115" s="2" t="s">
        <v>67</v>
      </c>
      <c r="H1115" s="2">
        <v>16.0</v>
      </c>
      <c r="I1115" s="2">
        <v>69.0</v>
      </c>
      <c r="J1115" s="37">
        <v>449.06</v>
      </c>
      <c r="K1115" s="2">
        <v>19.0</v>
      </c>
      <c r="L1115" s="2">
        <v>120.0</v>
      </c>
      <c r="M1115" s="37">
        <v>582.74</v>
      </c>
    </row>
    <row r="1116" ht="14.25" customHeight="1">
      <c r="A1116" t="s">
        <v>1209</v>
      </c>
      <c r="B1116" t="s">
        <v>1205</v>
      </c>
      <c r="C1116" t="s">
        <v>75</v>
      </c>
      <c r="D1116" t="s">
        <v>63</v>
      </c>
      <c r="E1116">
        <v>5.0</v>
      </c>
      <c r="F1116">
        <v>6.0</v>
      </c>
      <c r="G1116" s="2" t="s">
        <v>64</v>
      </c>
      <c r="H1116" s="2">
        <v>0.0</v>
      </c>
      <c r="I1116" s="2">
        <v>0.0</v>
      </c>
      <c r="J1116" s="37">
        <v>0.0</v>
      </c>
      <c r="K1116" s="2">
        <v>0.0</v>
      </c>
      <c r="L1116" s="2">
        <v>0.0</v>
      </c>
      <c r="M1116" s="37">
        <v>0.0</v>
      </c>
    </row>
    <row r="1117" ht="14.25" customHeight="1">
      <c r="A1117" t="s">
        <v>1210</v>
      </c>
      <c r="B1117" t="s">
        <v>1205</v>
      </c>
      <c r="C1117" t="s">
        <v>75</v>
      </c>
      <c r="D1117" t="s">
        <v>63</v>
      </c>
      <c r="E1117">
        <v>3.5</v>
      </c>
      <c r="F1117">
        <v>4.0</v>
      </c>
      <c r="G1117" s="2" t="s">
        <v>67</v>
      </c>
      <c r="H1117" s="2">
        <v>11.0</v>
      </c>
      <c r="I1117" s="2">
        <v>59.0</v>
      </c>
      <c r="J1117" s="37">
        <v>323.76</v>
      </c>
      <c r="K1117" s="2">
        <v>13.0</v>
      </c>
      <c r="L1117" s="2">
        <v>94.0</v>
      </c>
      <c r="M1117" s="37">
        <v>414.18</v>
      </c>
    </row>
    <row r="1118" ht="14.25" customHeight="1">
      <c r="A1118" t="s">
        <v>1211</v>
      </c>
      <c r="B1118" t="s">
        <v>1205</v>
      </c>
      <c r="C1118" t="s">
        <v>75</v>
      </c>
      <c r="D1118" t="s">
        <v>63</v>
      </c>
      <c r="E1118">
        <v>3.5</v>
      </c>
      <c r="F1118">
        <v>4.0</v>
      </c>
      <c r="G1118" s="2" t="s">
        <v>64</v>
      </c>
      <c r="H1118" s="2">
        <v>0.0</v>
      </c>
      <c r="I1118" s="2">
        <v>0.0</v>
      </c>
      <c r="J1118" s="37">
        <v>0.0</v>
      </c>
      <c r="K1118" s="2">
        <v>0.0</v>
      </c>
      <c r="L1118" s="2">
        <v>0.0</v>
      </c>
      <c r="M1118" s="37">
        <v>0.0</v>
      </c>
    </row>
    <row r="1119" ht="14.25" customHeight="1">
      <c r="A1119" t="s">
        <v>1212</v>
      </c>
      <c r="B1119" t="s">
        <v>1205</v>
      </c>
      <c r="C1119" t="s">
        <v>75</v>
      </c>
      <c r="D1119" t="s">
        <v>63</v>
      </c>
      <c r="E1119">
        <v>2.5</v>
      </c>
      <c r="F1119">
        <v>3.2</v>
      </c>
      <c r="G1119" s="2" t="s">
        <v>67</v>
      </c>
      <c r="H1119" s="2">
        <v>9.0</v>
      </c>
      <c r="I1119" s="2">
        <v>58.0</v>
      </c>
      <c r="J1119" s="37">
        <v>277.54</v>
      </c>
      <c r="K1119" s="2">
        <v>10.0</v>
      </c>
      <c r="L1119" s="2">
        <v>83.0</v>
      </c>
      <c r="M1119" s="37">
        <v>332.5</v>
      </c>
    </row>
    <row r="1120" ht="14.25" customHeight="1">
      <c r="A1120" t="s">
        <v>1213</v>
      </c>
      <c r="B1120" t="s">
        <v>1205</v>
      </c>
      <c r="C1120" t="s">
        <v>75</v>
      </c>
      <c r="D1120" t="s">
        <v>63</v>
      </c>
      <c r="E1120">
        <v>2.5</v>
      </c>
      <c r="F1120">
        <v>3.2</v>
      </c>
      <c r="G1120" s="2" t="s">
        <v>67</v>
      </c>
      <c r="H1120" s="2">
        <v>8.0</v>
      </c>
      <c r="I1120" s="2">
        <v>49.0</v>
      </c>
      <c r="J1120" s="37">
        <v>243.38</v>
      </c>
      <c r="K1120" s="2">
        <v>10.0</v>
      </c>
      <c r="L1120" s="2">
        <v>74.0</v>
      </c>
      <c r="M1120" s="37">
        <v>320.8</v>
      </c>
    </row>
    <row r="1121" ht="14.25" customHeight="1">
      <c r="A1121" t="s">
        <v>1214</v>
      </c>
      <c r="B1121" t="s">
        <v>1205</v>
      </c>
      <c r="C1121" t="s">
        <v>62</v>
      </c>
      <c r="D1121" t="s">
        <v>63</v>
      </c>
      <c r="E1121">
        <v>4.2</v>
      </c>
      <c r="F1121">
        <v>5.2</v>
      </c>
      <c r="G1121" s="2" t="s">
        <v>67</v>
      </c>
      <c r="H1121" s="2">
        <v>14.0</v>
      </c>
      <c r="I1121" s="2">
        <v>60.0</v>
      </c>
      <c r="J1121" s="37">
        <v>392.44</v>
      </c>
      <c r="K1121" s="2">
        <v>16.0</v>
      </c>
      <c r="L1121" s="2">
        <v>98.0</v>
      </c>
      <c r="M1121" s="37">
        <v>486.76</v>
      </c>
    </row>
    <row r="1122" ht="14.25" customHeight="1">
      <c r="A1122" t="s">
        <v>1215</v>
      </c>
      <c r="B1122" t="s">
        <v>1205</v>
      </c>
      <c r="C1122" t="s">
        <v>62</v>
      </c>
      <c r="D1122" t="s">
        <v>63</v>
      </c>
      <c r="E1122">
        <v>3.5</v>
      </c>
      <c r="F1122">
        <v>4.5</v>
      </c>
      <c r="G1122" s="2" t="s">
        <v>64</v>
      </c>
      <c r="H1122" s="2">
        <v>0.0</v>
      </c>
      <c r="I1122" s="2">
        <v>0.0</v>
      </c>
      <c r="J1122" s="37">
        <v>0.0</v>
      </c>
      <c r="K1122" s="2">
        <v>0.0</v>
      </c>
      <c r="L1122" s="2">
        <v>0.0</v>
      </c>
      <c r="M1122" s="37">
        <v>0.0</v>
      </c>
    </row>
    <row r="1123" ht="14.25" customHeight="1">
      <c r="A1123" t="s">
        <v>1216</v>
      </c>
      <c r="B1123" t="s">
        <v>1205</v>
      </c>
      <c r="C1123" t="s">
        <v>62</v>
      </c>
      <c r="D1123" t="s">
        <v>63</v>
      </c>
      <c r="E1123">
        <v>2.5</v>
      </c>
      <c r="F1123">
        <v>3.5</v>
      </c>
      <c r="G1123" s="2" t="s">
        <v>67</v>
      </c>
      <c r="H1123" s="2">
        <v>8.0</v>
      </c>
      <c r="I1123" s="2">
        <v>45.0</v>
      </c>
      <c r="J1123" s="37">
        <v>238.18</v>
      </c>
      <c r="K1123" s="2">
        <v>9.0</v>
      </c>
      <c r="L1123" s="2">
        <v>65.0</v>
      </c>
      <c r="M1123" s="37">
        <v>286.64</v>
      </c>
    </row>
    <row r="1124" ht="14.25" customHeight="1">
      <c r="A1124" t="s">
        <v>1217</v>
      </c>
      <c r="B1124" t="s">
        <v>1205</v>
      </c>
      <c r="C1124" t="s">
        <v>75</v>
      </c>
      <c r="D1124" t="s">
        <v>63</v>
      </c>
      <c r="E1124">
        <v>7.1</v>
      </c>
      <c r="F1124">
        <v>8.0</v>
      </c>
      <c r="G1124" s="2" t="s">
        <v>64</v>
      </c>
      <c r="H1124" s="2">
        <v>0.0</v>
      </c>
      <c r="I1124" s="2">
        <v>0.0</v>
      </c>
      <c r="J1124" s="37">
        <v>0.0</v>
      </c>
      <c r="K1124" s="2">
        <v>0.0</v>
      </c>
      <c r="L1124" s="2">
        <v>0.0</v>
      </c>
      <c r="M1124" s="37">
        <v>0.0</v>
      </c>
    </row>
    <row r="1125" ht="14.25" customHeight="1">
      <c r="A1125" t="s">
        <v>1218</v>
      </c>
      <c r="B1125" t="s">
        <v>1205</v>
      </c>
      <c r="C1125" t="s">
        <v>75</v>
      </c>
      <c r="D1125" t="s">
        <v>63</v>
      </c>
      <c r="E1125">
        <v>5.0</v>
      </c>
      <c r="F1125">
        <v>6.0</v>
      </c>
      <c r="G1125" s="2" t="s">
        <v>67</v>
      </c>
      <c r="H1125" s="2">
        <v>17.0</v>
      </c>
      <c r="I1125" s="2">
        <v>72.0</v>
      </c>
      <c r="J1125" s="37">
        <v>475.42</v>
      </c>
      <c r="K1125" s="2">
        <v>20.0</v>
      </c>
      <c r="L1125" s="2">
        <v>123.0</v>
      </c>
      <c r="M1125" s="37">
        <v>609.1</v>
      </c>
    </row>
    <row r="1126" ht="14.25" customHeight="1">
      <c r="A1126" t="s">
        <v>1219</v>
      </c>
      <c r="B1126" t="s">
        <v>1205</v>
      </c>
      <c r="C1126" t="s">
        <v>75</v>
      </c>
      <c r="D1126" t="s">
        <v>63</v>
      </c>
      <c r="E1126">
        <v>7.1</v>
      </c>
      <c r="F1126">
        <v>8.0</v>
      </c>
      <c r="G1126" s="2" t="s">
        <v>67</v>
      </c>
      <c r="H1126" s="2">
        <v>23.0</v>
      </c>
      <c r="I1126" s="2">
        <v>130.0</v>
      </c>
      <c r="J1126" s="37">
        <v>685.58</v>
      </c>
      <c r="K1126" s="2">
        <v>27.0</v>
      </c>
      <c r="L1126" s="2">
        <v>203.0</v>
      </c>
      <c r="M1126" s="37">
        <v>870.3200000000002</v>
      </c>
    </row>
    <row r="1127" ht="14.25" customHeight="1">
      <c r="A1127" t="s">
        <v>1220</v>
      </c>
      <c r="B1127" t="s">
        <v>1205</v>
      </c>
      <c r="C1127" t="s">
        <v>75</v>
      </c>
      <c r="D1127" t="s">
        <v>63</v>
      </c>
      <c r="E1127">
        <v>8.5</v>
      </c>
      <c r="F1127">
        <v>10.0</v>
      </c>
      <c r="G1127" s="2" t="s">
        <v>67</v>
      </c>
      <c r="H1127" s="2">
        <v>27.0</v>
      </c>
      <c r="I1127" s="2">
        <v>42.0</v>
      </c>
      <c r="J1127" s="37">
        <v>661.0200000000001</v>
      </c>
      <c r="K1127" s="2">
        <v>32.0</v>
      </c>
      <c r="L1127" s="2">
        <v>129.0</v>
      </c>
      <c r="M1127" s="37">
        <v>886.4200000000001</v>
      </c>
    </row>
    <row r="1128" ht="14.25" customHeight="1">
      <c r="A1128" t="s">
        <v>1221</v>
      </c>
      <c r="B1128" t="s">
        <v>1205</v>
      </c>
      <c r="C1128" t="s">
        <v>75</v>
      </c>
      <c r="D1128" t="s">
        <v>63</v>
      </c>
      <c r="E1128">
        <v>10.0</v>
      </c>
      <c r="F1128">
        <v>11.2</v>
      </c>
      <c r="G1128" s="2" t="s">
        <v>64</v>
      </c>
      <c r="H1128" s="2">
        <v>0.0</v>
      </c>
      <c r="I1128" s="2">
        <v>0.0</v>
      </c>
      <c r="J1128" s="37">
        <v>0.0</v>
      </c>
      <c r="K1128" s="2">
        <v>0.0</v>
      </c>
      <c r="L1128" s="2">
        <v>0.0</v>
      </c>
      <c r="M1128" s="37">
        <v>0.0</v>
      </c>
    </row>
    <row r="1129" ht="14.25" customHeight="1">
      <c r="A1129" t="s">
        <v>1222</v>
      </c>
      <c r="B1129" t="s">
        <v>1205</v>
      </c>
      <c r="C1129" t="s">
        <v>75</v>
      </c>
      <c r="D1129" t="s">
        <v>63</v>
      </c>
      <c r="E1129">
        <v>12.5</v>
      </c>
      <c r="F1129">
        <v>14.0</v>
      </c>
      <c r="G1129" s="2" t="s">
        <v>64</v>
      </c>
      <c r="H1129" s="2">
        <v>0.0</v>
      </c>
      <c r="I1129" s="2">
        <v>0.0</v>
      </c>
      <c r="J1129" s="37">
        <v>0.0</v>
      </c>
      <c r="K1129" s="2">
        <v>0.0</v>
      </c>
      <c r="L1129" s="2">
        <v>0.0</v>
      </c>
      <c r="M1129" s="37">
        <v>0.0</v>
      </c>
    </row>
    <row r="1130" ht="14.25" customHeight="1">
      <c r="A1130" t="s">
        <v>1223</v>
      </c>
      <c r="B1130" t="s">
        <v>1205</v>
      </c>
      <c r="C1130" t="s">
        <v>75</v>
      </c>
      <c r="D1130" t="s">
        <v>63</v>
      </c>
      <c r="E1130">
        <v>13.0</v>
      </c>
      <c r="F1130">
        <v>15.0</v>
      </c>
      <c r="G1130" s="2" t="s">
        <v>67</v>
      </c>
      <c r="H1130" s="2">
        <v>38.0</v>
      </c>
      <c r="I1130" s="2">
        <v>-34.0</v>
      </c>
      <c r="J1130" s="37">
        <v>853.48</v>
      </c>
      <c r="K1130" s="2">
        <v>45.0</v>
      </c>
      <c r="L1130" s="2">
        <v>98.0</v>
      </c>
      <c r="M1130" s="37">
        <v>1138.1000000000001</v>
      </c>
    </row>
    <row r="1131" ht="14.25" customHeight="1">
      <c r="A1131" t="s">
        <v>1224</v>
      </c>
      <c r="B1131" t="s">
        <v>1205</v>
      </c>
      <c r="C1131" t="s">
        <v>75</v>
      </c>
      <c r="D1131" t="s">
        <v>63</v>
      </c>
      <c r="E1131">
        <v>8.5</v>
      </c>
      <c r="F1131">
        <v>10.0</v>
      </c>
      <c r="G1131" s="2" t="s">
        <v>67</v>
      </c>
      <c r="H1131" s="2">
        <v>29.0</v>
      </c>
      <c r="I1131" s="2">
        <v>142.0</v>
      </c>
      <c r="J1131" s="37">
        <v>835.94</v>
      </c>
      <c r="K1131" s="2">
        <v>34.0</v>
      </c>
      <c r="L1131" s="2">
        <v>230.0</v>
      </c>
      <c r="M1131" s="37">
        <v>1062.6399999999999</v>
      </c>
    </row>
    <row r="1132" ht="14.25" customHeight="1">
      <c r="A1132" t="s">
        <v>1225</v>
      </c>
      <c r="B1132" t="s">
        <v>1205</v>
      </c>
      <c r="C1132" t="s">
        <v>62</v>
      </c>
      <c r="D1132" t="s">
        <v>63</v>
      </c>
      <c r="E1132">
        <v>2.0</v>
      </c>
      <c r="F1132">
        <v>2.5</v>
      </c>
      <c r="G1132" s="2" t="s">
        <v>67</v>
      </c>
      <c r="H1132" s="2">
        <v>6.0</v>
      </c>
      <c r="I1132" s="2">
        <v>19.0</v>
      </c>
      <c r="J1132" s="37">
        <v>159.45999999999998</v>
      </c>
      <c r="K1132" s="2">
        <v>7.0</v>
      </c>
      <c r="L1132" s="2">
        <v>35.0</v>
      </c>
      <c r="M1132" s="37">
        <v>202.72</v>
      </c>
    </row>
    <row r="1133" ht="14.25" customHeight="1">
      <c r="A1133" t="s">
        <v>1226</v>
      </c>
      <c r="B1133" t="s">
        <v>1205</v>
      </c>
      <c r="C1133" t="s">
        <v>62</v>
      </c>
      <c r="D1133" t="s">
        <v>63</v>
      </c>
      <c r="E1133">
        <v>3.4</v>
      </c>
      <c r="F1133">
        <v>4.0</v>
      </c>
      <c r="G1133" s="2" t="s">
        <v>64</v>
      </c>
      <c r="H1133" s="2">
        <v>0.0</v>
      </c>
      <c r="I1133" s="2">
        <v>0.0</v>
      </c>
      <c r="J1133" s="37">
        <v>0.0</v>
      </c>
      <c r="K1133" s="2">
        <v>0.0</v>
      </c>
      <c r="L1133" s="2">
        <v>0.0</v>
      </c>
      <c r="M1133" s="37">
        <v>0.0</v>
      </c>
    </row>
    <row r="1134" ht="14.25" customHeight="1">
      <c r="A1134" t="s">
        <v>1227</v>
      </c>
      <c r="B1134" t="s">
        <v>1205</v>
      </c>
      <c r="C1134" t="s">
        <v>62</v>
      </c>
      <c r="D1134" t="s">
        <v>63</v>
      </c>
      <c r="E1134">
        <v>2.5</v>
      </c>
      <c r="F1134">
        <v>3.2</v>
      </c>
      <c r="G1134" s="2" t="s">
        <v>67</v>
      </c>
      <c r="H1134" s="2">
        <v>8.0</v>
      </c>
      <c r="I1134" s="2">
        <v>27.0</v>
      </c>
      <c r="J1134" s="37">
        <v>214.78</v>
      </c>
      <c r="K1134" s="2">
        <v>9.0</v>
      </c>
      <c r="L1134" s="2">
        <v>47.0</v>
      </c>
      <c r="M1134" s="37">
        <v>263.24</v>
      </c>
    </row>
    <row r="1135" ht="14.25" customHeight="1">
      <c r="A1135" t="s">
        <v>1228</v>
      </c>
      <c r="B1135" t="s">
        <v>1205</v>
      </c>
      <c r="C1135" t="s">
        <v>62</v>
      </c>
      <c r="D1135" t="s">
        <v>63</v>
      </c>
      <c r="E1135">
        <v>4.2</v>
      </c>
      <c r="F1135">
        <v>4.7</v>
      </c>
      <c r="G1135" s="2" t="s">
        <v>67</v>
      </c>
      <c r="H1135" s="2">
        <v>14.0</v>
      </c>
      <c r="I1135" s="2">
        <v>22.0</v>
      </c>
      <c r="J1135" s="37">
        <v>343.04</v>
      </c>
      <c r="K1135" s="2">
        <v>16.0</v>
      </c>
      <c r="L1135" s="2">
        <v>60.0</v>
      </c>
      <c r="M1135" s="37">
        <v>437.36</v>
      </c>
    </row>
    <row r="1136" ht="14.25" customHeight="1">
      <c r="A1136" t="s">
        <v>1229</v>
      </c>
      <c r="B1136" t="s">
        <v>1205</v>
      </c>
      <c r="C1136" t="s">
        <v>62</v>
      </c>
      <c r="D1136" t="s">
        <v>63</v>
      </c>
      <c r="E1136">
        <v>5.0</v>
      </c>
      <c r="F1136">
        <v>5.2</v>
      </c>
      <c r="G1136" s="2" t="s">
        <v>67</v>
      </c>
      <c r="H1136" s="2">
        <v>15.0</v>
      </c>
      <c r="I1136" s="2">
        <v>33.0</v>
      </c>
      <c r="J1136" s="37">
        <v>379.8</v>
      </c>
      <c r="K1136" s="2">
        <v>17.0</v>
      </c>
      <c r="L1136" s="2">
        <v>79.0</v>
      </c>
      <c r="M1136" s="37">
        <v>484.52</v>
      </c>
    </row>
    <row r="1137" ht="14.25" customHeight="1">
      <c r="A1137" t="s">
        <v>1230</v>
      </c>
      <c r="B1137" t="s">
        <v>1205</v>
      </c>
      <c r="C1137" t="s">
        <v>62</v>
      </c>
      <c r="D1137" t="s">
        <v>63</v>
      </c>
      <c r="E1137">
        <v>6.0</v>
      </c>
      <c r="F1137">
        <v>6.5</v>
      </c>
      <c r="G1137" s="2" t="s">
        <v>64</v>
      </c>
      <c r="H1137" s="2">
        <v>0.0</v>
      </c>
      <c r="I1137" s="2">
        <v>0.0</v>
      </c>
      <c r="J1137" s="37">
        <v>0.0</v>
      </c>
      <c r="K1137" s="2">
        <v>0.0</v>
      </c>
      <c r="L1137" s="2">
        <v>0.0</v>
      </c>
      <c r="M1137" s="37">
        <v>0.0</v>
      </c>
    </row>
    <row r="1138" ht="14.25" customHeight="1">
      <c r="A1138" t="s">
        <v>1231</v>
      </c>
      <c r="B1138" t="s">
        <v>1205</v>
      </c>
      <c r="C1138" t="s">
        <v>62</v>
      </c>
      <c r="D1138" t="s">
        <v>63</v>
      </c>
      <c r="E1138">
        <v>7.1</v>
      </c>
      <c r="F1138">
        <v>8.0</v>
      </c>
      <c r="G1138" s="2" t="s">
        <v>67</v>
      </c>
      <c r="H1138" s="2">
        <v>22.0</v>
      </c>
      <c r="I1138" s="2">
        <v>1.0</v>
      </c>
      <c r="J1138" s="37">
        <v>495.42</v>
      </c>
      <c r="K1138" s="2">
        <v>26.0</v>
      </c>
      <c r="L1138" s="2">
        <v>66.0</v>
      </c>
      <c r="M1138" s="37">
        <v>669.76</v>
      </c>
    </row>
    <row r="1139" ht="14.25" customHeight="1">
      <c r="A1139" t="s">
        <v>1232</v>
      </c>
      <c r="B1139" t="s">
        <v>1205</v>
      </c>
      <c r="C1139" t="s">
        <v>75</v>
      </c>
      <c r="D1139" t="s">
        <v>63</v>
      </c>
      <c r="E1139">
        <v>7.1</v>
      </c>
      <c r="F1139">
        <v>8.0</v>
      </c>
      <c r="G1139" s="2" t="s">
        <v>67</v>
      </c>
      <c r="H1139" s="2">
        <v>22.0</v>
      </c>
      <c r="I1139" s="2">
        <v>44.0</v>
      </c>
      <c r="J1139" s="37">
        <v>551.32</v>
      </c>
      <c r="K1139" s="2">
        <v>26.0</v>
      </c>
      <c r="L1139" s="2">
        <v>117.0</v>
      </c>
      <c r="M1139" s="37">
        <v>736.0600000000001</v>
      </c>
    </row>
    <row r="1140" ht="14.25" customHeight="1">
      <c r="A1140" t="s">
        <v>1233</v>
      </c>
      <c r="B1140" t="s">
        <v>1205</v>
      </c>
      <c r="C1140" t="s">
        <v>75</v>
      </c>
      <c r="D1140" t="s">
        <v>63</v>
      </c>
      <c r="E1140">
        <v>8.5</v>
      </c>
      <c r="F1140">
        <v>10.0</v>
      </c>
      <c r="G1140" s="2" t="s">
        <v>67</v>
      </c>
      <c r="H1140" s="2">
        <v>28.0</v>
      </c>
      <c r="I1140" s="2">
        <v>116.0</v>
      </c>
      <c r="J1140" s="37">
        <v>779.6800000000001</v>
      </c>
      <c r="K1140" s="2">
        <v>33.0</v>
      </c>
      <c r="L1140" s="2">
        <v>203.0</v>
      </c>
      <c r="M1140" s="37">
        <v>1005.0800000000002</v>
      </c>
    </row>
    <row r="1141" ht="14.25" customHeight="1">
      <c r="A1141" t="s">
        <v>1234</v>
      </c>
      <c r="B1141" t="s">
        <v>1205</v>
      </c>
      <c r="C1141" t="s">
        <v>75</v>
      </c>
      <c r="D1141" t="s">
        <v>63</v>
      </c>
      <c r="E1141">
        <v>8.5</v>
      </c>
      <c r="F1141">
        <v>10.0</v>
      </c>
      <c r="G1141" s="2" t="s">
        <v>67</v>
      </c>
      <c r="H1141" s="2">
        <v>29.0</v>
      </c>
      <c r="I1141" s="2">
        <v>166.0</v>
      </c>
      <c r="J1141" s="37">
        <v>867.1400000000001</v>
      </c>
      <c r="K1141" s="2">
        <v>34.0</v>
      </c>
      <c r="L1141" s="2">
        <v>253.0</v>
      </c>
      <c r="M1141" s="37">
        <v>1092.54</v>
      </c>
    </row>
    <row r="1142" ht="14.25" customHeight="1">
      <c r="A1142" t="s">
        <v>1235</v>
      </c>
      <c r="B1142" t="s">
        <v>1205</v>
      </c>
      <c r="C1142" t="s">
        <v>75</v>
      </c>
      <c r="D1142" t="s">
        <v>63</v>
      </c>
      <c r="E1142">
        <v>10.0</v>
      </c>
      <c r="F1142">
        <v>11.2</v>
      </c>
      <c r="G1142" s="2" t="s">
        <v>67</v>
      </c>
      <c r="H1142" s="2">
        <v>31.0</v>
      </c>
      <c r="I1142" s="2">
        <v>43.0</v>
      </c>
      <c r="J1142" s="37">
        <v>752.16</v>
      </c>
      <c r="K1142" s="2">
        <v>36.0</v>
      </c>
      <c r="L1142" s="2">
        <v>145.0</v>
      </c>
      <c r="M1142" s="37">
        <v>997.0600000000001</v>
      </c>
    </row>
    <row r="1143" ht="14.25" customHeight="1">
      <c r="A1143" t="s">
        <v>1236</v>
      </c>
      <c r="B1143" t="s">
        <v>1205</v>
      </c>
      <c r="C1143" t="s">
        <v>75</v>
      </c>
      <c r="D1143" t="s">
        <v>63</v>
      </c>
      <c r="E1143">
        <v>10.0</v>
      </c>
      <c r="F1143">
        <v>12.5</v>
      </c>
      <c r="G1143" s="2" t="s">
        <v>67</v>
      </c>
      <c r="H1143" s="2">
        <v>36.0</v>
      </c>
      <c r="I1143" s="2">
        <v>185.0</v>
      </c>
      <c r="J1143" s="37">
        <v>1049.06</v>
      </c>
      <c r="K1143" s="2">
        <v>42.0</v>
      </c>
      <c r="L1143" s="2">
        <v>288.0</v>
      </c>
      <c r="M1143" s="37">
        <v>1317.72</v>
      </c>
    </row>
    <row r="1144" ht="14.25" customHeight="1">
      <c r="A1144" t="s">
        <v>1237</v>
      </c>
      <c r="B1144" t="s">
        <v>1205</v>
      </c>
      <c r="C1144" t="s">
        <v>75</v>
      </c>
      <c r="D1144" t="s">
        <v>63</v>
      </c>
      <c r="E1144">
        <v>10.0</v>
      </c>
      <c r="F1144">
        <v>11.2</v>
      </c>
      <c r="G1144" s="2" t="s">
        <v>67</v>
      </c>
      <c r="H1144" s="2">
        <v>31.0</v>
      </c>
      <c r="I1144" s="2">
        <v>43.0</v>
      </c>
      <c r="J1144" s="37">
        <v>752.16</v>
      </c>
      <c r="K1144" s="2">
        <v>36.0</v>
      </c>
      <c r="L1144" s="2">
        <v>145.0</v>
      </c>
      <c r="M1144" s="37">
        <v>997.0600000000001</v>
      </c>
    </row>
    <row r="1145" ht="14.25" customHeight="1">
      <c r="A1145" t="s">
        <v>1238</v>
      </c>
      <c r="B1145" t="s">
        <v>1205</v>
      </c>
      <c r="C1145" t="s">
        <v>75</v>
      </c>
      <c r="D1145" t="s">
        <v>63</v>
      </c>
      <c r="E1145">
        <v>12.5</v>
      </c>
      <c r="F1145">
        <v>14.0</v>
      </c>
      <c r="G1145" s="2" t="s">
        <v>67</v>
      </c>
      <c r="H1145" s="2">
        <v>40.0</v>
      </c>
      <c r="I1145" s="2">
        <v>68.0</v>
      </c>
      <c r="J1145" s="37">
        <v>986.8000000000001</v>
      </c>
      <c r="K1145" s="2">
        <v>46.0</v>
      </c>
      <c r="L1145" s="2">
        <v>196.0</v>
      </c>
      <c r="M1145" s="37">
        <v>1287.96</v>
      </c>
    </row>
    <row r="1146" ht="14.25" customHeight="1">
      <c r="A1146" t="s">
        <v>1239</v>
      </c>
      <c r="B1146" t="s">
        <v>1205</v>
      </c>
      <c r="C1146" t="s">
        <v>75</v>
      </c>
      <c r="D1146" t="s">
        <v>63</v>
      </c>
      <c r="E1146">
        <v>12.5</v>
      </c>
      <c r="F1146">
        <v>15.0</v>
      </c>
      <c r="G1146" s="2" t="s">
        <v>67</v>
      </c>
      <c r="H1146" s="2">
        <v>43.0</v>
      </c>
      <c r="I1146" s="2">
        <v>178.0</v>
      </c>
      <c r="J1146" s="37">
        <v>1197.18</v>
      </c>
      <c r="K1146" s="2">
        <v>50.0</v>
      </c>
      <c r="L1146" s="2">
        <v>306.0</v>
      </c>
      <c r="M1146" s="37">
        <v>1520.8</v>
      </c>
    </row>
    <row r="1147" ht="14.25" customHeight="1">
      <c r="A1147" t="s">
        <v>1240</v>
      </c>
      <c r="B1147" t="s">
        <v>1205</v>
      </c>
      <c r="C1147" t="s">
        <v>75</v>
      </c>
      <c r="D1147" t="s">
        <v>63</v>
      </c>
      <c r="E1147">
        <v>12.5</v>
      </c>
      <c r="F1147">
        <v>14.0</v>
      </c>
      <c r="G1147" s="2" t="s">
        <v>67</v>
      </c>
      <c r="H1147" s="2">
        <v>40.0</v>
      </c>
      <c r="I1147" s="2">
        <v>68.0</v>
      </c>
      <c r="J1147" s="37">
        <v>986.8000000000001</v>
      </c>
      <c r="K1147" s="2">
        <v>46.0</v>
      </c>
      <c r="L1147" s="2">
        <v>196.0</v>
      </c>
      <c r="M1147" s="37">
        <v>1287.96</v>
      </c>
    </row>
    <row r="1148" ht="14.25" customHeight="1">
      <c r="A1148" t="s">
        <v>1241</v>
      </c>
      <c r="B1148" t="s">
        <v>1205</v>
      </c>
      <c r="C1148" t="s">
        <v>75</v>
      </c>
      <c r="D1148" t="s">
        <v>63</v>
      </c>
      <c r="E1148">
        <v>14.0</v>
      </c>
      <c r="F1148">
        <v>15.5</v>
      </c>
      <c r="G1148" s="2" t="s">
        <v>67</v>
      </c>
      <c r="H1148" s="2">
        <v>41.0</v>
      </c>
      <c r="I1148" s="2">
        <v>-36.0</v>
      </c>
      <c r="J1148" s="37">
        <v>920.86</v>
      </c>
      <c r="K1148" s="2">
        <v>49.0</v>
      </c>
      <c r="L1148" s="2">
        <v>106.0</v>
      </c>
      <c r="M1148" s="37">
        <v>1238.34</v>
      </c>
    </row>
    <row r="1149" ht="14.25" customHeight="1">
      <c r="A1149" t="s">
        <v>1242</v>
      </c>
      <c r="B1149" t="s">
        <v>1205</v>
      </c>
      <c r="C1149" t="s">
        <v>75</v>
      </c>
      <c r="D1149" t="s">
        <v>63</v>
      </c>
      <c r="E1149">
        <v>14.0</v>
      </c>
      <c r="F1149">
        <v>16.5</v>
      </c>
      <c r="G1149" s="2" t="s">
        <v>67</v>
      </c>
      <c r="H1149" s="2">
        <v>45.0</v>
      </c>
      <c r="I1149" s="2">
        <v>179.0</v>
      </c>
      <c r="J1149" s="37">
        <v>1243.4</v>
      </c>
      <c r="K1149" s="2">
        <v>53.0</v>
      </c>
      <c r="L1149" s="2">
        <v>323.0</v>
      </c>
      <c r="M1149" s="37">
        <v>1610.2800000000002</v>
      </c>
    </row>
    <row r="1150" ht="14.25" customHeight="1">
      <c r="A1150" t="s">
        <v>1243</v>
      </c>
      <c r="B1150" t="s">
        <v>1205</v>
      </c>
      <c r="C1150" t="s">
        <v>75</v>
      </c>
      <c r="D1150" t="s">
        <v>63</v>
      </c>
      <c r="E1150">
        <v>14.0</v>
      </c>
      <c r="F1150">
        <v>15.5</v>
      </c>
      <c r="G1150" s="2" t="s">
        <v>67</v>
      </c>
      <c r="H1150" s="2">
        <v>41.0</v>
      </c>
      <c r="I1150" s="2">
        <v>-36.0</v>
      </c>
      <c r="J1150" s="37">
        <v>920.86</v>
      </c>
      <c r="K1150" s="2">
        <v>49.0</v>
      </c>
      <c r="L1150" s="2">
        <v>106.0</v>
      </c>
      <c r="M1150" s="37">
        <v>1238.34</v>
      </c>
    </row>
    <row r="1151" ht="14.25" customHeight="1">
      <c r="A1151" t="s">
        <v>1244</v>
      </c>
      <c r="B1151" t="s">
        <v>1205</v>
      </c>
      <c r="C1151" t="s">
        <v>75</v>
      </c>
      <c r="D1151" t="s">
        <v>63</v>
      </c>
      <c r="E1151">
        <v>15.5</v>
      </c>
      <c r="F1151">
        <v>18.0</v>
      </c>
      <c r="G1151" s="2" t="s">
        <v>67</v>
      </c>
      <c r="H1151" s="2">
        <v>47.0</v>
      </c>
      <c r="I1151" s="2">
        <v>17.0</v>
      </c>
      <c r="J1151" s="37">
        <v>1077.72</v>
      </c>
      <c r="K1151" s="2">
        <v>56.0</v>
      </c>
      <c r="L1151" s="2">
        <v>176.0</v>
      </c>
      <c r="M1151" s="37">
        <v>1486.56</v>
      </c>
    </row>
    <row r="1152" ht="14.25" customHeight="1">
      <c r="A1152" t="s">
        <v>1245</v>
      </c>
      <c r="B1152" t="s">
        <v>1205</v>
      </c>
      <c r="C1152" t="s">
        <v>75</v>
      </c>
      <c r="D1152" t="s">
        <v>63</v>
      </c>
      <c r="E1152">
        <v>16.0</v>
      </c>
      <c r="F1152">
        <v>18.0</v>
      </c>
      <c r="G1152" s="2" t="s">
        <v>67</v>
      </c>
      <c r="H1152" s="2">
        <v>49.0</v>
      </c>
      <c r="I1152" s="2">
        <v>101.0</v>
      </c>
      <c r="J1152" s="37">
        <v>1231.84</v>
      </c>
      <c r="K1152" s="2">
        <v>58.0</v>
      </c>
      <c r="L1152" s="2">
        <v>265.0</v>
      </c>
      <c r="M1152" s="37">
        <v>1647.18</v>
      </c>
    </row>
    <row r="1153" ht="14.25" customHeight="1">
      <c r="A1153" t="s">
        <v>1246</v>
      </c>
      <c r="B1153" t="s">
        <v>1205</v>
      </c>
      <c r="C1153" t="s">
        <v>75</v>
      </c>
      <c r="D1153" t="s">
        <v>63</v>
      </c>
      <c r="E1153">
        <v>15.5</v>
      </c>
      <c r="F1153">
        <v>18.0</v>
      </c>
      <c r="G1153" s="2" t="s">
        <v>67</v>
      </c>
      <c r="H1153" s="2">
        <v>47.0</v>
      </c>
      <c r="I1153" s="2">
        <v>17.0</v>
      </c>
      <c r="J1153" s="37">
        <v>1077.72</v>
      </c>
      <c r="K1153" s="2">
        <v>56.0</v>
      </c>
      <c r="L1153" s="2">
        <v>176.0</v>
      </c>
      <c r="M1153" s="37">
        <v>1486.56</v>
      </c>
    </row>
    <row r="1154" ht="14.25" customHeight="1">
      <c r="A1154" t="s">
        <v>1247</v>
      </c>
      <c r="B1154" t="s">
        <v>1205</v>
      </c>
      <c r="C1154" t="s">
        <v>62</v>
      </c>
      <c r="D1154" t="s">
        <v>63</v>
      </c>
      <c r="E1154">
        <v>7.1</v>
      </c>
      <c r="F1154">
        <v>8.0</v>
      </c>
      <c r="G1154" s="2" t="s">
        <v>67</v>
      </c>
      <c r="H1154" s="2">
        <v>22.0</v>
      </c>
      <c r="I1154" s="2">
        <v>37.0</v>
      </c>
      <c r="J1154" s="37">
        <v>542.22</v>
      </c>
      <c r="K1154" s="2">
        <v>26.0</v>
      </c>
      <c r="L1154" s="2">
        <v>101.0</v>
      </c>
      <c r="M1154" s="37">
        <v>715.26</v>
      </c>
    </row>
    <row r="1155" ht="14.25" customHeight="1">
      <c r="A1155" t="s">
        <v>1248</v>
      </c>
      <c r="B1155" t="s">
        <v>1205</v>
      </c>
      <c r="C1155" t="s">
        <v>62</v>
      </c>
      <c r="D1155" t="s">
        <v>63</v>
      </c>
      <c r="E1155">
        <v>2.0</v>
      </c>
      <c r="F1155">
        <v>2.8</v>
      </c>
      <c r="G1155" s="2" t="s">
        <v>67</v>
      </c>
      <c r="H1155" s="2">
        <v>7.0</v>
      </c>
      <c r="I1155" s="2">
        <v>43.0</v>
      </c>
      <c r="J1155" s="37">
        <v>213.12</v>
      </c>
      <c r="K1155" s="2">
        <v>8.0</v>
      </c>
      <c r="L1155" s="2">
        <v>59.0</v>
      </c>
      <c r="M1155" s="37">
        <v>256.38</v>
      </c>
    </row>
    <row r="1156" ht="14.25" customHeight="1">
      <c r="A1156" t="s">
        <v>1249</v>
      </c>
      <c r="B1156" t="s">
        <v>1205</v>
      </c>
      <c r="C1156" t="s">
        <v>62</v>
      </c>
      <c r="D1156" t="s">
        <v>63</v>
      </c>
      <c r="E1156">
        <v>2.5</v>
      </c>
      <c r="F1156">
        <v>3.2</v>
      </c>
      <c r="G1156" s="2" t="s">
        <v>67</v>
      </c>
      <c r="H1156" s="2">
        <v>8.0</v>
      </c>
      <c r="I1156" s="2">
        <v>45.0</v>
      </c>
      <c r="J1156" s="37">
        <v>238.18</v>
      </c>
      <c r="K1156" s="2">
        <v>9.0</v>
      </c>
      <c r="L1156" s="2">
        <v>65.0</v>
      </c>
      <c r="M1156" s="37">
        <v>286.64</v>
      </c>
    </row>
    <row r="1157" ht="14.25" customHeight="1">
      <c r="A1157" t="s">
        <v>1250</v>
      </c>
      <c r="B1157" t="s">
        <v>1205</v>
      </c>
      <c r="C1157" t="s">
        <v>62</v>
      </c>
      <c r="D1157" t="s">
        <v>63</v>
      </c>
      <c r="E1157">
        <v>3.5</v>
      </c>
      <c r="F1157">
        <v>3.7</v>
      </c>
      <c r="G1157" s="2" t="s">
        <v>67</v>
      </c>
      <c r="H1157" s="2">
        <v>9.0</v>
      </c>
      <c r="I1157" s="2">
        <v>28.0</v>
      </c>
      <c r="J1157" s="37">
        <v>238.54000000000002</v>
      </c>
      <c r="K1157" s="2">
        <v>11.0</v>
      </c>
      <c r="L1157" s="2">
        <v>56.0</v>
      </c>
      <c r="M1157" s="37">
        <v>319.86</v>
      </c>
    </row>
    <row r="1158" ht="14.25" customHeight="1">
      <c r="A1158" t="s">
        <v>1251</v>
      </c>
      <c r="B1158" t="s">
        <v>1205</v>
      </c>
      <c r="C1158" t="s">
        <v>62</v>
      </c>
      <c r="D1158" t="s">
        <v>63</v>
      </c>
      <c r="E1158">
        <v>4.2</v>
      </c>
      <c r="F1158">
        <v>5.4</v>
      </c>
      <c r="G1158" s="2" t="s">
        <v>67</v>
      </c>
      <c r="H1158" s="2">
        <v>15.0</v>
      </c>
      <c r="I1158" s="2">
        <v>45.0</v>
      </c>
      <c r="J1158" s="37">
        <v>395.40000000000003</v>
      </c>
      <c r="K1158" s="2">
        <v>17.0</v>
      </c>
      <c r="L1158" s="2">
        <v>84.0</v>
      </c>
      <c r="M1158" s="37">
        <v>491.02</v>
      </c>
    </row>
    <row r="1159" ht="14.25" customHeight="1">
      <c r="A1159" t="s">
        <v>1252</v>
      </c>
      <c r="B1159" t="s">
        <v>1205</v>
      </c>
      <c r="C1159" t="s">
        <v>62</v>
      </c>
      <c r="D1159" t="s">
        <v>63</v>
      </c>
      <c r="E1159">
        <v>5.0</v>
      </c>
      <c r="F1159">
        <v>6.0</v>
      </c>
      <c r="G1159" s="2" t="s">
        <v>67</v>
      </c>
      <c r="H1159" s="2">
        <v>18.0</v>
      </c>
      <c r="I1159" s="2">
        <v>116.0</v>
      </c>
      <c r="J1159" s="37">
        <v>555.08</v>
      </c>
      <c r="K1159" s="2">
        <v>21.0</v>
      </c>
      <c r="L1159" s="2">
        <v>162.0</v>
      </c>
      <c r="M1159" s="37">
        <v>682.26</v>
      </c>
    </row>
    <row r="1160" ht="14.25" customHeight="1">
      <c r="A1160" t="s">
        <v>1253</v>
      </c>
      <c r="B1160" t="s">
        <v>1205</v>
      </c>
      <c r="C1160" t="s">
        <v>62</v>
      </c>
      <c r="D1160" t="s">
        <v>63</v>
      </c>
      <c r="E1160">
        <v>6.0</v>
      </c>
      <c r="F1160">
        <v>7.2</v>
      </c>
      <c r="G1160" s="2" t="s">
        <v>67</v>
      </c>
      <c r="H1160" s="2">
        <v>20.0</v>
      </c>
      <c r="I1160" s="2">
        <v>84.0</v>
      </c>
      <c r="J1160" s="37">
        <v>558.4000000000001</v>
      </c>
      <c r="K1160" s="2">
        <v>23.0</v>
      </c>
      <c r="L1160" s="2">
        <v>138.0</v>
      </c>
      <c r="M1160" s="37">
        <v>695.98</v>
      </c>
    </row>
    <row r="1161" ht="14.25" customHeight="1">
      <c r="A1161" t="s">
        <v>1254</v>
      </c>
      <c r="B1161" t="s">
        <v>1205</v>
      </c>
      <c r="C1161" t="s">
        <v>62</v>
      </c>
      <c r="D1161" t="s">
        <v>63</v>
      </c>
      <c r="E1161">
        <v>8.5</v>
      </c>
      <c r="F1161">
        <v>9.0</v>
      </c>
      <c r="G1161" s="2" t="s">
        <v>67</v>
      </c>
      <c r="H1161" s="2">
        <v>27.0</v>
      </c>
      <c r="I1161" s="2">
        <v>44.0</v>
      </c>
      <c r="J1161" s="37">
        <v>663.6200000000001</v>
      </c>
      <c r="K1161" s="2">
        <v>31.0</v>
      </c>
      <c r="L1161" s="2">
        <v>121.0</v>
      </c>
      <c r="M1161" s="37">
        <v>853.56</v>
      </c>
    </row>
    <row r="1162" ht="14.25" customHeight="1">
      <c r="A1162" t="s">
        <v>1255</v>
      </c>
      <c r="B1162" t="s">
        <v>1205</v>
      </c>
      <c r="C1162" t="s">
        <v>62</v>
      </c>
      <c r="D1162" t="s">
        <v>63</v>
      </c>
      <c r="E1162">
        <v>9.5</v>
      </c>
      <c r="F1162">
        <v>10.3</v>
      </c>
      <c r="G1162" s="2" t="s">
        <v>67</v>
      </c>
      <c r="H1162" s="2">
        <v>29.0</v>
      </c>
      <c r="I1162" s="2">
        <v>68.0</v>
      </c>
      <c r="J1162" s="37">
        <v>739.74</v>
      </c>
      <c r="K1162" s="2">
        <v>33.0</v>
      </c>
      <c r="L1162" s="2">
        <v>154.0</v>
      </c>
      <c r="M1162" s="37">
        <v>941.3800000000001</v>
      </c>
    </row>
    <row r="1163" ht="14.25" customHeight="1">
      <c r="A1163" t="s">
        <v>1256</v>
      </c>
      <c r="B1163" t="s">
        <v>1205</v>
      </c>
      <c r="C1163" t="s">
        <v>62</v>
      </c>
      <c r="D1163" t="s">
        <v>63</v>
      </c>
      <c r="E1163">
        <v>8.5</v>
      </c>
      <c r="F1163">
        <v>9.0</v>
      </c>
      <c r="G1163" s="2" t="s">
        <v>67</v>
      </c>
      <c r="H1163" s="2">
        <v>27.0</v>
      </c>
      <c r="I1163" s="2">
        <v>44.0</v>
      </c>
      <c r="J1163" s="37">
        <v>663.6200000000001</v>
      </c>
      <c r="K1163" s="2">
        <v>31.0</v>
      </c>
      <c r="L1163" s="2">
        <v>121.0</v>
      </c>
      <c r="M1163" s="37">
        <v>853.56</v>
      </c>
    </row>
    <row r="1164" ht="14.25" customHeight="1">
      <c r="A1164" t="s">
        <v>1257</v>
      </c>
      <c r="B1164" t="s">
        <v>1205</v>
      </c>
      <c r="C1164" t="s">
        <v>62</v>
      </c>
      <c r="D1164" t="s">
        <v>63</v>
      </c>
      <c r="E1164">
        <v>9.5</v>
      </c>
      <c r="F1164">
        <v>10.3</v>
      </c>
      <c r="G1164" s="2" t="s">
        <v>67</v>
      </c>
      <c r="H1164" s="2">
        <v>29.0</v>
      </c>
      <c r="I1164" s="2">
        <v>68.0</v>
      </c>
      <c r="J1164" s="37">
        <v>739.74</v>
      </c>
      <c r="K1164" s="2">
        <v>33.0</v>
      </c>
      <c r="L1164" s="2">
        <v>154.0</v>
      </c>
      <c r="M1164" s="37">
        <v>941.3800000000001</v>
      </c>
    </row>
    <row r="1165" ht="14.25" customHeight="1">
      <c r="A1165" t="s">
        <v>1258</v>
      </c>
      <c r="B1165" t="s">
        <v>1205</v>
      </c>
      <c r="C1165" t="s">
        <v>62</v>
      </c>
      <c r="D1165" t="s">
        <v>63</v>
      </c>
      <c r="E1165">
        <v>5.0</v>
      </c>
      <c r="F1165">
        <v>6.0</v>
      </c>
      <c r="G1165" s="2" t="s">
        <v>64</v>
      </c>
      <c r="H1165" s="2">
        <v>0.0</v>
      </c>
      <c r="I1165" s="2">
        <v>0.0</v>
      </c>
      <c r="J1165" s="37">
        <v>0.0</v>
      </c>
      <c r="K1165" s="2">
        <v>0.0</v>
      </c>
      <c r="L1165" s="2">
        <v>0.0</v>
      </c>
      <c r="M1165" s="37">
        <v>0.0</v>
      </c>
    </row>
    <row r="1166" ht="14.25" customHeight="1">
      <c r="A1166" t="s">
        <v>1259</v>
      </c>
      <c r="B1166" t="s">
        <v>1205</v>
      </c>
      <c r="C1166" t="s">
        <v>62</v>
      </c>
      <c r="D1166" t="s">
        <v>63</v>
      </c>
      <c r="E1166">
        <v>7.1</v>
      </c>
      <c r="F1166">
        <v>8.0</v>
      </c>
      <c r="G1166" s="2" t="s">
        <v>67</v>
      </c>
      <c r="H1166" s="2">
        <v>22.0</v>
      </c>
      <c r="I1166" s="2">
        <v>-19.0</v>
      </c>
      <c r="J1166" s="37">
        <v>494.12</v>
      </c>
      <c r="K1166" s="2">
        <v>25.0</v>
      </c>
      <c r="L1166" s="2">
        <v>45.0</v>
      </c>
      <c r="M1166" s="37">
        <v>620.0</v>
      </c>
    </row>
    <row r="1167" ht="14.25" customHeight="1">
      <c r="A1167" t="s">
        <v>1260</v>
      </c>
      <c r="B1167" t="s">
        <v>1205</v>
      </c>
      <c r="C1167" t="s">
        <v>62</v>
      </c>
      <c r="D1167" t="s">
        <v>63</v>
      </c>
      <c r="E1167">
        <v>8.5</v>
      </c>
      <c r="F1167">
        <v>10.0</v>
      </c>
      <c r="G1167" s="2" t="s">
        <v>64</v>
      </c>
      <c r="H1167" s="2">
        <v>0.0</v>
      </c>
      <c r="I1167" s="2">
        <v>0.0</v>
      </c>
      <c r="J1167" s="37">
        <v>0.0</v>
      </c>
      <c r="K1167" s="2">
        <v>0.0</v>
      </c>
      <c r="L1167" s="2">
        <v>0.0</v>
      </c>
      <c r="M1167" s="37">
        <v>0.0</v>
      </c>
    </row>
    <row r="1168" ht="14.25" customHeight="1">
      <c r="A1168" t="s">
        <v>1261</v>
      </c>
      <c r="B1168" t="s">
        <v>1205</v>
      </c>
      <c r="C1168" t="s">
        <v>62</v>
      </c>
      <c r="D1168" t="s">
        <v>63</v>
      </c>
      <c r="E1168">
        <v>10.0</v>
      </c>
      <c r="F1168">
        <v>11.2</v>
      </c>
      <c r="G1168" s="2" t="s">
        <v>67</v>
      </c>
      <c r="H1168" s="2">
        <v>32.0</v>
      </c>
      <c r="I1168" s="2">
        <v>34.0</v>
      </c>
      <c r="J1168" s="37">
        <v>762.9200000000001</v>
      </c>
      <c r="K1168" s="2">
        <v>37.0</v>
      </c>
      <c r="L1168" s="2">
        <v>136.0</v>
      </c>
      <c r="M1168" s="37">
        <v>1007.8199999999999</v>
      </c>
    </row>
    <row r="1169" ht="14.25" customHeight="1">
      <c r="A1169" t="s">
        <v>1262</v>
      </c>
      <c r="B1169" t="s">
        <v>1205</v>
      </c>
      <c r="C1169" t="s">
        <v>62</v>
      </c>
      <c r="D1169" t="s">
        <v>63</v>
      </c>
      <c r="E1169">
        <v>12.5</v>
      </c>
      <c r="F1169">
        <v>14.0</v>
      </c>
      <c r="G1169" s="2" t="s">
        <v>67</v>
      </c>
      <c r="H1169" s="2">
        <v>39.0</v>
      </c>
      <c r="I1169" s="2">
        <v>-31.0</v>
      </c>
      <c r="J1169" s="37">
        <v>875.94</v>
      </c>
      <c r="K1169" s="2">
        <v>46.0</v>
      </c>
      <c r="L1169" s="2">
        <v>96.0</v>
      </c>
      <c r="M1169" s="37">
        <v>1157.96</v>
      </c>
    </row>
    <row r="1170" ht="14.25" customHeight="1">
      <c r="A1170" t="s">
        <v>1263</v>
      </c>
      <c r="B1170" t="s">
        <v>1205</v>
      </c>
      <c r="C1170" t="s">
        <v>62</v>
      </c>
      <c r="D1170" t="s">
        <v>63</v>
      </c>
      <c r="E1170">
        <v>13.0</v>
      </c>
      <c r="F1170">
        <v>15.5</v>
      </c>
      <c r="G1170" s="2" t="s">
        <v>67</v>
      </c>
      <c r="H1170" s="2">
        <v>54.0</v>
      </c>
      <c r="I1170" s="2">
        <v>-34.0</v>
      </c>
      <c r="J1170" s="37">
        <v>1212.8400000000001</v>
      </c>
      <c r="K1170" s="2">
        <v>62.0</v>
      </c>
      <c r="L1170" s="2">
        <v>98.0</v>
      </c>
      <c r="M1170" s="37">
        <v>1519.92</v>
      </c>
    </row>
    <row r="1171" ht="14.25" customHeight="1">
      <c r="A1171" t="s">
        <v>1264</v>
      </c>
      <c r="B1171" t="s">
        <v>1205</v>
      </c>
      <c r="C1171" t="s">
        <v>62</v>
      </c>
      <c r="D1171" t="s">
        <v>63</v>
      </c>
      <c r="E1171">
        <v>7.1</v>
      </c>
      <c r="F1171">
        <v>8.0</v>
      </c>
      <c r="G1171" s="2" t="s">
        <v>67</v>
      </c>
      <c r="H1171" s="2">
        <v>22.0</v>
      </c>
      <c r="I1171" s="2">
        <v>16.0</v>
      </c>
      <c r="J1171" s="37">
        <v>514.92</v>
      </c>
      <c r="K1171" s="2">
        <v>26.0</v>
      </c>
      <c r="L1171" s="2">
        <v>81.0</v>
      </c>
      <c r="M1171" s="37">
        <v>689.26</v>
      </c>
    </row>
    <row r="1172" ht="14.25" customHeight="1">
      <c r="A1172" t="s">
        <v>1265</v>
      </c>
      <c r="B1172" t="s">
        <v>1205</v>
      </c>
      <c r="C1172" t="s">
        <v>62</v>
      </c>
      <c r="D1172" t="s">
        <v>63</v>
      </c>
      <c r="E1172">
        <v>8.5</v>
      </c>
      <c r="F1172">
        <v>10.0</v>
      </c>
      <c r="G1172" s="2" t="s">
        <v>67</v>
      </c>
      <c r="H1172" s="2">
        <v>28.0</v>
      </c>
      <c r="I1172" s="2">
        <v>74.0</v>
      </c>
      <c r="J1172" s="37">
        <v>725.08</v>
      </c>
      <c r="K1172" s="2">
        <v>32.0</v>
      </c>
      <c r="L1172" s="2">
        <v>151.0</v>
      </c>
      <c r="M1172" s="37">
        <v>915.02</v>
      </c>
    </row>
    <row r="1173" ht="14.25" customHeight="1">
      <c r="A1173" t="s">
        <v>1266</v>
      </c>
      <c r="B1173" t="s">
        <v>1205</v>
      </c>
      <c r="C1173" t="s">
        <v>62</v>
      </c>
      <c r="D1173" t="s">
        <v>63</v>
      </c>
      <c r="E1173">
        <v>10.0</v>
      </c>
      <c r="F1173">
        <v>11.2</v>
      </c>
      <c r="G1173" s="2" t="s">
        <v>67</v>
      </c>
      <c r="H1173" s="2">
        <v>32.0</v>
      </c>
      <c r="I1173" s="2">
        <v>34.0</v>
      </c>
      <c r="J1173" s="37">
        <v>762.9200000000001</v>
      </c>
      <c r="K1173" s="2">
        <v>37.0</v>
      </c>
      <c r="L1173" s="2">
        <v>136.0</v>
      </c>
      <c r="M1173" s="37">
        <v>1007.8199999999999</v>
      </c>
    </row>
    <row r="1174" ht="14.25" customHeight="1">
      <c r="A1174" t="s">
        <v>1267</v>
      </c>
      <c r="B1174" t="s">
        <v>1205</v>
      </c>
      <c r="C1174" t="s">
        <v>62</v>
      </c>
      <c r="D1174" t="s">
        <v>63</v>
      </c>
      <c r="E1174">
        <v>12.5</v>
      </c>
      <c r="F1174">
        <v>14.0</v>
      </c>
      <c r="G1174" s="2" t="s">
        <v>67</v>
      </c>
      <c r="H1174" s="2">
        <v>41.0</v>
      </c>
      <c r="I1174" s="2">
        <v>42.0</v>
      </c>
      <c r="J1174" s="37">
        <v>975.46</v>
      </c>
      <c r="K1174" s="2">
        <v>48.0</v>
      </c>
      <c r="L1174" s="2">
        <v>170.0</v>
      </c>
      <c r="M1174" s="37">
        <v>1299.08</v>
      </c>
    </row>
    <row r="1175" ht="14.25" customHeight="1">
      <c r="A1175" t="s">
        <v>1268</v>
      </c>
      <c r="B1175" t="s">
        <v>1205</v>
      </c>
      <c r="C1175" t="s">
        <v>62</v>
      </c>
      <c r="D1175" t="s">
        <v>63</v>
      </c>
      <c r="E1175">
        <v>13.0</v>
      </c>
      <c r="F1175">
        <v>15.5</v>
      </c>
      <c r="G1175" s="2" t="s">
        <v>67</v>
      </c>
      <c r="H1175" s="2">
        <v>40.0</v>
      </c>
      <c r="I1175" s="2">
        <v>45.0</v>
      </c>
      <c r="J1175" s="37">
        <v>956.9000000000001</v>
      </c>
      <c r="K1175" s="2">
        <v>48.0</v>
      </c>
      <c r="L1175" s="2">
        <v>178.0</v>
      </c>
      <c r="M1175" s="37">
        <v>1309.48</v>
      </c>
    </row>
    <row r="1176" ht="14.25" customHeight="1">
      <c r="A1176" t="s">
        <v>1269</v>
      </c>
      <c r="B1176" t="s">
        <v>1205</v>
      </c>
      <c r="C1176" t="s">
        <v>62</v>
      </c>
      <c r="D1176" t="s">
        <v>63</v>
      </c>
      <c r="E1176">
        <v>10.0</v>
      </c>
      <c r="F1176">
        <v>11.2</v>
      </c>
      <c r="G1176" s="2" t="s">
        <v>67</v>
      </c>
      <c r="H1176" s="2">
        <v>32.0</v>
      </c>
      <c r="I1176" s="2">
        <v>34.0</v>
      </c>
      <c r="J1176" s="37">
        <v>762.9200000000001</v>
      </c>
      <c r="K1176" s="2">
        <v>37.0</v>
      </c>
      <c r="L1176" s="2">
        <v>136.0</v>
      </c>
      <c r="M1176" s="37">
        <v>1007.8199999999999</v>
      </c>
    </row>
    <row r="1177" ht="14.25" customHeight="1">
      <c r="A1177" t="s">
        <v>1270</v>
      </c>
      <c r="B1177" t="s">
        <v>1205</v>
      </c>
      <c r="C1177" t="s">
        <v>62</v>
      </c>
      <c r="D1177" t="s">
        <v>63</v>
      </c>
      <c r="E1177">
        <v>12.5</v>
      </c>
      <c r="F1177">
        <v>14.0</v>
      </c>
      <c r="G1177" s="2" t="s">
        <v>67</v>
      </c>
      <c r="H1177" s="2">
        <v>41.0</v>
      </c>
      <c r="I1177" s="2">
        <v>42.0</v>
      </c>
      <c r="J1177" s="37">
        <v>975.46</v>
      </c>
      <c r="K1177" s="2">
        <v>48.0</v>
      </c>
      <c r="L1177" s="2">
        <v>170.0</v>
      </c>
      <c r="M1177" s="37">
        <v>1299.08</v>
      </c>
    </row>
    <row r="1178" ht="14.25" customHeight="1">
      <c r="A1178" t="s">
        <v>1271</v>
      </c>
      <c r="B1178" t="s">
        <v>1205</v>
      </c>
      <c r="C1178" t="s">
        <v>62</v>
      </c>
      <c r="D1178" t="s">
        <v>63</v>
      </c>
      <c r="E1178">
        <v>13.0</v>
      </c>
      <c r="F1178">
        <v>15.5</v>
      </c>
      <c r="G1178" s="2" t="s">
        <v>67</v>
      </c>
      <c r="H1178" s="2">
        <v>40.0</v>
      </c>
      <c r="I1178" s="2">
        <v>45.0</v>
      </c>
      <c r="J1178" s="37">
        <v>956.9000000000001</v>
      </c>
      <c r="K1178" s="2">
        <v>48.0</v>
      </c>
      <c r="L1178" s="2">
        <v>178.0</v>
      </c>
      <c r="M1178" s="37">
        <v>1309.48</v>
      </c>
    </row>
    <row r="1179" ht="14.25" customHeight="1">
      <c r="A1179" t="s">
        <v>1272</v>
      </c>
      <c r="B1179" t="s">
        <v>1205</v>
      </c>
      <c r="C1179" t="s">
        <v>62</v>
      </c>
      <c r="D1179" t="s">
        <v>63</v>
      </c>
      <c r="E1179">
        <v>10.0</v>
      </c>
      <c r="F1179">
        <v>11.2</v>
      </c>
      <c r="G1179" s="2" t="s">
        <v>67</v>
      </c>
      <c r="H1179" s="2">
        <v>32.0</v>
      </c>
      <c r="I1179" s="2">
        <v>34.0</v>
      </c>
      <c r="J1179" s="37">
        <v>762.9200000000001</v>
      </c>
      <c r="K1179" s="2">
        <v>37.0</v>
      </c>
      <c r="L1179" s="2">
        <v>136.0</v>
      </c>
      <c r="M1179" s="37">
        <v>1007.8199999999999</v>
      </c>
    </row>
    <row r="1180" ht="14.25" customHeight="1">
      <c r="A1180" t="s">
        <v>1273</v>
      </c>
      <c r="B1180" t="s">
        <v>1205</v>
      </c>
      <c r="C1180" t="s">
        <v>62</v>
      </c>
      <c r="D1180" t="s">
        <v>63</v>
      </c>
      <c r="E1180">
        <v>12.5</v>
      </c>
      <c r="F1180">
        <v>14.0</v>
      </c>
      <c r="G1180" s="2" t="s">
        <v>67</v>
      </c>
      <c r="H1180" s="2">
        <v>39.0</v>
      </c>
      <c r="I1180" s="2">
        <v>-31.0</v>
      </c>
      <c r="J1180" s="37">
        <v>875.94</v>
      </c>
      <c r="K1180" s="2">
        <v>46.0</v>
      </c>
      <c r="L1180" s="2">
        <v>96.0</v>
      </c>
      <c r="M1180" s="37">
        <v>1157.96</v>
      </c>
    </row>
    <row r="1181" ht="14.25" customHeight="1">
      <c r="A1181" t="s">
        <v>1274</v>
      </c>
      <c r="B1181" t="s">
        <v>1205</v>
      </c>
      <c r="C1181" t="s">
        <v>62</v>
      </c>
      <c r="D1181" t="s">
        <v>63</v>
      </c>
      <c r="E1181">
        <v>13.0</v>
      </c>
      <c r="F1181">
        <v>15.5</v>
      </c>
      <c r="G1181" s="2" t="s">
        <v>67</v>
      </c>
      <c r="H1181" s="2">
        <v>39.0</v>
      </c>
      <c r="I1181" s="2">
        <v>-34.0</v>
      </c>
      <c r="J1181" s="37">
        <v>875.94</v>
      </c>
      <c r="K1181" s="2">
        <v>46.0</v>
      </c>
      <c r="L1181" s="2">
        <v>98.0</v>
      </c>
      <c r="M1181" s="37">
        <v>1160.5600000000002</v>
      </c>
    </row>
    <row r="1182" ht="14.25" customHeight="1">
      <c r="A1182" t="s">
        <v>1275</v>
      </c>
      <c r="B1182" t="s">
        <v>1205</v>
      </c>
      <c r="C1182" t="s">
        <v>62</v>
      </c>
      <c r="D1182" t="s">
        <v>63</v>
      </c>
      <c r="E1182">
        <v>7.1</v>
      </c>
      <c r="F1182">
        <v>8.0</v>
      </c>
      <c r="G1182" s="2" t="s">
        <v>64</v>
      </c>
      <c r="H1182" s="2">
        <v>0.0</v>
      </c>
      <c r="I1182" s="2">
        <v>0.0</v>
      </c>
      <c r="J1182" s="37">
        <v>0.0</v>
      </c>
      <c r="K1182" s="2">
        <v>0.0</v>
      </c>
      <c r="L1182" s="2">
        <v>0.0</v>
      </c>
      <c r="M1182" s="37">
        <v>0.0</v>
      </c>
    </row>
    <row r="1183" ht="14.25" customHeight="1">
      <c r="A1183" t="s">
        <v>1276</v>
      </c>
      <c r="B1183" t="s">
        <v>1205</v>
      </c>
      <c r="C1183" t="s">
        <v>62</v>
      </c>
      <c r="D1183" t="s">
        <v>63</v>
      </c>
      <c r="E1183">
        <v>7.1</v>
      </c>
      <c r="F1183">
        <v>8.0</v>
      </c>
      <c r="G1183" s="2" t="s">
        <v>67</v>
      </c>
      <c r="H1183" s="2">
        <v>23.0</v>
      </c>
      <c r="I1183" s="2">
        <v>1.0</v>
      </c>
      <c r="J1183" s="37">
        <v>517.88</v>
      </c>
      <c r="K1183" s="2">
        <v>26.0</v>
      </c>
      <c r="L1183" s="2">
        <v>66.0</v>
      </c>
      <c r="M1183" s="37">
        <v>669.76</v>
      </c>
    </row>
    <row r="1184" ht="14.25" customHeight="1">
      <c r="A1184" t="s">
        <v>1277</v>
      </c>
      <c r="B1184" t="s">
        <v>1205</v>
      </c>
      <c r="C1184" t="s">
        <v>62</v>
      </c>
      <c r="D1184" t="s">
        <v>63</v>
      </c>
      <c r="E1184">
        <v>2.6</v>
      </c>
      <c r="F1184">
        <v>3.5</v>
      </c>
      <c r="G1184" s="2" t="s">
        <v>64</v>
      </c>
      <c r="H1184" s="2">
        <v>0.0</v>
      </c>
      <c r="I1184" s="2">
        <v>0.0</v>
      </c>
      <c r="J1184" s="37">
        <v>0.0</v>
      </c>
      <c r="K1184" s="2">
        <v>0.0</v>
      </c>
      <c r="L1184" s="2">
        <v>0.0</v>
      </c>
      <c r="M1184" s="37">
        <v>0.0</v>
      </c>
    </row>
    <row r="1185" ht="14.25" customHeight="1">
      <c r="A1185" t="s">
        <v>1278</v>
      </c>
      <c r="B1185" t="s">
        <v>1205</v>
      </c>
      <c r="C1185" t="s">
        <v>75</v>
      </c>
      <c r="D1185" t="s">
        <v>63</v>
      </c>
      <c r="E1185">
        <v>18.0</v>
      </c>
      <c r="F1185">
        <v>20.0</v>
      </c>
      <c r="G1185" s="2" t="s">
        <v>67</v>
      </c>
      <c r="H1185" s="2">
        <v>55.0</v>
      </c>
      <c r="I1185" s="2">
        <v>58.0</v>
      </c>
      <c r="J1185" s="37">
        <v>1310.7</v>
      </c>
      <c r="K1185" s="2">
        <v>65.0</v>
      </c>
      <c r="L1185" s="2">
        <v>242.0</v>
      </c>
      <c r="M1185" s="37">
        <v>1774.5</v>
      </c>
    </row>
    <row r="1186" ht="14.25" customHeight="1">
      <c r="A1186" t="s">
        <v>1279</v>
      </c>
      <c r="B1186" t="s">
        <v>1205</v>
      </c>
      <c r="C1186" t="s">
        <v>75</v>
      </c>
      <c r="D1186" t="s">
        <v>63</v>
      </c>
      <c r="E1186">
        <v>18.0</v>
      </c>
      <c r="F1186">
        <v>20.0</v>
      </c>
      <c r="G1186" s="2" t="s">
        <v>67</v>
      </c>
      <c r="H1186" s="2">
        <v>55.0</v>
      </c>
      <c r="I1186" s="2">
        <v>58.0</v>
      </c>
      <c r="J1186" s="37">
        <v>1310.7</v>
      </c>
      <c r="K1186" s="2">
        <v>65.0</v>
      </c>
      <c r="L1186" s="2">
        <v>242.0</v>
      </c>
      <c r="M1186" s="37">
        <v>1774.5</v>
      </c>
    </row>
    <row r="1187" ht="14.25" customHeight="1">
      <c r="A1187" t="s">
        <v>1280</v>
      </c>
      <c r="B1187" t="s">
        <v>1205</v>
      </c>
      <c r="C1187" t="s">
        <v>75</v>
      </c>
      <c r="D1187" t="s">
        <v>63</v>
      </c>
      <c r="E1187">
        <v>20.0</v>
      </c>
      <c r="F1187">
        <v>22.4</v>
      </c>
      <c r="G1187" s="2" t="s">
        <v>67</v>
      </c>
      <c r="H1187" s="2">
        <v>61.0</v>
      </c>
      <c r="I1187" s="2">
        <v>86.0</v>
      </c>
      <c r="J1187" s="37">
        <v>1481.86</v>
      </c>
      <c r="K1187" s="2">
        <v>72.0</v>
      </c>
      <c r="L1187" s="2">
        <v>291.0</v>
      </c>
      <c r="M1187" s="37">
        <v>1995.42</v>
      </c>
    </row>
    <row r="1188" ht="14.25" customHeight="1">
      <c r="A1188" t="s">
        <v>1281</v>
      </c>
      <c r="B1188" t="s">
        <v>1205</v>
      </c>
      <c r="C1188" t="s">
        <v>75</v>
      </c>
      <c r="D1188" t="s">
        <v>63</v>
      </c>
      <c r="E1188">
        <v>22.4</v>
      </c>
      <c r="F1188">
        <v>25.0</v>
      </c>
      <c r="G1188" s="2" t="s">
        <v>64</v>
      </c>
      <c r="H1188" s="2">
        <v>0.0</v>
      </c>
      <c r="I1188" s="2">
        <v>0.0</v>
      </c>
      <c r="J1188" s="37">
        <v>0.0</v>
      </c>
      <c r="K1188" s="2">
        <v>0.0</v>
      </c>
      <c r="L1188" s="2">
        <v>0.0</v>
      </c>
      <c r="M1188" s="37">
        <v>0.0</v>
      </c>
    </row>
    <row r="1189" ht="14.25" customHeight="1">
      <c r="A1189" t="s">
        <v>1282</v>
      </c>
      <c r="B1189" t="s">
        <v>1283</v>
      </c>
      <c r="C1189" t="s">
        <v>62</v>
      </c>
      <c r="D1189" t="s">
        <v>63</v>
      </c>
      <c r="E1189">
        <v>4.2</v>
      </c>
      <c r="F1189">
        <v>5.4</v>
      </c>
      <c r="G1189" s="2" t="s">
        <v>64</v>
      </c>
      <c r="H1189" s="2">
        <v>0.0</v>
      </c>
      <c r="I1189" s="2">
        <v>0.0</v>
      </c>
      <c r="J1189" s="37">
        <v>0.0</v>
      </c>
      <c r="K1189" s="2">
        <v>0.0</v>
      </c>
      <c r="L1189" s="2">
        <v>0.0</v>
      </c>
      <c r="M1189" s="37">
        <v>0.0</v>
      </c>
    </row>
    <row r="1190" ht="14.25" customHeight="1">
      <c r="A1190" t="s">
        <v>1284</v>
      </c>
      <c r="B1190" t="s">
        <v>1283</v>
      </c>
      <c r="C1190" t="s">
        <v>62</v>
      </c>
      <c r="D1190" t="s">
        <v>63</v>
      </c>
      <c r="E1190">
        <v>6.3</v>
      </c>
      <c r="F1190">
        <v>7.2</v>
      </c>
      <c r="G1190" s="2" t="s">
        <v>64</v>
      </c>
      <c r="H1190" s="2">
        <v>0.0</v>
      </c>
      <c r="I1190" s="2">
        <v>0.0</v>
      </c>
      <c r="J1190" s="37">
        <v>0.0</v>
      </c>
      <c r="K1190" s="2">
        <v>0.0</v>
      </c>
      <c r="L1190" s="2">
        <v>0.0</v>
      </c>
      <c r="M1190" s="37">
        <v>0.0</v>
      </c>
    </row>
    <row r="1191" ht="14.25" customHeight="1">
      <c r="A1191" t="s">
        <v>1285</v>
      </c>
      <c r="B1191" t="s">
        <v>1283</v>
      </c>
      <c r="C1191" t="s">
        <v>62</v>
      </c>
      <c r="D1191" t="s">
        <v>63</v>
      </c>
      <c r="E1191">
        <v>2.5</v>
      </c>
      <c r="F1191">
        <v>3.2</v>
      </c>
      <c r="G1191" s="2" t="s">
        <v>67</v>
      </c>
      <c r="H1191" s="2">
        <v>8.0</v>
      </c>
      <c r="I1191" s="2">
        <v>45.0</v>
      </c>
      <c r="J1191" s="37">
        <v>238.18</v>
      </c>
      <c r="K1191" s="2">
        <v>9.0</v>
      </c>
      <c r="L1191" s="2">
        <v>65.0</v>
      </c>
      <c r="M1191" s="37">
        <v>286.64</v>
      </c>
    </row>
    <row r="1192" ht="14.25" customHeight="1">
      <c r="A1192" t="s">
        <v>1286</v>
      </c>
      <c r="B1192" t="s">
        <v>1283</v>
      </c>
      <c r="C1192" t="s">
        <v>62</v>
      </c>
      <c r="D1192" t="s">
        <v>63</v>
      </c>
      <c r="E1192">
        <v>3.5</v>
      </c>
      <c r="F1192">
        <v>3.7</v>
      </c>
      <c r="G1192" s="2" t="s">
        <v>67</v>
      </c>
      <c r="H1192" s="2">
        <v>9.0</v>
      </c>
      <c r="I1192" s="2">
        <v>19.0</v>
      </c>
      <c r="J1192" s="37">
        <v>226.84</v>
      </c>
      <c r="K1192" s="2">
        <v>11.0</v>
      </c>
      <c r="L1192" s="2">
        <v>47.0</v>
      </c>
      <c r="M1192" s="37">
        <v>308.16</v>
      </c>
    </row>
    <row r="1193" ht="14.25" customHeight="1">
      <c r="A1193" t="s">
        <v>1287</v>
      </c>
      <c r="B1193" t="s">
        <v>1283</v>
      </c>
      <c r="C1193" t="s">
        <v>62</v>
      </c>
      <c r="D1193" t="s">
        <v>63</v>
      </c>
      <c r="E1193">
        <v>5.0</v>
      </c>
      <c r="F1193">
        <v>6.0</v>
      </c>
      <c r="G1193" s="2" t="s">
        <v>67</v>
      </c>
      <c r="H1193" s="2">
        <v>18.0</v>
      </c>
      <c r="I1193" s="2">
        <v>116.0</v>
      </c>
      <c r="J1193" s="37">
        <v>555.08</v>
      </c>
      <c r="K1193" s="2">
        <v>20.0</v>
      </c>
      <c r="L1193" s="2">
        <v>162.0</v>
      </c>
      <c r="M1193" s="37">
        <v>659.8000000000001</v>
      </c>
    </row>
    <row r="1194" ht="14.25" customHeight="1">
      <c r="A1194" t="s">
        <v>1288</v>
      </c>
      <c r="B1194" t="s">
        <v>1283</v>
      </c>
      <c r="C1194" t="s">
        <v>62</v>
      </c>
      <c r="D1194" t="s">
        <v>63</v>
      </c>
      <c r="E1194">
        <v>6.0</v>
      </c>
      <c r="F1194">
        <v>7.2</v>
      </c>
      <c r="G1194" s="2" t="s">
        <v>67</v>
      </c>
      <c r="H1194" s="2">
        <v>20.0</v>
      </c>
      <c r="I1194" s="2">
        <v>84.0</v>
      </c>
      <c r="J1194" s="37">
        <v>558.4000000000001</v>
      </c>
      <c r="K1194" s="2">
        <v>23.0</v>
      </c>
      <c r="L1194" s="2">
        <v>138.0</v>
      </c>
      <c r="M1194" s="37">
        <v>695.98</v>
      </c>
    </row>
    <row r="1195" ht="14.25" customHeight="1">
      <c r="A1195" t="s">
        <v>1289</v>
      </c>
      <c r="B1195" t="s">
        <v>1283</v>
      </c>
      <c r="C1195" t="s">
        <v>62</v>
      </c>
      <c r="D1195" t="s">
        <v>63</v>
      </c>
      <c r="E1195">
        <v>7.1</v>
      </c>
      <c r="F1195">
        <v>8.0</v>
      </c>
      <c r="G1195" s="2" t="s">
        <v>67</v>
      </c>
      <c r="H1195" s="2">
        <v>22.0</v>
      </c>
      <c r="I1195" s="2">
        <v>37.0</v>
      </c>
      <c r="J1195" s="37">
        <v>542.22</v>
      </c>
      <c r="K1195" s="2">
        <v>26.0</v>
      </c>
      <c r="L1195" s="2">
        <v>101.0</v>
      </c>
      <c r="M1195" s="37">
        <v>715.26</v>
      </c>
    </row>
    <row r="1196" ht="14.25" customHeight="1">
      <c r="A1196" t="s">
        <v>1290</v>
      </c>
      <c r="B1196" t="s">
        <v>1283</v>
      </c>
      <c r="C1196" t="s">
        <v>62</v>
      </c>
      <c r="D1196" t="s">
        <v>63</v>
      </c>
      <c r="E1196">
        <v>8.5</v>
      </c>
      <c r="F1196">
        <v>9.0</v>
      </c>
      <c r="G1196" s="2" t="s">
        <v>64</v>
      </c>
      <c r="H1196" s="2">
        <v>0.0</v>
      </c>
      <c r="I1196" s="2">
        <v>0.0</v>
      </c>
      <c r="J1196" s="37">
        <v>0.0</v>
      </c>
      <c r="K1196" s="2">
        <v>0.0</v>
      </c>
      <c r="L1196" s="2">
        <v>0.0</v>
      </c>
      <c r="M1196" s="37">
        <v>0.0</v>
      </c>
    </row>
    <row r="1197" ht="14.25" customHeight="1">
      <c r="A1197" t="s">
        <v>1291</v>
      </c>
      <c r="B1197" t="s">
        <v>1283</v>
      </c>
      <c r="C1197" t="s">
        <v>62</v>
      </c>
      <c r="D1197" t="s">
        <v>63</v>
      </c>
      <c r="E1197">
        <v>9.4</v>
      </c>
      <c r="F1197">
        <v>10.3</v>
      </c>
      <c r="G1197" s="2" t="s">
        <v>64</v>
      </c>
      <c r="H1197" s="2">
        <v>0.0</v>
      </c>
      <c r="I1197" s="2">
        <v>0.0</v>
      </c>
      <c r="J1197" s="37">
        <v>0.0</v>
      </c>
      <c r="K1197" s="2">
        <v>0.0</v>
      </c>
      <c r="L1197" s="2">
        <v>0.0</v>
      </c>
      <c r="M1197" s="37">
        <v>0.0</v>
      </c>
    </row>
    <row r="1198" ht="14.25" customHeight="1">
      <c r="A1198" t="s">
        <v>1292</v>
      </c>
      <c r="B1198" t="s">
        <v>1283</v>
      </c>
      <c r="C1198" t="s">
        <v>75</v>
      </c>
      <c r="D1198" t="s">
        <v>63</v>
      </c>
      <c r="E1198">
        <v>2.6</v>
      </c>
      <c r="F1198">
        <v>3.5</v>
      </c>
      <c r="G1198" s="2" t="s">
        <v>64</v>
      </c>
      <c r="H1198" s="2">
        <v>0.0</v>
      </c>
      <c r="I1198" s="2">
        <v>0.0</v>
      </c>
      <c r="J1198" s="37">
        <v>0.0</v>
      </c>
      <c r="K1198" s="2">
        <v>0.0</v>
      </c>
      <c r="L1198" s="2">
        <v>0.0</v>
      </c>
      <c r="M1198" s="37">
        <v>0.0</v>
      </c>
    </row>
    <row r="1199" ht="14.25" customHeight="1">
      <c r="A1199" t="s">
        <v>1293</v>
      </c>
      <c r="B1199" t="s">
        <v>1283</v>
      </c>
      <c r="C1199" t="s">
        <v>75</v>
      </c>
      <c r="D1199" t="s">
        <v>63</v>
      </c>
      <c r="E1199">
        <v>2.6</v>
      </c>
      <c r="F1199">
        <v>3.5</v>
      </c>
      <c r="G1199" s="2" t="s">
        <v>64</v>
      </c>
      <c r="H1199" s="2">
        <v>0.0</v>
      </c>
      <c r="I1199" s="2">
        <v>0.0</v>
      </c>
      <c r="J1199" s="37">
        <v>0.0</v>
      </c>
      <c r="K1199" s="2">
        <v>0.0</v>
      </c>
      <c r="L1199" s="2">
        <v>0.0</v>
      </c>
      <c r="M1199" s="37">
        <v>0.0</v>
      </c>
    </row>
    <row r="1200" ht="14.25" customHeight="1">
      <c r="A1200" t="s">
        <v>1294</v>
      </c>
      <c r="B1200" t="s">
        <v>1283</v>
      </c>
      <c r="C1200" t="s">
        <v>75</v>
      </c>
      <c r="D1200" t="s">
        <v>63</v>
      </c>
      <c r="E1200">
        <v>3.5</v>
      </c>
      <c r="F1200">
        <v>4.5</v>
      </c>
      <c r="G1200" s="2" t="s">
        <v>64</v>
      </c>
      <c r="H1200" s="2">
        <v>0.0</v>
      </c>
      <c r="I1200" s="2">
        <v>0.0</v>
      </c>
      <c r="J1200" s="37">
        <v>0.0</v>
      </c>
      <c r="K1200" s="2">
        <v>0.0</v>
      </c>
      <c r="L1200" s="2">
        <v>0.0</v>
      </c>
      <c r="M1200" s="37">
        <v>0.0</v>
      </c>
    </row>
    <row r="1201" ht="14.25" customHeight="1">
      <c r="A1201" t="s">
        <v>1295</v>
      </c>
      <c r="B1201" t="s">
        <v>1283</v>
      </c>
      <c r="C1201" t="s">
        <v>75</v>
      </c>
      <c r="D1201" t="s">
        <v>63</v>
      </c>
      <c r="E1201">
        <v>5.2</v>
      </c>
      <c r="F1201">
        <v>6.0</v>
      </c>
      <c r="G1201" s="2" t="s">
        <v>67</v>
      </c>
      <c r="H1201" s="2">
        <v>16.0</v>
      </c>
      <c r="I1201" s="2">
        <v>67.0</v>
      </c>
      <c r="J1201" s="37">
        <v>446.46000000000004</v>
      </c>
      <c r="K1201" s="2">
        <v>19.0</v>
      </c>
      <c r="L1201" s="2">
        <v>120.0</v>
      </c>
      <c r="M1201" s="37">
        <v>582.74</v>
      </c>
    </row>
    <row r="1202" ht="14.25" customHeight="1">
      <c r="A1202" t="s">
        <v>1296</v>
      </c>
      <c r="B1202" t="s">
        <v>1283</v>
      </c>
      <c r="C1202" t="s">
        <v>75</v>
      </c>
      <c r="D1202" t="s">
        <v>63</v>
      </c>
      <c r="E1202">
        <v>7.1</v>
      </c>
      <c r="F1202">
        <v>8.0</v>
      </c>
      <c r="G1202" s="2" t="s">
        <v>64</v>
      </c>
      <c r="H1202" s="2">
        <v>0.0</v>
      </c>
      <c r="I1202" s="2">
        <v>0.0</v>
      </c>
      <c r="J1202" s="37">
        <v>0.0</v>
      </c>
      <c r="K1202" s="2">
        <v>0.0</v>
      </c>
      <c r="L1202" s="2">
        <v>0.0</v>
      </c>
      <c r="M1202" s="37">
        <v>0.0</v>
      </c>
    </row>
    <row r="1203" ht="14.25" customHeight="1">
      <c r="A1203" t="s">
        <v>1297</v>
      </c>
      <c r="B1203" t="s">
        <v>1283</v>
      </c>
      <c r="C1203" t="s">
        <v>75</v>
      </c>
      <c r="D1203" t="s">
        <v>63</v>
      </c>
      <c r="E1203">
        <v>10.0</v>
      </c>
      <c r="F1203">
        <v>11.2</v>
      </c>
      <c r="G1203" s="2" t="s">
        <v>64</v>
      </c>
      <c r="H1203" s="2">
        <v>0.0</v>
      </c>
      <c r="I1203" s="2">
        <v>0.0</v>
      </c>
      <c r="J1203" s="37">
        <v>0.0</v>
      </c>
      <c r="K1203" s="2">
        <v>0.0</v>
      </c>
      <c r="L1203" s="2">
        <v>0.0</v>
      </c>
      <c r="M1203" s="37">
        <v>0.0</v>
      </c>
    </row>
    <row r="1204" ht="14.25" customHeight="1">
      <c r="A1204" t="s">
        <v>1298</v>
      </c>
      <c r="B1204" t="s">
        <v>1283</v>
      </c>
      <c r="C1204" t="s">
        <v>75</v>
      </c>
      <c r="D1204" t="s">
        <v>63</v>
      </c>
      <c r="E1204">
        <v>11.5</v>
      </c>
      <c r="F1204">
        <v>14.0</v>
      </c>
      <c r="G1204" s="2" t="s">
        <v>64</v>
      </c>
      <c r="H1204" s="2">
        <v>0.0</v>
      </c>
      <c r="I1204" s="2">
        <v>0.0</v>
      </c>
      <c r="J1204" s="37">
        <v>0.0</v>
      </c>
      <c r="K1204" s="2">
        <v>0.0</v>
      </c>
      <c r="L1204" s="2">
        <v>0.0</v>
      </c>
      <c r="M1204" s="37">
        <v>0.0</v>
      </c>
    </row>
    <row r="1205" ht="14.25" customHeight="1">
      <c r="A1205" t="s">
        <v>1299</v>
      </c>
      <c r="B1205" t="s">
        <v>1283</v>
      </c>
      <c r="C1205" t="s">
        <v>75</v>
      </c>
      <c r="D1205" t="s">
        <v>63</v>
      </c>
      <c r="E1205">
        <v>13.0</v>
      </c>
      <c r="F1205">
        <v>16.0</v>
      </c>
      <c r="G1205" s="2" t="s">
        <v>67</v>
      </c>
      <c r="H1205" s="2">
        <v>40.0</v>
      </c>
      <c r="I1205" s="2">
        <v>81.0</v>
      </c>
      <c r="J1205" s="37">
        <v>1003.7</v>
      </c>
      <c r="K1205" s="2">
        <v>48.0</v>
      </c>
      <c r="L1205" s="2">
        <v>214.0</v>
      </c>
      <c r="M1205" s="37">
        <v>1356.28</v>
      </c>
    </row>
    <row r="1206" ht="14.25" customHeight="1">
      <c r="A1206" t="s">
        <v>1300</v>
      </c>
      <c r="B1206" t="s">
        <v>1283</v>
      </c>
      <c r="C1206" t="s">
        <v>75</v>
      </c>
      <c r="D1206" t="s">
        <v>63</v>
      </c>
      <c r="E1206">
        <v>9.0</v>
      </c>
      <c r="F1206">
        <v>11.2</v>
      </c>
      <c r="G1206" s="2" t="s">
        <v>64</v>
      </c>
      <c r="H1206" s="2">
        <v>0.0</v>
      </c>
      <c r="I1206" s="2">
        <v>0.0</v>
      </c>
      <c r="J1206" s="37">
        <v>0.0</v>
      </c>
      <c r="K1206" s="2">
        <v>0.0</v>
      </c>
      <c r="L1206" s="2">
        <v>0.0</v>
      </c>
      <c r="M1206" s="37">
        <v>0.0</v>
      </c>
    </row>
    <row r="1207" ht="14.25" customHeight="1">
      <c r="A1207" t="s">
        <v>1301</v>
      </c>
      <c r="B1207" t="s">
        <v>1283</v>
      </c>
      <c r="C1207" t="s">
        <v>75</v>
      </c>
      <c r="D1207" t="s">
        <v>63</v>
      </c>
      <c r="E1207">
        <v>8.5</v>
      </c>
      <c r="F1207">
        <v>10.0</v>
      </c>
      <c r="G1207" s="2" t="s">
        <v>64</v>
      </c>
      <c r="H1207" s="2">
        <v>0.0</v>
      </c>
      <c r="I1207" s="2">
        <v>0.0</v>
      </c>
      <c r="J1207" s="37">
        <v>0.0</v>
      </c>
      <c r="K1207" s="2">
        <v>0.0</v>
      </c>
      <c r="L1207" s="2">
        <v>0.0</v>
      </c>
      <c r="M1207" s="37">
        <v>0.0</v>
      </c>
    </row>
    <row r="1208" ht="14.25" customHeight="1">
      <c r="A1208" t="s">
        <v>1302</v>
      </c>
      <c r="B1208" t="s">
        <v>1283</v>
      </c>
      <c r="C1208" t="s">
        <v>75</v>
      </c>
      <c r="D1208" t="s">
        <v>63</v>
      </c>
      <c r="E1208">
        <v>10.5</v>
      </c>
      <c r="F1208">
        <v>12.1</v>
      </c>
      <c r="G1208" s="2" t="s">
        <v>67</v>
      </c>
      <c r="H1208" s="2">
        <v>32.0</v>
      </c>
      <c r="I1208" s="2">
        <v>61.0</v>
      </c>
      <c r="J1208" s="37">
        <v>798.02</v>
      </c>
      <c r="K1208" s="2">
        <v>38.0</v>
      </c>
      <c r="L1208" s="2">
        <v>169.0</v>
      </c>
      <c r="M1208" s="37">
        <v>1073.18</v>
      </c>
    </row>
    <row r="1209" ht="14.25" customHeight="1">
      <c r="A1209" t="s">
        <v>1303</v>
      </c>
      <c r="B1209" t="s">
        <v>1283</v>
      </c>
      <c r="C1209" t="s">
        <v>75</v>
      </c>
      <c r="D1209" t="s">
        <v>63</v>
      </c>
      <c r="E1209">
        <v>10.0</v>
      </c>
      <c r="F1209">
        <v>12.5</v>
      </c>
      <c r="G1209" s="2" t="s">
        <v>64</v>
      </c>
      <c r="H1209" s="2">
        <v>0.0</v>
      </c>
      <c r="I1209" s="2">
        <v>0.0</v>
      </c>
      <c r="J1209" s="37">
        <v>0.0</v>
      </c>
      <c r="K1209" s="2">
        <v>0.0</v>
      </c>
      <c r="L1209" s="2">
        <v>0.0</v>
      </c>
      <c r="M1209" s="37">
        <v>0.0</v>
      </c>
    </row>
    <row r="1210" ht="14.25" customHeight="1">
      <c r="A1210" t="s">
        <v>1304</v>
      </c>
      <c r="B1210" t="s">
        <v>1283</v>
      </c>
      <c r="C1210" t="s">
        <v>75</v>
      </c>
      <c r="D1210" t="s">
        <v>63</v>
      </c>
      <c r="E1210">
        <v>12.5</v>
      </c>
      <c r="F1210">
        <v>14.0</v>
      </c>
      <c r="G1210" s="2" t="s">
        <v>67</v>
      </c>
      <c r="H1210" s="2">
        <v>37.0</v>
      </c>
      <c r="I1210" s="2">
        <v>0.0</v>
      </c>
      <c r="J1210" s="37">
        <v>831.02</v>
      </c>
      <c r="K1210" s="2">
        <v>44.0</v>
      </c>
      <c r="L1210" s="2">
        <v>128.0</v>
      </c>
      <c r="M1210" s="37">
        <v>1154.64</v>
      </c>
    </row>
    <row r="1211" ht="14.25" customHeight="1">
      <c r="A1211" t="s">
        <v>1305</v>
      </c>
      <c r="B1211" t="s">
        <v>1283</v>
      </c>
      <c r="C1211" t="s">
        <v>75</v>
      </c>
      <c r="D1211" t="s">
        <v>63</v>
      </c>
      <c r="E1211">
        <v>11.5</v>
      </c>
      <c r="F1211">
        <v>14.0</v>
      </c>
      <c r="G1211" s="2" t="s">
        <v>64</v>
      </c>
      <c r="H1211" s="2">
        <v>0.0</v>
      </c>
      <c r="I1211" s="2">
        <v>0.0</v>
      </c>
      <c r="J1211" s="37">
        <v>0.0</v>
      </c>
      <c r="K1211" s="2">
        <v>0.0</v>
      </c>
      <c r="L1211" s="2">
        <v>0.0</v>
      </c>
      <c r="M1211" s="37">
        <v>0.0</v>
      </c>
    </row>
    <row r="1212" ht="14.25" customHeight="1">
      <c r="A1212" t="s">
        <v>1306</v>
      </c>
      <c r="B1212" t="s">
        <v>1283</v>
      </c>
      <c r="C1212" t="s">
        <v>75</v>
      </c>
      <c r="D1212" t="s">
        <v>63</v>
      </c>
      <c r="E1212">
        <v>14.0</v>
      </c>
      <c r="F1212">
        <v>16.0</v>
      </c>
      <c r="G1212" s="2" t="s">
        <v>64</v>
      </c>
      <c r="H1212" s="2">
        <v>0.0</v>
      </c>
      <c r="I1212" s="2">
        <v>0.0</v>
      </c>
      <c r="J1212" s="37">
        <v>0.0</v>
      </c>
      <c r="K1212" s="2">
        <v>0.0</v>
      </c>
      <c r="L1212" s="2">
        <v>0.0</v>
      </c>
      <c r="M1212" s="37">
        <v>0.0</v>
      </c>
    </row>
    <row r="1213" ht="14.25" customHeight="1">
      <c r="A1213" t="s">
        <v>1307</v>
      </c>
      <c r="B1213" t="s">
        <v>1283</v>
      </c>
      <c r="C1213" t="s">
        <v>75</v>
      </c>
      <c r="D1213" t="s">
        <v>63</v>
      </c>
      <c r="E1213">
        <v>12.5</v>
      </c>
      <c r="F1213">
        <v>14.0</v>
      </c>
      <c r="G1213" s="2" t="s">
        <v>64</v>
      </c>
      <c r="H1213" s="2">
        <v>0.0</v>
      </c>
      <c r="I1213" s="2">
        <v>0.0</v>
      </c>
      <c r="J1213" s="37">
        <v>0.0</v>
      </c>
      <c r="K1213" s="2">
        <v>0.0</v>
      </c>
      <c r="L1213" s="2">
        <v>0.0</v>
      </c>
      <c r="M1213" s="37">
        <v>0.0</v>
      </c>
    </row>
    <row r="1214" ht="14.25" customHeight="1">
      <c r="A1214" t="s">
        <v>1308</v>
      </c>
      <c r="B1214" t="s">
        <v>1283</v>
      </c>
      <c r="C1214" t="s">
        <v>75</v>
      </c>
      <c r="D1214" t="s">
        <v>63</v>
      </c>
      <c r="E1214">
        <v>15.8</v>
      </c>
      <c r="F1214">
        <v>18.0</v>
      </c>
      <c r="G1214" s="2" t="s">
        <v>64</v>
      </c>
      <c r="H1214" s="2">
        <v>0.0</v>
      </c>
      <c r="I1214" s="2">
        <v>0.0</v>
      </c>
      <c r="J1214" s="37">
        <v>0.0</v>
      </c>
      <c r="K1214" s="2">
        <v>0.0</v>
      </c>
      <c r="L1214" s="2">
        <v>0.0</v>
      </c>
      <c r="M1214" s="37">
        <v>0.0</v>
      </c>
    </row>
    <row r="1215" ht="14.25" customHeight="1">
      <c r="A1215" t="s">
        <v>1309</v>
      </c>
      <c r="B1215" t="s">
        <v>1283</v>
      </c>
      <c r="C1215" t="s">
        <v>75</v>
      </c>
      <c r="D1215" t="s">
        <v>63</v>
      </c>
      <c r="E1215">
        <v>10.5</v>
      </c>
      <c r="F1215">
        <v>12.1</v>
      </c>
      <c r="G1215" s="2" t="s">
        <v>64</v>
      </c>
      <c r="H1215" s="2">
        <v>0.0</v>
      </c>
      <c r="I1215" s="2">
        <v>0.0</v>
      </c>
      <c r="J1215" s="37">
        <v>0.0</v>
      </c>
      <c r="K1215" s="2">
        <v>0.0</v>
      </c>
      <c r="L1215" s="2">
        <v>0.0</v>
      </c>
      <c r="M1215" s="37">
        <v>0.0</v>
      </c>
    </row>
    <row r="1216" ht="14.25" customHeight="1">
      <c r="A1216" t="s">
        <v>1310</v>
      </c>
      <c r="B1216" t="s">
        <v>1283</v>
      </c>
      <c r="C1216" t="s">
        <v>75</v>
      </c>
      <c r="D1216" t="s">
        <v>63</v>
      </c>
      <c r="E1216">
        <v>12.5</v>
      </c>
      <c r="F1216">
        <v>14.0</v>
      </c>
      <c r="G1216" s="2" t="s">
        <v>64</v>
      </c>
      <c r="H1216" s="2">
        <v>0.0</v>
      </c>
      <c r="I1216" s="2">
        <v>0.0</v>
      </c>
      <c r="J1216" s="37">
        <v>0.0</v>
      </c>
      <c r="K1216" s="2">
        <v>0.0</v>
      </c>
      <c r="L1216" s="2">
        <v>0.0</v>
      </c>
      <c r="M1216" s="37">
        <v>0.0</v>
      </c>
    </row>
    <row r="1217" ht="14.25" customHeight="1">
      <c r="A1217" t="s">
        <v>1311</v>
      </c>
      <c r="B1217" t="s">
        <v>1283</v>
      </c>
      <c r="C1217" t="s">
        <v>75</v>
      </c>
      <c r="D1217" t="s">
        <v>63</v>
      </c>
      <c r="E1217">
        <v>15.0</v>
      </c>
      <c r="F1217">
        <v>18.0</v>
      </c>
      <c r="G1217" s="2" t="s">
        <v>64</v>
      </c>
      <c r="H1217" s="2">
        <v>0.0</v>
      </c>
      <c r="I1217" s="2">
        <v>0.0</v>
      </c>
      <c r="J1217" s="37">
        <v>0.0</v>
      </c>
      <c r="K1217" s="2">
        <v>0.0</v>
      </c>
      <c r="L1217" s="2">
        <v>0.0</v>
      </c>
      <c r="M1217" s="37">
        <v>0.0</v>
      </c>
    </row>
    <row r="1218" ht="14.25" customHeight="1">
      <c r="A1218" t="s">
        <v>1312</v>
      </c>
      <c r="B1218" t="s">
        <v>1283</v>
      </c>
      <c r="C1218" t="s">
        <v>75</v>
      </c>
      <c r="D1218" t="s">
        <v>63</v>
      </c>
      <c r="E1218">
        <v>20.3</v>
      </c>
      <c r="F1218">
        <v>22.6</v>
      </c>
      <c r="G1218" s="2" t="s">
        <v>64</v>
      </c>
      <c r="H1218" s="2">
        <v>0.0</v>
      </c>
      <c r="I1218" s="2">
        <v>0.0</v>
      </c>
      <c r="J1218" s="37">
        <v>0.0</v>
      </c>
      <c r="K1218" s="2">
        <v>0.0</v>
      </c>
      <c r="L1218" s="2">
        <v>0.0</v>
      </c>
      <c r="M1218" s="37">
        <v>0.0</v>
      </c>
    </row>
    <row r="1219" ht="14.25" customHeight="1">
      <c r="A1219" t="s">
        <v>1313</v>
      </c>
      <c r="B1219" t="s">
        <v>1283</v>
      </c>
      <c r="C1219" t="s">
        <v>75</v>
      </c>
      <c r="D1219" t="s">
        <v>63</v>
      </c>
      <c r="E1219">
        <v>25.0</v>
      </c>
      <c r="F1219">
        <v>28.0</v>
      </c>
      <c r="G1219" s="2" t="s">
        <v>64</v>
      </c>
      <c r="H1219" s="2">
        <v>0.0</v>
      </c>
      <c r="I1219" s="2">
        <v>0.0</v>
      </c>
      <c r="J1219" s="37">
        <v>0.0</v>
      </c>
      <c r="K1219" s="2">
        <v>0.0</v>
      </c>
      <c r="L1219" s="2">
        <v>0.0</v>
      </c>
      <c r="M1219" s="37">
        <v>0.0</v>
      </c>
    </row>
    <row r="1220" ht="14.25" customHeight="1">
      <c r="A1220" t="s">
        <v>1314</v>
      </c>
      <c r="B1220" t="s">
        <v>1283</v>
      </c>
      <c r="C1220" t="s">
        <v>62</v>
      </c>
      <c r="D1220" t="s">
        <v>63</v>
      </c>
      <c r="E1220">
        <v>10.0</v>
      </c>
      <c r="F1220">
        <v>11.2</v>
      </c>
      <c r="G1220" s="2" t="s">
        <v>67</v>
      </c>
      <c r="H1220" s="2">
        <v>32.0</v>
      </c>
      <c r="I1220" s="2">
        <v>84.0</v>
      </c>
      <c r="J1220" s="37">
        <v>827.9200000000001</v>
      </c>
      <c r="K1220" s="2">
        <v>38.0</v>
      </c>
      <c r="L1220" s="2">
        <v>187.0</v>
      </c>
      <c r="M1220" s="37">
        <v>1096.58</v>
      </c>
    </row>
    <row r="1221" ht="14.25" customHeight="1">
      <c r="A1221" t="s">
        <v>1315</v>
      </c>
      <c r="B1221" t="s">
        <v>1283</v>
      </c>
      <c r="C1221" t="s">
        <v>62</v>
      </c>
      <c r="D1221" t="s">
        <v>63</v>
      </c>
      <c r="E1221">
        <v>12.5</v>
      </c>
      <c r="F1221">
        <v>14.0</v>
      </c>
      <c r="G1221" s="2" t="s">
        <v>64</v>
      </c>
      <c r="H1221" s="2">
        <v>0.0</v>
      </c>
      <c r="I1221" s="2">
        <v>0.0</v>
      </c>
      <c r="J1221" s="37">
        <v>0.0</v>
      </c>
      <c r="K1221" s="2">
        <v>0.0</v>
      </c>
      <c r="L1221" s="2">
        <v>0.0</v>
      </c>
      <c r="M1221" s="37">
        <v>0.0</v>
      </c>
    </row>
    <row r="1222" ht="14.25" customHeight="1">
      <c r="A1222" t="s">
        <v>1316</v>
      </c>
      <c r="B1222" t="s">
        <v>1283</v>
      </c>
      <c r="C1222" t="s">
        <v>62</v>
      </c>
      <c r="D1222" t="s">
        <v>63</v>
      </c>
      <c r="E1222">
        <v>8.5</v>
      </c>
      <c r="F1222">
        <v>10.0</v>
      </c>
      <c r="G1222" s="2" t="s">
        <v>64</v>
      </c>
      <c r="H1222" s="2">
        <v>0.0</v>
      </c>
      <c r="I1222" s="2">
        <v>0.0</v>
      </c>
      <c r="J1222" s="37">
        <v>0.0</v>
      </c>
      <c r="K1222" s="2">
        <v>0.0</v>
      </c>
      <c r="L1222" s="2">
        <v>0.0</v>
      </c>
      <c r="M1222" s="37">
        <v>0.0</v>
      </c>
    </row>
    <row r="1223" ht="14.25" customHeight="1">
      <c r="A1223" t="s">
        <v>1317</v>
      </c>
      <c r="B1223" t="s">
        <v>1283</v>
      </c>
      <c r="C1223" t="s">
        <v>62</v>
      </c>
      <c r="D1223" t="s">
        <v>63</v>
      </c>
      <c r="E1223">
        <v>10.0</v>
      </c>
      <c r="F1223">
        <v>11.2</v>
      </c>
      <c r="G1223" s="2" t="s">
        <v>67</v>
      </c>
      <c r="H1223" s="2">
        <v>34.0</v>
      </c>
      <c r="I1223" s="2">
        <v>164.0</v>
      </c>
      <c r="J1223" s="37">
        <v>976.84</v>
      </c>
      <c r="K1223" s="2">
        <v>39.0</v>
      </c>
      <c r="L1223" s="2">
        <v>267.0</v>
      </c>
      <c r="M1223" s="37">
        <v>1223.04</v>
      </c>
    </row>
    <row r="1224" ht="14.25" customHeight="1">
      <c r="A1224" t="s">
        <v>1318</v>
      </c>
      <c r="B1224" t="s">
        <v>1283</v>
      </c>
      <c r="C1224" t="s">
        <v>62</v>
      </c>
      <c r="D1224" t="s">
        <v>63</v>
      </c>
      <c r="E1224">
        <v>12.5</v>
      </c>
      <c r="F1224">
        <v>14.0</v>
      </c>
      <c r="G1224" s="2" t="s">
        <v>67</v>
      </c>
      <c r="H1224" s="2">
        <v>39.0</v>
      </c>
      <c r="I1224" s="2">
        <v>42.0</v>
      </c>
      <c r="J1224" s="37">
        <v>930.5400000000001</v>
      </c>
      <c r="K1224" s="2">
        <v>45.0</v>
      </c>
      <c r="L1224" s="2">
        <v>170.0</v>
      </c>
      <c r="M1224" s="37">
        <v>1231.7</v>
      </c>
    </row>
    <row r="1225" ht="14.25" customHeight="1">
      <c r="A1225" t="s">
        <v>1319</v>
      </c>
      <c r="B1225" t="s">
        <v>1283</v>
      </c>
      <c r="C1225" t="s">
        <v>62</v>
      </c>
      <c r="D1225" t="s">
        <v>63</v>
      </c>
      <c r="E1225">
        <v>13.0</v>
      </c>
      <c r="F1225">
        <v>16.0</v>
      </c>
      <c r="G1225" s="2" t="s">
        <v>67</v>
      </c>
      <c r="H1225" s="2">
        <v>42.0</v>
      </c>
      <c r="I1225" s="2">
        <v>45.0</v>
      </c>
      <c r="J1225" s="37">
        <v>1001.82</v>
      </c>
      <c r="K1225" s="2">
        <v>50.0</v>
      </c>
      <c r="L1225" s="2">
        <v>178.0</v>
      </c>
      <c r="M1225" s="37">
        <v>1354.4</v>
      </c>
    </row>
    <row r="1226" ht="14.25" customHeight="1">
      <c r="A1226" t="s">
        <v>1320</v>
      </c>
      <c r="B1226" t="s">
        <v>1283</v>
      </c>
      <c r="C1226" t="s">
        <v>62</v>
      </c>
      <c r="D1226" t="s">
        <v>63</v>
      </c>
      <c r="E1226">
        <v>14.0</v>
      </c>
      <c r="F1226">
        <v>16.0</v>
      </c>
      <c r="G1226" s="2" t="s">
        <v>67</v>
      </c>
      <c r="H1226" s="2">
        <v>40.0</v>
      </c>
      <c r="I1226" s="2">
        <v>46.0</v>
      </c>
      <c r="J1226" s="37">
        <v>958.2</v>
      </c>
      <c r="K1226" s="2">
        <v>48.0</v>
      </c>
      <c r="L1226" s="2">
        <v>189.0</v>
      </c>
      <c r="M1226" s="37">
        <v>1323.78</v>
      </c>
    </row>
    <row r="1227" ht="14.25" customHeight="1">
      <c r="A1227" t="s">
        <v>1321</v>
      </c>
      <c r="B1227" t="s">
        <v>1283</v>
      </c>
      <c r="C1227" t="s">
        <v>62</v>
      </c>
      <c r="D1227" t="s">
        <v>63</v>
      </c>
      <c r="E1227">
        <v>2.6</v>
      </c>
      <c r="F1227">
        <v>3.5</v>
      </c>
      <c r="G1227" s="2" t="s">
        <v>64</v>
      </c>
      <c r="H1227" s="2">
        <v>0.0</v>
      </c>
      <c r="I1227" s="2">
        <v>0.0</v>
      </c>
      <c r="J1227" s="37">
        <v>0.0</v>
      </c>
      <c r="K1227" s="2">
        <v>0.0</v>
      </c>
      <c r="L1227" s="2">
        <v>0.0</v>
      </c>
      <c r="M1227" s="37">
        <v>0.0</v>
      </c>
    </row>
    <row r="1228" ht="14.25" customHeight="1">
      <c r="A1228" t="s">
        <v>1322</v>
      </c>
      <c r="B1228" t="s">
        <v>1283</v>
      </c>
      <c r="C1228" t="s">
        <v>62</v>
      </c>
      <c r="D1228" t="s">
        <v>63</v>
      </c>
      <c r="E1228">
        <v>5.2</v>
      </c>
      <c r="F1228">
        <v>6.0</v>
      </c>
      <c r="G1228" s="2" t="s">
        <v>64</v>
      </c>
      <c r="H1228" s="2">
        <v>0.0</v>
      </c>
      <c r="I1228" s="2">
        <v>0.0</v>
      </c>
      <c r="J1228" s="37">
        <v>0.0</v>
      </c>
      <c r="K1228" s="2">
        <v>0.0</v>
      </c>
      <c r="L1228" s="2">
        <v>0.0</v>
      </c>
      <c r="M1228" s="37">
        <v>0.0</v>
      </c>
    </row>
    <row r="1229" ht="14.25" customHeight="1">
      <c r="A1229" t="s">
        <v>1323</v>
      </c>
      <c r="B1229" t="s">
        <v>1283</v>
      </c>
      <c r="C1229" t="s">
        <v>62</v>
      </c>
      <c r="D1229" t="s">
        <v>63</v>
      </c>
      <c r="E1229">
        <v>7.1</v>
      </c>
      <c r="F1229">
        <v>8.0</v>
      </c>
      <c r="G1229" s="2" t="s">
        <v>64</v>
      </c>
      <c r="H1229" s="2">
        <v>0.0</v>
      </c>
      <c r="I1229" s="2">
        <v>0.0</v>
      </c>
      <c r="J1229" s="37">
        <v>0.0</v>
      </c>
      <c r="K1229" s="2">
        <v>0.0</v>
      </c>
      <c r="L1229" s="2">
        <v>0.0</v>
      </c>
      <c r="M1229" s="37">
        <v>0.0</v>
      </c>
    </row>
    <row r="1230" ht="14.25" customHeight="1">
      <c r="A1230" t="s">
        <v>1324</v>
      </c>
      <c r="B1230" t="s">
        <v>1283</v>
      </c>
      <c r="C1230" t="s">
        <v>62</v>
      </c>
      <c r="D1230" t="s">
        <v>63</v>
      </c>
      <c r="E1230">
        <v>8.5</v>
      </c>
      <c r="F1230">
        <v>10.0</v>
      </c>
      <c r="G1230" s="2" t="s">
        <v>64</v>
      </c>
      <c r="H1230" s="2">
        <v>0.0</v>
      </c>
      <c r="I1230" s="2">
        <v>0.0</v>
      </c>
      <c r="J1230" s="37">
        <v>0.0</v>
      </c>
      <c r="K1230" s="2">
        <v>0.0</v>
      </c>
      <c r="L1230" s="2">
        <v>0.0</v>
      </c>
      <c r="M1230" s="37">
        <v>0.0</v>
      </c>
    </row>
    <row r="1231" ht="14.25" customHeight="1">
      <c r="A1231" t="s">
        <v>1325</v>
      </c>
      <c r="B1231" t="s">
        <v>1283</v>
      </c>
      <c r="C1231" t="s">
        <v>62</v>
      </c>
      <c r="D1231" t="s">
        <v>63</v>
      </c>
      <c r="E1231">
        <v>10.0</v>
      </c>
      <c r="F1231">
        <v>11.2</v>
      </c>
      <c r="G1231" s="2" t="s">
        <v>64</v>
      </c>
      <c r="H1231" s="2">
        <v>0.0</v>
      </c>
      <c r="I1231" s="2">
        <v>0.0</v>
      </c>
      <c r="J1231" s="37">
        <v>0.0</v>
      </c>
      <c r="K1231" s="2">
        <v>0.0</v>
      </c>
      <c r="L1231" s="2">
        <v>0.0</v>
      </c>
      <c r="M1231" s="37">
        <v>0.0</v>
      </c>
    </row>
    <row r="1232" ht="14.25" customHeight="1">
      <c r="A1232" t="s">
        <v>1326</v>
      </c>
      <c r="B1232" t="s">
        <v>1283</v>
      </c>
      <c r="C1232" t="s">
        <v>62</v>
      </c>
      <c r="D1232" t="s">
        <v>63</v>
      </c>
      <c r="E1232">
        <v>5.2</v>
      </c>
      <c r="F1232">
        <v>6.0</v>
      </c>
      <c r="G1232" s="2" t="s">
        <v>64</v>
      </c>
      <c r="H1232" s="2">
        <v>0.0</v>
      </c>
      <c r="I1232" s="2">
        <v>0.0</v>
      </c>
      <c r="J1232" s="37">
        <v>0.0</v>
      </c>
      <c r="K1232" s="2">
        <v>0.0</v>
      </c>
      <c r="L1232" s="2">
        <v>0.0</v>
      </c>
      <c r="M1232" s="37">
        <v>0.0</v>
      </c>
    </row>
    <row r="1233" ht="14.25" customHeight="1">
      <c r="A1233" t="s">
        <v>1327</v>
      </c>
      <c r="B1233" t="s">
        <v>1283</v>
      </c>
      <c r="C1233" t="s">
        <v>62</v>
      </c>
      <c r="D1233" t="s">
        <v>63</v>
      </c>
      <c r="E1233">
        <v>7.1</v>
      </c>
      <c r="F1233">
        <v>8.0</v>
      </c>
      <c r="G1233" s="2" t="s">
        <v>64</v>
      </c>
      <c r="H1233" s="2">
        <v>0.0</v>
      </c>
      <c r="I1233" s="2">
        <v>0.0</v>
      </c>
      <c r="J1233" s="37">
        <v>0.0</v>
      </c>
      <c r="K1233" s="2">
        <v>0.0</v>
      </c>
      <c r="L1233" s="2">
        <v>0.0</v>
      </c>
      <c r="M1233" s="37">
        <v>0.0</v>
      </c>
    </row>
    <row r="1234" ht="14.25" customHeight="1">
      <c r="A1234" t="s">
        <v>1328</v>
      </c>
      <c r="B1234" t="s">
        <v>1283</v>
      </c>
      <c r="C1234" t="s">
        <v>75</v>
      </c>
      <c r="D1234" t="s">
        <v>63</v>
      </c>
      <c r="E1234">
        <v>7.1</v>
      </c>
      <c r="F1234">
        <v>8.0</v>
      </c>
      <c r="G1234" s="2" t="s">
        <v>64</v>
      </c>
      <c r="H1234" s="2">
        <v>0.0</v>
      </c>
      <c r="I1234" s="2">
        <v>0.0</v>
      </c>
      <c r="J1234" s="37">
        <v>0.0</v>
      </c>
      <c r="K1234" s="2">
        <v>0.0</v>
      </c>
      <c r="L1234" s="2">
        <v>0.0</v>
      </c>
      <c r="M1234" s="37">
        <v>0.0</v>
      </c>
    </row>
    <row r="1235" ht="14.25" customHeight="1">
      <c r="A1235" t="s">
        <v>1329</v>
      </c>
      <c r="B1235" t="s">
        <v>1330</v>
      </c>
      <c r="C1235" t="s">
        <v>62</v>
      </c>
      <c r="D1235" t="s">
        <v>63</v>
      </c>
      <c r="E1235">
        <v>2.64</v>
      </c>
      <c r="F1235">
        <v>2.9</v>
      </c>
      <c r="G1235" s="2" t="s">
        <v>67</v>
      </c>
      <c r="H1235" s="2">
        <v>8.0</v>
      </c>
      <c r="I1235" s="2">
        <v>56.0</v>
      </c>
      <c r="J1235" s="37">
        <v>252.48000000000002</v>
      </c>
      <c r="K1235" s="2">
        <v>9.0</v>
      </c>
      <c r="L1235" s="2">
        <v>77.0</v>
      </c>
      <c r="M1235" s="37">
        <v>302.24</v>
      </c>
    </row>
    <row r="1236" ht="14.25" customHeight="1">
      <c r="A1236" t="s">
        <v>1331</v>
      </c>
      <c r="B1236" t="s">
        <v>1330</v>
      </c>
      <c r="C1236" t="s">
        <v>62</v>
      </c>
      <c r="D1236" t="s">
        <v>63</v>
      </c>
      <c r="E1236">
        <v>3.5</v>
      </c>
      <c r="F1236">
        <v>4.0</v>
      </c>
      <c r="G1236" s="2" t="s">
        <v>64</v>
      </c>
      <c r="H1236" s="2">
        <v>0.0</v>
      </c>
      <c r="I1236" s="2">
        <v>0.0</v>
      </c>
      <c r="J1236" s="37">
        <v>0.0</v>
      </c>
      <c r="K1236" s="2">
        <v>0.0</v>
      </c>
      <c r="L1236" s="2">
        <v>0.0</v>
      </c>
      <c r="M1236" s="37">
        <v>0.0</v>
      </c>
    </row>
    <row r="1237" ht="14.25" customHeight="1">
      <c r="A1237" t="s">
        <v>1332</v>
      </c>
      <c r="B1237" t="s">
        <v>1330</v>
      </c>
      <c r="C1237" t="s">
        <v>62</v>
      </c>
      <c r="D1237" t="s">
        <v>63</v>
      </c>
      <c r="E1237">
        <v>5.2</v>
      </c>
      <c r="F1237">
        <v>5.2</v>
      </c>
      <c r="G1237" s="2" t="s">
        <v>67</v>
      </c>
      <c r="H1237" s="2">
        <v>16.0</v>
      </c>
      <c r="I1237" s="2">
        <v>99.0</v>
      </c>
      <c r="J1237" s="37">
        <v>488.06000000000006</v>
      </c>
      <c r="K1237" s="2">
        <v>18.0</v>
      </c>
      <c r="L1237" s="2">
        <v>146.0</v>
      </c>
      <c r="M1237" s="37">
        <v>594.08</v>
      </c>
    </row>
    <row r="1238" ht="14.25" customHeight="1">
      <c r="A1238" t="s">
        <v>1333</v>
      </c>
      <c r="B1238" t="s">
        <v>1330</v>
      </c>
      <c r="C1238" t="s">
        <v>62</v>
      </c>
      <c r="D1238" t="s">
        <v>63</v>
      </c>
      <c r="E1238">
        <v>7.04</v>
      </c>
      <c r="F1238">
        <v>8.2</v>
      </c>
      <c r="G1238" s="2" t="s">
        <v>64</v>
      </c>
      <c r="H1238" s="2">
        <v>0.0</v>
      </c>
      <c r="I1238" s="2">
        <v>0.0</v>
      </c>
      <c r="J1238" s="37">
        <v>0.0</v>
      </c>
      <c r="K1238" s="2">
        <v>0.0</v>
      </c>
      <c r="L1238" s="2">
        <v>0.0</v>
      </c>
      <c r="M1238" s="37">
        <v>0.0</v>
      </c>
    </row>
    <row r="1239" ht="14.25" customHeight="1">
      <c r="A1239" t="s">
        <v>1334</v>
      </c>
      <c r="B1239" t="s">
        <v>1330</v>
      </c>
      <c r="C1239" t="s">
        <v>62</v>
      </c>
      <c r="D1239" t="s">
        <v>63</v>
      </c>
      <c r="E1239">
        <v>8.0</v>
      </c>
      <c r="F1239">
        <v>8.4</v>
      </c>
      <c r="G1239" s="2" t="s">
        <v>64</v>
      </c>
      <c r="H1239" s="2">
        <v>0.0</v>
      </c>
      <c r="I1239" s="2">
        <v>0.0</v>
      </c>
      <c r="J1239" s="37">
        <v>0.0</v>
      </c>
      <c r="K1239" s="2">
        <v>0.0</v>
      </c>
      <c r="L1239" s="2">
        <v>0.0</v>
      </c>
      <c r="M1239" s="37">
        <v>0.0</v>
      </c>
    </row>
    <row r="1240" ht="14.25" customHeight="1">
      <c r="A1240" t="s">
        <v>1335</v>
      </c>
      <c r="B1240" t="s">
        <v>1336</v>
      </c>
      <c r="C1240" t="s">
        <v>62</v>
      </c>
      <c r="D1240" t="s">
        <v>63</v>
      </c>
      <c r="E1240">
        <v>7.1</v>
      </c>
      <c r="F1240">
        <v>7.1</v>
      </c>
      <c r="G1240" s="2" t="s">
        <v>67</v>
      </c>
      <c r="H1240" s="2">
        <v>20.0</v>
      </c>
      <c r="I1240" s="2">
        <v>84.0</v>
      </c>
      <c r="J1240" s="37">
        <v>558.4000000000001</v>
      </c>
      <c r="K1240" s="2">
        <v>23.0</v>
      </c>
      <c r="L1240" s="2">
        <v>149.0</v>
      </c>
      <c r="M1240" s="37">
        <v>710.2800000000001</v>
      </c>
    </row>
    <row r="1241" ht="14.25" customHeight="1">
      <c r="A1241" t="s">
        <v>1337</v>
      </c>
      <c r="B1241" t="s">
        <v>1336</v>
      </c>
      <c r="C1241" t="s">
        <v>62</v>
      </c>
      <c r="D1241" t="s">
        <v>63</v>
      </c>
      <c r="E1241">
        <v>2.5</v>
      </c>
      <c r="F1241">
        <v>3.0</v>
      </c>
      <c r="G1241" s="2" t="s">
        <v>64</v>
      </c>
      <c r="H1241" s="2">
        <v>0.0</v>
      </c>
      <c r="I1241" s="2">
        <v>0.0</v>
      </c>
      <c r="J1241" s="37">
        <v>0.0</v>
      </c>
      <c r="K1241" s="2">
        <v>0.0</v>
      </c>
      <c r="L1241" s="2">
        <v>0.0</v>
      </c>
      <c r="M1241" s="37">
        <v>0.0</v>
      </c>
    </row>
    <row r="1242" ht="14.25" customHeight="1">
      <c r="A1242" t="s">
        <v>1338</v>
      </c>
      <c r="B1242" t="s">
        <v>1336</v>
      </c>
      <c r="C1242" t="s">
        <v>62</v>
      </c>
      <c r="D1242" t="s">
        <v>63</v>
      </c>
      <c r="E1242">
        <v>5.2</v>
      </c>
      <c r="F1242">
        <v>5.6</v>
      </c>
      <c r="G1242" s="2" t="s">
        <v>67</v>
      </c>
      <c r="H1242" s="2">
        <v>16.0</v>
      </c>
      <c r="I1242" s="2">
        <v>78.0</v>
      </c>
      <c r="J1242" s="37">
        <v>460.76</v>
      </c>
      <c r="K1242" s="2">
        <v>18.0</v>
      </c>
      <c r="L1242" s="2">
        <v>125.0</v>
      </c>
      <c r="M1242" s="37">
        <v>566.78</v>
      </c>
    </row>
    <row r="1243" ht="14.25" customHeight="1">
      <c r="A1243" t="s">
        <v>1339</v>
      </c>
      <c r="B1243" t="s">
        <v>1340</v>
      </c>
      <c r="C1243" t="s">
        <v>62</v>
      </c>
      <c r="D1243" t="s">
        <v>268</v>
      </c>
      <c r="E1243">
        <v>2.9</v>
      </c>
      <c r="F1243">
        <v>2.4</v>
      </c>
      <c r="G1243" s="2" t="s">
        <v>64</v>
      </c>
      <c r="H1243" s="2">
        <v>0.0</v>
      </c>
      <c r="I1243" s="2">
        <v>0.0</v>
      </c>
      <c r="J1243" s="37">
        <v>0.0</v>
      </c>
      <c r="K1243" s="2">
        <v>0.0</v>
      </c>
      <c r="L1243" s="2">
        <v>0.0</v>
      </c>
      <c r="M1243" s="37">
        <v>0.0</v>
      </c>
    </row>
    <row r="1244" ht="14.25" customHeight="1">
      <c r="A1244" t="s">
        <v>1341</v>
      </c>
      <c r="B1244" t="s">
        <v>1340</v>
      </c>
      <c r="C1244" t="s">
        <v>62</v>
      </c>
      <c r="D1244" t="s">
        <v>268</v>
      </c>
      <c r="E1244">
        <v>4.2</v>
      </c>
      <c r="F1244">
        <v>2.88</v>
      </c>
      <c r="G1244" s="2" t="s">
        <v>64</v>
      </c>
      <c r="H1244" s="2">
        <v>0.0</v>
      </c>
      <c r="I1244" s="2">
        <v>0.0</v>
      </c>
      <c r="J1244" s="37">
        <v>0.0</v>
      </c>
      <c r="K1244" s="2">
        <v>0.0</v>
      </c>
      <c r="L1244" s="2">
        <v>0.0</v>
      </c>
      <c r="M1244" s="37">
        <v>0.0</v>
      </c>
    </row>
    <row r="1245" ht="14.25" customHeight="1">
      <c r="A1245" t="s">
        <v>1342</v>
      </c>
      <c r="B1245" t="s">
        <v>1340</v>
      </c>
      <c r="C1245" t="s">
        <v>62</v>
      </c>
      <c r="D1245" t="s">
        <v>268</v>
      </c>
      <c r="E1245">
        <v>4.2</v>
      </c>
      <c r="F1245">
        <v>2.88</v>
      </c>
      <c r="G1245" s="2" t="s">
        <v>64</v>
      </c>
      <c r="H1245" s="2">
        <v>0.0</v>
      </c>
      <c r="I1245" s="2">
        <v>0.0</v>
      </c>
      <c r="J1245" s="37">
        <v>0.0</v>
      </c>
      <c r="K1245" s="2">
        <v>0.0</v>
      </c>
      <c r="L1245" s="2">
        <v>0.0</v>
      </c>
      <c r="M1245" s="37">
        <v>0.0</v>
      </c>
    </row>
    <row r="1246" ht="14.25" customHeight="1">
      <c r="A1246" t="s">
        <v>1343</v>
      </c>
      <c r="B1246" t="s">
        <v>1340</v>
      </c>
      <c r="C1246" t="s">
        <v>62</v>
      </c>
      <c r="D1246" t="s">
        <v>268</v>
      </c>
      <c r="E1246">
        <v>4.2</v>
      </c>
      <c r="F1246">
        <v>2.88</v>
      </c>
      <c r="G1246" s="2" t="s">
        <v>64</v>
      </c>
      <c r="H1246" s="2">
        <v>0.0</v>
      </c>
      <c r="I1246" s="2">
        <v>0.0</v>
      </c>
      <c r="J1246" s="37">
        <v>0.0</v>
      </c>
      <c r="K1246" s="2">
        <v>0.0</v>
      </c>
      <c r="L1246" s="2">
        <v>0.0</v>
      </c>
      <c r="M1246" s="37">
        <v>0.0</v>
      </c>
    </row>
    <row r="1247" ht="14.25" customHeight="1">
      <c r="A1247" t="s">
        <v>1344</v>
      </c>
      <c r="B1247" t="s">
        <v>1340</v>
      </c>
      <c r="C1247" t="s">
        <v>62</v>
      </c>
      <c r="D1247" t="s">
        <v>268</v>
      </c>
      <c r="E1247">
        <v>4.2</v>
      </c>
      <c r="F1247">
        <v>2.88</v>
      </c>
      <c r="G1247" s="2" t="s">
        <v>64</v>
      </c>
      <c r="H1247" s="2">
        <v>0.0</v>
      </c>
      <c r="I1247" s="2">
        <v>0.0</v>
      </c>
      <c r="J1247" s="37">
        <v>0.0</v>
      </c>
      <c r="K1247" s="2">
        <v>0.0</v>
      </c>
      <c r="L1247" s="2">
        <v>0.0</v>
      </c>
      <c r="M1247" s="37">
        <v>0.0</v>
      </c>
    </row>
    <row r="1248" ht="14.25" customHeight="1">
      <c r="A1248" t="s">
        <v>1345</v>
      </c>
      <c r="B1248" t="s">
        <v>1340</v>
      </c>
      <c r="C1248" t="s">
        <v>62</v>
      </c>
      <c r="D1248" t="s">
        <v>268</v>
      </c>
      <c r="E1248">
        <v>4.2</v>
      </c>
      <c r="F1248">
        <v>2.88</v>
      </c>
      <c r="G1248" s="2" t="s">
        <v>64</v>
      </c>
      <c r="H1248" s="2">
        <v>0.0</v>
      </c>
      <c r="I1248" s="2">
        <v>0.0</v>
      </c>
      <c r="J1248" s="37">
        <v>0.0</v>
      </c>
      <c r="K1248" s="2">
        <v>0.0</v>
      </c>
      <c r="L1248" s="2">
        <v>0.0</v>
      </c>
      <c r="M1248" s="37">
        <v>0.0</v>
      </c>
    </row>
    <row r="1249" ht="14.25" customHeight="1">
      <c r="A1249" t="s">
        <v>1346</v>
      </c>
      <c r="B1249" t="s">
        <v>1340</v>
      </c>
      <c r="C1249" t="s">
        <v>62</v>
      </c>
      <c r="D1249" t="s">
        <v>268</v>
      </c>
      <c r="E1249">
        <v>4.2</v>
      </c>
      <c r="F1249">
        <v>2.88</v>
      </c>
      <c r="G1249" s="2" t="s">
        <v>64</v>
      </c>
      <c r="H1249" s="2">
        <v>0.0</v>
      </c>
      <c r="I1249" s="2">
        <v>0.0</v>
      </c>
      <c r="J1249" s="37">
        <v>0.0</v>
      </c>
      <c r="K1249" s="2">
        <v>0.0</v>
      </c>
      <c r="L1249" s="2">
        <v>0.0</v>
      </c>
      <c r="M1249" s="37">
        <v>0.0</v>
      </c>
    </row>
    <row r="1250" ht="14.25" customHeight="1">
      <c r="A1250" t="s">
        <v>1347</v>
      </c>
      <c r="B1250" t="s">
        <v>1340</v>
      </c>
      <c r="C1250" t="s">
        <v>62</v>
      </c>
      <c r="D1250" t="s">
        <v>268</v>
      </c>
      <c r="E1250">
        <v>2.637</v>
      </c>
      <c r="F1250">
        <v>2.14</v>
      </c>
      <c r="G1250" s="2" t="s">
        <v>64</v>
      </c>
      <c r="H1250" s="2">
        <v>0.0</v>
      </c>
      <c r="I1250" s="2">
        <v>0.0</v>
      </c>
      <c r="J1250" s="37">
        <v>0.0</v>
      </c>
      <c r="K1250" s="2">
        <v>0.0</v>
      </c>
      <c r="L1250" s="2">
        <v>0.0</v>
      </c>
      <c r="M1250" s="37">
        <v>0.0</v>
      </c>
    </row>
    <row r="1251" ht="14.25" customHeight="1">
      <c r="A1251" t="s">
        <v>1348</v>
      </c>
      <c r="B1251" t="s">
        <v>1340</v>
      </c>
      <c r="C1251" t="s">
        <v>62</v>
      </c>
      <c r="D1251" t="s">
        <v>268</v>
      </c>
      <c r="E1251">
        <v>2.637</v>
      </c>
      <c r="F1251">
        <v>2.14</v>
      </c>
      <c r="G1251" s="2" t="s">
        <v>64</v>
      </c>
      <c r="H1251" s="2">
        <v>0.0</v>
      </c>
      <c r="I1251" s="2">
        <v>0.0</v>
      </c>
      <c r="J1251" s="37">
        <v>0.0</v>
      </c>
      <c r="K1251" s="2">
        <v>0.0</v>
      </c>
      <c r="L1251" s="2">
        <v>0.0</v>
      </c>
      <c r="M1251" s="37">
        <v>0.0</v>
      </c>
    </row>
    <row r="1252" ht="14.25" customHeight="1">
      <c r="A1252" t="s">
        <v>1349</v>
      </c>
      <c r="B1252" t="s">
        <v>1340</v>
      </c>
      <c r="C1252" t="s">
        <v>62</v>
      </c>
      <c r="D1252" t="s">
        <v>268</v>
      </c>
      <c r="E1252">
        <v>2.64</v>
      </c>
      <c r="F1252">
        <v>2.05</v>
      </c>
      <c r="G1252" s="2" t="s">
        <v>64</v>
      </c>
      <c r="H1252" s="2">
        <v>0.0</v>
      </c>
      <c r="I1252" s="2">
        <v>0.0</v>
      </c>
      <c r="J1252" s="37">
        <v>0.0</v>
      </c>
      <c r="K1252" s="2">
        <v>0.0</v>
      </c>
      <c r="L1252" s="2">
        <v>0.0</v>
      </c>
      <c r="M1252" s="37">
        <v>0.0</v>
      </c>
    </row>
    <row r="1253" ht="14.25" customHeight="1">
      <c r="A1253" t="s">
        <v>1350</v>
      </c>
      <c r="B1253" t="s">
        <v>1340</v>
      </c>
      <c r="C1253" t="s">
        <v>62</v>
      </c>
      <c r="D1253" t="s">
        <v>268</v>
      </c>
      <c r="E1253">
        <v>2.64</v>
      </c>
      <c r="F1253">
        <v>2.05</v>
      </c>
      <c r="G1253" s="2" t="s">
        <v>64</v>
      </c>
      <c r="H1253" s="2">
        <v>0.0</v>
      </c>
      <c r="I1253" s="2">
        <v>0.0</v>
      </c>
      <c r="J1253" s="37">
        <v>0.0</v>
      </c>
      <c r="K1253" s="2">
        <v>0.0</v>
      </c>
      <c r="L1253" s="2">
        <v>0.0</v>
      </c>
      <c r="M1253" s="37">
        <v>0.0</v>
      </c>
    </row>
    <row r="1254" ht="14.25" customHeight="1">
      <c r="A1254" t="s">
        <v>1351</v>
      </c>
      <c r="B1254" t="s">
        <v>1340</v>
      </c>
      <c r="C1254" t="s">
        <v>62</v>
      </c>
      <c r="D1254" t="s">
        <v>268</v>
      </c>
      <c r="E1254">
        <v>2.64</v>
      </c>
      <c r="F1254">
        <v>2.05</v>
      </c>
      <c r="G1254" s="2" t="s">
        <v>64</v>
      </c>
      <c r="H1254" s="2">
        <v>0.0</v>
      </c>
      <c r="I1254" s="2">
        <v>0.0</v>
      </c>
      <c r="J1254" s="37">
        <v>0.0</v>
      </c>
      <c r="K1254" s="2">
        <v>0.0</v>
      </c>
      <c r="L1254" s="2">
        <v>0.0</v>
      </c>
      <c r="M1254" s="37">
        <v>0.0</v>
      </c>
    </row>
    <row r="1255" ht="14.25" customHeight="1">
      <c r="A1255" t="s">
        <v>1352</v>
      </c>
      <c r="B1255" t="s">
        <v>1340</v>
      </c>
      <c r="C1255" t="s">
        <v>62</v>
      </c>
      <c r="D1255" t="s">
        <v>268</v>
      </c>
      <c r="E1255">
        <v>3.53</v>
      </c>
      <c r="F1255">
        <v>2.58</v>
      </c>
      <c r="G1255" s="2" t="s">
        <v>64</v>
      </c>
      <c r="H1255" s="2">
        <v>0.0</v>
      </c>
      <c r="I1255" s="2">
        <v>0.0</v>
      </c>
      <c r="J1255" s="37">
        <v>0.0</v>
      </c>
      <c r="K1255" s="2">
        <v>0.0</v>
      </c>
      <c r="L1255" s="2">
        <v>0.0</v>
      </c>
      <c r="M1255" s="37">
        <v>0.0</v>
      </c>
    </row>
    <row r="1256" ht="14.25" customHeight="1">
      <c r="A1256" t="s">
        <v>1353</v>
      </c>
      <c r="B1256" t="s">
        <v>1340</v>
      </c>
      <c r="C1256" t="s">
        <v>62</v>
      </c>
      <c r="D1256" t="s">
        <v>268</v>
      </c>
      <c r="E1256">
        <v>3.53</v>
      </c>
      <c r="F1256">
        <v>2.58</v>
      </c>
      <c r="G1256" s="2" t="s">
        <v>64</v>
      </c>
      <c r="H1256" s="2">
        <v>0.0</v>
      </c>
      <c r="I1256" s="2">
        <v>0.0</v>
      </c>
      <c r="J1256" s="37">
        <v>0.0</v>
      </c>
      <c r="K1256" s="2">
        <v>0.0</v>
      </c>
      <c r="L1256" s="2">
        <v>0.0</v>
      </c>
      <c r="M1256" s="37">
        <v>0.0</v>
      </c>
    </row>
    <row r="1257" ht="14.25" customHeight="1">
      <c r="A1257" t="s">
        <v>1354</v>
      </c>
      <c r="B1257" t="s">
        <v>1340</v>
      </c>
      <c r="C1257" t="s">
        <v>62</v>
      </c>
      <c r="D1257" t="s">
        <v>268</v>
      </c>
      <c r="E1257">
        <v>3.5</v>
      </c>
      <c r="F1257">
        <v>2.8</v>
      </c>
      <c r="G1257" s="2" t="s">
        <v>64</v>
      </c>
      <c r="H1257" s="2">
        <v>0.0</v>
      </c>
      <c r="I1257" s="2">
        <v>0.0</v>
      </c>
      <c r="J1257" s="37">
        <v>0.0</v>
      </c>
      <c r="K1257" s="2">
        <v>0.0</v>
      </c>
      <c r="L1257" s="2">
        <v>0.0</v>
      </c>
      <c r="M1257" s="37">
        <v>0.0</v>
      </c>
    </row>
    <row r="1258" ht="14.25" customHeight="1">
      <c r="A1258" t="s">
        <v>1355</v>
      </c>
      <c r="B1258" t="s">
        <v>1340</v>
      </c>
      <c r="C1258" t="s">
        <v>62</v>
      </c>
      <c r="D1258" t="s">
        <v>268</v>
      </c>
      <c r="E1258">
        <v>3.5</v>
      </c>
      <c r="F1258">
        <v>2.8</v>
      </c>
      <c r="G1258" s="2" t="s">
        <v>64</v>
      </c>
      <c r="H1258" s="2">
        <v>0.0</v>
      </c>
      <c r="I1258" s="2">
        <v>0.0</v>
      </c>
      <c r="J1258" s="37">
        <v>0.0</v>
      </c>
      <c r="K1258" s="2">
        <v>0.0</v>
      </c>
      <c r="L1258" s="2">
        <v>0.0</v>
      </c>
      <c r="M1258" s="37">
        <v>0.0</v>
      </c>
    </row>
    <row r="1259" ht="14.25" customHeight="1">
      <c r="A1259" t="s">
        <v>1356</v>
      </c>
      <c r="B1259" t="s">
        <v>1340</v>
      </c>
      <c r="C1259" t="s">
        <v>62</v>
      </c>
      <c r="D1259" t="s">
        <v>268</v>
      </c>
      <c r="E1259">
        <v>4.1</v>
      </c>
      <c r="F1259">
        <v>3.2</v>
      </c>
      <c r="G1259" s="2" t="s">
        <v>64</v>
      </c>
      <c r="H1259" s="2">
        <v>0.0</v>
      </c>
      <c r="I1259" s="2">
        <v>0.0</v>
      </c>
      <c r="J1259" s="37">
        <v>0.0</v>
      </c>
      <c r="K1259" s="2">
        <v>0.0</v>
      </c>
      <c r="L1259" s="2">
        <v>0.0</v>
      </c>
      <c r="M1259" s="37">
        <v>0.0</v>
      </c>
    </row>
    <row r="1260" ht="14.25" customHeight="1">
      <c r="A1260" t="s">
        <v>1357</v>
      </c>
      <c r="B1260" t="s">
        <v>1340</v>
      </c>
      <c r="C1260" t="s">
        <v>62</v>
      </c>
      <c r="D1260" t="s">
        <v>268</v>
      </c>
      <c r="E1260">
        <v>4.1</v>
      </c>
      <c r="F1260">
        <v>3.2</v>
      </c>
      <c r="G1260" s="2" t="s">
        <v>64</v>
      </c>
      <c r="H1260" s="2">
        <v>0.0</v>
      </c>
      <c r="I1260" s="2">
        <v>0.0</v>
      </c>
      <c r="J1260" s="37">
        <v>0.0</v>
      </c>
      <c r="K1260" s="2">
        <v>0.0</v>
      </c>
      <c r="L1260" s="2">
        <v>0.0</v>
      </c>
      <c r="M1260" s="37">
        <v>0.0</v>
      </c>
    </row>
    <row r="1261" ht="14.25" customHeight="1">
      <c r="A1261" t="s">
        <v>1358</v>
      </c>
      <c r="B1261" t="s">
        <v>1340</v>
      </c>
      <c r="C1261" t="s">
        <v>62</v>
      </c>
      <c r="D1261" t="s">
        <v>268</v>
      </c>
      <c r="E1261">
        <v>4.1</v>
      </c>
      <c r="F1261">
        <v>3.2</v>
      </c>
      <c r="G1261" s="2" t="s">
        <v>64</v>
      </c>
      <c r="H1261" s="2">
        <v>0.0</v>
      </c>
      <c r="I1261" s="2">
        <v>0.0</v>
      </c>
      <c r="J1261" s="37">
        <v>0.0</v>
      </c>
      <c r="K1261" s="2">
        <v>0.0</v>
      </c>
      <c r="L1261" s="2">
        <v>0.0</v>
      </c>
      <c r="M1261" s="37">
        <v>0.0</v>
      </c>
    </row>
    <row r="1262" ht="14.25" customHeight="1">
      <c r="A1262" t="s">
        <v>1359</v>
      </c>
      <c r="B1262" t="s">
        <v>1360</v>
      </c>
      <c r="C1262" t="s">
        <v>75</v>
      </c>
      <c r="D1262" t="s">
        <v>63</v>
      </c>
      <c r="E1262">
        <v>20.4</v>
      </c>
      <c r="F1262">
        <v>22.5</v>
      </c>
      <c r="G1262" s="2" t="s">
        <v>64</v>
      </c>
      <c r="H1262" s="2">
        <v>0.0</v>
      </c>
      <c r="I1262" s="2">
        <v>0.0</v>
      </c>
      <c r="J1262" s="37">
        <v>0.0</v>
      </c>
      <c r="K1262" s="2">
        <v>0.0</v>
      </c>
      <c r="L1262" s="2">
        <v>0.0</v>
      </c>
      <c r="M1262" s="37">
        <v>0.0</v>
      </c>
    </row>
    <row r="1263" ht="14.25" customHeight="1">
      <c r="A1263" t="s">
        <v>1361</v>
      </c>
      <c r="B1263" t="s">
        <v>1360</v>
      </c>
      <c r="C1263" t="s">
        <v>62</v>
      </c>
      <c r="D1263" t="s">
        <v>63</v>
      </c>
      <c r="E1263">
        <v>13.6</v>
      </c>
      <c r="F1263">
        <v>16.0</v>
      </c>
      <c r="G1263" s="2" t="s">
        <v>64</v>
      </c>
      <c r="H1263" s="2">
        <v>0.0</v>
      </c>
      <c r="I1263" s="2">
        <v>0.0</v>
      </c>
      <c r="J1263" s="37">
        <v>0.0</v>
      </c>
      <c r="K1263" s="2">
        <v>0.0</v>
      </c>
      <c r="L1263" s="2">
        <v>0.0</v>
      </c>
      <c r="M1263" s="37">
        <v>0.0</v>
      </c>
    </row>
    <row r="1264" ht="14.25" customHeight="1">
      <c r="A1264" t="s">
        <v>1362</v>
      </c>
      <c r="B1264" t="s">
        <v>1360</v>
      </c>
      <c r="C1264" t="s">
        <v>75</v>
      </c>
      <c r="D1264" t="s">
        <v>63</v>
      </c>
      <c r="E1264">
        <v>16.0</v>
      </c>
      <c r="F1264">
        <v>18.0</v>
      </c>
      <c r="G1264" s="2" t="s">
        <v>67</v>
      </c>
      <c r="H1264" s="2">
        <v>46.0</v>
      </c>
      <c r="I1264" s="2">
        <v>77.0</v>
      </c>
      <c r="J1264" s="37">
        <v>1133.26</v>
      </c>
      <c r="K1264" s="2">
        <v>55.0</v>
      </c>
      <c r="L1264" s="2">
        <v>241.0</v>
      </c>
      <c r="M1264" s="37">
        <v>1548.6</v>
      </c>
    </row>
    <row r="1265" ht="14.25" customHeight="1">
      <c r="A1265" t="s">
        <v>1363</v>
      </c>
      <c r="B1265" t="s">
        <v>1360</v>
      </c>
      <c r="C1265" t="s">
        <v>75</v>
      </c>
      <c r="D1265" t="s">
        <v>63</v>
      </c>
      <c r="E1265">
        <v>16.0</v>
      </c>
      <c r="F1265">
        <v>18.0</v>
      </c>
      <c r="G1265" s="2" t="s">
        <v>67</v>
      </c>
      <c r="H1265" s="2">
        <v>46.0</v>
      </c>
      <c r="I1265" s="2">
        <v>77.0</v>
      </c>
      <c r="J1265" s="37">
        <v>1133.26</v>
      </c>
      <c r="K1265" s="2">
        <v>55.0</v>
      </c>
      <c r="L1265" s="2">
        <v>241.0</v>
      </c>
      <c r="M1265" s="37">
        <v>1548.6</v>
      </c>
    </row>
    <row r="1266" ht="14.25" customHeight="1">
      <c r="A1266" t="s">
        <v>1364</v>
      </c>
      <c r="B1266" t="s">
        <v>1360</v>
      </c>
      <c r="C1266" t="s">
        <v>62</v>
      </c>
      <c r="D1266" t="s">
        <v>63</v>
      </c>
      <c r="E1266">
        <v>5.2</v>
      </c>
      <c r="F1266">
        <v>5.6</v>
      </c>
      <c r="G1266" s="2" t="s">
        <v>67</v>
      </c>
      <c r="H1266" s="2">
        <v>17.0</v>
      </c>
      <c r="I1266" s="2">
        <v>117.0</v>
      </c>
      <c r="J1266" s="37">
        <v>533.92</v>
      </c>
      <c r="K1266" s="2">
        <v>19.0</v>
      </c>
      <c r="L1266" s="2">
        <v>164.0</v>
      </c>
      <c r="M1266" s="37">
        <v>639.94</v>
      </c>
    </row>
    <row r="1267" ht="14.25" customHeight="1">
      <c r="A1267" t="s">
        <v>1365</v>
      </c>
      <c r="B1267" t="s">
        <v>1360</v>
      </c>
      <c r="C1267" t="s">
        <v>75</v>
      </c>
      <c r="D1267" t="s">
        <v>63</v>
      </c>
      <c r="E1267">
        <v>10.0</v>
      </c>
      <c r="F1267">
        <v>12.0</v>
      </c>
      <c r="G1267" s="2" t="s">
        <v>64</v>
      </c>
      <c r="H1267" s="2">
        <v>0.0</v>
      </c>
      <c r="I1267" s="2">
        <v>0.0</v>
      </c>
      <c r="J1267" s="37">
        <v>0.0</v>
      </c>
      <c r="K1267" s="2">
        <v>0.0</v>
      </c>
      <c r="L1267" s="2">
        <v>0.0</v>
      </c>
      <c r="M1267" s="37">
        <v>0.0</v>
      </c>
    </row>
    <row r="1268" ht="14.25" customHeight="1">
      <c r="A1268" t="s">
        <v>1366</v>
      </c>
      <c r="B1268" t="s">
        <v>1360</v>
      </c>
      <c r="C1268" t="s">
        <v>75</v>
      </c>
      <c r="D1268" t="s">
        <v>63</v>
      </c>
      <c r="E1268">
        <v>10.0</v>
      </c>
      <c r="F1268">
        <v>12.0</v>
      </c>
      <c r="G1268" s="2" t="s">
        <v>64</v>
      </c>
      <c r="H1268" s="2">
        <v>0.0</v>
      </c>
      <c r="I1268" s="2">
        <v>0.0</v>
      </c>
      <c r="J1268" s="37">
        <v>0.0</v>
      </c>
      <c r="K1268" s="2">
        <v>0.0</v>
      </c>
      <c r="L1268" s="2">
        <v>0.0</v>
      </c>
      <c r="M1268" s="37">
        <v>0.0</v>
      </c>
    </row>
    <row r="1269" ht="14.25" customHeight="1">
      <c r="A1269" t="s">
        <v>1367</v>
      </c>
      <c r="B1269" t="s">
        <v>1360</v>
      </c>
      <c r="C1269" t="s">
        <v>62</v>
      </c>
      <c r="D1269" t="s">
        <v>63</v>
      </c>
      <c r="E1269">
        <v>8.0</v>
      </c>
      <c r="F1269">
        <v>9.0</v>
      </c>
      <c r="G1269" s="2" t="s">
        <v>67</v>
      </c>
      <c r="H1269" s="2">
        <v>25.0</v>
      </c>
      <c r="I1269" s="2">
        <v>84.0</v>
      </c>
      <c r="J1269" s="37">
        <v>670.7</v>
      </c>
      <c r="K1269" s="2">
        <v>29.0</v>
      </c>
      <c r="L1269" s="2">
        <v>157.0</v>
      </c>
      <c r="M1269" s="37">
        <v>855.44</v>
      </c>
    </row>
    <row r="1270" ht="14.25" customHeight="1">
      <c r="A1270" t="s">
        <v>1368</v>
      </c>
      <c r="B1270" t="s">
        <v>1360</v>
      </c>
      <c r="C1270" t="s">
        <v>62</v>
      </c>
      <c r="D1270" t="s">
        <v>63</v>
      </c>
      <c r="E1270">
        <v>8.0</v>
      </c>
      <c r="F1270">
        <v>9.0</v>
      </c>
      <c r="G1270" s="2" t="s">
        <v>67</v>
      </c>
      <c r="H1270" s="2">
        <v>25.0</v>
      </c>
      <c r="I1270" s="2">
        <v>84.0</v>
      </c>
      <c r="J1270" s="37">
        <v>670.7</v>
      </c>
      <c r="K1270" s="2">
        <v>29.0</v>
      </c>
      <c r="L1270" s="2">
        <v>157.0</v>
      </c>
      <c r="M1270" s="37">
        <v>855.44</v>
      </c>
    </row>
    <row r="1271" ht="14.25" customHeight="1">
      <c r="A1271" t="s">
        <v>1369</v>
      </c>
      <c r="B1271" t="s">
        <v>1360</v>
      </c>
      <c r="C1271" t="s">
        <v>62</v>
      </c>
      <c r="D1271" t="s">
        <v>63</v>
      </c>
      <c r="E1271">
        <v>4.6</v>
      </c>
      <c r="F1271">
        <v>4.7</v>
      </c>
      <c r="G1271" s="2" t="s">
        <v>64</v>
      </c>
      <c r="H1271" s="2">
        <v>0.0</v>
      </c>
      <c r="I1271" s="2">
        <v>0.0</v>
      </c>
      <c r="J1271" s="37">
        <v>0.0</v>
      </c>
      <c r="K1271" s="2">
        <v>0.0</v>
      </c>
      <c r="L1271" s="2">
        <v>0.0</v>
      </c>
      <c r="M1271" s="37">
        <v>0.0</v>
      </c>
    </row>
    <row r="1272" ht="14.25" customHeight="1">
      <c r="A1272" t="s">
        <v>1370</v>
      </c>
      <c r="B1272" t="s">
        <v>1360</v>
      </c>
      <c r="C1272" t="s">
        <v>62</v>
      </c>
      <c r="D1272" t="s">
        <v>63</v>
      </c>
      <c r="E1272">
        <v>4.6</v>
      </c>
      <c r="F1272">
        <v>4.7</v>
      </c>
      <c r="G1272" s="2" t="s">
        <v>64</v>
      </c>
      <c r="H1272" s="2">
        <v>0.0</v>
      </c>
      <c r="I1272" s="2">
        <v>0.0</v>
      </c>
      <c r="J1272" s="37">
        <v>0.0</v>
      </c>
      <c r="K1272" s="2">
        <v>0.0</v>
      </c>
      <c r="L1272" s="2">
        <v>0.0</v>
      </c>
      <c r="M1272" s="37">
        <v>0.0</v>
      </c>
    </row>
    <row r="1273" ht="14.25" customHeight="1">
      <c r="A1273" t="s">
        <v>1371</v>
      </c>
      <c r="B1273" t="s">
        <v>1360</v>
      </c>
      <c r="C1273" t="s">
        <v>62</v>
      </c>
      <c r="D1273" t="s">
        <v>63</v>
      </c>
      <c r="E1273">
        <v>9.4</v>
      </c>
      <c r="F1273">
        <v>10.3</v>
      </c>
      <c r="G1273" s="2" t="s">
        <v>67</v>
      </c>
      <c r="H1273" s="2">
        <v>28.0</v>
      </c>
      <c r="I1273" s="2">
        <v>73.0</v>
      </c>
      <c r="J1273" s="37">
        <v>723.78</v>
      </c>
      <c r="K1273" s="2">
        <v>32.0</v>
      </c>
      <c r="L1273" s="2">
        <v>159.0</v>
      </c>
      <c r="M1273" s="37">
        <v>925.4200000000001</v>
      </c>
    </row>
    <row r="1274" ht="14.25" customHeight="1">
      <c r="A1274" t="s">
        <v>1372</v>
      </c>
      <c r="B1274" t="s">
        <v>1360</v>
      </c>
      <c r="C1274" t="s">
        <v>62</v>
      </c>
      <c r="D1274" t="s">
        <v>63</v>
      </c>
      <c r="E1274">
        <v>9.4</v>
      </c>
      <c r="F1274">
        <v>10.3</v>
      </c>
      <c r="G1274" s="2" t="s">
        <v>67</v>
      </c>
      <c r="H1274" s="2">
        <v>28.0</v>
      </c>
      <c r="I1274" s="2">
        <v>73.0</v>
      </c>
      <c r="J1274" s="37">
        <v>723.78</v>
      </c>
      <c r="K1274" s="2">
        <v>32.0</v>
      </c>
      <c r="L1274" s="2">
        <v>159.0</v>
      </c>
      <c r="M1274" s="37">
        <v>925.4200000000001</v>
      </c>
    </row>
    <row r="1275" ht="14.25" customHeight="1">
      <c r="A1275" t="s">
        <v>1373</v>
      </c>
      <c r="B1275" t="s">
        <v>1360</v>
      </c>
      <c r="C1275" t="s">
        <v>62</v>
      </c>
      <c r="D1275" t="s">
        <v>63</v>
      </c>
      <c r="E1275">
        <v>9.4</v>
      </c>
      <c r="F1275">
        <v>10.3</v>
      </c>
      <c r="G1275" s="2" t="s">
        <v>67</v>
      </c>
      <c r="H1275" s="2">
        <v>28.0</v>
      </c>
      <c r="I1275" s="2">
        <v>73.0</v>
      </c>
      <c r="J1275" s="37">
        <v>723.78</v>
      </c>
      <c r="K1275" s="2">
        <v>32.0</v>
      </c>
      <c r="L1275" s="2">
        <v>159.0</v>
      </c>
      <c r="M1275" s="37">
        <v>925.4200000000001</v>
      </c>
    </row>
    <row r="1276" ht="14.25" customHeight="1">
      <c r="A1276" t="s">
        <v>1374</v>
      </c>
      <c r="B1276" t="s">
        <v>1360</v>
      </c>
      <c r="C1276" t="s">
        <v>62</v>
      </c>
      <c r="D1276" t="s">
        <v>63</v>
      </c>
      <c r="E1276">
        <v>2.25</v>
      </c>
      <c r="F1276">
        <v>2.7</v>
      </c>
      <c r="G1276" s="2" t="s">
        <v>64</v>
      </c>
      <c r="H1276" s="2">
        <v>0.0</v>
      </c>
      <c r="I1276" s="2">
        <v>0.0</v>
      </c>
      <c r="J1276" s="37">
        <v>0.0</v>
      </c>
      <c r="K1276" s="2">
        <v>0.0</v>
      </c>
      <c r="L1276" s="2">
        <v>0.0</v>
      </c>
      <c r="M1276" s="37">
        <v>0.0</v>
      </c>
    </row>
    <row r="1277" ht="14.25" customHeight="1">
      <c r="A1277" t="s">
        <v>1375</v>
      </c>
      <c r="B1277" t="s">
        <v>1360</v>
      </c>
      <c r="C1277" t="s">
        <v>62</v>
      </c>
      <c r="D1277" t="s">
        <v>63</v>
      </c>
      <c r="E1277">
        <v>2.65</v>
      </c>
      <c r="F1277">
        <v>3.2</v>
      </c>
      <c r="G1277" s="2" t="s">
        <v>67</v>
      </c>
      <c r="H1277" s="2">
        <v>8.0</v>
      </c>
      <c r="I1277" s="2">
        <v>44.0</v>
      </c>
      <c r="J1277" s="37">
        <v>236.88</v>
      </c>
      <c r="K1277" s="2">
        <v>9.0</v>
      </c>
      <c r="L1277" s="2">
        <v>65.0</v>
      </c>
      <c r="M1277" s="37">
        <v>286.64</v>
      </c>
    </row>
    <row r="1278" ht="14.25" customHeight="1">
      <c r="A1278" t="s">
        <v>1376</v>
      </c>
      <c r="B1278" t="s">
        <v>1360</v>
      </c>
      <c r="C1278" t="s">
        <v>62</v>
      </c>
      <c r="D1278" t="s">
        <v>63</v>
      </c>
      <c r="E1278">
        <v>6.4</v>
      </c>
      <c r="F1278">
        <v>7.4</v>
      </c>
      <c r="G1278" s="2" t="s">
        <v>67</v>
      </c>
      <c r="H1278" s="2">
        <v>21.0</v>
      </c>
      <c r="I1278" s="2">
        <v>132.0</v>
      </c>
      <c r="J1278" s="37">
        <v>643.26</v>
      </c>
      <c r="K1278" s="2">
        <v>24.0</v>
      </c>
      <c r="L1278" s="2">
        <v>190.0</v>
      </c>
      <c r="M1278" s="37">
        <v>786.04</v>
      </c>
    </row>
    <row r="1279" ht="14.25" customHeight="1">
      <c r="A1279" t="s">
        <v>1377</v>
      </c>
      <c r="B1279" t="s">
        <v>1360</v>
      </c>
      <c r="C1279" t="s">
        <v>62</v>
      </c>
      <c r="D1279" t="s">
        <v>63</v>
      </c>
      <c r="E1279">
        <v>2.55</v>
      </c>
      <c r="F1279">
        <v>3.25</v>
      </c>
      <c r="G1279" s="2" t="s">
        <v>67</v>
      </c>
      <c r="H1279" s="2">
        <v>9.0</v>
      </c>
      <c r="I1279" s="2">
        <v>52.0</v>
      </c>
      <c r="J1279" s="37">
        <v>269.74</v>
      </c>
      <c r="K1279" s="2">
        <v>10.0</v>
      </c>
      <c r="L1279" s="2">
        <v>72.0</v>
      </c>
      <c r="M1279" s="37">
        <v>318.20000000000005</v>
      </c>
    </row>
    <row r="1280" ht="14.25" customHeight="1">
      <c r="A1280" t="s">
        <v>1378</v>
      </c>
      <c r="B1280" t="s">
        <v>1360</v>
      </c>
      <c r="C1280" t="s">
        <v>62</v>
      </c>
      <c r="D1280" t="s">
        <v>63</v>
      </c>
      <c r="E1280">
        <v>9.4</v>
      </c>
      <c r="F1280">
        <v>10.3</v>
      </c>
      <c r="G1280" s="2" t="s">
        <v>67</v>
      </c>
      <c r="H1280" s="2">
        <v>31.0</v>
      </c>
      <c r="I1280" s="2">
        <v>132.0</v>
      </c>
      <c r="J1280" s="37">
        <v>867.86</v>
      </c>
      <c r="K1280" s="2">
        <v>35.0</v>
      </c>
      <c r="L1280" s="2">
        <v>217.0</v>
      </c>
      <c r="M1280" s="37">
        <v>1068.2</v>
      </c>
    </row>
    <row r="1281" ht="14.25" customHeight="1">
      <c r="A1281" t="s">
        <v>1379</v>
      </c>
      <c r="B1281" t="s">
        <v>1360</v>
      </c>
      <c r="C1281" t="s">
        <v>62</v>
      </c>
      <c r="D1281" t="s">
        <v>63</v>
      </c>
      <c r="E1281">
        <v>3.517</v>
      </c>
      <c r="F1281">
        <v>4.0</v>
      </c>
      <c r="G1281" s="2" t="s">
        <v>67</v>
      </c>
      <c r="H1281" s="2">
        <v>10.0</v>
      </c>
      <c r="I1281" s="2">
        <v>38.0</v>
      </c>
      <c r="J1281" s="37">
        <v>274.0</v>
      </c>
      <c r="K1281" s="2">
        <v>11.0</v>
      </c>
      <c r="L1281" s="2">
        <v>67.0</v>
      </c>
      <c r="M1281" s="37">
        <v>334.16</v>
      </c>
    </row>
    <row r="1282" ht="14.25" customHeight="1">
      <c r="A1282" t="s">
        <v>1380</v>
      </c>
      <c r="B1282" t="s">
        <v>1360</v>
      </c>
      <c r="C1282" t="s">
        <v>62</v>
      </c>
      <c r="D1282" t="s">
        <v>63</v>
      </c>
      <c r="E1282">
        <v>8.5</v>
      </c>
      <c r="F1282">
        <v>9.0</v>
      </c>
      <c r="G1282" s="2" t="s">
        <v>67</v>
      </c>
      <c r="H1282" s="2">
        <v>27.0</v>
      </c>
      <c r="I1282" s="2">
        <v>101.0</v>
      </c>
      <c r="J1282" s="37">
        <v>737.72</v>
      </c>
      <c r="K1282" s="2">
        <v>31.0</v>
      </c>
      <c r="L1282" s="2">
        <v>179.0</v>
      </c>
      <c r="M1282" s="37">
        <v>928.96</v>
      </c>
    </row>
    <row r="1283" ht="14.25" customHeight="1">
      <c r="A1283" t="s">
        <v>1377</v>
      </c>
      <c r="B1283" t="s">
        <v>1360</v>
      </c>
      <c r="C1283" t="s">
        <v>62</v>
      </c>
      <c r="D1283" t="s">
        <v>63</v>
      </c>
      <c r="E1283">
        <v>2.55</v>
      </c>
      <c r="F1283">
        <v>3.25</v>
      </c>
      <c r="G1283" s="2" t="s">
        <v>67</v>
      </c>
      <c r="H1283" s="2">
        <v>9.0</v>
      </c>
      <c r="I1283" s="2">
        <v>52.0</v>
      </c>
      <c r="J1283" s="37">
        <v>269.74</v>
      </c>
      <c r="K1283" s="2">
        <v>10.0</v>
      </c>
      <c r="L1283" s="2">
        <v>72.0</v>
      </c>
      <c r="M1283" s="37">
        <v>318.20000000000005</v>
      </c>
    </row>
    <row r="1284" ht="14.25" customHeight="1">
      <c r="A1284" t="s">
        <v>1381</v>
      </c>
      <c r="B1284" t="s">
        <v>1360</v>
      </c>
      <c r="C1284" t="s">
        <v>62</v>
      </c>
      <c r="D1284" t="s">
        <v>63</v>
      </c>
      <c r="E1284">
        <v>7.1</v>
      </c>
      <c r="F1284">
        <v>8.0</v>
      </c>
      <c r="G1284" s="2" t="s">
        <v>67</v>
      </c>
      <c r="H1284" s="2">
        <v>23.0</v>
      </c>
      <c r="I1284" s="2">
        <v>107.0</v>
      </c>
      <c r="J1284" s="37">
        <v>655.6800000000001</v>
      </c>
      <c r="K1284" s="2">
        <v>27.0</v>
      </c>
      <c r="L1284" s="2">
        <v>171.0</v>
      </c>
      <c r="M1284" s="37">
        <v>828.72</v>
      </c>
    </row>
    <row r="1285" ht="14.25" customHeight="1">
      <c r="A1285" t="s">
        <v>1382</v>
      </c>
      <c r="B1285" t="s">
        <v>1360</v>
      </c>
      <c r="C1285" t="s">
        <v>62</v>
      </c>
      <c r="D1285" t="s">
        <v>63</v>
      </c>
      <c r="E1285">
        <v>5.0</v>
      </c>
      <c r="F1285">
        <v>6.0</v>
      </c>
      <c r="G1285" s="2" t="s">
        <v>67</v>
      </c>
      <c r="H1285" s="2">
        <v>17.0</v>
      </c>
      <c r="I1285" s="2">
        <v>77.0</v>
      </c>
      <c r="J1285" s="37">
        <v>481.92</v>
      </c>
      <c r="K1285" s="2">
        <v>20.0</v>
      </c>
      <c r="L1285" s="2">
        <v>123.0</v>
      </c>
      <c r="M1285" s="37">
        <v>609.1</v>
      </c>
    </row>
    <row r="1286" ht="14.25" customHeight="1">
      <c r="A1286" t="s">
        <v>1382</v>
      </c>
      <c r="B1286" t="s">
        <v>1360</v>
      </c>
      <c r="C1286" t="s">
        <v>62</v>
      </c>
      <c r="D1286" t="s">
        <v>63</v>
      </c>
      <c r="E1286">
        <v>5.2</v>
      </c>
      <c r="F1286">
        <v>6.0</v>
      </c>
      <c r="G1286" s="2" t="s">
        <v>67</v>
      </c>
      <c r="H1286" s="2">
        <v>17.0</v>
      </c>
      <c r="I1286" s="2">
        <v>99.0</v>
      </c>
      <c r="J1286" s="37">
        <v>510.52</v>
      </c>
      <c r="K1286" s="2">
        <v>20.0</v>
      </c>
      <c r="L1286" s="2">
        <v>146.0</v>
      </c>
      <c r="M1286" s="37">
        <v>639.0</v>
      </c>
    </row>
    <row r="1287" ht="14.25" customHeight="1">
      <c r="A1287" t="s">
        <v>1383</v>
      </c>
      <c r="B1287" t="s">
        <v>1360</v>
      </c>
      <c r="C1287" t="s">
        <v>62</v>
      </c>
      <c r="D1287" t="s">
        <v>63</v>
      </c>
      <c r="E1287">
        <v>4.6</v>
      </c>
      <c r="F1287">
        <v>4.7</v>
      </c>
      <c r="G1287" s="2" t="s">
        <v>64</v>
      </c>
      <c r="H1287" s="2">
        <v>0.0</v>
      </c>
      <c r="I1287" s="2">
        <v>0.0</v>
      </c>
      <c r="J1287" s="37">
        <v>0.0</v>
      </c>
      <c r="K1287" s="2">
        <v>0.0</v>
      </c>
      <c r="L1287" s="2">
        <v>0.0</v>
      </c>
      <c r="M1287" s="37">
        <v>0.0</v>
      </c>
    </row>
    <row r="1288" ht="14.25" customHeight="1">
      <c r="A1288" t="s">
        <v>1384</v>
      </c>
      <c r="B1288" t="s">
        <v>1360</v>
      </c>
      <c r="C1288" t="s">
        <v>62</v>
      </c>
      <c r="D1288" t="s">
        <v>63</v>
      </c>
      <c r="E1288">
        <v>4.6</v>
      </c>
      <c r="F1288">
        <v>4.7</v>
      </c>
      <c r="G1288" s="2" t="s">
        <v>64</v>
      </c>
      <c r="H1288" s="2">
        <v>0.0</v>
      </c>
      <c r="I1288" s="2">
        <v>0.0</v>
      </c>
      <c r="J1288" s="37">
        <v>0.0</v>
      </c>
      <c r="K1288" s="2">
        <v>0.0</v>
      </c>
      <c r="L1288" s="2">
        <v>0.0</v>
      </c>
      <c r="M1288" s="37">
        <v>0.0</v>
      </c>
    </row>
    <row r="1289" ht="14.25" customHeight="1">
      <c r="A1289" t="s">
        <v>1385</v>
      </c>
      <c r="B1289" t="s">
        <v>1360</v>
      </c>
      <c r="C1289" t="s">
        <v>62</v>
      </c>
      <c r="D1289" t="s">
        <v>63</v>
      </c>
      <c r="E1289">
        <v>4.6</v>
      </c>
      <c r="F1289">
        <v>4.7</v>
      </c>
      <c r="G1289" s="2" t="s">
        <v>64</v>
      </c>
      <c r="H1289" s="2">
        <v>0.0</v>
      </c>
      <c r="I1289" s="2">
        <v>0.0</v>
      </c>
      <c r="J1289" s="37">
        <v>0.0</v>
      </c>
      <c r="K1289" s="2">
        <v>0.0</v>
      </c>
      <c r="L1289" s="2">
        <v>0.0</v>
      </c>
      <c r="M1289" s="37">
        <v>0.0</v>
      </c>
    </row>
    <row r="1290" ht="14.25" customHeight="1">
      <c r="A1290" t="s">
        <v>1386</v>
      </c>
      <c r="B1290" t="s">
        <v>1360</v>
      </c>
      <c r="C1290" t="s">
        <v>62</v>
      </c>
      <c r="D1290" t="s">
        <v>63</v>
      </c>
      <c r="E1290">
        <v>6.4</v>
      </c>
      <c r="F1290">
        <v>7.4</v>
      </c>
      <c r="G1290" s="2" t="s">
        <v>67</v>
      </c>
      <c r="H1290" s="2">
        <v>21.0</v>
      </c>
      <c r="I1290" s="2">
        <v>132.0</v>
      </c>
      <c r="J1290" s="37">
        <v>643.26</v>
      </c>
      <c r="K1290" s="2">
        <v>24.0</v>
      </c>
      <c r="L1290" s="2">
        <v>190.0</v>
      </c>
      <c r="M1290" s="37">
        <v>786.04</v>
      </c>
    </row>
    <row r="1291" ht="14.25" customHeight="1">
      <c r="A1291" t="s">
        <v>1387</v>
      </c>
      <c r="B1291" t="s">
        <v>1360</v>
      </c>
      <c r="C1291" t="s">
        <v>62</v>
      </c>
      <c r="D1291" t="s">
        <v>63</v>
      </c>
      <c r="E1291">
        <v>6.4</v>
      </c>
      <c r="F1291">
        <v>7.4</v>
      </c>
      <c r="G1291" s="2" t="s">
        <v>67</v>
      </c>
      <c r="H1291" s="2">
        <v>21.0</v>
      </c>
      <c r="I1291" s="2">
        <v>132.0</v>
      </c>
      <c r="J1291" s="37">
        <v>643.26</v>
      </c>
      <c r="K1291" s="2">
        <v>24.0</v>
      </c>
      <c r="L1291" s="2">
        <v>190.0</v>
      </c>
      <c r="M1291" s="37">
        <v>786.04</v>
      </c>
    </row>
    <row r="1292" ht="14.25" customHeight="1">
      <c r="A1292" t="s">
        <v>1388</v>
      </c>
      <c r="B1292" t="s">
        <v>1360</v>
      </c>
      <c r="C1292" t="s">
        <v>62</v>
      </c>
      <c r="D1292" t="s">
        <v>63</v>
      </c>
      <c r="E1292">
        <v>6.4</v>
      </c>
      <c r="F1292">
        <v>7.4</v>
      </c>
      <c r="G1292" s="2" t="s">
        <v>67</v>
      </c>
      <c r="H1292" s="2">
        <v>21.0</v>
      </c>
      <c r="I1292" s="2">
        <v>132.0</v>
      </c>
      <c r="J1292" s="37">
        <v>643.26</v>
      </c>
      <c r="K1292" s="2">
        <v>24.0</v>
      </c>
      <c r="L1292" s="2">
        <v>190.0</v>
      </c>
      <c r="M1292" s="37">
        <v>786.04</v>
      </c>
    </row>
    <row r="1293" ht="14.25" customHeight="1">
      <c r="A1293" t="s">
        <v>1389</v>
      </c>
      <c r="B1293" t="s">
        <v>1360</v>
      </c>
      <c r="C1293" t="s">
        <v>62</v>
      </c>
      <c r="D1293" t="s">
        <v>63</v>
      </c>
      <c r="E1293">
        <v>8.5</v>
      </c>
      <c r="F1293">
        <v>9.0</v>
      </c>
      <c r="G1293" s="2" t="s">
        <v>67</v>
      </c>
      <c r="H1293" s="2">
        <v>27.0</v>
      </c>
      <c r="I1293" s="2">
        <v>101.0</v>
      </c>
      <c r="J1293" s="37">
        <v>737.72</v>
      </c>
      <c r="K1293" s="2">
        <v>31.0</v>
      </c>
      <c r="L1293" s="2">
        <v>179.0</v>
      </c>
      <c r="M1293" s="37">
        <v>928.96</v>
      </c>
    </row>
    <row r="1294" ht="14.25" customHeight="1">
      <c r="A1294" t="s">
        <v>1390</v>
      </c>
      <c r="B1294" t="s">
        <v>1360</v>
      </c>
      <c r="C1294" t="s">
        <v>62</v>
      </c>
      <c r="D1294" t="s">
        <v>63</v>
      </c>
      <c r="E1294">
        <v>8.5</v>
      </c>
      <c r="F1294">
        <v>9.0</v>
      </c>
      <c r="G1294" s="2" t="s">
        <v>67</v>
      </c>
      <c r="H1294" s="2">
        <v>27.0</v>
      </c>
      <c r="I1294" s="2">
        <v>101.0</v>
      </c>
      <c r="J1294" s="37">
        <v>737.72</v>
      </c>
      <c r="K1294" s="2">
        <v>31.0</v>
      </c>
      <c r="L1294" s="2">
        <v>179.0</v>
      </c>
      <c r="M1294" s="37">
        <v>928.96</v>
      </c>
    </row>
    <row r="1295" ht="14.25" customHeight="1">
      <c r="A1295" t="s">
        <v>1391</v>
      </c>
      <c r="B1295" t="s">
        <v>1360</v>
      </c>
      <c r="C1295" t="s">
        <v>62</v>
      </c>
      <c r="D1295" t="s">
        <v>63</v>
      </c>
      <c r="E1295">
        <v>8.5</v>
      </c>
      <c r="F1295">
        <v>9.0</v>
      </c>
      <c r="G1295" s="2" t="s">
        <v>67</v>
      </c>
      <c r="H1295" s="2">
        <v>27.0</v>
      </c>
      <c r="I1295" s="2">
        <v>101.0</v>
      </c>
      <c r="J1295" s="37">
        <v>737.72</v>
      </c>
      <c r="K1295" s="2">
        <v>31.0</v>
      </c>
      <c r="L1295" s="2">
        <v>179.0</v>
      </c>
      <c r="M1295" s="37">
        <v>928.96</v>
      </c>
    </row>
    <row r="1296" ht="14.25" customHeight="1">
      <c r="A1296" t="s">
        <v>1392</v>
      </c>
      <c r="B1296" t="s">
        <v>1360</v>
      </c>
      <c r="C1296" t="s">
        <v>62</v>
      </c>
      <c r="D1296" t="s">
        <v>63</v>
      </c>
      <c r="E1296">
        <v>7.1</v>
      </c>
      <c r="F1296">
        <v>8.0</v>
      </c>
      <c r="G1296" s="2" t="s">
        <v>67</v>
      </c>
      <c r="H1296" s="2">
        <v>23.0</v>
      </c>
      <c r="I1296" s="2">
        <v>107.0</v>
      </c>
      <c r="J1296" s="37">
        <v>655.6800000000001</v>
      </c>
      <c r="K1296" s="2">
        <v>27.0</v>
      </c>
      <c r="L1296" s="2">
        <v>171.0</v>
      </c>
      <c r="M1296" s="37">
        <v>828.72</v>
      </c>
    </row>
    <row r="1297" ht="14.25" customHeight="1">
      <c r="A1297" t="s">
        <v>1393</v>
      </c>
      <c r="B1297" t="s">
        <v>1360</v>
      </c>
      <c r="C1297" t="s">
        <v>62</v>
      </c>
      <c r="D1297" t="s">
        <v>63</v>
      </c>
      <c r="E1297">
        <v>9.4</v>
      </c>
      <c r="F1297">
        <v>10.3</v>
      </c>
      <c r="G1297" s="2" t="s">
        <v>67</v>
      </c>
      <c r="H1297" s="2">
        <v>31.0</v>
      </c>
      <c r="I1297" s="2">
        <v>132.0</v>
      </c>
      <c r="J1297" s="37">
        <v>867.86</v>
      </c>
      <c r="K1297" s="2">
        <v>35.0</v>
      </c>
      <c r="L1297" s="2">
        <v>217.0</v>
      </c>
      <c r="M1297" s="37">
        <v>1068.2</v>
      </c>
    </row>
    <row r="1298" ht="14.25" customHeight="1">
      <c r="A1298" t="s">
        <v>1394</v>
      </c>
      <c r="B1298" t="s">
        <v>1360</v>
      </c>
      <c r="C1298" t="s">
        <v>62</v>
      </c>
      <c r="D1298" t="s">
        <v>63</v>
      </c>
      <c r="E1298">
        <v>7.1</v>
      </c>
      <c r="F1298">
        <v>7.1</v>
      </c>
      <c r="G1298" s="2" t="s">
        <v>67</v>
      </c>
      <c r="H1298" s="2">
        <v>20.0</v>
      </c>
      <c r="I1298" s="2">
        <v>84.0</v>
      </c>
      <c r="J1298" s="37">
        <v>558.4000000000001</v>
      </c>
      <c r="K1298" s="2">
        <v>23.0</v>
      </c>
      <c r="L1298" s="2">
        <v>149.0</v>
      </c>
      <c r="M1298" s="37">
        <v>710.2800000000001</v>
      </c>
    </row>
    <row r="1299" ht="14.25" customHeight="1">
      <c r="A1299" t="s">
        <v>1395</v>
      </c>
      <c r="B1299" t="s">
        <v>1360</v>
      </c>
      <c r="C1299" t="s">
        <v>62</v>
      </c>
      <c r="D1299" t="s">
        <v>63</v>
      </c>
      <c r="E1299">
        <v>7.1</v>
      </c>
      <c r="F1299">
        <v>7.1</v>
      </c>
      <c r="G1299" s="2" t="s">
        <v>67</v>
      </c>
      <c r="H1299" s="2">
        <v>20.0</v>
      </c>
      <c r="I1299" s="2">
        <v>84.0</v>
      </c>
      <c r="J1299" s="37">
        <v>558.4000000000001</v>
      </c>
      <c r="K1299" s="2">
        <v>23.0</v>
      </c>
      <c r="L1299" s="2">
        <v>149.0</v>
      </c>
      <c r="M1299" s="37">
        <v>710.2800000000001</v>
      </c>
    </row>
    <row r="1300" ht="14.25" customHeight="1">
      <c r="A1300" t="s">
        <v>1396</v>
      </c>
      <c r="B1300" t="s">
        <v>1360</v>
      </c>
      <c r="C1300" t="s">
        <v>62</v>
      </c>
      <c r="D1300" t="s">
        <v>63</v>
      </c>
      <c r="E1300">
        <v>7.1</v>
      </c>
      <c r="F1300">
        <v>7.1</v>
      </c>
      <c r="G1300" s="2" t="s">
        <v>67</v>
      </c>
      <c r="H1300" s="2">
        <v>20.0</v>
      </c>
      <c r="I1300" s="2">
        <v>84.0</v>
      </c>
      <c r="J1300" s="37">
        <v>558.4000000000001</v>
      </c>
      <c r="K1300" s="2">
        <v>23.0</v>
      </c>
      <c r="L1300" s="2">
        <v>149.0</v>
      </c>
      <c r="M1300" s="37">
        <v>710.2800000000001</v>
      </c>
    </row>
    <row r="1301" ht="14.25" customHeight="1">
      <c r="A1301" t="s">
        <v>1393</v>
      </c>
      <c r="B1301" t="s">
        <v>1360</v>
      </c>
      <c r="C1301" t="s">
        <v>62</v>
      </c>
      <c r="D1301" t="s">
        <v>63</v>
      </c>
      <c r="E1301">
        <v>10.0</v>
      </c>
      <c r="F1301">
        <v>10.3</v>
      </c>
      <c r="G1301" s="2" t="s">
        <v>67</v>
      </c>
      <c r="H1301" s="2">
        <v>33.0</v>
      </c>
      <c r="I1301" s="2">
        <v>147.0</v>
      </c>
      <c r="J1301" s="37">
        <v>932.2800000000001</v>
      </c>
      <c r="K1301" s="2">
        <v>39.0</v>
      </c>
      <c r="L1301" s="2">
        <v>249.0</v>
      </c>
      <c r="M1301" s="37">
        <v>1199.64</v>
      </c>
    </row>
    <row r="1302" ht="14.25" customHeight="1">
      <c r="A1302" t="s">
        <v>1378</v>
      </c>
      <c r="B1302" t="s">
        <v>1360</v>
      </c>
      <c r="C1302" t="s">
        <v>62</v>
      </c>
      <c r="D1302" t="s">
        <v>63</v>
      </c>
      <c r="E1302">
        <v>10.0</v>
      </c>
      <c r="F1302">
        <v>10.3</v>
      </c>
      <c r="G1302" s="2" t="s">
        <v>67</v>
      </c>
      <c r="H1302" s="2">
        <v>33.0</v>
      </c>
      <c r="I1302" s="2">
        <v>147.0</v>
      </c>
      <c r="J1302" s="37">
        <v>932.2800000000001</v>
      </c>
      <c r="K1302" s="2">
        <v>39.0</v>
      </c>
      <c r="L1302" s="2">
        <v>249.0</v>
      </c>
      <c r="M1302" s="37">
        <v>1199.64</v>
      </c>
    </row>
    <row r="1303" ht="14.25" customHeight="1">
      <c r="A1303" t="s">
        <v>1397</v>
      </c>
      <c r="B1303" t="s">
        <v>1360</v>
      </c>
      <c r="C1303" t="s">
        <v>62</v>
      </c>
      <c r="D1303" t="s">
        <v>63</v>
      </c>
      <c r="E1303">
        <v>10.0</v>
      </c>
      <c r="F1303">
        <v>10.3</v>
      </c>
      <c r="G1303" s="2" t="s">
        <v>67</v>
      </c>
      <c r="H1303" s="2">
        <v>33.0</v>
      </c>
      <c r="I1303" s="2">
        <v>147.0</v>
      </c>
      <c r="J1303" s="37">
        <v>932.2800000000001</v>
      </c>
      <c r="K1303" s="2">
        <v>39.0</v>
      </c>
      <c r="L1303" s="2">
        <v>249.0</v>
      </c>
      <c r="M1303" s="37">
        <v>1199.64</v>
      </c>
    </row>
    <row r="1304" ht="14.25" customHeight="1">
      <c r="A1304" t="s">
        <v>1377</v>
      </c>
      <c r="B1304" t="s">
        <v>1360</v>
      </c>
      <c r="C1304" t="s">
        <v>62</v>
      </c>
      <c r="D1304" t="s">
        <v>63</v>
      </c>
      <c r="E1304">
        <v>2.55</v>
      </c>
      <c r="F1304">
        <v>3.25</v>
      </c>
      <c r="G1304" s="2" t="s">
        <v>67</v>
      </c>
      <c r="H1304" s="2">
        <v>9.0</v>
      </c>
      <c r="I1304" s="2">
        <v>52.0</v>
      </c>
      <c r="J1304" s="37">
        <v>269.74</v>
      </c>
      <c r="K1304" s="2">
        <v>10.0</v>
      </c>
      <c r="L1304" s="2">
        <v>72.0</v>
      </c>
      <c r="M1304" s="37">
        <v>318.20000000000005</v>
      </c>
    </row>
    <row r="1305" ht="14.25" customHeight="1">
      <c r="A1305" t="s">
        <v>1398</v>
      </c>
      <c r="B1305" t="s">
        <v>1360</v>
      </c>
      <c r="C1305" t="s">
        <v>62</v>
      </c>
      <c r="D1305" t="s">
        <v>63</v>
      </c>
      <c r="E1305">
        <v>2.55</v>
      </c>
      <c r="F1305">
        <v>3.25</v>
      </c>
      <c r="G1305" s="2" t="s">
        <v>67</v>
      </c>
      <c r="H1305" s="2">
        <v>9.0</v>
      </c>
      <c r="I1305" s="2">
        <v>52.0</v>
      </c>
      <c r="J1305" s="37">
        <v>269.74</v>
      </c>
      <c r="K1305" s="2">
        <v>10.0</v>
      </c>
      <c r="L1305" s="2">
        <v>72.0</v>
      </c>
      <c r="M1305" s="37">
        <v>318.20000000000005</v>
      </c>
    </row>
    <row r="1306" ht="14.25" customHeight="1">
      <c r="A1306" t="s">
        <v>1399</v>
      </c>
      <c r="B1306" t="s">
        <v>1360</v>
      </c>
      <c r="C1306" t="s">
        <v>62</v>
      </c>
      <c r="D1306" t="s">
        <v>63</v>
      </c>
      <c r="E1306">
        <v>2.55</v>
      </c>
      <c r="F1306">
        <v>3.25</v>
      </c>
      <c r="G1306" s="2" t="s">
        <v>67</v>
      </c>
      <c r="H1306" s="2">
        <v>9.0</v>
      </c>
      <c r="I1306" s="2">
        <v>52.0</v>
      </c>
      <c r="J1306" s="37">
        <v>269.74</v>
      </c>
      <c r="K1306" s="2">
        <v>10.0</v>
      </c>
      <c r="L1306" s="2">
        <v>72.0</v>
      </c>
      <c r="M1306" s="37">
        <v>318.20000000000005</v>
      </c>
    </row>
    <row r="1307" ht="14.25" customHeight="1">
      <c r="A1307" t="s">
        <v>1400</v>
      </c>
      <c r="B1307" t="s">
        <v>1360</v>
      </c>
      <c r="C1307" t="s">
        <v>62</v>
      </c>
      <c r="D1307" t="s">
        <v>63</v>
      </c>
      <c r="E1307">
        <v>8.5</v>
      </c>
      <c r="F1307">
        <v>9.0</v>
      </c>
      <c r="G1307" s="2" t="s">
        <v>67</v>
      </c>
      <c r="H1307" s="2">
        <v>27.0</v>
      </c>
      <c r="I1307" s="2">
        <v>101.0</v>
      </c>
      <c r="J1307" s="37">
        <v>737.72</v>
      </c>
      <c r="K1307" s="2">
        <v>31.0</v>
      </c>
      <c r="L1307" s="2">
        <v>179.0</v>
      </c>
      <c r="M1307" s="37">
        <v>928.96</v>
      </c>
    </row>
    <row r="1308" ht="14.25" customHeight="1">
      <c r="A1308" t="s">
        <v>1401</v>
      </c>
      <c r="B1308" t="s">
        <v>1360</v>
      </c>
      <c r="C1308" t="s">
        <v>62</v>
      </c>
      <c r="D1308" t="s">
        <v>63</v>
      </c>
      <c r="E1308">
        <v>8.5</v>
      </c>
      <c r="F1308">
        <v>9.0</v>
      </c>
      <c r="G1308" s="2" t="s">
        <v>67</v>
      </c>
      <c r="H1308" s="2">
        <v>27.0</v>
      </c>
      <c r="I1308" s="2">
        <v>101.0</v>
      </c>
      <c r="J1308" s="37">
        <v>737.72</v>
      </c>
      <c r="K1308" s="2">
        <v>31.0</v>
      </c>
      <c r="L1308" s="2">
        <v>179.0</v>
      </c>
      <c r="M1308" s="37">
        <v>928.96</v>
      </c>
    </row>
    <row r="1309" ht="14.25" customHeight="1">
      <c r="A1309" t="s">
        <v>1402</v>
      </c>
      <c r="B1309" t="s">
        <v>1360</v>
      </c>
      <c r="C1309" t="s">
        <v>62</v>
      </c>
      <c r="D1309" t="s">
        <v>63</v>
      </c>
      <c r="E1309">
        <v>8.5</v>
      </c>
      <c r="F1309">
        <v>9.0</v>
      </c>
      <c r="G1309" s="2" t="s">
        <v>67</v>
      </c>
      <c r="H1309" s="2">
        <v>27.0</v>
      </c>
      <c r="I1309" s="2">
        <v>101.0</v>
      </c>
      <c r="J1309" s="37">
        <v>737.72</v>
      </c>
      <c r="K1309" s="2">
        <v>31.0</v>
      </c>
      <c r="L1309" s="2">
        <v>179.0</v>
      </c>
      <c r="M1309" s="37">
        <v>928.96</v>
      </c>
    </row>
    <row r="1310" ht="14.25" customHeight="1">
      <c r="A1310" t="s">
        <v>1397</v>
      </c>
      <c r="B1310" t="s">
        <v>1360</v>
      </c>
      <c r="C1310" t="s">
        <v>62</v>
      </c>
      <c r="D1310" t="s">
        <v>63</v>
      </c>
      <c r="E1310">
        <v>10.0</v>
      </c>
      <c r="F1310">
        <v>10.3</v>
      </c>
      <c r="G1310" s="2" t="s">
        <v>67</v>
      </c>
      <c r="H1310" s="2">
        <v>33.0</v>
      </c>
      <c r="I1310" s="2">
        <v>147.0</v>
      </c>
      <c r="J1310" s="37">
        <v>932.2800000000001</v>
      </c>
      <c r="K1310" s="2">
        <v>39.0</v>
      </c>
      <c r="L1310" s="2">
        <v>249.0</v>
      </c>
      <c r="M1310" s="37">
        <v>1199.64</v>
      </c>
    </row>
    <row r="1311" ht="14.25" customHeight="1">
      <c r="A1311" t="s">
        <v>1378</v>
      </c>
      <c r="B1311" t="s">
        <v>1360</v>
      </c>
      <c r="C1311" t="s">
        <v>62</v>
      </c>
      <c r="D1311" t="s">
        <v>63</v>
      </c>
      <c r="E1311">
        <v>10.0</v>
      </c>
      <c r="F1311">
        <v>10.3</v>
      </c>
      <c r="G1311" s="2" t="s">
        <v>67</v>
      </c>
      <c r="H1311" s="2">
        <v>33.0</v>
      </c>
      <c r="I1311" s="2">
        <v>147.0</v>
      </c>
      <c r="J1311" s="37">
        <v>932.2800000000001</v>
      </c>
      <c r="K1311" s="2">
        <v>39.0</v>
      </c>
      <c r="L1311" s="2">
        <v>249.0</v>
      </c>
      <c r="M1311" s="37">
        <v>1199.64</v>
      </c>
    </row>
    <row r="1312" ht="14.25" customHeight="1">
      <c r="A1312" t="s">
        <v>1393</v>
      </c>
      <c r="B1312" t="s">
        <v>1360</v>
      </c>
      <c r="C1312" t="s">
        <v>62</v>
      </c>
      <c r="D1312" t="s">
        <v>63</v>
      </c>
      <c r="E1312">
        <v>10.0</v>
      </c>
      <c r="F1312">
        <v>10.3</v>
      </c>
      <c r="G1312" s="2" t="s">
        <v>67</v>
      </c>
      <c r="H1312" s="2">
        <v>33.0</v>
      </c>
      <c r="I1312" s="2">
        <v>147.0</v>
      </c>
      <c r="J1312" s="37">
        <v>932.2800000000001</v>
      </c>
      <c r="K1312" s="2">
        <v>39.0</v>
      </c>
      <c r="L1312" s="2">
        <v>249.0</v>
      </c>
      <c r="M1312" s="37">
        <v>1199.64</v>
      </c>
    </row>
    <row r="1313" ht="14.25" customHeight="1">
      <c r="A1313" t="s">
        <v>1403</v>
      </c>
      <c r="B1313" t="s">
        <v>1360</v>
      </c>
      <c r="C1313" t="s">
        <v>62</v>
      </c>
      <c r="D1313" t="s">
        <v>63</v>
      </c>
      <c r="E1313">
        <v>3.517</v>
      </c>
      <c r="F1313">
        <v>3.8</v>
      </c>
      <c r="G1313" s="2" t="s">
        <v>64</v>
      </c>
      <c r="H1313" s="2">
        <v>0.0</v>
      </c>
      <c r="I1313" s="2">
        <v>0.0</v>
      </c>
      <c r="J1313" s="37">
        <v>0.0</v>
      </c>
      <c r="K1313" s="2">
        <v>0.0</v>
      </c>
      <c r="L1313" s="2">
        <v>0.0</v>
      </c>
      <c r="M1313" s="37">
        <v>0.0</v>
      </c>
    </row>
    <row r="1314" ht="14.25" customHeight="1">
      <c r="A1314" t="s">
        <v>1404</v>
      </c>
      <c r="B1314" t="s">
        <v>1360</v>
      </c>
      <c r="C1314" t="s">
        <v>62</v>
      </c>
      <c r="D1314" t="s">
        <v>63</v>
      </c>
      <c r="E1314">
        <v>3.517</v>
      </c>
      <c r="F1314">
        <v>3.8</v>
      </c>
      <c r="G1314" s="2" t="s">
        <v>64</v>
      </c>
      <c r="H1314" s="2">
        <v>0.0</v>
      </c>
      <c r="I1314" s="2">
        <v>0.0</v>
      </c>
      <c r="J1314" s="37">
        <v>0.0</v>
      </c>
      <c r="K1314" s="2">
        <v>0.0</v>
      </c>
      <c r="L1314" s="2">
        <v>0.0</v>
      </c>
      <c r="M1314" s="37">
        <v>0.0</v>
      </c>
    </row>
    <row r="1315" ht="14.25" customHeight="1">
      <c r="A1315" t="s">
        <v>1405</v>
      </c>
      <c r="B1315" t="s">
        <v>1360</v>
      </c>
      <c r="C1315" t="s">
        <v>62</v>
      </c>
      <c r="D1315" t="s">
        <v>63</v>
      </c>
      <c r="E1315">
        <v>3.517</v>
      </c>
      <c r="F1315">
        <v>3.8</v>
      </c>
      <c r="G1315" s="2" t="s">
        <v>64</v>
      </c>
      <c r="H1315" s="2">
        <v>0.0</v>
      </c>
      <c r="I1315" s="2">
        <v>0.0</v>
      </c>
      <c r="J1315" s="37">
        <v>0.0</v>
      </c>
      <c r="K1315" s="2">
        <v>0.0</v>
      </c>
      <c r="L1315" s="2">
        <v>0.0</v>
      </c>
      <c r="M1315" s="37">
        <v>0.0</v>
      </c>
    </row>
    <row r="1316" ht="14.25" customHeight="1">
      <c r="A1316" t="s">
        <v>1406</v>
      </c>
      <c r="B1316" t="s">
        <v>1360</v>
      </c>
      <c r="C1316" t="s">
        <v>62</v>
      </c>
      <c r="D1316" t="s">
        <v>63</v>
      </c>
      <c r="E1316">
        <v>3.517</v>
      </c>
      <c r="F1316">
        <v>4.0</v>
      </c>
      <c r="G1316" s="2" t="s">
        <v>67</v>
      </c>
      <c r="H1316" s="2">
        <v>10.0</v>
      </c>
      <c r="I1316" s="2">
        <v>38.0</v>
      </c>
      <c r="J1316" s="37">
        <v>274.0</v>
      </c>
      <c r="K1316" s="2">
        <v>12.0</v>
      </c>
      <c r="L1316" s="2">
        <v>67.0</v>
      </c>
      <c r="M1316" s="37">
        <v>356.62</v>
      </c>
    </row>
    <row r="1317" ht="14.25" customHeight="1">
      <c r="A1317" t="s">
        <v>1407</v>
      </c>
      <c r="B1317" t="s">
        <v>1360</v>
      </c>
      <c r="C1317" t="s">
        <v>62</v>
      </c>
      <c r="D1317" t="s">
        <v>63</v>
      </c>
      <c r="E1317">
        <v>3.517</v>
      </c>
      <c r="F1317">
        <v>4.0</v>
      </c>
      <c r="G1317" s="2" t="s">
        <v>67</v>
      </c>
      <c r="H1317" s="2">
        <v>10.0</v>
      </c>
      <c r="I1317" s="2">
        <v>38.0</v>
      </c>
      <c r="J1317" s="37">
        <v>274.0</v>
      </c>
      <c r="K1317" s="2">
        <v>12.0</v>
      </c>
      <c r="L1317" s="2">
        <v>67.0</v>
      </c>
      <c r="M1317" s="37">
        <v>356.62</v>
      </c>
    </row>
    <row r="1318" ht="14.25" customHeight="1">
      <c r="A1318" t="s">
        <v>1408</v>
      </c>
      <c r="B1318" t="s">
        <v>1360</v>
      </c>
      <c r="C1318" t="s">
        <v>62</v>
      </c>
      <c r="D1318" t="s">
        <v>63</v>
      </c>
      <c r="E1318">
        <v>3.517</v>
      </c>
      <c r="F1318">
        <v>4.0</v>
      </c>
      <c r="G1318" s="2" t="s">
        <v>67</v>
      </c>
      <c r="H1318" s="2">
        <v>10.0</v>
      </c>
      <c r="I1318" s="2">
        <v>38.0</v>
      </c>
      <c r="J1318" s="37">
        <v>274.0</v>
      </c>
      <c r="K1318" s="2">
        <v>12.0</v>
      </c>
      <c r="L1318" s="2">
        <v>67.0</v>
      </c>
      <c r="M1318" s="37">
        <v>356.62</v>
      </c>
    </row>
    <row r="1319" ht="14.25" customHeight="1">
      <c r="A1319" t="s">
        <v>1409</v>
      </c>
      <c r="B1319" t="s">
        <v>1360</v>
      </c>
      <c r="C1319" t="s">
        <v>62</v>
      </c>
      <c r="D1319" t="s">
        <v>63</v>
      </c>
      <c r="E1319">
        <v>2.5</v>
      </c>
      <c r="F1319">
        <v>3.0</v>
      </c>
      <c r="G1319" s="2" t="s">
        <v>64</v>
      </c>
      <c r="H1319" s="2">
        <v>0.0</v>
      </c>
      <c r="I1319" s="2">
        <v>0.0</v>
      </c>
      <c r="J1319" s="37">
        <v>0.0</v>
      </c>
      <c r="K1319" s="2">
        <v>0.0</v>
      </c>
      <c r="L1319" s="2">
        <v>0.0</v>
      </c>
      <c r="M1319" s="37">
        <v>0.0</v>
      </c>
    </row>
    <row r="1320" ht="14.25" customHeight="1">
      <c r="A1320" t="s">
        <v>1410</v>
      </c>
      <c r="B1320" t="s">
        <v>1360</v>
      </c>
      <c r="C1320" t="s">
        <v>62</v>
      </c>
      <c r="D1320" t="s">
        <v>63</v>
      </c>
      <c r="E1320">
        <v>2.5</v>
      </c>
      <c r="F1320">
        <v>3.0</v>
      </c>
      <c r="G1320" s="2" t="s">
        <v>64</v>
      </c>
      <c r="H1320" s="2">
        <v>0.0</v>
      </c>
      <c r="I1320" s="2">
        <v>0.0</v>
      </c>
      <c r="J1320" s="37">
        <v>0.0</v>
      </c>
      <c r="K1320" s="2">
        <v>0.0</v>
      </c>
      <c r="L1320" s="2">
        <v>0.0</v>
      </c>
      <c r="M1320" s="37">
        <v>0.0</v>
      </c>
    </row>
    <row r="1321" ht="14.25" customHeight="1">
      <c r="A1321" t="s">
        <v>1411</v>
      </c>
      <c r="B1321" t="s">
        <v>1360</v>
      </c>
      <c r="C1321" t="s">
        <v>62</v>
      </c>
      <c r="D1321" t="s">
        <v>63</v>
      </c>
      <c r="E1321">
        <v>2.5</v>
      </c>
      <c r="F1321">
        <v>3.0</v>
      </c>
      <c r="G1321" s="2" t="s">
        <v>64</v>
      </c>
      <c r="H1321" s="2">
        <v>0.0</v>
      </c>
      <c r="I1321" s="2">
        <v>0.0</v>
      </c>
      <c r="J1321" s="37">
        <v>0.0</v>
      </c>
      <c r="K1321" s="2">
        <v>0.0</v>
      </c>
      <c r="L1321" s="2">
        <v>0.0</v>
      </c>
      <c r="M1321" s="37">
        <v>0.0</v>
      </c>
    </row>
    <row r="1322" ht="14.25" customHeight="1">
      <c r="A1322" t="s">
        <v>1412</v>
      </c>
      <c r="B1322" t="s">
        <v>1360</v>
      </c>
      <c r="C1322" t="s">
        <v>62</v>
      </c>
      <c r="D1322" t="s">
        <v>63</v>
      </c>
      <c r="E1322">
        <v>10.0</v>
      </c>
      <c r="F1322">
        <v>10.3</v>
      </c>
      <c r="G1322" s="2" t="s">
        <v>64</v>
      </c>
      <c r="H1322" s="2">
        <v>0.0</v>
      </c>
      <c r="I1322" s="2">
        <v>0.0</v>
      </c>
      <c r="J1322" s="37">
        <v>0.0</v>
      </c>
      <c r="K1322" s="2">
        <v>0.0</v>
      </c>
      <c r="L1322" s="2">
        <v>0.0</v>
      </c>
      <c r="M1322" s="37">
        <v>0.0</v>
      </c>
    </row>
    <row r="1323" ht="14.25" customHeight="1">
      <c r="A1323" t="s">
        <v>1413</v>
      </c>
      <c r="B1323" t="s">
        <v>1360</v>
      </c>
      <c r="C1323" t="s">
        <v>62</v>
      </c>
      <c r="D1323" t="s">
        <v>63</v>
      </c>
      <c r="E1323">
        <v>3.517</v>
      </c>
      <c r="F1323">
        <v>4.0</v>
      </c>
      <c r="G1323" s="2" t="s">
        <v>67</v>
      </c>
      <c r="H1323" s="2">
        <v>10.0</v>
      </c>
      <c r="I1323" s="2">
        <v>38.0</v>
      </c>
      <c r="J1323" s="37">
        <v>274.0</v>
      </c>
      <c r="K1323" s="2">
        <v>11.0</v>
      </c>
      <c r="L1323" s="2">
        <v>67.0</v>
      </c>
      <c r="M1323" s="37">
        <v>334.16</v>
      </c>
    </row>
    <row r="1324" ht="14.25" customHeight="1">
      <c r="A1324" t="s">
        <v>1414</v>
      </c>
      <c r="B1324" t="s">
        <v>1360</v>
      </c>
      <c r="C1324" t="s">
        <v>62</v>
      </c>
      <c r="D1324" t="s">
        <v>63</v>
      </c>
      <c r="E1324">
        <v>5.2</v>
      </c>
      <c r="F1324">
        <v>6.0</v>
      </c>
      <c r="G1324" s="2" t="s">
        <v>67</v>
      </c>
      <c r="H1324" s="2">
        <v>17.0</v>
      </c>
      <c r="I1324" s="2">
        <v>99.0</v>
      </c>
      <c r="J1324" s="37">
        <v>510.52</v>
      </c>
      <c r="K1324" s="2">
        <v>20.0</v>
      </c>
      <c r="L1324" s="2">
        <v>146.0</v>
      </c>
      <c r="M1324" s="37">
        <v>639.0</v>
      </c>
    </row>
    <row r="1325" ht="14.25" customHeight="1">
      <c r="A1325" t="s">
        <v>1415</v>
      </c>
      <c r="B1325" t="s">
        <v>1360</v>
      </c>
      <c r="C1325" t="s">
        <v>62</v>
      </c>
      <c r="D1325" t="s">
        <v>63</v>
      </c>
      <c r="E1325">
        <v>5.2</v>
      </c>
      <c r="F1325">
        <v>5.6</v>
      </c>
      <c r="G1325" s="2" t="s">
        <v>67</v>
      </c>
      <c r="H1325" s="2">
        <v>17.0</v>
      </c>
      <c r="I1325" s="2">
        <v>125.0</v>
      </c>
      <c r="J1325" s="37">
        <v>544.3199999999999</v>
      </c>
      <c r="K1325" s="2">
        <v>20.0</v>
      </c>
      <c r="L1325" s="2">
        <v>173.0</v>
      </c>
      <c r="M1325" s="37">
        <v>674.1</v>
      </c>
    </row>
    <row r="1326" ht="14.25" customHeight="1">
      <c r="A1326" t="s">
        <v>1416</v>
      </c>
      <c r="B1326" t="s">
        <v>1360</v>
      </c>
      <c r="C1326" t="s">
        <v>62</v>
      </c>
      <c r="D1326" t="s">
        <v>63</v>
      </c>
      <c r="E1326">
        <v>5.2</v>
      </c>
      <c r="F1326">
        <v>5.6</v>
      </c>
      <c r="G1326" s="2" t="s">
        <v>67</v>
      </c>
      <c r="H1326" s="2">
        <v>17.0</v>
      </c>
      <c r="I1326" s="2">
        <v>125.0</v>
      </c>
      <c r="J1326" s="37">
        <v>544.3199999999999</v>
      </c>
      <c r="K1326" s="2">
        <v>20.0</v>
      </c>
      <c r="L1326" s="2">
        <v>173.0</v>
      </c>
      <c r="M1326" s="37">
        <v>674.1</v>
      </c>
    </row>
    <row r="1327" ht="14.25" customHeight="1">
      <c r="A1327" t="s">
        <v>1417</v>
      </c>
      <c r="B1327" t="s">
        <v>1360</v>
      </c>
      <c r="C1327" t="s">
        <v>62</v>
      </c>
      <c r="D1327" t="s">
        <v>63</v>
      </c>
      <c r="E1327">
        <v>5.2</v>
      </c>
      <c r="F1327">
        <v>5.6</v>
      </c>
      <c r="G1327" s="2" t="s">
        <v>67</v>
      </c>
      <c r="H1327" s="2">
        <v>17.0</v>
      </c>
      <c r="I1327" s="2">
        <v>125.0</v>
      </c>
      <c r="J1327" s="37">
        <v>544.3199999999999</v>
      </c>
      <c r="K1327" s="2">
        <v>20.0</v>
      </c>
      <c r="L1327" s="2">
        <v>173.0</v>
      </c>
      <c r="M1327" s="37">
        <v>674.1</v>
      </c>
    </row>
    <row r="1328" ht="14.25" customHeight="1">
      <c r="A1328" t="s">
        <v>1418</v>
      </c>
      <c r="B1328" t="s">
        <v>1360</v>
      </c>
      <c r="C1328" t="s">
        <v>62</v>
      </c>
      <c r="D1328" t="s">
        <v>63</v>
      </c>
      <c r="E1328">
        <v>8.5</v>
      </c>
      <c r="F1328">
        <v>9.0</v>
      </c>
      <c r="G1328" s="2" t="s">
        <v>67</v>
      </c>
      <c r="H1328" s="2">
        <v>27.0</v>
      </c>
      <c r="I1328" s="2">
        <v>101.0</v>
      </c>
      <c r="J1328" s="37">
        <v>737.72</v>
      </c>
      <c r="K1328" s="2">
        <v>31.0</v>
      </c>
      <c r="L1328" s="2">
        <v>179.0</v>
      </c>
      <c r="M1328" s="37">
        <v>928.96</v>
      </c>
    </row>
    <row r="1329" ht="14.25" customHeight="1">
      <c r="A1329" t="s">
        <v>1419</v>
      </c>
      <c r="B1329" t="s">
        <v>1360</v>
      </c>
      <c r="C1329" t="s">
        <v>62</v>
      </c>
      <c r="D1329" t="s">
        <v>63</v>
      </c>
      <c r="E1329">
        <v>8.5</v>
      </c>
      <c r="F1329">
        <v>9.0</v>
      </c>
      <c r="G1329" s="2" t="s">
        <v>67</v>
      </c>
      <c r="H1329" s="2">
        <v>27.0</v>
      </c>
      <c r="I1329" s="2">
        <v>101.0</v>
      </c>
      <c r="J1329" s="37">
        <v>737.72</v>
      </c>
      <c r="K1329" s="2">
        <v>31.0</v>
      </c>
      <c r="L1329" s="2">
        <v>179.0</v>
      </c>
      <c r="M1329" s="37">
        <v>928.96</v>
      </c>
    </row>
    <row r="1330" ht="14.25" customHeight="1">
      <c r="A1330" t="s">
        <v>1420</v>
      </c>
      <c r="B1330" t="s">
        <v>1360</v>
      </c>
      <c r="C1330" t="s">
        <v>62</v>
      </c>
      <c r="D1330" t="s">
        <v>63</v>
      </c>
      <c r="E1330">
        <v>8.5</v>
      </c>
      <c r="F1330">
        <v>9.0</v>
      </c>
      <c r="G1330" s="2" t="s">
        <v>67</v>
      </c>
      <c r="H1330" s="2">
        <v>27.0</v>
      </c>
      <c r="I1330" s="2">
        <v>101.0</v>
      </c>
      <c r="J1330" s="37">
        <v>737.72</v>
      </c>
      <c r="K1330" s="2">
        <v>31.0</v>
      </c>
      <c r="L1330" s="2">
        <v>179.0</v>
      </c>
      <c r="M1330" s="37">
        <v>928.96</v>
      </c>
    </row>
    <row r="1331" ht="14.25" customHeight="1">
      <c r="A1331" t="s">
        <v>1421</v>
      </c>
      <c r="B1331" t="s">
        <v>1360</v>
      </c>
      <c r="C1331" t="s">
        <v>62</v>
      </c>
      <c r="D1331" t="s">
        <v>63</v>
      </c>
      <c r="E1331">
        <v>7.1</v>
      </c>
      <c r="F1331">
        <v>8.0</v>
      </c>
      <c r="G1331" s="2" t="s">
        <v>67</v>
      </c>
      <c r="H1331" s="2">
        <v>23.0</v>
      </c>
      <c r="I1331" s="2">
        <v>107.0</v>
      </c>
      <c r="J1331" s="37">
        <v>655.6800000000001</v>
      </c>
      <c r="K1331" s="2">
        <v>27.0</v>
      </c>
      <c r="L1331" s="2">
        <v>171.0</v>
      </c>
      <c r="M1331" s="37">
        <v>828.72</v>
      </c>
    </row>
    <row r="1332" ht="14.25" customHeight="1">
      <c r="A1332" t="s">
        <v>1422</v>
      </c>
      <c r="B1332" t="s">
        <v>1360</v>
      </c>
      <c r="C1332" t="s">
        <v>62</v>
      </c>
      <c r="D1332" t="s">
        <v>63</v>
      </c>
      <c r="E1332">
        <v>5.2</v>
      </c>
      <c r="F1332">
        <v>5.6</v>
      </c>
      <c r="G1332" s="2" t="s">
        <v>67</v>
      </c>
      <c r="H1332" s="2">
        <v>16.0</v>
      </c>
      <c r="I1332" s="2">
        <v>78.0</v>
      </c>
      <c r="J1332" s="37">
        <v>460.76</v>
      </c>
      <c r="K1332" s="2">
        <v>18.0</v>
      </c>
      <c r="L1332" s="2">
        <v>125.0</v>
      </c>
      <c r="M1332" s="37">
        <v>566.78</v>
      </c>
    </row>
    <row r="1333" ht="14.25" customHeight="1">
      <c r="A1333" t="s">
        <v>1423</v>
      </c>
      <c r="B1333" t="s">
        <v>1360</v>
      </c>
      <c r="C1333" t="s">
        <v>62</v>
      </c>
      <c r="D1333" t="s">
        <v>63</v>
      </c>
      <c r="E1333">
        <v>5.2</v>
      </c>
      <c r="F1333">
        <v>5.6</v>
      </c>
      <c r="G1333" s="2" t="s">
        <v>67</v>
      </c>
      <c r="H1333" s="2">
        <v>16.0</v>
      </c>
      <c r="I1333" s="2">
        <v>78.0</v>
      </c>
      <c r="J1333" s="37">
        <v>460.76</v>
      </c>
      <c r="K1333" s="2">
        <v>18.0</v>
      </c>
      <c r="L1333" s="2">
        <v>125.0</v>
      </c>
      <c r="M1333" s="37">
        <v>566.78</v>
      </c>
    </row>
    <row r="1334" ht="14.25" customHeight="1">
      <c r="A1334" t="s">
        <v>1424</v>
      </c>
      <c r="B1334" t="s">
        <v>1360</v>
      </c>
      <c r="C1334" t="s">
        <v>62</v>
      </c>
      <c r="D1334" t="s">
        <v>63</v>
      </c>
      <c r="E1334">
        <v>5.2</v>
      </c>
      <c r="F1334">
        <v>5.6</v>
      </c>
      <c r="G1334" s="2" t="s">
        <v>67</v>
      </c>
      <c r="H1334" s="2">
        <v>16.0</v>
      </c>
      <c r="I1334" s="2">
        <v>78.0</v>
      </c>
      <c r="J1334" s="37">
        <v>460.76</v>
      </c>
      <c r="K1334" s="2">
        <v>18.0</v>
      </c>
      <c r="L1334" s="2">
        <v>125.0</v>
      </c>
      <c r="M1334" s="37">
        <v>566.78</v>
      </c>
    </row>
    <row r="1335" ht="14.25" customHeight="1">
      <c r="A1335" t="s">
        <v>1425</v>
      </c>
      <c r="B1335" t="s">
        <v>1360</v>
      </c>
      <c r="C1335" t="s">
        <v>62</v>
      </c>
      <c r="D1335" t="s">
        <v>467</v>
      </c>
      <c r="E1335">
        <v>6.09</v>
      </c>
      <c r="F1335">
        <v>5.65</v>
      </c>
      <c r="G1335" s="2" t="s">
        <v>64</v>
      </c>
      <c r="H1335" s="2">
        <v>0.0</v>
      </c>
      <c r="I1335" s="2">
        <v>0.0</v>
      </c>
      <c r="J1335" s="37">
        <v>0.0</v>
      </c>
      <c r="K1335" s="2">
        <v>0.0</v>
      </c>
      <c r="L1335" s="2">
        <v>0.0</v>
      </c>
      <c r="M1335" s="37">
        <v>0.0</v>
      </c>
    </row>
    <row r="1336" ht="14.25" customHeight="1">
      <c r="A1336" t="s">
        <v>1426</v>
      </c>
      <c r="B1336" t="s">
        <v>1360</v>
      </c>
      <c r="C1336" t="s">
        <v>62</v>
      </c>
      <c r="D1336" t="s">
        <v>467</v>
      </c>
      <c r="E1336">
        <v>6.09</v>
      </c>
      <c r="F1336">
        <v>5.65</v>
      </c>
      <c r="G1336" s="2" t="s">
        <v>64</v>
      </c>
      <c r="H1336" s="2">
        <v>0.0</v>
      </c>
      <c r="I1336" s="2">
        <v>0.0</v>
      </c>
      <c r="J1336" s="37">
        <v>0.0</v>
      </c>
      <c r="K1336" s="2">
        <v>0.0</v>
      </c>
      <c r="L1336" s="2">
        <v>0.0</v>
      </c>
      <c r="M1336" s="37">
        <v>0.0</v>
      </c>
    </row>
    <row r="1337" ht="14.25" customHeight="1">
      <c r="A1337" t="s">
        <v>1427</v>
      </c>
      <c r="B1337" t="s">
        <v>1360</v>
      </c>
      <c r="C1337" t="s">
        <v>62</v>
      </c>
      <c r="D1337" t="s">
        <v>467</v>
      </c>
      <c r="E1337">
        <v>6.09</v>
      </c>
      <c r="F1337">
        <v>5.65</v>
      </c>
      <c r="G1337" s="2" t="s">
        <v>64</v>
      </c>
      <c r="H1337" s="2">
        <v>0.0</v>
      </c>
      <c r="I1337" s="2">
        <v>0.0</v>
      </c>
      <c r="J1337" s="37">
        <v>0.0</v>
      </c>
      <c r="K1337" s="2">
        <v>0.0</v>
      </c>
      <c r="L1337" s="2">
        <v>0.0</v>
      </c>
      <c r="M1337" s="37">
        <v>0.0</v>
      </c>
    </row>
    <row r="1338" ht="14.25" customHeight="1">
      <c r="A1338" t="s">
        <v>1428</v>
      </c>
      <c r="B1338" t="s">
        <v>1360</v>
      </c>
      <c r="C1338" t="s">
        <v>62</v>
      </c>
      <c r="D1338" t="s">
        <v>467</v>
      </c>
      <c r="E1338">
        <v>6.09</v>
      </c>
      <c r="F1338">
        <v>5.65</v>
      </c>
      <c r="G1338" s="2" t="s">
        <v>64</v>
      </c>
      <c r="H1338" s="2">
        <v>0.0</v>
      </c>
      <c r="I1338" s="2">
        <v>0.0</v>
      </c>
      <c r="J1338" s="37">
        <v>0.0</v>
      </c>
      <c r="K1338" s="2">
        <v>0.0</v>
      </c>
      <c r="L1338" s="2">
        <v>0.0</v>
      </c>
      <c r="M1338" s="37">
        <v>0.0</v>
      </c>
    </row>
    <row r="1339" ht="14.25" customHeight="1">
      <c r="A1339" t="s">
        <v>1429</v>
      </c>
      <c r="B1339" t="s">
        <v>1360</v>
      </c>
      <c r="C1339" t="s">
        <v>62</v>
      </c>
      <c r="D1339" t="s">
        <v>467</v>
      </c>
      <c r="E1339">
        <v>6.09</v>
      </c>
      <c r="F1339">
        <v>5.65</v>
      </c>
      <c r="G1339" s="2" t="s">
        <v>64</v>
      </c>
      <c r="H1339" s="2">
        <v>0.0</v>
      </c>
      <c r="I1339" s="2">
        <v>0.0</v>
      </c>
      <c r="J1339" s="37">
        <v>0.0</v>
      </c>
      <c r="K1339" s="2">
        <v>0.0</v>
      </c>
      <c r="L1339" s="2">
        <v>0.0</v>
      </c>
      <c r="M1339" s="37">
        <v>0.0</v>
      </c>
    </row>
    <row r="1340" ht="14.25" customHeight="1">
      <c r="A1340" t="s">
        <v>1376</v>
      </c>
      <c r="B1340" t="s">
        <v>1360</v>
      </c>
      <c r="C1340" t="s">
        <v>62</v>
      </c>
      <c r="D1340" t="s">
        <v>63</v>
      </c>
      <c r="E1340">
        <v>6.3</v>
      </c>
      <c r="F1340">
        <v>7.4</v>
      </c>
      <c r="G1340" s="2" t="s">
        <v>67</v>
      </c>
      <c r="H1340" s="2">
        <v>21.0</v>
      </c>
      <c r="I1340" s="2">
        <v>122.0</v>
      </c>
      <c r="J1340" s="37">
        <v>630.26</v>
      </c>
      <c r="K1340" s="2">
        <v>24.0</v>
      </c>
      <c r="L1340" s="2">
        <v>180.0</v>
      </c>
      <c r="M1340" s="37">
        <v>773.04</v>
      </c>
    </row>
    <row r="1341" ht="14.25" customHeight="1">
      <c r="A1341" t="s">
        <v>1430</v>
      </c>
      <c r="B1341" t="s">
        <v>1360</v>
      </c>
      <c r="C1341" t="s">
        <v>62</v>
      </c>
      <c r="D1341" t="s">
        <v>63</v>
      </c>
      <c r="E1341">
        <v>6.3</v>
      </c>
      <c r="F1341">
        <v>7.4</v>
      </c>
      <c r="G1341" s="2" t="s">
        <v>67</v>
      </c>
      <c r="H1341" s="2">
        <v>21.0</v>
      </c>
      <c r="I1341" s="2">
        <v>122.0</v>
      </c>
      <c r="J1341" s="37">
        <v>630.26</v>
      </c>
      <c r="K1341" s="2">
        <v>24.0</v>
      </c>
      <c r="L1341" s="2">
        <v>180.0</v>
      </c>
      <c r="M1341" s="37">
        <v>773.04</v>
      </c>
    </row>
    <row r="1342" ht="14.25" customHeight="1">
      <c r="A1342" t="s">
        <v>1431</v>
      </c>
      <c r="B1342" t="s">
        <v>1360</v>
      </c>
      <c r="C1342" t="s">
        <v>62</v>
      </c>
      <c r="D1342" t="s">
        <v>63</v>
      </c>
      <c r="E1342">
        <v>6.3</v>
      </c>
      <c r="F1342">
        <v>7.4</v>
      </c>
      <c r="G1342" s="2" t="s">
        <v>67</v>
      </c>
      <c r="H1342" s="2">
        <v>21.0</v>
      </c>
      <c r="I1342" s="2">
        <v>122.0</v>
      </c>
      <c r="J1342" s="37">
        <v>630.26</v>
      </c>
      <c r="K1342" s="2">
        <v>24.0</v>
      </c>
      <c r="L1342" s="2">
        <v>180.0</v>
      </c>
      <c r="M1342" s="37">
        <v>773.04</v>
      </c>
    </row>
    <row r="1343" ht="14.25" customHeight="1">
      <c r="A1343" t="s">
        <v>1432</v>
      </c>
      <c r="B1343" t="s">
        <v>1360</v>
      </c>
      <c r="C1343" t="s">
        <v>62</v>
      </c>
      <c r="D1343" t="s">
        <v>63</v>
      </c>
      <c r="E1343">
        <v>6.3</v>
      </c>
      <c r="F1343">
        <v>7.4</v>
      </c>
      <c r="G1343" s="2" t="s">
        <v>67</v>
      </c>
      <c r="H1343" s="2">
        <v>21.0</v>
      </c>
      <c r="I1343" s="2">
        <v>122.0</v>
      </c>
      <c r="J1343" s="37">
        <v>630.26</v>
      </c>
      <c r="K1343" s="2">
        <v>24.0</v>
      </c>
      <c r="L1343" s="2">
        <v>180.0</v>
      </c>
      <c r="M1343" s="37">
        <v>773.04</v>
      </c>
    </row>
    <row r="1344" ht="14.25" customHeight="1">
      <c r="A1344" t="s">
        <v>1433</v>
      </c>
      <c r="B1344" t="s">
        <v>1360</v>
      </c>
      <c r="C1344" t="s">
        <v>75</v>
      </c>
      <c r="D1344" t="s">
        <v>63</v>
      </c>
      <c r="E1344">
        <v>14.0</v>
      </c>
      <c r="F1344">
        <v>16.0</v>
      </c>
      <c r="G1344" s="2" t="s">
        <v>67</v>
      </c>
      <c r="H1344" s="2">
        <v>45.0</v>
      </c>
      <c r="I1344" s="2">
        <v>176.0</v>
      </c>
      <c r="J1344" s="37">
        <v>1239.5</v>
      </c>
      <c r="K1344" s="2">
        <v>53.0</v>
      </c>
      <c r="L1344" s="2">
        <v>320.0</v>
      </c>
      <c r="M1344" s="37">
        <v>1606.38</v>
      </c>
    </row>
    <row r="1345" ht="14.25" customHeight="1">
      <c r="A1345" t="s">
        <v>1434</v>
      </c>
      <c r="B1345" t="s">
        <v>1360</v>
      </c>
      <c r="C1345" t="s">
        <v>62</v>
      </c>
      <c r="D1345" t="s">
        <v>63</v>
      </c>
      <c r="E1345">
        <v>12.5</v>
      </c>
      <c r="F1345">
        <v>14.0</v>
      </c>
      <c r="G1345" s="2" t="s">
        <v>67</v>
      </c>
      <c r="H1345" s="2">
        <v>41.0</v>
      </c>
      <c r="I1345" s="2">
        <v>54.0</v>
      </c>
      <c r="J1345" s="37">
        <v>991.0600000000001</v>
      </c>
      <c r="K1345" s="2">
        <v>48.0</v>
      </c>
      <c r="L1345" s="2">
        <v>182.0</v>
      </c>
      <c r="M1345" s="37">
        <v>1314.6799999999998</v>
      </c>
    </row>
    <row r="1346" ht="14.25" customHeight="1">
      <c r="A1346" t="s">
        <v>1435</v>
      </c>
      <c r="B1346" t="s">
        <v>1360</v>
      </c>
      <c r="C1346" t="s">
        <v>75</v>
      </c>
      <c r="D1346" t="s">
        <v>63</v>
      </c>
      <c r="E1346">
        <v>16.0</v>
      </c>
      <c r="F1346">
        <v>18.0</v>
      </c>
      <c r="G1346" s="2" t="s">
        <v>67</v>
      </c>
      <c r="H1346" s="2">
        <v>53.0</v>
      </c>
      <c r="I1346" s="2">
        <v>107.0</v>
      </c>
      <c r="J1346" s="37">
        <v>1329.48</v>
      </c>
      <c r="K1346" s="2">
        <v>62.0</v>
      </c>
      <c r="L1346" s="2">
        <v>271.0</v>
      </c>
      <c r="M1346" s="37">
        <v>1744.82</v>
      </c>
    </row>
    <row r="1347" ht="14.25" customHeight="1">
      <c r="A1347" t="s">
        <v>1436</v>
      </c>
      <c r="B1347" t="s">
        <v>1360</v>
      </c>
      <c r="C1347" t="s">
        <v>62</v>
      </c>
      <c r="D1347" t="s">
        <v>63</v>
      </c>
      <c r="E1347">
        <v>14.0</v>
      </c>
      <c r="F1347">
        <v>15.4</v>
      </c>
      <c r="G1347" s="2" t="s">
        <v>67</v>
      </c>
      <c r="H1347" s="2">
        <v>41.0</v>
      </c>
      <c r="I1347" s="2">
        <v>99.0</v>
      </c>
      <c r="J1347" s="37">
        <v>1049.56</v>
      </c>
      <c r="K1347" s="2">
        <v>49.0</v>
      </c>
      <c r="L1347" s="2">
        <v>243.0</v>
      </c>
      <c r="M1347" s="37">
        <v>1416.44</v>
      </c>
    </row>
    <row r="1348" ht="14.25" customHeight="1">
      <c r="A1348" t="s">
        <v>1437</v>
      </c>
      <c r="B1348" t="s">
        <v>1360</v>
      </c>
      <c r="C1348" t="s">
        <v>62</v>
      </c>
      <c r="D1348" t="s">
        <v>467</v>
      </c>
      <c r="E1348">
        <v>3.6</v>
      </c>
      <c r="F1348">
        <v>3.5</v>
      </c>
      <c r="G1348" s="2" t="s">
        <v>64</v>
      </c>
      <c r="H1348" s="2">
        <v>0.0</v>
      </c>
      <c r="I1348" s="2">
        <v>0.0</v>
      </c>
      <c r="J1348" s="37">
        <v>0.0</v>
      </c>
      <c r="K1348" s="2">
        <v>0.0</v>
      </c>
      <c r="L1348" s="2">
        <v>0.0</v>
      </c>
      <c r="M1348" s="37">
        <v>0.0</v>
      </c>
    </row>
    <row r="1349" ht="14.25" customHeight="1">
      <c r="A1349" t="s">
        <v>1438</v>
      </c>
      <c r="B1349" t="s">
        <v>1360</v>
      </c>
      <c r="C1349" t="s">
        <v>62</v>
      </c>
      <c r="D1349" t="s">
        <v>467</v>
      </c>
      <c r="E1349">
        <v>3.6</v>
      </c>
      <c r="F1349">
        <v>3.5</v>
      </c>
      <c r="G1349" s="2" t="s">
        <v>64</v>
      </c>
      <c r="H1349" s="2">
        <v>0.0</v>
      </c>
      <c r="I1349" s="2">
        <v>0.0</v>
      </c>
      <c r="J1349" s="37">
        <v>0.0</v>
      </c>
      <c r="K1349" s="2">
        <v>0.0</v>
      </c>
      <c r="L1349" s="2">
        <v>0.0</v>
      </c>
      <c r="M1349" s="37">
        <v>0.0</v>
      </c>
    </row>
    <row r="1350" ht="14.25" customHeight="1">
      <c r="A1350" t="s">
        <v>1439</v>
      </c>
      <c r="B1350" t="s">
        <v>1360</v>
      </c>
      <c r="C1350" t="s">
        <v>62</v>
      </c>
      <c r="D1350" t="s">
        <v>467</v>
      </c>
      <c r="E1350">
        <v>5.3</v>
      </c>
      <c r="F1350">
        <v>4.8</v>
      </c>
      <c r="G1350" s="2" t="s">
        <v>64</v>
      </c>
      <c r="H1350" s="2">
        <v>0.0</v>
      </c>
      <c r="I1350" s="2">
        <v>0.0</v>
      </c>
      <c r="J1350" s="37">
        <v>0.0</v>
      </c>
      <c r="K1350" s="2">
        <v>0.0</v>
      </c>
      <c r="L1350" s="2">
        <v>0.0</v>
      </c>
      <c r="M1350" s="37">
        <v>0.0</v>
      </c>
    </row>
    <row r="1351" ht="14.25" customHeight="1">
      <c r="A1351" t="s">
        <v>1440</v>
      </c>
      <c r="B1351" t="s">
        <v>1360</v>
      </c>
      <c r="C1351" t="s">
        <v>62</v>
      </c>
      <c r="D1351" t="s">
        <v>467</v>
      </c>
      <c r="E1351">
        <v>5.3</v>
      </c>
      <c r="F1351">
        <v>4.8</v>
      </c>
      <c r="G1351" s="2" t="s">
        <v>64</v>
      </c>
      <c r="H1351" s="2">
        <v>0.0</v>
      </c>
      <c r="I1351" s="2">
        <v>0.0</v>
      </c>
      <c r="J1351" s="37">
        <v>0.0</v>
      </c>
      <c r="K1351" s="2">
        <v>0.0</v>
      </c>
      <c r="L1351" s="2">
        <v>0.0</v>
      </c>
      <c r="M1351" s="37">
        <v>0.0</v>
      </c>
    </row>
    <row r="1352" ht="14.25" customHeight="1">
      <c r="A1352" t="s">
        <v>1441</v>
      </c>
      <c r="B1352" t="s">
        <v>1360</v>
      </c>
      <c r="C1352" t="s">
        <v>62</v>
      </c>
      <c r="D1352" t="s">
        <v>63</v>
      </c>
      <c r="E1352">
        <v>10.0</v>
      </c>
      <c r="F1352">
        <v>12.0</v>
      </c>
      <c r="G1352" s="2" t="s">
        <v>67</v>
      </c>
      <c r="H1352" s="2">
        <v>36.0</v>
      </c>
      <c r="I1352" s="2">
        <v>96.0</v>
      </c>
      <c r="J1352" s="37">
        <v>933.3600000000001</v>
      </c>
      <c r="K1352" s="2">
        <v>41.0</v>
      </c>
      <c r="L1352" s="2">
        <v>199.0</v>
      </c>
      <c r="M1352" s="37">
        <v>1179.56</v>
      </c>
    </row>
    <row r="1353" ht="14.25" customHeight="1">
      <c r="A1353" t="s">
        <v>1442</v>
      </c>
      <c r="B1353" t="s">
        <v>1360</v>
      </c>
      <c r="C1353" t="s">
        <v>62</v>
      </c>
      <c r="D1353" t="s">
        <v>467</v>
      </c>
      <c r="E1353">
        <v>2.8</v>
      </c>
      <c r="F1353">
        <v>2.43</v>
      </c>
      <c r="G1353" s="2" t="s">
        <v>64</v>
      </c>
      <c r="H1353" s="2">
        <v>0.0</v>
      </c>
      <c r="I1353" s="2">
        <v>0.0</v>
      </c>
      <c r="J1353" s="37">
        <v>0.0</v>
      </c>
      <c r="K1353" s="2">
        <v>0.0</v>
      </c>
      <c r="L1353" s="2">
        <v>0.0</v>
      </c>
      <c r="M1353" s="37">
        <v>0.0</v>
      </c>
    </row>
    <row r="1354" ht="14.25" customHeight="1">
      <c r="A1354" t="s">
        <v>1443</v>
      </c>
      <c r="B1354" t="s">
        <v>1360</v>
      </c>
      <c r="C1354" t="s">
        <v>62</v>
      </c>
      <c r="D1354" t="s">
        <v>467</v>
      </c>
      <c r="E1354">
        <v>2.8</v>
      </c>
      <c r="F1354">
        <v>2.43</v>
      </c>
      <c r="G1354" s="2" t="s">
        <v>64</v>
      </c>
      <c r="H1354" s="2">
        <v>0.0</v>
      </c>
      <c r="I1354" s="2">
        <v>0.0</v>
      </c>
      <c r="J1354" s="37">
        <v>0.0</v>
      </c>
      <c r="K1354" s="2">
        <v>0.0</v>
      </c>
      <c r="L1354" s="2">
        <v>0.0</v>
      </c>
      <c r="M1354" s="37">
        <v>0.0</v>
      </c>
    </row>
    <row r="1355" ht="14.25" customHeight="1">
      <c r="A1355" t="s">
        <v>1444</v>
      </c>
      <c r="B1355" t="s">
        <v>1360</v>
      </c>
      <c r="C1355" t="s">
        <v>62</v>
      </c>
      <c r="D1355" t="s">
        <v>63</v>
      </c>
      <c r="E1355">
        <v>7.1</v>
      </c>
      <c r="F1355">
        <v>8.0</v>
      </c>
      <c r="G1355" s="2" t="s">
        <v>67</v>
      </c>
      <c r="H1355" s="2">
        <v>23.0</v>
      </c>
      <c r="I1355" s="2">
        <v>69.0</v>
      </c>
      <c r="J1355" s="37">
        <v>606.2800000000001</v>
      </c>
      <c r="K1355" s="2">
        <v>26.0</v>
      </c>
      <c r="L1355" s="2">
        <v>134.0</v>
      </c>
      <c r="M1355" s="37">
        <v>758.1600000000001</v>
      </c>
    </row>
    <row r="1356" ht="14.25" customHeight="1">
      <c r="A1356" t="s">
        <v>1445</v>
      </c>
      <c r="B1356" t="s">
        <v>1360</v>
      </c>
      <c r="C1356" t="s">
        <v>62</v>
      </c>
      <c r="D1356" t="s">
        <v>63</v>
      </c>
      <c r="E1356">
        <v>5.3</v>
      </c>
      <c r="F1356">
        <v>5.8</v>
      </c>
      <c r="G1356" s="2" t="s">
        <v>67</v>
      </c>
      <c r="H1356" s="2">
        <v>18.0</v>
      </c>
      <c r="I1356" s="2">
        <v>117.0</v>
      </c>
      <c r="J1356" s="37">
        <v>556.38</v>
      </c>
      <c r="K1356" s="2">
        <v>20.0</v>
      </c>
      <c r="L1356" s="2">
        <v>165.0</v>
      </c>
      <c r="M1356" s="37">
        <v>663.7</v>
      </c>
    </row>
    <row r="1357" ht="14.25" customHeight="1">
      <c r="A1357" t="s">
        <v>1446</v>
      </c>
      <c r="B1357" t="s">
        <v>1360</v>
      </c>
      <c r="C1357" t="s">
        <v>62</v>
      </c>
      <c r="D1357" t="s">
        <v>63</v>
      </c>
      <c r="E1357">
        <v>5.2</v>
      </c>
      <c r="F1357">
        <v>5.8</v>
      </c>
      <c r="G1357" s="2" t="s">
        <v>64</v>
      </c>
      <c r="H1357" s="2">
        <v>0.0</v>
      </c>
      <c r="I1357" s="2">
        <v>0.0</v>
      </c>
      <c r="J1357" s="37">
        <v>0.0</v>
      </c>
      <c r="K1357" s="2">
        <v>0.0</v>
      </c>
      <c r="L1357" s="2">
        <v>0.0</v>
      </c>
      <c r="M1357" s="37">
        <v>0.0</v>
      </c>
    </row>
    <row r="1358" ht="14.25" customHeight="1">
      <c r="A1358" t="s">
        <v>1447</v>
      </c>
      <c r="B1358" t="s">
        <v>1360</v>
      </c>
      <c r="C1358" t="s">
        <v>62</v>
      </c>
      <c r="D1358" t="s">
        <v>63</v>
      </c>
      <c r="E1358">
        <v>8.2</v>
      </c>
      <c r="F1358">
        <v>9.0</v>
      </c>
      <c r="G1358" s="2" t="s">
        <v>67</v>
      </c>
      <c r="H1358" s="2">
        <v>26.0</v>
      </c>
      <c r="I1358" s="2">
        <v>18.0</v>
      </c>
      <c r="J1358" s="37">
        <v>607.36</v>
      </c>
      <c r="K1358" s="2">
        <v>30.0</v>
      </c>
      <c r="L1358" s="2">
        <v>93.0</v>
      </c>
      <c r="M1358" s="37">
        <v>794.7</v>
      </c>
    </row>
    <row r="1359" ht="14.25" customHeight="1">
      <c r="A1359" t="s">
        <v>1448</v>
      </c>
      <c r="B1359" t="s">
        <v>1360</v>
      </c>
      <c r="C1359" t="s">
        <v>62</v>
      </c>
      <c r="D1359" t="s">
        <v>63</v>
      </c>
      <c r="E1359">
        <v>7.1</v>
      </c>
      <c r="F1359">
        <v>7.8</v>
      </c>
      <c r="G1359" s="2" t="s">
        <v>67</v>
      </c>
      <c r="H1359" s="2">
        <v>23.0</v>
      </c>
      <c r="I1359" s="2">
        <v>84.0</v>
      </c>
      <c r="J1359" s="37">
        <v>625.7800000000001</v>
      </c>
      <c r="K1359" s="2">
        <v>27.0</v>
      </c>
      <c r="L1359" s="2">
        <v>149.0</v>
      </c>
      <c r="M1359" s="37">
        <v>800.1200000000001</v>
      </c>
    </row>
    <row r="1360" ht="14.25" customHeight="1">
      <c r="A1360" t="s">
        <v>1434</v>
      </c>
      <c r="B1360" t="s">
        <v>1360</v>
      </c>
      <c r="C1360" t="s">
        <v>62</v>
      </c>
      <c r="D1360" t="s">
        <v>63</v>
      </c>
      <c r="E1360">
        <v>12.5</v>
      </c>
      <c r="F1360">
        <v>14.0</v>
      </c>
      <c r="G1360" s="2" t="s">
        <v>67</v>
      </c>
      <c r="H1360" s="2">
        <v>41.0</v>
      </c>
      <c r="I1360" s="2">
        <v>54.0</v>
      </c>
      <c r="J1360" s="37">
        <v>991.0600000000001</v>
      </c>
      <c r="K1360" s="2">
        <v>48.0</v>
      </c>
      <c r="L1360" s="2">
        <v>182.0</v>
      </c>
      <c r="M1360" s="37">
        <v>1314.6799999999998</v>
      </c>
    </row>
    <row r="1361" ht="14.25" customHeight="1">
      <c r="A1361" t="s">
        <v>1449</v>
      </c>
      <c r="B1361" t="s">
        <v>1360</v>
      </c>
      <c r="C1361" t="s">
        <v>75</v>
      </c>
      <c r="D1361" t="s">
        <v>63</v>
      </c>
      <c r="E1361">
        <v>12.5</v>
      </c>
      <c r="F1361">
        <v>14.0</v>
      </c>
      <c r="G1361" s="2" t="s">
        <v>67</v>
      </c>
      <c r="H1361" s="2">
        <v>43.0</v>
      </c>
      <c r="I1361" s="2">
        <v>104.0</v>
      </c>
      <c r="J1361" s="37">
        <v>1100.98</v>
      </c>
      <c r="K1361" s="2">
        <v>50.0</v>
      </c>
      <c r="L1361" s="2">
        <v>232.0</v>
      </c>
      <c r="M1361" s="37">
        <v>1424.6</v>
      </c>
    </row>
    <row r="1362" ht="14.25" customHeight="1">
      <c r="A1362" t="s">
        <v>1441</v>
      </c>
      <c r="B1362" t="s">
        <v>1360</v>
      </c>
      <c r="C1362" t="s">
        <v>62</v>
      </c>
      <c r="D1362" t="s">
        <v>63</v>
      </c>
      <c r="E1362">
        <v>10.0</v>
      </c>
      <c r="F1362">
        <v>12.0</v>
      </c>
      <c r="G1362" s="2" t="s">
        <v>67</v>
      </c>
      <c r="H1362" s="2">
        <v>36.0</v>
      </c>
      <c r="I1362" s="2">
        <v>96.0</v>
      </c>
      <c r="J1362" s="37">
        <v>933.3600000000001</v>
      </c>
      <c r="K1362" s="2">
        <v>41.0</v>
      </c>
      <c r="L1362" s="2">
        <v>199.0</v>
      </c>
      <c r="M1362" s="37">
        <v>1179.56</v>
      </c>
    </row>
    <row r="1363" ht="14.25" customHeight="1">
      <c r="A1363" t="s">
        <v>1450</v>
      </c>
      <c r="B1363" t="s">
        <v>1360</v>
      </c>
      <c r="C1363" t="s">
        <v>75</v>
      </c>
      <c r="D1363" t="s">
        <v>63</v>
      </c>
      <c r="E1363">
        <v>10.0</v>
      </c>
      <c r="F1363">
        <v>12.0</v>
      </c>
      <c r="G1363" s="2" t="s">
        <v>67</v>
      </c>
      <c r="H1363" s="2">
        <v>36.0</v>
      </c>
      <c r="I1363" s="2">
        <v>155.0</v>
      </c>
      <c r="J1363" s="37">
        <v>1010.0600000000001</v>
      </c>
      <c r="K1363" s="2">
        <v>41.0</v>
      </c>
      <c r="L1363" s="2">
        <v>258.0</v>
      </c>
      <c r="M1363" s="37">
        <v>1256.26</v>
      </c>
    </row>
    <row r="1364" ht="14.25" customHeight="1">
      <c r="A1364" t="s">
        <v>1444</v>
      </c>
      <c r="B1364" t="s">
        <v>1360</v>
      </c>
      <c r="C1364" t="s">
        <v>62</v>
      </c>
      <c r="D1364" t="s">
        <v>63</v>
      </c>
      <c r="E1364">
        <v>7.1</v>
      </c>
      <c r="F1364">
        <v>8.0</v>
      </c>
      <c r="G1364" s="2" t="s">
        <v>67</v>
      </c>
      <c r="H1364" s="2">
        <v>23.0</v>
      </c>
      <c r="I1364" s="2">
        <v>69.0</v>
      </c>
      <c r="J1364" s="37">
        <v>606.2800000000001</v>
      </c>
      <c r="K1364" s="2">
        <v>26.0</v>
      </c>
      <c r="L1364" s="2">
        <v>134.0</v>
      </c>
      <c r="M1364" s="37">
        <v>758.1600000000001</v>
      </c>
    </row>
    <row r="1365" ht="14.25" customHeight="1">
      <c r="A1365" t="s">
        <v>1451</v>
      </c>
      <c r="B1365" t="s">
        <v>1360</v>
      </c>
      <c r="C1365" t="s">
        <v>75</v>
      </c>
      <c r="D1365" t="s">
        <v>63</v>
      </c>
      <c r="E1365">
        <v>7.1</v>
      </c>
      <c r="F1365">
        <v>8.0</v>
      </c>
      <c r="G1365" s="2" t="s">
        <v>67</v>
      </c>
      <c r="H1365" s="2">
        <v>24.0</v>
      </c>
      <c r="I1365" s="2">
        <v>94.0</v>
      </c>
      <c r="J1365" s="37">
        <v>661.24</v>
      </c>
      <c r="K1365" s="2">
        <v>28.0</v>
      </c>
      <c r="L1365" s="2">
        <v>167.0</v>
      </c>
      <c r="M1365" s="37">
        <v>845.98</v>
      </c>
    </row>
    <row r="1366" ht="14.25" customHeight="1">
      <c r="A1366" t="s">
        <v>1452</v>
      </c>
      <c r="B1366" t="s">
        <v>1360</v>
      </c>
      <c r="C1366" t="s">
        <v>75</v>
      </c>
      <c r="D1366" t="s">
        <v>63</v>
      </c>
      <c r="E1366">
        <v>5.3</v>
      </c>
      <c r="F1366">
        <v>5.8</v>
      </c>
      <c r="G1366" s="2" t="s">
        <v>67</v>
      </c>
      <c r="H1366" s="2">
        <v>18.0</v>
      </c>
      <c r="I1366" s="2">
        <v>136.0</v>
      </c>
      <c r="J1366" s="37">
        <v>581.08</v>
      </c>
      <c r="K1366" s="2">
        <v>21.0</v>
      </c>
      <c r="L1366" s="2">
        <v>190.0</v>
      </c>
      <c r="M1366" s="37">
        <v>718.6600000000001</v>
      </c>
    </row>
    <row r="1367" ht="14.25" customHeight="1">
      <c r="A1367" t="s">
        <v>1445</v>
      </c>
      <c r="B1367" t="s">
        <v>1360</v>
      </c>
      <c r="C1367" t="s">
        <v>62</v>
      </c>
      <c r="D1367" t="s">
        <v>63</v>
      </c>
      <c r="E1367">
        <v>5.3</v>
      </c>
      <c r="F1367">
        <v>5.8</v>
      </c>
      <c r="G1367" s="2" t="s">
        <v>67</v>
      </c>
      <c r="H1367" s="2">
        <v>18.0</v>
      </c>
      <c r="I1367" s="2">
        <v>117.0</v>
      </c>
      <c r="J1367" s="37">
        <v>556.38</v>
      </c>
      <c r="K1367" s="2">
        <v>20.0</v>
      </c>
      <c r="L1367" s="2">
        <v>165.0</v>
      </c>
      <c r="M1367" s="37">
        <v>663.7</v>
      </c>
    </row>
    <row r="1368" ht="14.25" customHeight="1">
      <c r="A1368" t="s">
        <v>1441</v>
      </c>
      <c r="B1368" t="s">
        <v>1360</v>
      </c>
      <c r="C1368" t="s">
        <v>62</v>
      </c>
      <c r="D1368" t="s">
        <v>63</v>
      </c>
      <c r="E1368">
        <v>10.0</v>
      </c>
      <c r="F1368">
        <v>12.0</v>
      </c>
      <c r="G1368" s="2" t="s">
        <v>67</v>
      </c>
      <c r="H1368" s="2">
        <v>36.0</v>
      </c>
      <c r="I1368" s="2">
        <v>96.0</v>
      </c>
      <c r="J1368" s="37">
        <v>933.3600000000001</v>
      </c>
      <c r="K1368" s="2">
        <v>41.0</v>
      </c>
      <c r="L1368" s="2">
        <v>199.0</v>
      </c>
      <c r="M1368" s="37">
        <v>1179.56</v>
      </c>
    </row>
    <row r="1369" ht="14.25" customHeight="1">
      <c r="A1369" t="s">
        <v>1380</v>
      </c>
      <c r="B1369" t="s">
        <v>1360</v>
      </c>
      <c r="C1369" t="s">
        <v>62</v>
      </c>
      <c r="D1369" t="s">
        <v>63</v>
      </c>
      <c r="E1369">
        <v>8.5</v>
      </c>
      <c r="F1369">
        <v>9.0</v>
      </c>
      <c r="G1369" s="2" t="s">
        <v>67</v>
      </c>
      <c r="H1369" s="2">
        <v>27.0</v>
      </c>
      <c r="I1369" s="2">
        <v>101.0</v>
      </c>
      <c r="J1369" s="37">
        <v>737.72</v>
      </c>
      <c r="K1369" s="2">
        <v>31.0</v>
      </c>
      <c r="L1369" s="2">
        <v>179.0</v>
      </c>
      <c r="M1369" s="37">
        <v>928.96</v>
      </c>
    </row>
    <row r="1370" ht="14.25" customHeight="1">
      <c r="A1370" t="s">
        <v>1390</v>
      </c>
      <c r="B1370" t="s">
        <v>1360</v>
      </c>
      <c r="C1370" t="s">
        <v>62</v>
      </c>
      <c r="D1370" t="s">
        <v>63</v>
      </c>
      <c r="E1370">
        <v>8.5</v>
      </c>
      <c r="F1370">
        <v>9.0</v>
      </c>
      <c r="G1370" s="2" t="s">
        <v>67</v>
      </c>
      <c r="H1370" s="2">
        <v>27.0</v>
      </c>
      <c r="I1370" s="2">
        <v>101.0</v>
      </c>
      <c r="J1370" s="37">
        <v>737.72</v>
      </c>
      <c r="K1370" s="2">
        <v>31.0</v>
      </c>
      <c r="L1370" s="2">
        <v>179.0</v>
      </c>
      <c r="M1370" s="37">
        <v>928.96</v>
      </c>
    </row>
    <row r="1371" ht="14.25" customHeight="1">
      <c r="A1371" t="s">
        <v>1391</v>
      </c>
      <c r="B1371" t="s">
        <v>1360</v>
      </c>
      <c r="C1371" t="s">
        <v>62</v>
      </c>
      <c r="D1371" t="s">
        <v>63</v>
      </c>
      <c r="E1371">
        <v>8.5</v>
      </c>
      <c r="F1371">
        <v>9.0</v>
      </c>
      <c r="G1371" s="2" t="s">
        <v>67</v>
      </c>
      <c r="H1371" s="2">
        <v>27.0</v>
      </c>
      <c r="I1371" s="2">
        <v>101.0</v>
      </c>
      <c r="J1371" s="37">
        <v>737.72</v>
      </c>
      <c r="K1371" s="2">
        <v>31.0</v>
      </c>
      <c r="L1371" s="2">
        <v>179.0</v>
      </c>
      <c r="M1371" s="37">
        <v>928.96</v>
      </c>
    </row>
    <row r="1372" ht="14.25" customHeight="1">
      <c r="A1372" t="s">
        <v>1420</v>
      </c>
      <c r="B1372" t="s">
        <v>1360</v>
      </c>
      <c r="C1372" t="s">
        <v>62</v>
      </c>
      <c r="D1372" t="s">
        <v>63</v>
      </c>
      <c r="E1372">
        <v>8.5</v>
      </c>
      <c r="F1372">
        <v>9.0</v>
      </c>
      <c r="G1372" s="2" t="s">
        <v>67</v>
      </c>
      <c r="H1372" s="2">
        <v>27.0</v>
      </c>
      <c r="I1372" s="2">
        <v>101.0</v>
      </c>
      <c r="J1372" s="37">
        <v>737.72</v>
      </c>
      <c r="K1372" s="2">
        <v>31.0</v>
      </c>
      <c r="L1372" s="2">
        <v>179.0</v>
      </c>
      <c r="M1372" s="37">
        <v>928.96</v>
      </c>
    </row>
    <row r="1373" ht="14.25" customHeight="1">
      <c r="A1373" t="s">
        <v>1418</v>
      </c>
      <c r="B1373" t="s">
        <v>1360</v>
      </c>
      <c r="C1373" t="s">
        <v>62</v>
      </c>
      <c r="D1373" t="s">
        <v>63</v>
      </c>
      <c r="E1373">
        <v>8.5</v>
      </c>
      <c r="F1373">
        <v>9.0</v>
      </c>
      <c r="G1373" s="2" t="s">
        <v>67</v>
      </c>
      <c r="H1373" s="2">
        <v>27.0</v>
      </c>
      <c r="I1373" s="2">
        <v>101.0</v>
      </c>
      <c r="J1373" s="37">
        <v>737.72</v>
      </c>
      <c r="K1373" s="2">
        <v>31.0</v>
      </c>
      <c r="L1373" s="2">
        <v>179.0</v>
      </c>
      <c r="M1373" s="37">
        <v>928.96</v>
      </c>
    </row>
    <row r="1374" ht="14.25" customHeight="1">
      <c r="A1374" t="s">
        <v>1419</v>
      </c>
      <c r="B1374" t="s">
        <v>1360</v>
      </c>
      <c r="C1374" t="s">
        <v>62</v>
      </c>
      <c r="D1374" t="s">
        <v>63</v>
      </c>
      <c r="E1374">
        <v>8.5</v>
      </c>
      <c r="F1374">
        <v>9.0</v>
      </c>
      <c r="G1374" s="2" t="s">
        <v>67</v>
      </c>
      <c r="H1374" s="2">
        <v>27.0</v>
      </c>
      <c r="I1374" s="2">
        <v>101.0</v>
      </c>
      <c r="J1374" s="37">
        <v>737.72</v>
      </c>
      <c r="K1374" s="2">
        <v>31.0</v>
      </c>
      <c r="L1374" s="2">
        <v>179.0</v>
      </c>
      <c r="M1374" s="37">
        <v>928.96</v>
      </c>
    </row>
    <row r="1375" ht="14.25" customHeight="1">
      <c r="A1375" t="s">
        <v>1389</v>
      </c>
      <c r="B1375" t="s">
        <v>1360</v>
      </c>
      <c r="C1375" t="s">
        <v>62</v>
      </c>
      <c r="D1375" t="s">
        <v>63</v>
      </c>
      <c r="E1375">
        <v>8.5</v>
      </c>
      <c r="F1375">
        <v>9.0</v>
      </c>
      <c r="G1375" s="2" t="s">
        <v>67</v>
      </c>
      <c r="H1375" s="2">
        <v>27.0</v>
      </c>
      <c r="I1375" s="2">
        <v>101.0</v>
      </c>
      <c r="J1375" s="37">
        <v>737.72</v>
      </c>
      <c r="K1375" s="2">
        <v>31.0</v>
      </c>
      <c r="L1375" s="2">
        <v>179.0</v>
      </c>
      <c r="M1375" s="37">
        <v>928.96</v>
      </c>
    </row>
    <row r="1376" ht="14.25" customHeight="1">
      <c r="A1376" t="s">
        <v>1453</v>
      </c>
      <c r="B1376" t="s">
        <v>1360</v>
      </c>
      <c r="C1376" t="s">
        <v>62</v>
      </c>
      <c r="D1376" t="s">
        <v>63</v>
      </c>
      <c r="E1376">
        <v>8.5</v>
      </c>
      <c r="F1376">
        <v>9.0</v>
      </c>
      <c r="G1376" s="2" t="s">
        <v>67</v>
      </c>
      <c r="H1376" s="2">
        <v>27.0</v>
      </c>
      <c r="I1376" s="2">
        <v>101.0</v>
      </c>
      <c r="J1376" s="37">
        <v>737.72</v>
      </c>
      <c r="K1376" s="2">
        <v>31.0</v>
      </c>
      <c r="L1376" s="2">
        <v>179.0</v>
      </c>
      <c r="M1376" s="37">
        <v>928.96</v>
      </c>
    </row>
    <row r="1377" ht="14.25" customHeight="1">
      <c r="A1377" t="s">
        <v>1397</v>
      </c>
      <c r="B1377" t="s">
        <v>1360</v>
      </c>
      <c r="C1377" t="s">
        <v>62</v>
      </c>
      <c r="D1377" t="s">
        <v>63</v>
      </c>
      <c r="E1377">
        <v>10.0</v>
      </c>
      <c r="F1377">
        <v>10.3</v>
      </c>
      <c r="G1377" s="2" t="s">
        <v>67</v>
      </c>
      <c r="H1377" s="2">
        <v>33.0</v>
      </c>
      <c r="I1377" s="2">
        <v>147.0</v>
      </c>
      <c r="J1377" s="37">
        <v>932.2800000000001</v>
      </c>
      <c r="K1377" s="2">
        <v>39.0</v>
      </c>
      <c r="L1377" s="2">
        <v>249.0</v>
      </c>
      <c r="M1377" s="37">
        <v>1199.64</v>
      </c>
    </row>
    <row r="1378" ht="14.25" customHeight="1">
      <c r="A1378" t="s">
        <v>1378</v>
      </c>
      <c r="B1378" t="s">
        <v>1360</v>
      </c>
      <c r="C1378" t="s">
        <v>62</v>
      </c>
      <c r="D1378" t="s">
        <v>63</v>
      </c>
      <c r="E1378">
        <v>10.0</v>
      </c>
      <c r="F1378">
        <v>10.3</v>
      </c>
      <c r="G1378" s="2" t="s">
        <v>67</v>
      </c>
      <c r="H1378" s="2">
        <v>33.0</v>
      </c>
      <c r="I1378" s="2">
        <v>147.0</v>
      </c>
      <c r="J1378" s="37">
        <v>932.2800000000001</v>
      </c>
      <c r="K1378" s="2">
        <v>39.0</v>
      </c>
      <c r="L1378" s="2">
        <v>249.0</v>
      </c>
      <c r="M1378" s="37">
        <v>1199.64</v>
      </c>
    </row>
    <row r="1379" ht="14.25" customHeight="1">
      <c r="A1379" t="s">
        <v>1393</v>
      </c>
      <c r="B1379" t="s">
        <v>1360</v>
      </c>
      <c r="C1379" t="s">
        <v>62</v>
      </c>
      <c r="D1379" t="s">
        <v>63</v>
      </c>
      <c r="E1379">
        <v>10.0</v>
      </c>
      <c r="F1379">
        <v>10.3</v>
      </c>
      <c r="G1379" s="2" t="s">
        <v>67</v>
      </c>
      <c r="H1379" s="2">
        <v>33.0</v>
      </c>
      <c r="I1379" s="2">
        <v>147.0</v>
      </c>
      <c r="J1379" s="37">
        <v>932.2800000000001</v>
      </c>
      <c r="K1379" s="2">
        <v>39.0</v>
      </c>
      <c r="L1379" s="2">
        <v>249.0</v>
      </c>
      <c r="M1379" s="37">
        <v>1199.64</v>
      </c>
    </row>
    <row r="1380" ht="14.25" customHeight="1">
      <c r="A1380" t="s">
        <v>1447</v>
      </c>
      <c r="B1380" t="s">
        <v>1360</v>
      </c>
      <c r="C1380" t="s">
        <v>62</v>
      </c>
      <c r="D1380" t="s">
        <v>63</v>
      </c>
      <c r="E1380">
        <v>8.2</v>
      </c>
      <c r="F1380">
        <v>9.0</v>
      </c>
      <c r="G1380" s="2" t="s">
        <v>67</v>
      </c>
      <c r="H1380" s="2">
        <v>26.0</v>
      </c>
      <c r="I1380" s="2">
        <v>18.0</v>
      </c>
      <c r="J1380" s="37">
        <v>607.36</v>
      </c>
      <c r="K1380" s="2">
        <v>30.0</v>
      </c>
      <c r="L1380" s="2">
        <v>93.0</v>
      </c>
      <c r="M1380" s="37">
        <v>794.7</v>
      </c>
    </row>
    <row r="1381" ht="14.25" customHeight="1">
      <c r="A1381" t="s">
        <v>1454</v>
      </c>
      <c r="B1381" t="s">
        <v>1360</v>
      </c>
      <c r="C1381" t="s">
        <v>62</v>
      </c>
      <c r="D1381" t="s">
        <v>63</v>
      </c>
      <c r="E1381">
        <v>8.2</v>
      </c>
      <c r="F1381">
        <v>9.0</v>
      </c>
      <c r="G1381" s="2" t="s">
        <v>67</v>
      </c>
      <c r="H1381" s="2">
        <v>26.0</v>
      </c>
      <c r="I1381" s="2">
        <v>18.0</v>
      </c>
      <c r="J1381" s="37">
        <v>607.36</v>
      </c>
      <c r="K1381" s="2">
        <v>30.0</v>
      </c>
      <c r="L1381" s="2">
        <v>93.0</v>
      </c>
      <c r="M1381" s="37">
        <v>794.7</v>
      </c>
    </row>
    <row r="1382" ht="14.25" customHeight="1">
      <c r="A1382" t="s">
        <v>1455</v>
      </c>
      <c r="B1382" t="s">
        <v>1360</v>
      </c>
      <c r="C1382" t="s">
        <v>62</v>
      </c>
      <c r="D1382" t="s">
        <v>63</v>
      </c>
      <c r="E1382">
        <v>8.2</v>
      </c>
      <c r="F1382">
        <v>9.0</v>
      </c>
      <c r="G1382" s="2" t="s">
        <v>67</v>
      </c>
      <c r="H1382" s="2">
        <v>26.0</v>
      </c>
      <c r="I1382" s="2">
        <v>18.0</v>
      </c>
      <c r="J1382" s="37">
        <v>607.36</v>
      </c>
      <c r="K1382" s="2">
        <v>30.0</v>
      </c>
      <c r="L1382" s="2">
        <v>93.0</v>
      </c>
      <c r="M1382" s="37">
        <v>794.7</v>
      </c>
    </row>
    <row r="1383" ht="14.25" customHeight="1">
      <c r="A1383" t="s">
        <v>1456</v>
      </c>
      <c r="B1383" t="s">
        <v>1360</v>
      </c>
      <c r="C1383" t="s">
        <v>62</v>
      </c>
      <c r="D1383" t="s">
        <v>63</v>
      </c>
      <c r="E1383">
        <v>3.52</v>
      </c>
      <c r="F1383">
        <v>4.0</v>
      </c>
      <c r="G1383" s="2" t="s">
        <v>67</v>
      </c>
      <c r="H1383" s="2">
        <v>11.0</v>
      </c>
      <c r="I1383" s="2">
        <v>47.0</v>
      </c>
      <c r="J1383" s="37">
        <v>308.16</v>
      </c>
      <c r="K1383" s="2">
        <v>12.0</v>
      </c>
      <c r="L1383" s="2">
        <v>76.0</v>
      </c>
      <c r="M1383" s="37">
        <v>368.32</v>
      </c>
    </row>
    <row r="1384" ht="14.25" customHeight="1">
      <c r="A1384" t="s">
        <v>1457</v>
      </c>
      <c r="B1384" t="s">
        <v>1360</v>
      </c>
      <c r="C1384" t="s">
        <v>62</v>
      </c>
      <c r="D1384" t="s">
        <v>63</v>
      </c>
      <c r="E1384">
        <v>5.0</v>
      </c>
      <c r="F1384">
        <v>6.0</v>
      </c>
      <c r="G1384" s="2" t="s">
        <v>67</v>
      </c>
      <c r="H1384" s="2">
        <v>18.0</v>
      </c>
      <c r="I1384" s="2">
        <v>89.0</v>
      </c>
      <c r="J1384" s="37">
        <v>519.98</v>
      </c>
      <c r="K1384" s="2">
        <v>20.0</v>
      </c>
      <c r="L1384" s="2">
        <v>135.0</v>
      </c>
      <c r="M1384" s="37">
        <v>624.7</v>
      </c>
    </row>
    <row r="1385" ht="14.25" customHeight="1">
      <c r="A1385" t="s">
        <v>1458</v>
      </c>
      <c r="B1385" t="s">
        <v>1360</v>
      </c>
      <c r="C1385" t="s">
        <v>62</v>
      </c>
      <c r="D1385" t="s">
        <v>63</v>
      </c>
      <c r="E1385">
        <v>2.7</v>
      </c>
      <c r="F1385">
        <v>3.2</v>
      </c>
      <c r="G1385" s="2" t="s">
        <v>67</v>
      </c>
      <c r="H1385" s="2">
        <v>8.0</v>
      </c>
      <c r="I1385" s="2">
        <v>48.0</v>
      </c>
      <c r="J1385" s="37">
        <v>242.08</v>
      </c>
      <c r="K1385" s="2">
        <v>9.0</v>
      </c>
      <c r="L1385" s="2">
        <v>70.0</v>
      </c>
      <c r="M1385" s="37">
        <v>293.14</v>
      </c>
    </row>
    <row r="1386" ht="14.25" customHeight="1">
      <c r="A1386" t="s">
        <v>1459</v>
      </c>
      <c r="B1386" t="s">
        <v>1360</v>
      </c>
      <c r="C1386" t="s">
        <v>62</v>
      </c>
      <c r="D1386" t="s">
        <v>63</v>
      </c>
      <c r="E1386">
        <v>7.034</v>
      </c>
      <c r="F1386">
        <v>8.0</v>
      </c>
      <c r="G1386" s="2" t="s">
        <v>64</v>
      </c>
      <c r="H1386" s="2">
        <v>0.0</v>
      </c>
      <c r="I1386" s="2">
        <v>0.0</v>
      </c>
      <c r="J1386" s="37">
        <v>0.0</v>
      </c>
      <c r="K1386" s="2">
        <v>0.0</v>
      </c>
      <c r="L1386" s="2">
        <v>0.0</v>
      </c>
      <c r="M1386" s="37">
        <v>0.0</v>
      </c>
    </row>
    <row r="1387" ht="14.25" customHeight="1">
      <c r="A1387" t="s">
        <v>1425</v>
      </c>
      <c r="B1387" t="s">
        <v>1360</v>
      </c>
      <c r="C1387" t="s">
        <v>62</v>
      </c>
      <c r="D1387" t="s">
        <v>467</v>
      </c>
      <c r="E1387">
        <v>6.09</v>
      </c>
      <c r="F1387">
        <v>5.8</v>
      </c>
      <c r="G1387" s="2" t="s">
        <v>64</v>
      </c>
      <c r="H1387" s="2">
        <v>0.0</v>
      </c>
      <c r="I1387" s="2">
        <v>0.0</v>
      </c>
      <c r="J1387" s="37">
        <v>0.0</v>
      </c>
      <c r="K1387" s="2">
        <v>0.0</v>
      </c>
      <c r="L1387" s="2">
        <v>0.0</v>
      </c>
      <c r="M1387" s="37">
        <v>0.0</v>
      </c>
    </row>
    <row r="1388" ht="14.25" customHeight="1">
      <c r="A1388" t="s">
        <v>1426</v>
      </c>
      <c r="B1388" t="s">
        <v>1360</v>
      </c>
      <c r="C1388" t="s">
        <v>62</v>
      </c>
      <c r="D1388" t="s">
        <v>467</v>
      </c>
      <c r="E1388">
        <v>6.09</v>
      </c>
      <c r="F1388">
        <v>5.8</v>
      </c>
      <c r="G1388" s="2" t="s">
        <v>64</v>
      </c>
      <c r="H1388" s="2">
        <v>0.0</v>
      </c>
      <c r="I1388" s="2">
        <v>0.0</v>
      </c>
      <c r="J1388" s="37">
        <v>0.0</v>
      </c>
      <c r="K1388" s="2">
        <v>0.0</v>
      </c>
      <c r="L1388" s="2">
        <v>0.0</v>
      </c>
      <c r="M1388" s="37">
        <v>0.0</v>
      </c>
    </row>
    <row r="1389" ht="14.25" customHeight="1">
      <c r="A1389" t="s">
        <v>1427</v>
      </c>
      <c r="B1389" t="s">
        <v>1360</v>
      </c>
      <c r="C1389" t="s">
        <v>62</v>
      </c>
      <c r="D1389" t="s">
        <v>467</v>
      </c>
      <c r="E1389">
        <v>6.09</v>
      </c>
      <c r="F1389">
        <v>5.8</v>
      </c>
      <c r="G1389" s="2" t="s">
        <v>64</v>
      </c>
      <c r="H1389" s="2">
        <v>0.0</v>
      </c>
      <c r="I1389" s="2">
        <v>0.0</v>
      </c>
      <c r="J1389" s="37">
        <v>0.0</v>
      </c>
      <c r="K1389" s="2">
        <v>0.0</v>
      </c>
      <c r="L1389" s="2">
        <v>0.0</v>
      </c>
      <c r="M1389" s="37">
        <v>0.0</v>
      </c>
    </row>
    <row r="1390" ht="14.25" customHeight="1">
      <c r="A1390" t="s">
        <v>1428</v>
      </c>
      <c r="B1390" t="s">
        <v>1360</v>
      </c>
      <c r="C1390" t="s">
        <v>62</v>
      </c>
      <c r="D1390" t="s">
        <v>467</v>
      </c>
      <c r="E1390">
        <v>6.09</v>
      </c>
      <c r="F1390">
        <v>5.8</v>
      </c>
      <c r="G1390" s="2" t="s">
        <v>64</v>
      </c>
      <c r="H1390" s="2">
        <v>0.0</v>
      </c>
      <c r="I1390" s="2">
        <v>0.0</v>
      </c>
      <c r="J1390" s="37">
        <v>0.0</v>
      </c>
      <c r="K1390" s="2">
        <v>0.0</v>
      </c>
      <c r="L1390" s="2">
        <v>0.0</v>
      </c>
      <c r="M1390" s="37">
        <v>0.0</v>
      </c>
    </row>
    <row r="1391" ht="14.25" customHeight="1">
      <c r="A1391" t="s">
        <v>1429</v>
      </c>
      <c r="B1391" t="s">
        <v>1360</v>
      </c>
      <c r="C1391" t="s">
        <v>62</v>
      </c>
      <c r="D1391" t="s">
        <v>467</v>
      </c>
      <c r="E1391">
        <v>6.09</v>
      </c>
      <c r="F1391">
        <v>5.8</v>
      </c>
      <c r="G1391" s="2" t="s">
        <v>64</v>
      </c>
      <c r="H1391" s="2">
        <v>0.0</v>
      </c>
      <c r="I1391" s="2">
        <v>0.0</v>
      </c>
      <c r="J1391" s="37">
        <v>0.0</v>
      </c>
      <c r="K1391" s="2">
        <v>0.0</v>
      </c>
      <c r="L1391" s="2">
        <v>0.0</v>
      </c>
      <c r="M1391" s="37">
        <v>0.0</v>
      </c>
    </row>
    <row r="1392" ht="14.25" customHeight="1">
      <c r="A1392" t="s">
        <v>1460</v>
      </c>
      <c r="B1392" t="s">
        <v>1360</v>
      </c>
      <c r="C1392" t="s">
        <v>62</v>
      </c>
      <c r="D1392" t="s">
        <v>467</v>
      </c>
      <c r="E1392">
        <v>6.09</v>
      </c>
      <c r="F1392">
        <v>5.8</v>
      </c>
      <c r="G1392" s="2" t="s">
        <v>64</v>
      </c>
      <c r="H1392" s="2">
        <v>0.0</v>
      </c>
      <c r="I1392" s="2">
        <v>0.0</v>
      </c>
      <c r="J1392" s="37">
        <v>0.0</v>
      </c>
      <c r="K1392" s="2">
        <v>0.0</v>
      </c>
      <c r="L1392" s="2">
        <v>0.0</v>
      </c>
      <c r="M1392" s="37">
        <v>0.0</v>
      </c>
    </row>
    <row r="1393" ht="14.25" customHeight="1">
      <c r="A1393" t="s">
        <v>1461</v>
      </c>
      <c r="B1393" t="s">
        <v>1360</v>
      </c>
      <c r="C1393" t="s">
        <v>62</v>
      </c>
      <c r="D1393" t="s">
        <v>63</v>
      </c>
      <c r="E1393">
        <v>7.1</v>
      </c>
      <c r="F1393">
        <v>7.8</v>
      </c>
      <c r="G1393" s="2" t="s">
        <v>67</v>
      </c>
      <c r="H1393" s="2">
        <v>23.0</v>
      </c>
      <c r="I1393" s="2">
        <v>107.0</v>
      </c>
      <c r="J1393" s="37">
        <v>655.6800000000001</v>
      </c>
      <c r="K1393" s="2">
        <v>27.0</v>
      </c>
      <c r="L1393" s="2">
        <v>171.0</v>
      </c>
      <c r="M1393" s="37">
        <v>828.72</v>
      </c>
    </row>
    <row r="1394" ht="14.25" customHeight="1">
      <c r="A1394" t="s">
        <v>1462</v>
      </c>
      <c r="B1394" t="s">
        <v>1360</v>
      </c>
      <c r="C1394" t="s">
        <v>62</v>
      </c>
      <c r="D1394" t="s">
        <v>467</v>
      </c>
      <c r="E1394">
        <v>5.3</v>
      </c>
      <c r="F1394">
        <v>4.8</v>
      </c>
      <c r="G1394" s="2" t="s">
        <v>64</v>
      </c>
      <c r="H1394" s="2">
        <v>0.0</v>
      </c>
      <c r="I1394" s="2">
        <v>0.0</v>
      </c>
      <c r="J1394" s="37">
        <v>0.0</v>
      </c>
      <c r="K1394" s="2">
        <v>0.0</v>
      </c>
      <c r="L1394" s="2">
        <v>0.0</v>
      </c>
      <c r="M1394" s="37">
        <v>0.0</v>
      </c>
    </row>
    <row r="1395" ht="14.25" customHeight="1">
      <c r="A1395" t="s">
        <v>1463</v>
      </c>
      <c r="B1395" t="s">
        <v>1360</v>
      </c>
      <c r="C1395" t="s">
        <v>62</v>
      </c>
      <c r="D1395" t="s">
        <v>467</v>
      </c>
      <c r="E1395">
        <v>5.3</v>
      </c>
      <c r="F1395">
        <v>4.8</v>
      </c>
      <c r="G1395" s="2" t="s">
        <v>64</v>
      </c>
      <c r="H1395" s="2">
        <v>0.0</v>
      </c>
      <c r="I1395" s="2">
        <v>0.0</v>
      </c>
      <c r="J1395" s="37">
        <v>0.0</v>
      </c>
      <c r="K1395" s="2">
        <v>0.0</v>
      </c>
      <c r="L1395" s="2">
        <v>0.0</v>
      </c>
      <c r="M1395" s="37">
        <v>0.0</v>
      </c>
    </row>
    <row r="1396" ht="14.25" customHeight="1">
      <c r="A1396" t="s">
        <v>1464</v>
      </c>
      <c r="B1396" t="s">
        <v>1360</v>
      </c>
      <c r="C1396" t="s">
        <v>62</v>
      </c>
      <c r="D1396" t="s">
        <v>467</v>
      </c>
      <c r="E1396">
        <v>5.3</v>
      </c>
      <c r="F1396">
        <v>4.8</v>
      </c>
      <c r="G1396" s="2" t="s">
        <v>64</v>
      </c>
      <c r="H1396" s="2">
        <v>0.0</v>
      </c>
      <c r="I1396" s="2">
        <v>0.0</v>
      </c>
      <c r="J1396" s="37">
        <v>0.0</v>
      </c>
      <c r="K1396" s="2">
        <v>0.0</v>
      </c>
      <c r="L1396" s="2">
        <v>0.0</v>
      </c>
      <c r="M1396" s="37">
        <v>0.0</v>
      </c>
    </row>
    <row r="1397" ht="14.25" customHeight="1">
      <c r="A1397" t="s">
        <v>1465</v>
      </c>
      <c r="B1397" t="s">
        <v>1360</v>
      </c>
      <c r="C1397" t="s">
        <v>62</v>
      </c>
      <c r="D1397" t="s">
        <v>467</v>
      </c>
      <c r="E1397">
        <v>5.3</v>
      </c>
      <c r="F1397">
        <v>4.8</v>
      </c>
      <c r="G1397" s="2" t="s">
        <v>64</v>
      </c>
      <c r="H1397" s="2">
        <v>0.0</v>
      </c>
      <c r="I1397" s="2">
        <v>0.0</v>
      </c>
      <c r="J1397" s="37">
        <v>0.0</v>
      </c>
      <c r="K1397" s="2">
        <v>0.0</v>
      </c>
      <c r="L1397" s="2">
        <v>0.0</v>
      </c>
      <c r="M1397" s="37">
        <v>0.0</v>
      </c>
    </row>
    <row r="1398" ht="14.25" customHeight="1">
      <c r="A1398" t="s">
        <v>1466</v>
      </c>
      <c r="B1398" t="s">
        <v>1360</v>
      </c>
      <c r="C1398" t="s">
        <v>62</v>
      </c>
      <c r="D1398" t="s">
        <v>467</v>
      </c>
      <c r="E1398">
        <v>5.3</v>
      </c>
      <c r="F1398">
        <v>4.8</v>
      </c>
      <c r="G1398" s="2" t="s">
        <v>64</v>
      </c>
      <c r="H1398" s="2">
        <v>0.0</v>
      </c>
      <c r="I1398" s="2">
        <v>0.0</v>
      </c>
      <c r="J1398" s="37">
        <v>0.0</v>
      </c>
      <c r="K1398" s="2">
        <v>0.0</v>
      </c>
      <c r="L1398" s="2">
        <v>0.0</v>
      </c>
      <c r="M1398" s="37">
        <v>0.0</v>
      </c>
    </row>
    <row r="1399" ht="14.25" customHeight="1">
      <c r="A1399" t="s">
        <v>1467</v>
      </c>
      <c r="B1399" t="s">
        <v>1360</v>
      </c>
      <c r="C1399" t="s">
        <v>62</v>
      </c>
      <c r="D1399" t="s">
        <v>467</v>
      </c>
      <c r="E1399">
        <v>5.3</v>
      </c>
      <c r="F1399">
        <v>4.8</v>
      </c>
      <c r="G1399" s="2" t="s">
        <v>64</v>
      </c>
      <c r="H1399" s="2">
        <v>0.0</v>
      </c>
      <c r="I1399" s="2">
        <v>0.0</v>
      </c>
      <c r="J1399" s="37">
        <v>0.0</v>
      </c>
      <c r="K1399" s="2">
        <v>0.0</v>
      </c>
      <c r="L1399" s="2">
        <v>0.0</v>
      </c>
      <c r="M1399" s="37">
        <v>0.0</v>
      </c>
    </row>
    <row r="1400" ht="14.25" customHeight="1">
      <c r="A1400" t="s">
        <v>1468</v>
      </c>
      <c r="B1400" t="s">
        <v>1360</v>
      </c>
      <c r="C1400" t="s">
        <v>62</v>
      </c>
      <c r="D1400" t="s">
        <v>467</v>
      </c>
      <c r="E1400">
        <v>3.9</v>
      </c>
      <c r="F1400">
        <v>3.6</v>
      </c>
      <c r="G1400" s="2" t="s">
        <v>64</v>
      </c>
      <c r="H1400" s="2">
        <v>0.0</v>
      </c>
      <c r="I1400" s="2">
        <v>0.0</v>
      </c>
      <c r="J1400" s="37">
        <v>0.0</v>
      </c>
      <c r="K1400" s="2">
        <v>0.0</v>
      </c>
      <c r="L1400" s="2">
        <v>0.0</v>
      </c>
      <c r="M1400" s="37">
        <v>0.0</v>
      </c>
    </row>
    <row r="1401" ht="14.25" customHeight="1">
      <c r="A1401" t="s">
        <v>1469</v>
      </c>
      <c r="B1401" t="s">
        <v>1360</v>
      </c>
      <c r="C1401" t="s">
        <v>62</v>
      </c>
      <c r="D1401" t="s">
        <v>467</v>
      </c>
      <c r="E1401">
        <v>3.9</v>
      </c>
      <c r="F1401">
        <v>3.6</v>
      </c>
      <c r="G1401" s="2" t="s">
        <v>64</v>
      </c>
      <c r="H1401" s="2">
        <v>0.0</v>
      </c>
      <c r="I1401" s="2">
        <v>0.0</v>
      </c>
      <c r="J1401" s="37">
        <v>0.0</v>
      </c>
      <c r="K1401" s="2">
        <v>0.0</v>
      </c>
      <c r="L1401" s="2">
        <v>0.0</v>
      </c>
      <c r="M1401" s="37">
        <v>0.0</v>
      </c>
    </row>
    <row r="1402" ht="14.25" customHeight="1">
      <c r="A1402" t="s">
        <v>1470</v>
      </c>
      <c r="B1402" t="s">
        <v>1360</v>
      </c>
      <c r="C1402" t="s">
        <v>62</v>
      </c>
      <c r="D1402" t="s">
        <v>467</v>
      </c>
      <c r="E1402">
        <v>3.9</v>
      </c>
      <c r="F1402">
        <v>3.6</v>
      </c>
      <c r="G1402" s="2" t="s">
        <v>64</v>
      </c>
      <c r="H1402" s="2">
        <v>0.0</v>
      </c>
      <c r="I1402" s="2">
        <v>0.0</v>
      </c>
      <c r="J1402" s="37">
        <v>0.0</v>
      </c>
      <c r="K1402" s="2">
        <v>0.0</v>
      </c>
      <c r="L1402" s="2">
        <v>0.0</v>
      </c>
      <c r="M1402" s="37">
        <v>0.0</v>
      </c>
    </row>
    <row r="1403" ht="14.25" customHeight="1">
      <c r="A1403" t="s">
        <v>1471</v>
      </c>
      <c r="B1403" t="s">
        <v>1360</v>
      </c>
      <c r="C1403" t="s">
        <v>62</v>
      </c>
      <c r="D1403" t="s">
        <v>467</v>
      </c>
      <c r="E1403">
        <v>3.9</v>
      </c>
      <c r="F1403">
        <v>3.6</v>
      </c>
      <c r="G1403" s="2" t="s">
        <v>64</v>
      </c>
      <c r="H1403" s="2">
        <v>0.0</v>
      </c>
      <c r="I1403" s="2">
        <v>0.0</v>
      </c>
      <c r="J1403" s="37">
        <v>0.0</v>
      </c>
      <c r="K1403" s="2">
        <v>0.0</v>
      </c>
      <c r="L1403" s="2">
        <v>0.0</v>
      </c>
      <c r="M1403" s="37">
        <v>0.0</v>
      </c>
    </row>
    <row r="1404" ht="14.25" customHeight="1">
      <c r="A1404" t="s">
        <v>1472</v>
      </c>
      <c r="B1404" t="s">
        <v>1360</v>
      </c>
      <c r="C1404" t="s">
        <v>62</v>
      </c>
      <c r="D1404" t="s">
        <v>467</v>
      </c>
      <c r="E1404">
        <v>3.9</v>
      </c>
      <c r="F1404">
        <v>3.6</v>
      </c>
      <c r="G1404" s="2" t="s">
        <v>64</v>
      </c>
      <c r="H1404" s="2">
        <v>0.0</v>
      </c>
      <c r="I1404" s="2">
        <v>0.0</v>
      </c>
      <c r="J1404" s="37">
        <v>0.0</v>
      </c>
      <c r="K1404" s="2">
        <v>0.0</v>
      </c>
      <c r="L1404" s="2">
        <v>0.0</v>
      </c>
      <c r="M1404" s="37">
        <v>0.0</v>
      </c>
    </row>
    <row r="1405" ht="14.25" customHeight="1">
      <c r="A1405" t="s">
        <v>1473</v>
      </c>
      <c r="B1405" t="s">
        <v>1360</v>
      </c>
      <c r="C1405" t="s">
        <v>62</v>
      </c>
      <c r="D1405" t="s">
        <v>467</v>
      </c>
      <c r="E1405">
        <v>2.8</v>
      </c>
      <c r="F1405">
        <v>2.45</v>
      </c>
      <c r="G1405" s="2" t="s">
        <v>64</v>
      </c>
      <c r="H1405" s="2">
        <v>0.0</v>
      </c>
      <c r="I1405" s="2">
        <v>0.0</v>
      </c>
      <c r="J1405" s="37">
        <v>0.0</v>
      </c>
      <c r="K1405" s="2">
        <v>0.0</v>
      </c>
      <c r="L1405" s="2">
        <v>0.0</v>
      </c>
      <c r="M1405" s="37">
        <v>0.0</v>
      </c>
    </row>
    <row r="1406" ht="14.25" customHeight="1">
      <c r="A1406" t="s">
        <v>1474</v>
      </c>
      <c r="B1406" t="s">
        <v>1360</v>
      </c>
      <c r="C1406" t="s">
        <v>62</v>
      </c>
      <c r="D1406" t="s">
        <v>467</v>
      </c>
      <c r="E1406">
        <v>2.8</v>
      </c>
      <c r="F1406">
        <v>2.45</v>
      </c>
      <c r="G1406" s="2" t="s">
        <v>64</v>
      </c>
      <c r="H1406" s="2">
        <v>0.0</v>
      </c>
      <c r="I1406" s="2">
        <v>0.0</v>
      </c>
      <c r="J1406" s="37">
        <v>0.0</v>
      </c>
      <c r="K1406" s="2">
        <v>0.0</v>
      </c>
      <c r="L1406" s="2">
        <v>0.0</v>
      </c>
      <c r="M1406" s="37">
        <v>0.0</v>
      </c>
    </row>
    <row r="1407" ht="14.25" customHeight="1">
      <c r="A1407" t="s">
        <v>1475</v>
      </c>
      <c r="B1407" t="s">
        <v>1360</v>
      </c>
      <c r="C1407" t="s">
        <v>62</v>
      </c>
      <c r="D1407" t="s">
        <v>467</v>
      </c>
      <c r="E1407">
        <v>2.8</v>
      </c>
      <c r="F1407">
        <v>2.45</v>
      </c>
      <c r="G1407" s="2" t="s">
        <v>64</v>
      </c>
      <c r="H1407" s="2">
        <v>0.0</v>
      </c>
      <c r="I1407" s="2">
        <v>0.0</v>
      </c>
      <c r="J1407" s="37">
        <v>0.0</v>
      </c>
      <c r="K1407" s="2">
        <v>0.0</v>
      </c>
      <c r="L1407" s="2">
        <v>0.0</v>
      </c>
      <c r="M1407" s="37">
        <v>0.0</v>
      </c>
    </row>
    <row r="1408" ht="14.25" customHeight="1">
      <c r="A1408" t="s">
        <v>1476</v>
      </c>
      <c r="B1408" t="s">
        <v>1360</v>
      </c>
      <c r="C1408" t="s">
        <v>62</v>
      </c>
      <c r="D1408" t="s">
        <v>467</v>
      </c>
      <c r="E1408">
        <v>2.8</v>
      </c>
      <c r="F1408">
        <v>2.45</v>
      </c>
      <c r="G1408" s="2" t="s">
        <v>64</v>
      </c>
      <c r="H1408" s="2">
        <v>0.0</v>
      </c>
      <c r="I1408" s="2">
        <v>0.0</v>
      </c>
      <c r="J1408" s="37">
        <v>0.0</v>
      </c>
      <c r="K1408" s="2">
        <v>0.0</v>
      </c>
      <c r="L1408" s="2">
        <v>0.0</v>
      </c>
      <c r="M1408" s="37">
        <v>0.0</v>
      </c>
    </row>
    <row r="1409" ht="14.25" customHeight="1">
      <c r="A1409" t="s">
        <v>1477</v>
      </c>
      <c r="B1409" t="s">
        <v>1360</v>
      </c>
      <c r="C1409" t="s">
        <v>62</v>
      </c>
      <c r="D1409" t="s">
        <v>467</v>
      </c>
      <c r="E1409">
        <v>2.8</v>
      </c>
      <c r="F1409">
        <v>2.45</v>
      </c>
      <c r="G1409" s="2" t="s">
        <v>64</v>
      </c>
      <c r="H1409" s="2">
        <v>0.0</v>
      </c>
      <c r="I1409" s="2">
        <v>0.0</v>
      </c>
      <c r="J1409" s="37">
        <v>0.0</v>
      </c>
      <c r="K1409" s="2">
        <v>0.0</v>
      </c>
      <c r="L1409" s="2">
        <v>0.0</v>
      </c>
      <c r="M1409" s="37">
        <v>0.0</v>
      </c>
    </row>
    <row r="1410" ht="14.25" customHeight="1">
      <c r="A1410" t="s">
        <v>1478</v>
      </c>
      <c r="B1410" t="s">
        <v>1360</v>
      </c>
      <c r="C1410" t="s">
        <v>62</v>
      </c>
      <c r="D1410" t="s">
        <v>467</v>
      </c>
      <c r="E1410">
        <v>2.2</v>
      </c>
      <c r="F1410">
        <v>1.9</v>
      </c>
      <c r="G1410" s="2" t="s">
        <v>64</v>
      </c>
      <c r="H1410" s="2">
        <v>0.0</v>
      </c>
      <c r="I1410" s="2">
        <v>0.0</v>
      </c>
      <c r="J1410" s="37">
        <v>0.0</v>
      </c>
      <c r="K1410" s="2">
        <v>0.0</v>
      </c>
      <c r="L1410" s="2">
        <v>0.0</v>
      </c>
      <c r="M1410" s="37">
        <v>0.0</v>
      </c>
    </row>
    <row r="1411" ht="14.25" customHeight="1">
      <c r="A1411" t="s">
        <v>1479</v>
      </c>
      <c r="B1411" t="s">
        <v>1360</v>
      </c>
      <c r="C1411" t="s">
        <v>62</v>
      </c>
      <c r="D1411" t="s">
        <v>467</v>
      </c>
      <c r="E1411">
        <v>2.2</v>
      </c>
      <c r="F1411">
        <v>1.9</v>
      </c>
      <c r="G1411" s="2" t="s">
        <v>64</v>
      </c>
      <c r="H1411" s="2">
        <v>0.0</v>
      </c>
      <c r="I1411" s="2">
        <v>0.0</v>
      </c>
      <c r="J1411" s="37">
        <v>0.0</v>
      </c>
      <c r="K1411" s="2">
        <v>0.0</v>
      </c>
      <c r="L1411" s="2">
        <v>0.0</v>
      </c>
      <c r="M1411" s="37">
        <v>0.0</v>
      </c>
    </row>
    <row r="1412" ht="14.25" customHeight="1">
      <c r="A1412" t="s">
        <v>1480</v>
      </c>
      <c r="B1412" t="s">
        <v>1360</v>
      </c>
      <c r="C1412" t="s">
        <v>62</v>
      </c>
      <c r="D1412" t="s">
        <v>467</v>
      </c>
      <c r="E1412">
        <v>2.2</v>
      </c>
      <c r="F1412">
        <v>1.9</v>
      </c>
      <c r="G1412" s="2" t="s">
        <v>64</v>
      </c>
      <c r="H1412" s="2">
        <v>0.0</v>
      </c>
      <c r="I1412" s="2">
        <v>0.0</v>
      </c>
      <c r="J1412" s="37">
        <v>0.0</v>
      </c>
      <c r="K1412" s="2">
        <v>0.0</v>
      </c>
      <c r="L1412" s="2">
        <v>0.0</v>
      </c>
      <c r="M1412" s="37">
        <v>0.0</v>
      </c>
    </row>
    <row r="1413" ht="14.25" customHeight="1">
      <c r="A1413" t="s">
        <v>1481</v>
      </c>
      <c r="B1413" t="s">
        <v>1360</v>
      </c>
      <c r="C1413" t="s">
        <v>62</v>
      </c>
      <c r="D1413" t="s">
        <v>63</v>
      </c>
      <c r="E1413">
        <v>2.0</v>
      </c>
      <c r="F1413">
        <v>2.638</v>
      </c>
      <c r="G1413" s="2" t="s">
        <v>64</v>
      </c>
      <c r="H1413" s="2">
        <v>0.0</v>
      </c>
      <c r="I1413" s="2">
        <v>0.0</v>
      </c>
      <c r="J1413" s="37">
        <v>0.0</v>
      </c>
      <c r="K1413" s="2">
        <v>0.0</v>
      </c>
      <c r="L1413" s="2">
        <v>0.0</v>
      </c>
      <c r="M1413" s="37">
        <v>0.0</v>
      </c>
    </row>
    <row r="1414" ht="14.25" customHeight="1">
      <c r="A1414" t="s">
        <v>1482</v>
      </c>
      <c r="B1414" t="s">
        <v>1360</v>
      </c>
      <c r="C1414" t="s">
        <v>62</v>
      </c>
      <c r="D1414" t="s">
        <v>63</v>
      </c>
      <c r="E1414">
        <v>3.517</v>
      </c>
      <c r="F1414">
        <v>3.7</v>
      </c>
      <c r="G1414" s="2" t="s">
        <v>67</v>
      </c>
      <c r="H1414" s="2">
        <v>10.0</v>
      </c>
      <c r="I1414" s="2">
        <v>38.0</v>
      </c>
      <c r="J1414" s="37">
        <v>274.0</v>
      </c>
      <c r="K1414" s="2">
        <v>11.0</v>
      </c>
      <c r="L1414" s="2">
        <v>67.0</v>
      </c>
      <c r="M1414" s="37">
        <v>334.16</v>
      </c>
    </row>
    <row r="1415" ht="14.25" customHeight="1">
      <c r="A1415" t="s">
        <v>1483</v>
      </c>
      <c r="B1415" t="s">
        <v>1360</v>
      </c>
      <c r="C1415" t="s">
        <v>62</v>
      </c>
      <c r="D1415" t="s">
        <v>63</v>
      </c>
      <c r="E1415">
        <v>8.5</v>
      </c>
      <c r="F1415">
        <v>9.0</v>
      </c>
      <c r="G1415" s="2" t="s">
        <v>67</v>
      </c>
      <c r="H1415" s="2">
        <v>26.0</v>
      </c>
      <c r="I1415" s="2">
        <v>101.0</v>
      </c>
      <c r="J1415" s="37">
        <v>715.26</v>
      </c>
      <c r="K1415" s="2">
        <v>30.0</v>
      </c>
      <c r="L1415" s="2">
        <v>179.0</v>
      </c>
      <c r="M1415" s="37">
        <v>906.5000000000001</v>
      </c>
    </row>
    <row r="1416" ht="14.25" customHeight="1">
      <c r="A1416" t="s">
        <v>1458</v>
      </c>
      <c r="B1416" t="s">
        <v>1360</v>
      </c>
      <c r="C1416" t="s">
        <v>62</v>
      </c>
      <c r="D1416" t="s">
        <v>63</v>
      </c>
      <c r="E1416">
        <v>2.7</v>
      </c>
      <c r="F1416">
        <v>3.2</v>
      </c>
      <c r="G1416" s="2" t="s">
        <v>67</v>
      </c>
      <c r="H1416" s="2">
        <v>8.0</v>
      </c>
      <c r="I1416" s="2">
        <v>48.0</v>
      </c>
      <c r="J1416" s="37">
        <v>242.08</v>
      </c>
      <c r="K1416" s="2">
        <v>9.0</v>
      </c>
      <c r="L1416" s="2">
        <v>70.0</v>
      </c>
      <c r="M1416" s="37">
        <v>293.14</v>
      </c>
    </row>
    <row r="1417" ht="14.25" customHeight="1">
      <c r="A1417" t="s">
        <v>1484</v>
      </c>
      <c r="B1417" t="s">
        <v>1360</v>
      </c>
      <c r="C1417" t="s">
        <v>75</v>
      </c>
      <c r="D1417" t="s">
        <v>82</v>
      </c>
      <c r="E1417">
        <v>51.0</v>
      </c>
      <c r="F1417">
        <v>56.2</v>
      </c>
      <c r="G1417" s="2" t="s">
        <v>64</v>
      </c>
      <c r="H1417" s="2">
        <v>0.0</v>
      </c>
      <c r="I1417" s="2">
        <v>0.0</v>
      </c>
      <c r="J1417" s="37">
        <v>0.0</v>
      </c>
      <c r="K1417" s="2">
        <v>0.0</v>
      </c>
      <c r="L1417" s="2">
        <v>0.0</v>
      </c>
      <c r="M1417" s="37">
        <v>0.0</v>
      </c>
    </row>
    <row r="1418" ht="14.25" customHeight="1">
      <c r="A1418" t="s">
        <v>1485</v>
      </c>
      <c r="B1418" t="s">
        <v>1360</v>
      </c>
      <c r="C1418" t="s">
        <v>75</v>
      </c>
      <c r="D1418" t="s">
        <v>63</v>
      </c>
      <c r="E1418">
        <v>12.5</v>
      </c>
      <c r="F1418">
        <v>14.0</v>
      </c>
      <c r="G1418" s="2" t="s">
        <v>67</v>
      </c>
      <c r="H1418" s="2">
        <v>41.0</v>
      </c>
      <c r="I1418" s="2">
        <v>104.0</v>
      </c>
      <c r="J1418" s="37">
        <v>1056.06</v>
      </c>
      <c r="K1418" s="2">
        <v>48.0</v>
      </c>
      <c r="L1418" s="2">
        <v>232.0</v>
      </c>
      <c r="M1418" s="37">
        <v>1379.6799999999998</v>
      </c>
    </row>
    <row r="1419" ht="14.25" customHeight="1">
      <c r="A1419" t="s">
        <v>1486</v>
      </c>
      <c r="B1419" t="s">
        <v>1360</v>
      </c>
      <c r="C1419" t="s">
        <v>62</v>
      </c>
      <c r="D1419" t="s">
        <v>63</v>
      </c>
      <c r="E1419">
        <v>10.0</v>
      </c>
      <c r="F1419">
        <v>11.0</v>
      </c>
      <c r="G1419" s="2" t="s">
        <v>67</v>
      </c>
      <c r="H1419" s="2">
        <v>34.0</v>
      </c>
      <c r="I1419" s="2">
        <v>123.0</v>
      </c>
      <c r="J1419" s="37">
        <v>923.54</v>
      </c>
      <c r="K1419" s="2">
        <v>39.0</v>
      </c>
      <c r="L1419" s="2">
        <v>225.0</v>
      </c>
      <c r="M1419" s="37">
        <v>1168.44</v>
      </c>
    </row>
    <row r="1420" ht="14.25" customHeight="1">
      <c r="A1420" t="s">
        <v>1487</v>
      </c>
      <c r="B1420" t="s">
        <v>1360</v>
      </c>
      <c r="C1420" t="s">
        <v>62</v>
      </c>
      <c r="D1420" t="s">
        <v>63</v>
      </c>
      <c r="E1420">
        <v>2.7</v>
      </c>
      <c r="F1420">
        <v>2.9</v>
      </c>
      <c r="G1420" s="2" t="s">
        <v>67</v>
      </c>
      <c r="H1420" s="2">
        <v>7.0</v>
      </c>
      <c r="I1420" s="2">
        <v>23.0</v>
      </c>
      <c r="J1420" s="37">
        <v>187.12</v>
      </c>
      <c r="K1420" s="2">
        <v>8.0</v>
      </c>
      <c r="L1420" s="2">
        <v>45.0</v>
      </c>
      <c r="M1420" s="37">
        <v>238.18</v>
      </c>
    </row>
    <row r="1421" ht="14.25" customHeight="1">
      <c r="A1421" t="s">
        <v>1488</v>
      </c>
      <c r="B1421" t="s">
        <v>1360</v>
      </c>
      <c r="C1421" t="s">
        <v>62</v>
      </c>
      <c r="D1421" t="s">
        <v>63</v>
      </c>
      <c r="E1421">
        <v>5.2</v>
      </c>
      <c r="F1421">
        <v>5.33</v>
      </c>
      <c r="G1421" s="2" t="s">
        <v>64</v>
      </c>
      <c r="H1421" s="2">
        <v>0.0</v>
      </c>
      <c r="I1421" s="2">
        <v>0.0</v>
      </c>
      <c r="J1421" s="37">
        <v>0.0</v>
      </c>
      <c r="K1421" s="2">
        <v>0.0</v>
      </c>
      <c r="L1421" s="2">
        <v>0.0</v>
      </c>
      <c r="M1421" s="37">
        <v>0.0</v>
      </c>
    </row>
    <row r="1422" ht="14.25" customHeight="1">
      <c r="A1422" t="s">
        <v>1489</v>
      </c>
      <c r="B1422" t="s">
        <v>1360</v>
      </c>
      <c r="C1422" t="s">
        <v>62</v>
      </c>
      <c r="D1422" t="s">
        <v>63</v>
      </c>
      <c r="E1422">
        <v>2.7</v>
      </c>
      <c r="F1422">
        <v>2.9</v>
      </c>
      <c r="G1422" s="2" t="s">
        <v>67</v>
      </c>
      <c r="H1422" s="2">
        <v>7.0</v>
      </c>
      <c r="I1422" s="2">
        <v>23.0</v>
      </c>
      <c r="J1422" s="37">
        <v>187.12</v>
      </c>
      <c r="K1422" s="2">
        <v>8.0</v>
      </c>
      <c r="L1422" s="2">
        <v>45.0</v>
      </c>
      <c r="M1422" s="37">
        <v>238.18</v>
      </c>
    </row>
    <row r="1423" ht="14.25" customHeight="1">
      <c r="A1423" t="s">
        <v>1490</v>
      </c>
      <c r="B1423" t="s">
        <v>1360</v>
      </c>
      <c r="C1423" t="s">
        <v>62</v>
      </c>
      <c r="D1423" t="s">
        <v>63</v>
      </c>
      <c r="E1423">
        <v>5.0</v>
      </c>
      <c r="F1423">
        <v>6.0</v>
      </c>
      <c r="G1423" s="2" t="s">
        <v>67</v>
      </c>
      <c r="H1423" s="2">
        <v>17.0</v>
      </c>
      <c r="I1423" s="2">
        <v>80.0</v>
      </c>
      <c r="J1423" s="37">
        <v>485.82</v>
      </c>
      <c r="K1423" s="2">
        <v>20.0</v>
      </c>
      <c r="L1423" s="2">
        <v>126.0</v>
      </c>
      <c r="M1423" s="37">
        <v>613.0</v>
      </c>
    </row>
    <row r="1424" ht="14.25" customHeight="1">
      <c r="A1424" t="s">
        <v>1491</v>
      </c>
      <c r="B1424" t="s">
        <v>1360</v>
      </c>
      <c r="C1424" t="s">
        <v>62</v>
      </c>
      <c r="D1424" t="s">
        <v>63</v>
      </c>
      <c r="E1424">
        <v>7.1</v>
      </c>
      <c r="F1424">
        <v>7.8</v>
      </c>
      <c r="G1424" s="2" t="s">
        <v>67</v>
      </c>
      <c r="H1424" s="2">
        <v>23.0</v>
      </c>
      <c r="I1424" s="2">
        <v>84.0</v>
      </c>
      <c r="J1424" s="37">
        <v>625.7800000000001</v>
      </c>
      <c r="K1424" s="2">
        <v>27.0</v>
      </c>
      <c r="L1424" s="2">
        <v>149.0</v>
      </c>
      <c r="M1424" s="37">
        <v>800.1200000000001</v>
      </c>
    </row>
    <row r="1425" ht="14.25" customHeight="1">
      <c r="A1425" t="s">
        <v>1492</v>
      </c>
      <c r="B1425" t="s">
        <v>1360</v>
      </c>
      <c r="C1425" t="s">
        <v>62</v>
      </c>
      <c r="D1425" t="s">
        <v>63</v>
      </c>
      <c r="E1425">
        <v>2.0</v>
      </c>
      <c r="F1425">
        <v>2.638</v>
      </c>
      <c r="G1425" s="2" t="s">
        <v>64</v>
      </c>
      <c r="H1425" s="2">
        <v>0.0</v>
      </c>
      <c r="I1425" s="2">
        <v>0.0</v>
      </c>
      <c r="J1425" s="37">
        <v>0.0</v>
      </c>
      <c r="K1425" s="2">
        <v>0.0</v>
      </c>
      <c r="L1425" s="2">
        <v>0.0</v>
      </c>
      <c r="M1425" s="37">
        <v>0.0</v>
      </c>
    </row>
    <row r="1426" ht="14.25" customHeight="1">
      <c r="A1426" t="s">
        <v>1493</v>
      </c>
      <c r="B1426" t="s">
        <v>1360</v>
      </c>
      <c r="C1426" t="s">
        <v>62</v>
      </c>
      <c r="D1426" t="s">
        <v>63</v>
      </c>
      <c r="E1426">
        <v>7.1</v>
      </c>
      <c r="F1426">
        <v>8.0</v>
      </c>
      <c r="G1426" s="2" t="s">
        <v>67</v>
      </c>
      <c r="H1426" s="2">
        <v>23.0</v>
      </c>
      <c r="I1426" s="2">
        <v>92.0</v>
      </c>
      <c r="J1426" s="37">
        <v>636.1800000000001</v>
      </c>
      <c r="K1426" s="2">
        <v>26.0</v>
      </c>
      <c r="L1426" s="2">
        <v>157.0</v>
      </c>
      <c r="M1426" s="37">
        <v>788.0600000000001</v>
      </c>
    </row>
    <row r="1427" ht="14.25" customHeight="1">
      <c r="A1427" t="s">
        <v>1494</v>
      </c>
      <c r="B1427" t="s">
        <v>1360</v>
      </c>
      <c r="C1427" t="s">
        <v>62</v>
      </c>
      <c r="D1427" t="s">
        <v>63</v>
      </c>
      <c r="E1427">
        <v>4.6</v>
      </c>
      <c r="F1427">
        <v>4.7</v>
      </c>
      <c r="G1427" s="2" t="s">
        <v>67</v>
      </c>
      <c r="H1427" s="2">
        <v>14.0</v>
      </c>
      <c r="I1427" s="2">
        <v>55.0</v>
      </c>
      <c r="J1427" s="37">
        <v>385.94</v>
      </c>
      <c r="K1427" s="2">
        <v>16.0</v>
      </c>
      <c r="L1427" s="2">
        <v>96.0</v>
      </c>
      <c r="M1427" s="37">
        <v>484.16</v>
      </c>
    </row>
    <row r="1428" ht="14.25" customHeight="1">
      <c r="A1428" t="s">
        <v>1446</v>
      </c>
      <c r="B1428" t="s">
        <v>1360</v>
      </c>
      <c r="C1428" t="s">
        <v>62</v>
      </c>
      <c r="D1428" t="s">
        <v>63</v>
      </c>
      <c r="E1428">
        <v>5.2</v>
      </c>
      <c r="F1428">
        <v>5.8</v>
      </c>
      <c r="G1428" s="2" t="s">
        <v>64</v>
      </c>
      <c r="H1428" s="2">
        <v>0.0</v>
      </c>
      <c r="I1428" s="2">
        <v>0.0</v>
      </c>
      <c r="J1428" s="37">
        <v>0.0</v>
      </c>
      <c r="K1428" s="2">
        <v>0.0</v>
      </c>
      <c r="L1428" s="2">
        <v>0.0</v>
      </c>
      <c r="M1428" s="37">
        <v>0.0</v>
      </c>
    </row>
    <row r="1429" ht="14.25" customHeight="1">
      <c r="A1429" t="s">
        <v>1495</v>
      </c>
      <c r="B1429" t="s">
        <v>1360</v>
      </c>
      <c r="C1429" t="s">
        <v>62</v>
      </c>
      <c r="D1429" t="s">
        <v>63</v>
      </c>
      <c r="E1429">
        <v>5.2</v>
      </c>
      <c r="F1429">
        <v>5.8</v>
      </c>
      <c r="G1429" s="2" t="s">
        <v>64</v>
      </c>
      <c r="H1429" s="2">
        <v>0.0</v>
      </c>
      <c r="I1429" s="2">
        <v>0.0</v>
      </c>
      <c r="J1429" s="37">
        <v>0.0</v>
      </c>
      <c r="K1429" s="2">
        <v>0.0</v>
      </c>
      <c r="L1429" s="2">
        <v>0.0</v>
      </c>
      <c r="M1429" s="37">
        <v>0.0</v>
      </c>
    </row>
    <row r="1430" ht="14.25" customHeight="1">
      <c r="A1430" t="s">
        <v>1496</v>
      </c>
      <c r="B1430" t="s">
        <v>1360</v>
      </c>
      <c r="C1430" t="s">
        <v>62</v>
      </c>
      <c r="D1430" t="s">
        <v>63</v>
      </c>
      <c r="E1430">
        <v>5.2</v>
      </c>
      <c r="F1430">
        <v>5.8</v>
      </c>
      <c r="G1430" s="2" t="s">
        <v>64</v>
      </c>
      <c r="H1430" s="2">
        <v>0.0</v>
      </c>
      <c r="I1430" s="2">
        <v>0.0</v>
      </c>
      <c r="J1430" s="37">
        <v>0.0</v>
      </c>
      <c r="K1430" s="2">
        <v>0.0</v>
      </c>
      <c r="L1430" s="2">
        <v>0.0</v>
      </c>
      <c r="M1430" s="37">
        <v>0.0</v>
      </c>
    </row>
    <row r="1431" ht="14.25" customHeight="1">
      <c r="A1431" t="s">
        <v>1497</v>
      </c>
      <c r="B1431" t="s">
        <v>1360</v>
      </c>
      <c r="C1431" t="s">
        <v>62</v>
      </c>
      <c r="D1431" t="s">
        <v>63</v>
      </c>
      <c r="E1431">
        <v>3.52</v>
      </c>
      <c r="F1431">
        <v>4.0</v>
      </c>
      <c r="G1431" s="2" t="s">
        <v>67</v>
      </c>
      <c r="H1431" s="2">
        <v>10.0</v>
      </c>
      <c r="I1431" s="2">
        <v>47.0</v>
      </c>
      <c r="J1431" s="37">
        <v>285.70000000000005</v>
      </c>
      <c r="K1431" s="2">
        <v>12.0</v>
      </c>
      <c r="L1431" s="2">
        <v>76.0</v>
      </c>
      <c r="M1431" s="37">
        <v>368.32</v>
      </c>
    </row>
    <row r="1432" ht="14.25" customHeight="1">
      <c r="A1432" t="s">
        <v>1498</v>
      </c>
      <c r="B1432" t="s">
        <v>1360</v>
      </c>
      <c r="C1432" t="s">
        <v>62</v>
      </c>
      <c r="D1432" t="s">
        <v>63</v>
      </c>
      <c r="E1432">
        <v>7.1</v>
      </c>
      <c r="F1432">
        <v>7.8</v>
      </c>
      <c r="G1432" s="2" t="s">
        <v>67</v>
      </c>
      <c r="H1432" s="2">
        <v>22.0</v>
      </c>
      <c r="I1432" s="2">
        <v>107.0</v>
      </c>
      <c r="J1432" s="37">
        <v>633.22</v>
      </c>
      <c r="K1432" s="2">
        <v>26.0</v>
      </c>
      <c r="L1432" s="2">
        <v>171.0</v>
      </c>
      <c r="M1432" s="37">
        <v>806.26</v>
      </c>
    </row>
    <row r="1433" ht="14.25" customHeight="1">
      <c r="A1433" t="s">
        <v>1499</v>
      </c>
      <c r="B1433" t="s">
        <v>1360</v>
      </c>
      <c r="C1433" t="s">
        <v>62</v>
      </c>
      <c r="D1433" t="s">
        <v>63</v>
      </c>
      <c r="E1433">
        <v>3.517</v>
      </c>
      <c r="F1433">
        <v>3.8</v>
      </c>
      <c r="G1433" s="2" t="s">
        <v>64</v>
      </c>
      <c r="H1433" s="2">
        <v>0.0</v>
      </c>
      <c r="I1433" s="2">
        <v>0.0</v>
      </c>
      <c r="J1433" s="37">
        <v>0.0</v>
      </c>
      <c r="K1433" s="2">
        <v>0.0</v>
      </c>
      <c r="L1433" s="2">
        <v>0.0</v>
      </c>
      <c r="M1433" s="37">
        <v>0.0</v>
      </c>
    </row>
    <row r="1434" ht="14.25" customHeight="1">
      <c r="A1434" t="s">
        <v>1500</v>
      </c>
      <c r="B1434" t="s">
        <v>1360</v>
      </c>
      <c r="C1434" t="s">
        <v>62</v>
      </c>
      <c r="D1434" t="s">
        <v>63</v>
      </c>
      <c r="E1434">
        <v>3.517</v>
      </c>
      <c r="F1434">
        <v>3.8</v>
      </c>
      <c r="G1434" s="2" t="s">
        <v>64</v>
      </c>
      <c r="H1434" s="2">
        <v>0.0</v>
      </c>
      <c r="I1434" s="2">
        <v>0.0</v>
      </c>
      <c r="J1434" s="37">
        <v>0.0</v>
      </c>
      <c r="K1434" s="2">
        <v>0.0</v>
      </c>
      <c r="L1434" s="2">
        <v>0.0</v>
      </c>
      <c r="M1434" s="37">
        <v>0.0</v>
      </c>
    </row>
    <row r="1435" ht="14.25" customHeight="1">
      <c r="A1435" t="s">
        <v>1501</v>
      </c>
      <c r="B1435" t="s">
        <v>1360</v>
      </c>
      <c r="C1435" t="s">
        <v>62</v>
      </c>
      <c r="D1435" t="s">
        <v>63</v>
      </c>
      <c r="E1435">
        <v>3.517</v>
      </c>
      <c r="F1435">
        <v>3.8</v>
      </c>
      <c r="G1435" s="2" t="s">
        <v>64</v>
      </c>
      <c r="H1435" s="2">
        <v>0.0</v>
      </c>
      <c r="I1435" s="2">
        <v>0.0</v>
      </c>
      <c r="J1435" s="37">
        <v>0.0</v>
      </c>
      <c r="K1435" s="2">
        <v>0.0</v>
      </c>
      <c r="L1435" s="2">
        <v>0.0</v>
      </c>
      <c r="M1435" s="37">
        <v>0.0</v>
      </c>
    </row>
    <row r="1436" ht="14.25" customHeight="1">
      <c r="A1436" t="s">
        <v>1502</v>
      </c>
      <c r="B1436" t="s">
        <v>1360</v>
      </c>
      <c r="C1436" t="s">
        <v>62</v>
      </c>
      <c r="D1436" t="s">
        <v>63</v>
      </c>
      <c r="E1436">
        <v>2.7</v>
      </c>
      <c r="F1436">
        <v>3.0</v>
      </c>
      <c r="G1436" s="2" t="s">
        <v>64</v>
      </c>
      <c r="H1436" s="2">
        <v>0.0</v>
      </c>
      <c r="I1436" s="2">
        <v>0.0</v>
      </c>
      <c r="J1436" s="37">
        <v>0.0</v>
      </c>
      <c r="K1436" s="2">
        <v>0.0</v>
      </c>
      <c r="L1436" s="2">
        <v>0.0</v>
      </c>
      <c r="M1436" s="37">
        <v>0.0</v>
      </c>
    </row>
    <row r="1437" ht="14.25" customHeight="1">
      <c r="A1437" t="s">
        <v>1503</v>
      </c>
      <c r="B1437" t="s">
        <v>1360</v>
      </c>
      <c r="C1437" t="s">
        <v>62</v>
      </c>
      <c r="D1437" t="s">
        <v>63</v>
      </c>
      <c r="E1437">
        <v>2.7</v>
      </c>
      <c r="F1437">
        <v>3.0</v>
      </c>
      <c r="G1437" s="2" t="s">
        <v>64</v>
      </c>
      <c r="H1437" s="2">
        <v>0.0</v>
      </c>
      <c r="I1437" s="2">
        <v>0.0</v>
      </c>
      <c r="J1437" s="37">
        <v>0.0</v>
      </c>
      <c r="K1437" s="2">
        <v>0.0</v>
      </c>
      <c r="L1437" s="2">
        <v>0.0</v>
      </c>
      <c r="M1437" s="37">
        <v>0.0</v>
      </c>
    </row>
    <row r="1438" ht="14.25" customHeight="1">
      <c r="A1438" t="s">
        <v>1504</v>
      </c>
      <c r="B1438" t="s">
        <v>1360</v>
      </c>
      <c r="C1438" t="s">
        <v>62</v>
      </c>
      <c r="D1438" t="s">
        <v>63</v>
      </c>
      <c r="E1438">
        <v>6.0</v>
      </c>
      <c r="F1438">
        <v>7.3</v>
      </c>
      <c r="G1438" s="2" t="s">
        <v>67</v>
      </c>
      <c r="H1438" s="2">
        <v>22.0</v>
      </c>
      <c r="I1438" s="2">
        <v>136.0</v>
      </c>
      <c r="J1438" s="37">
        <v>670.9200000000001</v>
      </c>
      <c r="K1438" s="2">
        <v>25.0</v>
      </c>
      <c r="L1438" s="2">
        <v>191.0</v>
      </c>
      <c r="M1438" s="37">
        <v>809.8</v>
      </c>
    </row>
    <row r="1439" ht="14.25" customHeight="1">
      <c r="A1439" t="s">
        <v>1505</v>
      </c>
      <c r="B1439" t="s">
        <v>1506</v>
      </c>
      <c r="C1439" t="s">
        <v>62</v>
      </c>
      <c r="D1439" t="s">
        <v>63</v>
      </c>
      <c r="E1439">
        <v>7.0</v>
      </c>
      <c r="F1439">
        <v>7.5</v>
      </c>
      <c r="G1439" s="2" t="s">
        <v>64</v>
      </c>
      <c r="H1439" s="2">
        <v>0.0</v>
      </c>
      <c r="I1439" s="2">
        <v>0.0</v>
      </c>
      <c r="J1439" s="37">
        <v>0.0</v>
      </c>
      <c r="K1439" s="2">
        <v>0.0</v>
      </c>
      <c r="L1439" s="2">
        <v>0.0</v>
      </c>
      <c r="M1439" s="37">
        <v>0.0</v>
      </c>
    </row>
    <row r="1440" ht="14.25" customHeight="1">
      <c r="A1440" t="s">
        <v>1507</v>
      </c>
      <c r="B1440" t="s">
        <v>1506</v>
      </c>
      <c r="C1440" t="s">
        <v>62</v>
      </c>
      <c r="D1440" t="s">
        <v>63</v>
      </c>
      <c r="E1440">
        <v>3.5</v>
      </c>
      <c r="F1440">
        <v>3.7</v>
      </c>
      <c r="G1440" s="2" t="s">
        <v>64</v>
      </c>
      <c r="H1440" s="2">
        <v>0.0</v>
      </c>
      <c r="I1440" s="2">
        <v>0.0</v>
      </c>
      <c r="J1440" s="37">
        <v>0.0</v>
      </c>
      <c r="K1440" s="2">
        <v>0.0</v>
      </c>
      <c r="L1440" s="2">
        <v>0.0</v>
      </c>
      <c r="M1440" s="37">
        <v>0.0</v>
      </c>
    </row>
    <row r="1441" ht="14.25" customHeight="1">
      <c r="A1441" t="s">
        <v>1508</v>
      </c>
      <c r="B1441" t="s">
        <v>1506</v>
      </c>
      <c r="C1441" t="s">
        <v>62</v>
      </c>
      <c r="D1441" t="s">
        <v>63</v>
      </c>
      <c r="E1441">
        <v>2.5</v>
      </c>
      <c r="F1441">
        <v>3.0</v>
      </c>
      <c r="G1441" s="2" t="s">
        <v>67</v>
      </c>
      <c r="H1441" s="2">
        <v>7.0</v>
      </c>
      <c r="I1441" s="2">
        <v>36.0</v>
      </c>
      <c r="J1441" s="37">
        <v>204.02</v>
      </c>
      <c r="K1441" s="2">
        <v>8.0</v>
      </c>
      <c r="L1441" s="2">
        <v>56.0</v>
      </c>
      <c r="M1441" s="37">
        <v>252.48000000000002</v>
      </c>
    </row>
    <row r="1442" ht="14.25" customHeight="1">
      <c r="A1442" t="s">
        <v>1509</v>
      </c>
      <c r="B1442" t="s">
        <v>1506</v>
      </c>
      <c r="C1442" t="s">
        <v>62</v>
      </c>
      <c r="D1442" t="s">
        <v>63</v>
      </c>
      <c r="E1442">
        <v>5.0</v>
      </c>
      <c r="F1442">
        <v>5.5</v>
      </c>
      <c r="G1442" s="2" t="s">
        <v>64</v>
      </c>
      <c r="H1442" s="2">
        <v>0.0</v>
      </c>
      <c r="I1442" s="2">
        <v>0.0</v>
      </c>
      <c r="J1442" s="37">
        <v>0.0</v>
      </c>
      <c r="K1442" s="2">
        <v>0.0</v>
      </c>
      <c r="L1442" s="2">
        <v>0.0</v>
      </c>
      <c r="M1442" s="37">
        <v>0.0</v>
      </c>
    </row>
    <row r="1443" ht="14.25" customHeight="1">
      <c r="A1443" t="s">
        <v>1510</v>
      </c>
      <c r="B1443" t="s">
        <v>1506</v>
      </c>
      <c r="C1443" t="s">
        <v>75</v>
      </c>
      <c r="D1443" t="s">
        <v>63</v>
      </c>
      <c r="E1443">
        <v>7.1</v>
      </c>
      <c r="F1443">
        <v>7.8</v>
      </c>
      <c r="G1443" s="2" t="s">
        <v>64</v>
      </c>
      <c r="H1443" s="2">
        <v>0.0</v>
      </c>
      <c r="I1443" s="2">
        <v>0.0</v>
      </c>
      <c r="J1443" s="37">
        <v>0.0</v>
      </c>
      <c r="K1443" s="2">
        <v>0.0</v>
      </c>
      <c r="L1443" s="2">
        <v>0.0</v>
      </c>
      <c r="M1443" s="37">
        <v>0.0</v>
      </c>
    </row>
    <row r="1444" ht="14.25" customHeight="1">
      <c r="A1444" t="s">
        <v>1511</v>
      </c>
      <c r="B1444" t="s">
        <v>1506</v>
      </c>
      <c r="C1444" t="s">
        <v>75</v>
      </c>
      <c r="D1444" t="s">
        <v>63</v>
      </c>
      <c r="E1444">
        <v>10.0</v>
      </c>
      <c r="F1444">
        <v>11.5</v>
      </c>
      <c r="G1444" s="2" t="s">
        <v>64</v>
      </c>
      <c r="H1444" s="2">
        <v>0.0</v>
      </c>
      <c r="I1444" s="2">
        <v>0.0</v>
      </c>
      <c r="J1444" s="37">
        <v>0.0</v>
      </c>
      <c r="K1444" s="2">
        <v>0.0</v>
      </c>
      <c r="L1444" s="2">
        <v>0.0</v>
      </c>
      <c r="M1444" s="37">
        <v>0.0</v>
      </c>
    </row>
    <row r="1445" ht="14.25" customHeight="1">
      <c r="A1445" t="s">
        <v>1512</v>
      </c>
      <c r="B1445" t="s">
        <v>1506</v>
      </c>
      <c r="C1445" t="s">
        <v>75</v>
      </c>
      <c r="D1445" t="s">
        <v>63</v>
      </c>
      <c r="E1445">
        <v>10.0</v>
      </c>
      <c r="F1445">
        <v>10.8</v>
      </c>
      <c r="G1445" s="2" t="s">
        <v>64</v>
      </c>
      <c r="H1445" s="2">
        <v>0.0</v>
      </c>
      <c r="I1445" s="2">
        <v>0.0</v>
      </c>
      <c r="J1445" s="37">
        <v>0.0</v>
      </c>
      <c r="K1445" s="2">
        <v>0.0</v>
      </c>
      <c r="L1445" s="2">
        <v>0.0</v>
      </c>
      <c r="M1445" s="37">
        <v>0.0</v>
      </c>
    </row>
    <row r="1446" ht="14.25" customHeight="1">
      <c r="A1446" t="s">
        <v>1513</v>
      </c>
      <c r="B1446" t="s">
        <v>1506</v>
      </c>
      <c r="C1446" t="s">
        <v>75</v>
      </c>
      <c r="D1446" t="s">
        <v>63</v>
      </c>
      <c r="E1446">
        <v>12.5</v>
      </c>
      <c r="F1446">
        <v>14.0</v>
      </c>
      <c r="G1446" s="2" t="s">
        <v>64</v>
      </c>
      <c r="H1446" s="2">
        <v>0.0</v>
      </c>
      <c r="I1446" s="2">
        <v>0.0</v>
      </c>
      <c r="J1446" s="37">
        <v>0.0</v>
      </c>
      <c r="K1446" s="2">
        <v>0.0</v>
      </c>
      <c r="L1446" s="2">
        <v>0.0</v>
      </c>
      <c r="M1446" s="37">
        <v>0.0</v>
      </c>
    </row>
    <row r="1447" ht="14.25" customHeight="1">
      <c r="A1447" t="s">
        <v>1514</v>
      </c>
      <c r="B1447" t="s">
        <v>1506</v>
      </c>
      <c r="C1447" t="s">
        <v>75</v>
      </c>
      <c r="D1447" t="s">
        <v>63</v>
      </c>
      <c r="E1447">
        <v>12.0</v>
      </c>
      <c r="F1447">
        <v>14.0</v>
      </c>
      <c r="G1447" s="2" t="s">
        <v>64</v>
      </c>
      <c r="H1447" s="2">
        <v>0.0</v>
      </c>
      <c r="I1447" s="2">
        <v>0.0</v>
      </c>
      <c r="J1447" s="37">
        <v>0.0</v>
      </c>
      <c r="K1447" s="2">
        <v>0.0</v>
      </c>
      <c r="L1447" s="2">
        <v>0.0</v>
      </c>
      <c r="M1447" s="37">
        <v>0.0</v>
      </c>
    </row>
    <row r="1448" ht="14.25" customHeight="1">
      <c r="A1448" t="s">
        <v>1515</v>
      </c>
      <c r="B1448" t="s">
        <v>1506</v>
      </c>
      <c r="C1448" t="s">
        <v>75</v>
      </c>
      <c r="D1448" t="s">
        <v>63</v>
      </c>
      <c r="E1448">
        <v>14.0</v>
      </c>
      <c r="F1448">
        <v>16.0</v>
      </c>
      <c r="G1448" s="2" t="s">
        <v>64</v>
      </c>
      <c r="H1448" s="2">
        <v>0.0</v>
      </c>
      <c r="I1448" s="2">
        <v>0.0</v>
      </c>
      <c r="J1448" s="37">
        <v>0.0</v>
      </c>
      <c r="K1448" s="2">
        <v>0.0</v>
      </c>
      <c r="L1448" s="2">
        <v>0.0</v>
      </c>
      <c r="M1448" s="37">
        <v>0.0</v>
      </c>
    </row>
    <row r="1449" ht="14.25" customHeight="1">
      <c r="A1449" t="s">
        <v>1516</v>
      </c>
      <c r="B1449" t="s">
        <v>1506</v>
      </c>
      <c r="C1449" t="s">
        <v>75</v>
      </c>
      <c r="D1449" t="s">
        <v>63</v>
      </c>
      <c r="E1449">
        <v>13.0</v>
      </c>
      <c r="F1449">
        <v>15.0</v>
      </c>
      <c r="G1449" s="2" t="s">
        <v>64</v>
      </c>
      <c r="H1449" s="2">
        <v>0.0</v>
      </c>
      <c r="I1449" s="2">
        <v>0.0</v>
      </c>
      <c r="J1449" s="37">
        <v>0.0</v>
      </c>
      <c r="K1449" s="2">
        <v>0.0</v>
      </c>
      <c r="L1449" s="2">
        <v>0.0</v>
      </c>
      <c r="M1449" s="37">
        <v>0.0</v>
      </c>
    </row>
    <row r="1450" ht="14.25" customHeight="1">
      <c r="A1450" t="s">
        <v>1517</v>
      </c>
      <c r="B1450" t="s">
        <v>1506</v>
      </c>
      <c r="C1450" t="s">
        <v>75</v>
      </c>
      <c r="D1450" t="s">
        <v>63</v>
      </c>
      <c r="E1450">
        <v>15.5</v>
      </c>
      <c r="F1450">
        <v>18.0</v>
      </c>
      <c r="G1450" s="2" t="s">
        <v>64</v>
      </c>
      <c r="H1450" s="2">
        <v>0.0</v>
      </c>
      <c r="I1450" s="2">
        <v>0.0</v>
      </c>
      <c r="J1450" s="37">
        <v>0.0</v>
      </c>
      <c r="K1450" s="2">
        <v>0.0</v>
      </c>
      <c r="L1450" s="2">
        <v>0.0</v>
      </c>
      <c r="M1450" s="37">
        <v>0.0</v>
      </c>
    </row>
    <row r="1451" ht="14.25" customHeight="1">
      <c r="A1451" t="s">
        <v>1518</v>
      </c>
      <c r="B1451" t="s">
        <v>1506</v>
      </c>
      <c r="C1451" t="s">
        <v>62</v>
      </c>
      <c r="D1451" t="s">
        <v>63</v>
      </c>
      <c r="E1451">
        <v>5.1</v>
      </c>
      <c r="F1451">
        <v>5.7</v>
      </c>
      <c r="G1451" s="2" t="s">
        <v>67</v>
      </c>
      <c r="H1451" s="2">
        <v>16.0</v>
      </c>
      <c r="I1451" s="2">
        <v>125.0</v>
      </c>
      <c r="J1451" s="37">
        <v>521.86</v>
      </c>
      <c r="K1451" s="2">
        <v>18.0</v>
      </c>
      <c r="L1451" s="2">
        <v>172.0</v>
      </c>
      <c r="M1451" s="37">
        <v>627.88</v>
      </c>
    </row>
    <row r="1452" ht="14.25" customHeight="1">
      <c r="A1452" t="s">
        <v>1519</v>
      </c>
      <c r="B1452" t="s">
        <v>1506</v>
      </c>
      <c r="C1452" t="s">
        <v>62</v>
      </c>
      <c r="D1452" t="s">
        <v>63</v>
      </c>
      <c r="E1452">
        <v>7.1</v>
      </c>
      <c r="F1452">
        <v>7.6</v>
      </c>
      <c r="G1452" s="2" t="s">
        <v>67</v>
      </c>
      <c r="H1452" s="2">
        <v>21.0</v>
      </c>
      <c r="I1452" s="2">
        <v>146.0</v>
      </c>
      <c r="J1452" s="37">
        <v>661.46</v>
      </c>
      <c r="K1452" s="2">
        <v>24.0</v>
      </c>
      <c r="L1452" s="2">
        <v>211.0</v>
      </c>
      <c r="M1452" s="37">
        <v>813.3399999999999</v>
      </c>
    </row>
    <row r="1453" ht="14.25" customHeight="1">
      <c r="A1453" t="s">
        <v>1520</v>
      </c>
      <c r="B1453" t="s">
        <v>1506</v>
      </c>
      <c r="C1453" t="s">
        <v>62</v>
      </c>
      <c r="D1453" t="s">
        <v>63</v>
      </c>
      <c r="E1453">
        <v>8.2</v>
      </c>
      <c r="F1453">
        <v>9.0</v>
      </c>
      <c r="G1453" s="2" t="s">
        <v>64</v>
      </c>
      <c r="H1453" s="2">
        <v>0.0</v>
      </c>
      <c r="I1453" s="2">
        <v>0.0</v>
      </c>
      <c r="J1453" s="37">
        <v>0.0</v>
      </c>
      <c r="K1453" s="2">
        <v>0.0</v>
      </c>
      <c r="L1453" s="2">
        <v>0.0</v>
      </c>
      <c r="M1453" s="37">
        <v>0.0</v>
      </c>
    </row>
    <row r="1454" ht="14.25" customHeight="1">
      <c r="A1454" t="s">
        <v>1521</v>
      </c>
      <c r="B1454" t="s">
        <v>1506</v>
      </c>
      <c r="C1454" t="s">
        <v>62</v>
      </c>
      <c r="D1454" t="s">
        <v>63</v>
      </c>
      <c r="E1454">
        <v>3.4</v>
      </c>
      <c r="F1454">
        <v>3.8</v>
      </c>
      <c r="G1454" s="2" t="s">
        <v>64</v>
      </c>
      <c r="H1454" s="2">
        <v>0.0</v>
      </c>
      <c r="I1454" s="2">
        <v>0.0</v>
      </c>
      <c r="J1454" s="37">
        <v>0.0</v>
      </c>
      <c r="K1454" s="2">
        <v>0.0</v>
      </c>
      <c r="L1454" s="2">
        <v>0.0</v>
      </c>
      <c r="M1454" s="37">
        <v>0.0</v>
      </c>
    </row>
    <row r="1455" ht="14.25" customHeight="1">
      <c r="A1455" t="s">
        <v>1522</v>
      </c>
      <c r="B1455" t="s">
        <v>1506</v>
      </c>
      <c r="C1455" t="s">
        <v>62</v>
      </c>
      <c r="D1455" t="s">
        <v>63</v>
      </c>
      <c r="E1455">
        <v>2.55</v>
      </c>
      <c r="F1455">
        <v>3.3</v>
      </c>
      <c r="G1455" s="2" t="s">
        <v>67</v>
      </c>
      <c r="H1455" s="2">
        <v>8.0</v>
      </c>
      <c r="I1455" s="2">
        <v>58.0</v>
      </c>
      <c r="J1455" s="37">
        <v>255.08</v>
      </c>
      <c r="K1455" s="2">
        <v>9.0</v>
      </c>
      <c r="L1455" s="2">
        <v>78.0</v>
      </c>
      <c r="M1455" s="37">
        <v>303.54</v>
      </c>
    </row>
    <row r="1456" ht="14.25" customHeight="1">
      <c r="A1456" t="s">
        <v>1523</v>
      </c>
      <c r="B1456" t="s">
        <v>1506</v>
      </c>
      <c r="C1456" t="s">
        <v>62</v>
      </c>
      <c r="D1456" t="s">
        <v>63</v>
      </c>
      <c r="E1456">
        <v>5.0</v>
      </c>
      <c r="F1456">
        <v>6.0</v>
      </c>
      <c r="G1456" s="2" t="s">
        <v>67</v>
      </c>
      <c r="H1456" s="2">
        <v>18.0</v>
      </c>
      <c r="I1456" s="2">
        <v>92.0</v>
      </c>
      <c r="J1456" s="37">
        <v>523.88</v>
      </c>
      <c r="K1456" s="2">
        <v>20.0</v>
      </c>
      <c r="L1456" s="2">
        <v>138.0</v>
      </c>
      <c r="M1456" s="37">
        <v>628.6</v>
      </c>
    </row>
    <row r="1457" ht="14.25" customHeight="1">
      <c r="A1457" t="s">
        <v>1524</v>
      </c>
      <c r="B1457" t="s">
        <v>1506</v>
      </c>
      <c r="C1457" t="s">
        <v>62</v>
      </c>
      <c r="D1457" t="s">
        <v>63</v>
      </c>
      <c r="E1457">
        <v>7.1</v>
      </c>
      <c r="F1457">
        <v>8.0</v>
      </c>
      <c r="G1457" s="2" t="s">
        <v>67</v>
      </c>
      <c r="H1457" s="2">
        <v>24.0</v>
      </c>
      <c r="I1457" s="2">
        <v>54.0</v>
      </c>
      <c r="J1457" s="37">
        <v>609.24</v>
      </c>
      <c r="K1457" s="2">
        <v>27.0</v>
      </c>
      <c r="L1457" s="2">
        <v>119.0</v>
      </c>
      <c r="M1457" s="37">
        <v>761.1200000000001</v>
      </c>
    </row>
    <row r="1458" ht="14.25" customHeight="1">
      <c r="A1458" t="s">
        <v>1525</v>
      </c>
      <c r="B1458" t="s">
        <v>1506</v>
      </c>
      <c r="C1458" t="s">
        <v>62</v>
      </c>
      <c r="D1458" t="s">
        <v>63</v>
      </c>
      <c r="E1458">
        <v>9.0</v>
      </c>
      <c r="F1458">
        <v>9.5</v>
      </c>
      <c r="G1458" s="2" t="s">
        <v>64</v>
      </c>
      <c r="H1458" s="2">
        <v>0.0</v>
      </c>
      <c r="I1458" s="2">
        <v>0.0</v>
      </c>
      <c r="J1458" s="37">
        <v>0.0</v>
      </c>
      <c r="K1458" s="2">
        <v>0.0</v>
      </c>
      <c r="L1458" s="2">
        <v>0.0</v>
      </c>
      <c r="M1458" s="37">
        <v>0.0</v>
      </c>
    </row>
    <row r="1459" ht="14.25" customHeight="1">
      <c r="A1459" t="s">
        <v>1526</v>
      </c>
      <c r="B1459" t="s">
        <v>1506</v>
      </c>
      <c r="C1459" t="s">
        <v>62</v>
      </c>
      <c r="D1459" t="s">
        <v>63</v>
      </c>
      <c r="E1459">
        <v>9.0</v>
      </c>
      <c r="F1459">
        <v>9.5</v>
      </c>
      <c r="G1459" s="2" t="s">
        <v>64</v>
      </c>
      <c r="H1459" s="2">
        <v>0.0</v>
      </c>
      <c r="I1459" s="2">
        <v>0.0</v>
      </c>
      <c r="J1459" s="37">
        <v>0.0</v>
      </c>
      <c r="K1459" s="2">
        <v>0.0</v>
      </c>
      <c r="L1459" s="2">
        <v>0.0</v>
      </c>
      <c r="M1459" s="37">
        <v>0.0</v>
      </c>
    </row>
    <row r="1460" ht="14.25" customHeight="1">
      <c r="A1460" t="s">
        <v>1527</v>
      </c>
      <c r="B1460" t="s">
        <v>1506</v>
      </c>
      <c r="C1460" t="s">
        <v>62</v>
      </c>
      <c r="D1460" t="s">
        <v>63</v>
      </c>
      <c r="E1460">
        <v>2.5</v>
      </c>
      <c r="F1460">
        <v>3.2</v>
      </c>
      <c r="G1460" s="2" t="s">
        <v>67</v>
      </c>
      <c r="H1460" s="2">
        <v>8.0</v>
      </c>
      <c r="I1460" s="2">
        <v>48.0</v>
      </c>
      <c r="J1460" s="37">
        <v>242.08</v>
      </c>
      <c r="K1460" s="2">
        <v>9.0</v>
      </c>
      <c r="L1460" s="2">
        <v>68.0</v>
      </c>
      <c r="M1460" s="37">
        <v>290.54</v>
      </c>
    </row>
    <row r="1461" ht="14.25" customHeight="1">
      <c r="A1461" t="s">
        <v>1528</v>
      </c>
      <c r="B1461" t="s">
        <v>1506</v>
      </c>
      <c r="C1461" t="s">
        <v>62</v>
      </c>
      <c r="D1461" t="s">
        <v>63</v>
      </c>
      <c r="E1461">
        <v>3.5</v>
      </c>
      <c r="F1461">
        <v>3.7</v>
      </c>
      <c r="G1461" s="2" t="s">
        <v>67</v>
      </c>
      <c r="H1461" s="2">
        <v>10.0</v>
      </c>
      <c r="I1461" s="2">
        <v>37.0</v>
      </c>
      <c r="J1461" s="37">
        <v>272.70000000000005</v>
      </c>
      <c r="K1461" s="2">
        <v>11.0</v>
      </c>
      <c r="L1461" s="2">
        <v>65.0</v>
      </c>
      <c r="M1461" s="37">
        <v>331.56</v>
      </c>
    </row>
    <row r="1462" ht="14.25" customHeight="1">
      <c r="A1462" t="s">
        <v>1529</v>
      </c>
      <c r="B1462" t="s">
        <v>1506</v>
      </c>
      <c r="C1462" t="s">
        <v>75</v>
      </c>
      <c r="D1462" t="s">
        <v>63</v>
      </c>
      <c r="E1462">
        <v>18.0</v>
      </c>
      <c r="F1462">
        <v>20.0</v>
      </c>
      <c r="G1462" s="2" t="s">
        <v>64</v>
      </c>
      <c r="H1462" s="2">
        <v>0.0</v>
      </c>
      <c r="I1462" s="2">
        <v>0.0</v>
      </c>
      <c r="J1462" s="37">
        <v>0.0</v>
      </c>
      <c r="K1462" s="2">
        <v>0.0</v>
      </c>
      <c r="L1462" s="2">
        <v>0.0</v>
      </c>
      <c r="M1462" s="37">
        <v>0.0</v>
      </c>
    </row>
    <row r="1463" ht="14.25" customHeight="1">
      <c r="A1463" t="s">
        <v>1530</v>
      </c>
      <c r="B1463" t="s">
        <v>1506</v>
      </c>
      <c r="C1463" t="s">
        <v>62</v>
      </c>
      <c r="D1463" t="s">
        <v>63</v>
      </c>
      <c r="E1463">
        <v>9.0</v>
      </c>
      <c r="F1463">
        <v>9.5</v>
      </c>
      <c r="G1463" s="2" t="s">
        <v>64</v>
      </c>
      <c r="H1463" s="2">
        <v>0.0</v>
      </c>
      <c r="I1463" s="2">
        <v>0.0</v>
      </c>
      <c r="J1463" s="37">
        <v>0.0</v>
      </c>
      <c r="K1463" s="2">
        <v>0.0</v>
      </c>
      <c r="L1463" s="2">
        <v>0.0</v>
      </c>
      <c r="M1463" s="37">
        <v>0.0</v>
      </c>
    </row>
    <row r="1464" ht="14.25" customHeight="1">
      <c r="A1464" t="s">
        <v>1531</v>
      </c>
      <c r="B1464" t="s">
        <v>1506</v>
      </c>
      <c r="C1464" t="s">
        <v>75</v>
      </c>
      <c r="D1464" t="s">
        <v>63</v>
      </c>
      <c r="E1464">
        <v>12.5</v>
      </c>
      <c r="F1464">
        <v>14.0</v>
      </c>
      <c r="G1464" s="2" t="s">
        <v>64</v>
      </c>
      <c r="H1464" s="2">
        <v>0.0</v>
      </c>
      <c r="I1464" s="2">
        <v>0.0</v>
      </c>
      <c r="J1464" s="37">
        <v>0.0</v>
      </c>
      <c r="K1464" s="2">
        <v>0.0</v>
      </c>
      <c r="L1464" s="2">
        <v>0.0</v>
      </c>
      <c r="M1464" s="37">
        <v>0.0</v>
      </c>
    </row>
    <row r="1465" ht="14.25" customHeight="1">
      <c r="A1465" t="s">
        <v>1532</v>
      </c>
      <c r="B1465" t="s">
        <v>1506</v>
      </c>
      <c r="C1465" t="s">
        <v>75</v>
      </c>
      <c r="D1465" t="s">
        <v>63</v>
      </c>
      <c r="E1465">
        <v>20.0</v>
      </c>
      <c r="F1465">
        <v>22.8</v>
      </c>
      <c r="G1465" s="2" t="s">
        <v>64</v>
      </c>
      <c r="H1465" s="2">
        <v>0.0</v>
      </c>
      <c r="I1465" s="2">
        <v>0.0</v>
      </c>
      <c r="J1465" s="37">
        <v>0.0</v>
      </c>
      <c r="K1465" s="2">
        <v>0.0</v>
      </c>
      <c r="L1465" s="2">
        <v>0.0</v>
      </c>
      <c r="M1465" s="37">
        <v>0.0</v>
      </c>
    </row>
    <row r="1466" ht="14.25" customHeight="1">
      <c r="A1466" t="s">
        <v>1533</v>
      </c>
      <c r="B1466" t="s">
        <v>1506</v>
      </c>
      <c r="C1466" t="s">
        <v>62</v>
      </c>
      <c r="D1466" t="s">
        <v>63</v>
      </c>
      <c r="E1466">
        <v>6.0</v>
      </c>
      <c r="F1466">
        <v>7.0</v>
      </c>
      <c r="G1466" s="2" t="s">
        <v>67</v>
      </c>
      <c r="H1466" s="2">
        <v>20.0</v>
      </c>
      <c r="I1466" s="2">
        <v>110.0</v>
      </c>
      <c r="J1466" s="37">
        <v>592.2</v>
      </c>
      <c r="K1466" s="2">
        <v>23.0</v>
      </c>
      <c r="L1466" s="2">
        <v>165.0</v>
      </c>
      <c r="M1466" s="37">
        <v>731.08</v>
      </c>
    </row>
    <row r="1467" ht="14.25" customHeight="1">
      <c r="A1467" t="s">
        <v>1534</v>
      </c>
      <c r="B1467" t="s">
        <v>1506</v>
      </c>
      <c r="C1467" t="s">
        <v>62</v>
      </c>
      <c r="D1467" t="s">
        <v>63</v>
      </c>
      <c r="E1467">
        <v>7.1</v>
      </c>
      <c r="F1467">
        <v>8.0</v>
      </c>
      <c r="G1467" s="2" t="s">
        <v>64</v>
      </c>
      <c r="H1467" s="2">
        <v>0.0</v>
      </c>
      <c r="I1467" s="2">
        <v>0.0</v>
      </c>
      <c r="J1467" s="37">
        <v>0.0</v>
      </c>
      <c r="K1467" s="2">
        <v>0.0</v>
      </c>
      <c r="L1467" s="2">
        <v>0.0</v>
      </c>
      <c r="M1467" s="37">
        <v>0.0</v>
      </c>
    </row>
    <row r="1468" ht="14.25" customHeight="1">
      <c r="A1468" t="s">
        <v>1535</v>
      </c>
      <c r="B1468" t="s">
        <v>1506</v>
      </c>
      <c r="C1468" t="s">
        <v>62</v>
      </c>
      <c r="D1468" t="s">
        <v>63</v>
      </c>
      <c r="E1468">
        <v>10.0</v>
      </c>
      <c r="F1468">
        <v>11.5</v>
      </c>
      <c r="G1468" s="2" t="s">
        <v>64</v>
      </c>
      <c r="H1468" s="2">
        <v>0.0</v>
      </c>
      <c r="I1468" s="2">
        <v>0.0</v>
      </c>
      <c r="J1468" s="37">
        <v>0.0</v>
      </c>
      <c r="K1468" s="2">
        <v>0.0</v>
      </c>
      <c r="L1468" s="2">
        <v>0.0</v>
      </c>
      <c r="M1468" s="37">
        <v>0.0</v>
      </c>
    </row>
    <row r="1469" ht="14.25" customHeight="1">
      <c r="A1469" t="s">
        <v>1536</v>
      </c>
      <c r="B1469" t="s">
        <v>1506</v>
      </c>
      <c r="C1469" t="s">
        <v>62</v>
      </c>
      <c r="D1469" t="s">
        <v>63</v>
      </c>
      <c r="E1469">
        <v>12.0</v>
      </c>
      <c r="F1469">
        <v>13.0</v>
      </c>
      <c r="G1469" s="2" t="s">
        <v>64</v>
      </c>
      <c r="H1469" s="2">
        <v>0.0</v>
      </c>
      <c r="I1469" s="2">
        <v>0.0</v>
      </c>
      <c r="J1469" s="37">
        <v>0.0</v>
      </c>
      <c r="K1469" s="2">
        <v>0.0</v>
      </c>
      <c r="L1469" s="2">
        <v>0.0</v>
      </c>
      <c r="M1469" s="37">
        <v>0.0</v>
      </c>
    </row>
    <row r="1470" ht="14.25" customHeight="1">
      <c r="A1470" t="s">
        <v>1537</v>
      </c>
      <c r="B1470" t="s">
        <v>1506</v>
      </c>
      <c r="C1470" t="s">
        <v>62</v>
      </c>
      <c r="D1470" t="s">
        <v>63</v>
      </c>
      <c r="E1470">
        <v>2.5</v>
      </c>
      <c r="F1470">
        <v>3.0</v>
      </c>
      <c r="G1470" s="2" t="s">
        <v>64</v>
      </c>
      <c r="H1470" s="2">
        <v>0.0</v>
      </c>
      <c r="I1470" s="2">
        <v>0.0</v>
      </c>
      <c r="J1470" s="37">
        <v>0.0</v>
      </c>
      <c r="K1470" s="2">
        <v>0.0</v>
      </c>
      <c r="L1470" s="2">
        <v>0.0</v>
      </c>
      <c r="M1470" s="37">
        <v>0.0</v>
      </c>
    </row>
    <row r="1471" ht="14.25" customHeight="1">
      <c r="A1471" t="s">
        <v>1538</v>
      </c>
      <c r="B1471" t="s">
        <v>1506</v>
      </c>
      <c r="C1471" t="s">
        <v>62</v>
      </c>
      <c r="D1471" t="s">
        <v>63</v>
      </c>
      <c r="E1471">
        <v>3.5</v>
      </c>
      <c r="F1471">
        <v>3.7</v>
      </c>
      <c r="G1471" s="2" t="s">
        <v>64</v>
      </c>
      <c r="H1471" s="2">
        <v>0.0</v>
      </c>
      <c r="I1471" s="2">
        <v>0.0</v>
      </c>
      <c r="J1471" s="37">
        <v>0.0</v>
      </c>
      <c r="K1471" s="2">
        <v>0.0</v>
      </c>
      <c r="L1471" s="2">
        <v>0.0</v>
      </c>
      <c r="M1471" s="37">
        <v>0.0</v>
      </c>
    </row>
    <row r="1472" ht="14.25" customHeight="1">
      <c r="A1472" t="s">
        <v>1539</v>
      </c>
      <c r="B1472" t="s">
        <v>1506</v>
      </c>
      <c r="C1472" t="s">
        <v>62</v>
      </c>
      <c r="D1472" t="s">
        <v>63</v>
      </c>
      <c r="E1472">
        <v>5.0</v>
      </c>
      <c r="F1472">
        <v>5.2</v>
      </c>
      <c r="G1472" s="2" t="s">
        <v>64</v>
      </c>
      <c r="H1472" s="2">
        <v>0.0</v>
      </c>
      <c r="I1472" s="2">
        <v>0.0</v>
      </c>
      <c r="J1472" s="37">
        <v>0.0</v>
      </c>
      <c r="K1472" s="2">
        <v>0.0</v>
      </c>
      <c r="L1472" s="2">
        <v>0.0</v>
      </c>
      <c r="M1472" s="37">
        <v>0.0</v>
      </c>
    </row>
    <row r="1473" ht="14.25" customHeight="1">
      <c r="A1473" t="s">
        <v>1540</v>
      </c>
      <c r="B1473" t="s">
        <v>1506</v>
      </c>
      <c r="C1473" t="s">
        <v>62</v>
      </c>
      <c r="D1473" t="s">
        <v>63</v>
      </c>
      <c r="E1473">
        <v>7.0</v>
      </c>
      <c r="F1473">
        <v>7.5</v>
      </c>
      <c r="G1473" s="2" t="s">
        <v>64</v>
      </c>
      <c r="H1473" s="2">
        <v>0.0</v>
      </c>
      <c r="I1473" s="2">
        <v>0.0</v>
      </c>
      <c r="J1473" s="37">
        <v>0.0</v>
      </c>
      <c r="K1473" s="2">
        <v>0.0</v>
      </c>
      <c r="L1473" s="2">
        <v>0.0</v>
      </c>
      <c r="M1473" s="37">
        <v>0.0</v>
      </c>
    </row>
    <row r="1474" ht="14.25" customHeight="1">
      <c r="A1474" t="s">
        <v>1541</v>
      </c>
      <c r="B1474" t="s">
        <v>1506</v>
      </c>
      <c r="C1474" t="s">
        <v>62</v>
      </c>
      <c r="D1474" t="s">
        <v>63</v>
      </c>
      <c r="E1474">
        <v>14.0</v>
      </c>
      <c r="F1474">
        <v>14.5</v>
      </c>
      <c r="G1474" s="2" t="s">
        <v>67</v>
      </c>
      <c r="H1474" s="2">
        <v>37.0</v>
      </c>
      <c r="I1474" s="2">
        <v>126.0</v>
      </c>
      <c r="J1474" s="37">
        <v>994.8199999999999</v>
      </c>
      <c r="K1474" s="2">
        <v>44.0</v>
      </c>
      <c r="L1474" s="2">
        <v>269.0</v>
      </c>
      <c r="M1474" s="37">
        <v>1337.94</v>
      </c>
    </row>
    <row r="1475" ht="14.25" customHeight="1">
      <c r="A1475" t="s">
        <v>1542</v>
      </c>
      <c r="B1475" t="s">
        <v>1506</v>
      </c>
      <c r="C1475" t="s">
        <v>62</v>
      </c>
      <c r="D1475" t="s">
        <v>63</v>
      </c>
      <c r="E1475">
        <v>8.0</v>
      </c>
      <c r="F1475">
        <v>9.0</v>
      </c>
      <c r="G1475" s="2" t="s">
        <v>67</v>
      </c>
      <c r="H1475" s="2">
        <v>26.0</v>
      </c>
      <c r="I1475" s="2">
        <v>114.0</v>
      </c>
      <c r="J1475" s="37">
        <v>732.1600000000001</v>
      </c>
      <c r="K1475" s="2">
        <v>30.0</v>
      </c>
      <c r="L1475" s="2">
        <v>186.0</v>
      </c>
      <c r="M1475" s="37">
        <v>915.6000000000001</v>
      </c>
    </row>
    <row r="1476" ht="14.25" customHeight="1">
      <c r="A1476" t="s">
        <v>1543</v>
      </c>
      <c r="B1476" t="s">
        <v>1506</v>
      </c>
      <c r="C1476" t="s">
        <v>62</v>
      </c>
      <c r="D1476" t="s">
        <v>63</v>
      </c>
      <c r="E1476">
        <v>2.5</v>
      </c>
      <c r="F1476">
        <v>3.2</v>
      </c>
      <c r="G1476" s="2" t="s">
        <v>67</v>
      </c>
      <c r="H1476" s="2">
        <v>8.0</v>
      </c>
      <c r="I1476" s="2">
        <v>57.0</v>
      </c>
      <c r="J1476" s="37">
        <v>253.78000000000003</v>
      </c>
      <c r="K1476" s="2">
        <v>10.0</v>
      </c>
      <c r="L1476" s="2">
        <v>77.0</v>
      </c>
      <c r="M1476" s="37">
        <v>324.70000000000005</v>
      </c>
    </row>
    <row r="1477" ht="14.25" customHeight="1">
      <c r="A1477" t="s">
        <v>1544</v>
      </c>
      <c r="B1477" t="s">
        <v>1506</v>
      </c>
      <c r="C1477" t="s">
        <v>62</v>
      </c>
      <c r="D1477" t="s">
        <v>63</v>
      </c>
      <c r="E1477">
        <v>3.5</v>
      </c>
      <c r="F1477">
        <v>3.7</v>
      </c>
      <c r="G1477" s="2" t="s">
        <v>67</v>
      </c>
      <c r="H1477" s="2">
        <v>9.0</v>
      </c>
      <c r="I1477" s="2">
        <v>46.0</v>
      </c>
      <c r="J1477" s="37">
        <v>261.94</v>
      </c>
      <c r="K1477" s="2">
        <v>11.0</v>
      </c>
      <c r="L1477" s="2">
        <v>74.0</v>
      </c>
      <c r="M1477" s="37">
        <v>343.26</v>
      </c>
    </row>
    <row r="1478" ht="14.25" customHeight="1">
      <c r="A1478" t="s">
        <v>1545</v>
      </c>
      <c r="B1478" t="s">
        <v>1506</v>
      </c>
      <c r="C1478" t="s">
        <v>62</v>
      </c>
      <c r="D1478" t="s">
        <v>63</v>
      </c>
      <c r="E1478">
        <v>5.0</v>
      </c>
      <c r="F1478">
        <v>6.0</v>
      </c>
      <c r="G1478" s="2" t="s">
        <v>67</v>
      </c>
      <c r="H1478" s="2">
        <v>18.0</v>
      </c>
      <c r="I1478" s="2">
        <v>116.0</v>
      </c>
      <c r="J1478" s="37">
        <v>555.08</v>
      </c>
      <c r="K1478" s="2">
        <v>20.0</v>
      </c>
      <c r="L1478" s="2">
        <v>162.0</v>
      </c>
      <c r="M1478" s="37">
        <v>659.8000000000001</v>
      </c>
    </row>
    <row r="1479" ht="14.25" customHeight="1">
      <c r="A1479" t="s">
        <v>1546</v>
      </c>
      <c r="B1479" t="s">
        <v>1506</v>
      </c>
      <c r="C1479" t="s">
        <v>62</v>
      </c>
      <c r="D1479" t="s">
        <v>63</v>
      </c>
      <c r="E1479">
        <v>7.1</v>
      </c>
      <c r="F1479">
        <v>8.0</v>
      </c>
      <c r="G1479" s="2" t="s">
        <v>67</v>
      </c>
      <c r="H1479" s="2">
        <v>23.0</v>
      </c>
      <c r="I1479" s="2">
        <v>84.0</v>
      </c>
      <c r="J1479" s="37">
        <v>625.7800000000001</v>
      </c>
      <c r="K1479" s="2">
        <v>26.0</v>
      </c>
      <c r="L1479" s="2">
        <v>149.0</v>
      </c>
      <c r="M1479" s="37">
        <v>777.6600000000001</v>
      </c>
    </row>
    <row r="1480" ht="14.25" customHeight="1">
      <c r="A1480" t="s">
        <v>1531</v>
      </c>
      <c r="B1480" t="s">
        <v>1506</v>
      </c>
      <c r="C1480" t="s">
        <v>75</v>
      </c>
      <c r="D1480" t="s">
        <v>63</v>
      </c>
      <c r="E1480">
        <v>12.5</v>
      </c>
      <c r="F1480">
        <v>14.0</v>
      </c>
      <c r="G1480" s="2" t="s">
        <v>67</v>
      </c>
      <c r="H1480" s="2">
        <v>0.0</v>
      </c>
      <c r="I1480" s="2">
        <v>0.0</v>
      </c>
      <c r="J1480" s="37">
        <v>0.0</v>
      </c>
      <c r="K1480" s="2">
        <v>0.0</v>
      </c>
      <c r="L1480" s="2">
        <v>0.0</v>
      </c>
      <c r="M1480" s="37">
        <v>0.0</v>
      </c>
    </row>
    <row r="1481" ht="14.25" customHeight="1">
      <c r="A1481" t="s">
        <v>1513</v>
      </c>
      <c r="B1481" t="s">
        <v>1506</v>
      </c>
      <c r="C1481" t="s">
        <v>75</v>
      </c>
      <c r="D1481" t="s">
        <v>63</v>
      </c>
      <c r="E1481">
        <v>12.5</v>
      </c>
      <c r="F1481">
        <v>14.0</v>
      </c>
      <c r="G1481" s="2" t="s">
        <v>67</v>
      </c>
      <c r="H1481" s="2">
        <v>0.0</v>
      </c>
      <c r="I1481" s="2">
        <v>0.0</v>
      </c>
      <c r="J1481" s="37">
        <v>0.0</v>
      </c>
      <c r="K1481" s="2">
        <v>0.0</v>
      </c>
      <c r="L1481" s="2">
        <v>0.0</v>
      </c>
      <c r="M1481" s="37">
        <v>0.0</v>
      </c>
    </row>
    <row r="1482" ht="14.25" customHeight="1">
      <c r="A1482" t="s">
        <v>1515</v>
      </c>
      <c r="B1482" t="s">
        <v>1506</v>
      </c>
      <c r="C1482" t="s">
        <v>75</v>
      </c>
      <c r="D1482" t="s">
        <v>63</v>
      </c>
      <c r="E1482">
        <v>14.0</v>
      </c>
      <c r="F1482">
        <v>15.0</v>
      </c>
      <c r="G1482" s="2" t="s">
        <v>67</v>
      </c>
      <c r="H1482" s="2">
        <v>0.0</v>
      </c>
      <c r="I1482" s="2">
        <v>0.0</v>
      </c>
      <c r="J1482" s="37">
        <v>0.0</v>
      </c>
      <c r="K1482" s="2">
        <v>0.0</v>
      </c>
      <c r="L1482" s="2">
        <v>0.0</v>
      </c>
      <c r="M1482" s="37">
        <v>0.0</v>
      </c>
    </row>
    <row r="1483" ht="14.25" customHeight="1">
      <c r="A1483" t="s">
        <v>1517</v>
      </c>
      <c r="B1483" t="s">
        <v>1506</v>
      </c>
      <c r="C1483" t="s">
        <v>75</v>
      </c>
      <c r="D1483" t="s">
        <v>63</v>
      </c>
      <c r="E1483">
        <v>15.5</v>
      </c>
      <c r="F1483">
        <v>17.0</v>
      </c>
      <c r="G1483" s="2" t="s">
        <v>67</v>
      </c>
      <c r="H1483" s="2">
        <v>0.0</v>
      </c>
      <c r="I1483" s="2">
        <v>0.0</v>
      </c>
      <c r="J1483" s="37">
        <v>0.0</v>
      </c>
      <c r="K1483" s="2">
        <v>0.0</v>
      </c>
      <c r="L1483" s="2">
        <v>0.0</v>
      </c>
      <c r="M1483" s="37">
        <v>0.0</v>
      </c>
    </row>
    <row r="1484" ht="14.25" customHeight="1">
      <c r="A1484" t="s">
        <v>1523</v>
      </c>
      <c r="B1484" t="s">
        <v>1506</v>
      </c>
      <c r="C1484" t="s">
        <v>62</v>
      </c>
      <c r="D1484" t="s">
        <v>63</v>
      </c>
      <c r="E1484">
        <v>5.0</v>
      </c>
      <c r="F1484">
        <v>6.0</v>
      </c>
      <c r="G1484" s="2" t="s">
        <v>67</v>
      </c>
      <c r="H1484" s="2">
        <v>18.0</v>
      </c>
      <c r="I1484" s="2">
        <v>92.0</v>
      </c>
      <c r="J1484" s="37">
        <v>523.88</v>
      </c>
      <c r="K1484" s="2">
        <v>20.0</v>
      </c>
      <c r="L1484" s="2">
        <v>138.0</v>
      </c>
      <c r="M1484" s="37">
        <v>628.6</v>
      </c>
    </row>
    <row r="1485" ht="14.25" customHeight="1">
      <c r="A1485" t="s">
        <v>1547</v>
      </c>
      <c r="B1485" t="s">
        <v>1506</v>
      </c>
      <c r="C1485" t="s">
        <v>75</v>
      </c>
      <c r="D1485" t="s">
        <v>63</v>
      </c>
      <c r="E1485">
        <v>10.5</v>
      </c>
      <c r="F1485">
        <v>12.0</v>
      </c>
      <c r="G1485" s="2" t="s">
        <v>64</v>
      </c>
      <c r="H1485" s="2">
        <v>0.0</v>
      </c>
      <c r="I1485" s="2">
        <v>0.0</v>
      </c>
      <c r="J1485" s="37">
        <v>0.0</v>
      </c>
      <c r="K1485" s="2">
        <v>0.0</v>
      </c>
      <c r="L1485" s="2">
        <v>0.0</v>
      </c>
      <c r="M1485" s="37">
        <v>0.0</v>
      </c>
    </row>
    <row r="1486" ht="14.25" customHeight="1">
      <c r="A1486" t="s">
        <v>1548</v>
      </c>
      <c r="B1486" t="s">
        <v>1506</v>
      </c>
      <c r="C1486" t="s">
        <v>62</v>
      </c>
      <c r="D1486" t="s">
        <v>63</v>
      </c>
      <c r="E1486">
        <v>10.0</v>
      </c>
      <c r="F1486">
        <v>11.5</v>
      </c>
      <c r="G1486" s="2" t="s">
        <v>64</v>
      </c>
      <c r="H1486" s="2">
        <v>0.0</v>
      </c>
      <c r="I1486" s="2">
        <v>0.0</v>
      </c>
      <c r="J1486" s="37">
        <v>0.0</v>
      </c>
      <c r="K1486" s="2">
        <v>0.0</v>
      </c>
      <c r="L1486" s="2">
        <v>0.0</v>
      </c>
      <c r="M1486" s="37">
        <v>0.0</v>
      </c>
    </row>
    <row r="1487" ht="14.25" customHeight="1">
      <c r="A1487" t="s">
        <v>1549</v>
      </c>
      <c r="B1487" t="s">
        <v>1506</v>
      </c>
      <c r="C1487" t="s">
        <v>75</v>
      </c>
      <c r="D1487" t="s">
        <v>63</v>
      </c>
      <c r="E1487">
        <v>10.3</v>
      </c>
      <c r="F1487">
        <v>10.8</v>
      </c>
      <c r="G1487" s="2" t="s">
        <v>67</v>
      </c>
      <c r="H1487" s="2">
        <v>29.0</v>
      </c>
      <c r="I1487" s="2">
        <v>80.0</v>
      </c>
      <c r="J1487" s="37">
        <v>755.34</v>
      </c>
      <c r="K1487" s="2">
        <v>34.0</v>
      </c>
      <c r="L1487" s="2">
        <v>186.0</v>
      </c>
      <c r="M1487" s="37">
        <v>1005.44</v>
      </c>
    </row>
    <row r="1488" ht="14.25" customHeight="1">
      <c r="A1488" t="s">
        <v>1549</v>
      </c>
      <c r="B1488" t="s">
        <v>1506</v>
      </c>
      <c r="C1488" t="s">
        <v>75</v>
      </c>
      <c r="D1488" t="s">
        <v>63</v>
      </c>
      <c r="E1488">
        <v>10.5</v>
      </c>
      <c r="F1488">
        <v>11.2</v>
      </c>
      <c r="G1488" s="2" t="s">
        <v>67</v>
      </c>
      <c r="H1488" s="2">
        <v>31.0</v>
      </c>
      <c r="I1488" s="2">
        <v>123.0</v>
      </c>
      <c r="J1488" s="37">
        <v>856.16</v>
      </c>
      <c r="K1488" s="2">
        <v>37.0</v>
      </c>
      <c r="L1488" s="2">
        <v>231.0</v>
      </c>
      <c r="M1488" s="37">
        <v>1131.32</v>
      </c>
    </row>
    <row r="1489" ht="14.25" customHeight="1">
      <c r="A1489" t="s">
        <v>1550</v>
      </c>
      <c r="B1489" t="s">
        <v>1551</v>
      </c>
      <c r="C1489" t="s">
        <v>62</v>
      </c>
      <c r="D1489" t="s">
        <v>63</v>
      </c>
      <c r="E1489">
        <v>3.5</v>
      </c>
      <c r="F1489">
        <v>4.0</v>
      </c>
      <c r="G1489" s="2" t="s">
        <v>67</v>
      </c>
      <c r="H1489" s="2">
        <v>10.0</v>
      </c>
      <c r="I1489" s="2">
        <v>40.0</v>
      </c>
      <c r="J1489" s="37">
        <v>276.6</v>
      </c>
      <c r="K1489" s="2">
        <v>11.0</v>
      </c>
      <c r="L1489" s="2">
        <v>68.0</v>
      </c>
      <c r="M1489" s="37">
        <v>335.46000000000004</v>
      </c>
    </row>
    <row r="1490" ht="14.25" customHeight="1">
      <c r="A1490" t="s">
        <v>1552</v>
      </c>
      <c r="B1490" t="s">
        <v>1551</v>
      </c>
      <c r="C1490" t="s">
        <v>62</v>
      </c>
      <c r="D1490" t="s">
        <v>63</v>
      </c>
      <c r="E1490">
        <v>5.0</v>
      </c>
      <c r="F1490">
        <v>6.0</v>
      </c>
      <c r="G1490" s="2" t="s">
        <v>67</v>
      </c>
      <c r="H1490" s="2">
        <v>17.0</v>
      </c>
      <c r="I1490" s="2">
        <v>113.0</v>
      </c>
      <c r="J1490" s="37">
        <v>528.72</v>
      </c>
      <c r="K1490" s="2">
        <v>20.0</v>
      </c>
      <c r="L1490" s="2">
        <v>159.0</v>
      </c>
      <c r="M1490" s="37">
        <v>655.9000000000001</v>
      </c>
    </row>
    <row r="1491" ht="14.25" customHeight="1">
      <c r="A1491" t="s">
        <v>1553</v>
      </c>
      <c r="B1491" t="s">
        <v>1551</v>
      </c>
      <c r="C1491" t="s">
        <v>62</v>
      </c>
      <c r="D1491" t="s">
        <v>63</v>
      </c>
      <c r="E1491">
        <v>7.1</v>
      </c>
      <c r="F1491">
        <v>8.0</v>
      </c>
      <c r="G1491" s="2" t="s">
        <v>67</v>
      </c>
      <c r="H1491" s="2">
        <v>22.0</v>
      </c>
      <c r="I1491" s="2">
        <v>63.0</v>
      </c>
      <c r="J1491" s="37">
        <v>576.02</v>
      </c>
      <c r="K1491" s="2">
        <v>25.0</v>
      </c>
      <c r="L1491" s="2">
        <v>128.0</v>
      </c>
      <c r="M1491" s="37">
        <v>727.9</v>
      </c>
    </row>
    <row r="1492" ht="14.25" customHeight="1">
      <c r="A1492" t="s">
        <v>1554</v>
      </c>
      <c r="B1492" t="s">
        <v>1555</v>
      </c>
      <c r="C1492" t="s">
        <v>62</v>
      </c>
      <c r="D1492" t="s">
        <v>467</v>
      </c>
      <c r="E1492">
        <v>2.6</v>
      </c>
      <c r="F1492">
        <v>2.4</v>
      </c>
      <c r="G1492" s="2" t="s">
        <v>64</v>
      </c>
      <c r="H1492" s="2">
        <v>0.0</v>
      </c>
      <c r="I1492" s="2">
        <v>0.0</v>
      </c>
      <c r="J1492" s="37">
        <v>0.0</v>
      </c>
      <c r="K1492" s="2">
        <v>0.0</v>
      </c>
      <c r="L1492" s="2">
        <v>0.0</v>
      </c>
      <c r="M1492" s="37">
        <v>0.0</v>
      </c>
    </row>
    <row r="1493" ht="14.25" customHeight="1">
      <c r="A1493" t="s">
        <v>1556</v>
      </c>
      <c r="B1493" t="s">
        <v>1555</v>
      </c>
      <c r="C1493" t="s">
        <v>62</v>
      </c>
      <c r="D1493" t="s">
        <v>467</v>
      </c>
      <c r="E1493">
        <v>4.1</v>
      </c>
      <c r="F1493">
        <v>3.6</v>
      </c>
      <c r="G1493" s="2" t="s">
        <v>64</v>
      </c>
      <c r="H1493" s="2">
        <v>0.0</v>
      </c>
      <c r="I1493" s="2">
        <v>0.0</v>
      </c>
      <c r="J1493" s="37">
        <v>0.0</v>
      </c>
      <c r="K1493" s="2">
        <v>0.0</v>
      </c>
      <c r="L1493" s="2">
        <v>0.0</v>
      </c>
      <c r="M1493" s="37">
        <v>0.0</v>
      </c>
    </row>
    <row r="1494" ht="14.25" customHeight="1">
      <c r="A1494" t="s">
        <v>1557</v>
      </c>
      <c r="B1494" t="s">
        <v>1555</v>
      </c>
      <c r="C1494" t="s">
        <v>62</v>
      </c>
      <c r="D1494" t="s">
        <v>467</v>
      </c>
      <c r="E1494">
        <v>2.7</v>
      </c>
      <c r="F1494">
        <v>2.4</v>
      </c>
      <c r="G1494" s="2" t="s">
        <v>64</v>
      </c>
      <c r="H1494" s="2">
        <v>0.0</v>
      </c>
      <c r="I1494" s="2">
        <v>0.0</v>
      </c>
      <c r="J1494" s="37">
        <v>0.0</v>
      </c>
      <c r="K1494" s="2">
        <v>0.0</v>
      </c>
      <c r="L1494" s="2">
        <v>0.0</v>
      </c>
      <c r="M1494" s="37">
        <v>0.0</v>
      </c>
    </row>
    <row r="1495" ht="14.25" customHeight="1">
      <c r="A1495" t="s">
        <v>1558</v>
      </c>
      <c r="B1495" t="s">
        <v>1559</v>
      </c>
      <c r="C1495" t="s">
        <v>62</v>
      </c>
      <c r="D1495" t="s">
        <v>63</v>
      </c>
      <c r="E1495">
        <v>2.5</v>
      </c>
      <c r="F1495">
        <v>3.2</v>
      </c>
      <c r="G1495" s="2" t="s">
        <v>67</v>
      </c>
      <c r="H1495" s="2">
        <v>8.0</v>
      </c>
      <c r="I1495" s="2">
        <v>48.0</v>
      </c>
      <c r="J1495" s="37">
        <v>242.08</v>
      </c>
      <c r="K1495" s="2">
        <v>10.0</v>
      </c>
      <c r="L1495" s="2">
        <v>68.0</v>
      </c>
      <c r="M1495" s="37">
        <v>313.0</v>
      </c>
    </row>
    <row r="1496" ht="14.25" customHeight="1">
      <c r="A1496" t="s">
        <v>1560</v>
      </c>
      <c r="B1496" t="s">
        <v>1559</v>
      </c>
      <c r="C1496" t="s">
        <v>62</v>
      </c>
      <c r="D1496" t="s">
        <v>63</v>
      </c>
      <c r="E1496">
        <v>3.5</v>
      </c>
      <c r="F1496">
        <v>4.0</v>
      </c>
      <c r="G1496" s="2" t="s">
        <v>67</v>
      </c>
      <c r="H1496" s="2">
        <v>10.0</v>
      </c>
      <c r="I1496" s="2">
        <v>43.0</v>
      </c>
      <c r="J1496" s="37">
        <v>280.5</v>
      </c>
      <c r="K1496" s="2">
        <v>12.0</v>
      </c>
      <c r="L1496" s="2">
        <v>71.0</v>
      </c>
      <c r="M1496" s="37">
        <v>361.82</v>
      </c>
    </row>
    <row r="1497" ht="14.25" customHeight="1">
      <c r="A1497" t="s">
        <v>1561</v>
      </c>
      <c r="B1497" t="s">
        <v>1559</v>
      </c>
      <c r="C1497" t="s">
        <v>62</v>
      </c>
      <c r="D1497" t="s">
        <v>63</v>
      </c>
      <c r="E1497">
        <v>5.0</v>
      </c>
      <c r="F1497">
        <v>6.4</v>
      </c>
      <c r="G1497" s="2" t="s">
        <v>67</v>
      </c>
      <c r="H1497" s="2">
        <v>18.0</v>
      </c>
      <c r="I1497" s="2">
        <v>95.0</v>
      </c>
      <c r="J1497" s="37">
        <v>527.78</v>
      </c>
      <c r="K1497" s="2">
        <v>20.0</v>
      </c>
      <c r="L1497" s="2">
        <v>141.0</v>
      </c>
      <c r="M1497" s="37">
        <v>632.5</v>
      </c>
    </row>
    <row r="1498" ht="14.25" customHeight="1">
      <c r="A1498" t="s">
        <v>1562</v>
      </c>
      <c r="B1498" t="s">
        <v>1559</v>
      </c>
      <c r="C1498" t="s">
        <v>62</v>
      </c>
      <c r="D1498" t="s">
        <v>63</v>
      </c>
      <c r="E1498">
        <v>8.0</v>
      </c>
      <c r="F1498">
        <v>8.0</v>
      </c>
      <c r="G1498" s="2" t="s">
        <v>67</v>
      </c>
      <c r="H1498" s="2">
        <v>21.0</v>
      </c>
      <c r="I1498" s="2">
        <v>7.0</v>
      </c>
      <c r="J1498" s="37">
        <v>480.76000000000005</v>
      </c>
      <c r="K1498" s="2">
        <v>25.0</v>
      </c>
      <c r="L1498" s="2">
        <v>80.0</v>
      </c>
      <c r="M1498" s="37">
        <v>665.5</v>
      </c>
    </row>
    <row r="1499" ht="14.25" customHeight="1">
      <c r="A1499" t="s">
        <v>1563</v>
      </c>
      <c r="B1499" t="s">
        <v>1559</v>
      </c>
      <c r="C1499" t="s">
        <v>62</v>
      </c>
      <c r="D1499" t="s">
        <v>63</v>
      </c>
      <c r="E1499">
        <v>7.1</v>
      </c>
      <c r="F1499">
        <v>7.7</v>
      </c>
      <c r="G1499" s="2" t="s">
        <v>64</v>
      </c>
      <c r="H1499" s="2">
        <v>0.0</v>
      </c>
      <c r="I1499" s="2">
        <v>0.0</v>
      </c>
      <c r="J1499" s="37">
        <v>0.0</v>
      </c>
      <c r="K1499" s="2">
        <v>0.0</v>
      </c>
      <c r="L1499" s="2">
        <v>0.0</v>
      </c>
      <c r="M1499" s="37">
        <v>0.0</v>
      </c>
    </row>
    <row r="1500" ht="14.25" customHeight="1">
      <c r="A1500" t="s">
        <v>1564</v>
      </c>
      <c r="B1500" t="s">
        <v>1559</v>
      </c>
      <c r="C1500" t="s">
        <v>62</v>
      </c>
      <c r="D1500" t="s">
        <v>63</v>
      </c>
      <c r="E1500">
        <v>2.5</v>
      </c>
      <c r="F1500">
        <v>3.1</v>
      </c>
      <c r="G1500" s="2" t="s">
        <v>67</v>
      </c>
      <c r="H1500" s="2">
        <v>7.0</v>
      </c>
      <c r="I1500" s="2">
        <v>18.0</v>
      </c>
      <c r="J1500" s="37">
        <v>180.62</v>
      </c>
      <c r="K1500" s="2">
        <v>8.0</v>
      </c>
      <c r="L1500" s="2">
        <v>38.0</v>
      </c>
      <c r="M1500" s="37">
        <v>229.08</v>
      </c>
    </row>
    <row r="1501" ht="14.25" customHeight="1">
      <c r="A1501" t="s">
        <v>1565</v>
      </c>
      <c r="B1501" t="s">
        <v>1559</v>
      </c>
      <c r="C1501" t="s">
        <v>62</v>
      </c>
      <c r="D1501" t="s">
        <v>63</v>
      </c>
      <c r="E1501">
        <v>3.5</v>
      </c>
      <c r="F1501">
        <v>3.8</v>
      </c>
      <c r="G1501" s="2" t="s">
        <v>64</v>
      </c>
      <c r="H1501" s="2">
        <v>0.0</v>
      </c>
      <c r="I1501" s="2">
        <v>0.0</v>
      </c>
      <c r="J1501" s="37">
        <v>0.0</v>
      </c>
      <c r="K1501" s="2">
        <v>0.0</v>
      </c>
      <c r="L1501" s="2">
        <v>0.0</v>
      </c>
      <c r="M1501" s="37">
        <v>0.0</v>
      </c>
    </row>
    <row r="1502" ht="14.25" customHeight="1">
      <c r="A1502" t="s">
        <v>1566</v>
      </c>
      <c r="B1502" t="s">
        <v>1559</v>
      </c>
      <c r="C1502" t="s">
        <v>62</v>
      </c>
      <c r="D1502" t="s">
        <v>63</v>
      </c>
      <c r="E1502">
        <v>5.3</v>
      </c>
      <c r="F1502">
        <v>5.4</v>
      </c>
      <c r="G1502" s="2" t="s">
        <v>64</v>
      </c>
      <c r="H1502" s="2">
        <v>0.0</v>
      </c>
      <c r="I1502" s="2">
        <v>0.0</v>
      </c>
      <c r="J1502" s="37">
        <v>0.0</v>
      </c>
      <c r="K1502" s="2">
        <v>0.0</v>
      </c>
      <c r="L1502" s="2">
        <v>0.0</v>
      </c>
      <c r="M1502" s="37">
        <v>0.0</v>
      </c>
    </row>
    <row r="1503" ht="14.25" customHeight="1">
      <c r="A1503" t="s">
        <v>1567</v>
      </c>
      <c r="B1503" t="s">
        <v>1559</v>
      </c>
      <c r="C1503" t="s">
        <v>62</v>
      </c>
      <c r="D1503" t="s">
        <v>63</v>
      </c>
      <c r="E1503">
        <v>7.1</v>
      </c>
      <c r="F1503">
        <v>7.2</v>
      </c>
      <c r="G1503" s="2" t="s">
        <v>64</v>
      </c>
      <c r="H1503" s="2">
        <v>0.0</v>
      </c>
      <c r="I1503" s="2">
        <v>0.0</v>
      </c>
      <c r="J1503" s="37">
        <v>0.0</v>
      </c>
      <c r="K1503" s="2">
        <v>0.0</v>
      </c>
      <c r="L1503" s="2">
        <v>0.0</v>
      </c>
      <c r="M1503" s="37">
        <v>0.0</v>
      </c>
    </row>
    <row r="1504" ht="14.25" customHeight="1">
      <c r="A1504" t="s">
        <v>1568</v>
      </c>
      <c r="B1504" t="s">
        <v>1559</v>
      </c>
      <c r="C1504" t="s">
        <v>62</v>
      </c>
      <c r="D1504" t="s">
        <v>63</v>
      </c>
      <c r="E1504">
        <v>8.0</v>
      </c>
      <c r="F1504">
        <v>8.0</v>
      </c>
      <c r="G1504" s="2" t="s">
        <v>67</v>
      </c>
      <c r="H1504" s="2">
        <v>21.0</v>
      </c>
      <c r="I1504" s="2">
        <v>7.0</v>
      </c>
      <c r="J1504" s="37">
        <v>480.76000000000005</v>
      </c>
      <c r="K1504" s="2">
        <v>25.0</v>
      </c>
      <c r="L1504" s="2">
        <v>80.0</v>
      </c>
      <c r="M1504" s="37">
        <v>665.5</v>
      </c>
    </row>
    <row r="1505" ht="14.25" customHeight="1">
      <c r="A1505" t="s">
        <v>1569</v>
      </c>
      <c r="B1505" t="s">
        <v>1559</v>
      </c>
      <c r="C1505" t="s">
        <v>62</v>
      </c>
      <c r="D1505" t="s">
        <v>63</v>
      </c>
      <c r="E1505">
        <v>12.5</v>
      </c>
      <c r="F1505">
        <v>14.0</v>
      </c>
      <c r="G1505" s="2" t="s">
        <v>64</v>
      </c>
      <c r="H1505" s="2">
        <v>0.0</v>
      </c>
      <c r="I1505" s="2">
        <v>0.0</v>
      </c>
      <c r="J1505" s="37">
        <v>0.0</v>
      </c>
      <c r="K1505" s="2">
        <v>0.0</v>
      </c>
      <c r="L1505" s="2">
        <v>0.0</v>
      </c>
      <c r="M1505" s="37">
        <v>0.0</v>
      </c>
    </row>
    <row r="1506" ht="14.25" customHeight="1">
      <c r="A1506" t="s">
        <v>1570</v>
      </c>
      <c r="B1506" t="s">
        <v>1559</v>
      </c>
      <c r="C1506" t="s">
        <v>62</v>
      </c>
      <c r="D1506" t="s">
        <v>63</v>
      </c>
      <c r="E1506">
        <v>13.5</v>
      </c>
      <c r="F1506">
        <v>15.0</v>
      </c>
      <c r="G1506" s="2" t="s">
        <v>64</v>
      </c>
      <c r="H1506" s="2">
        <v>0.0</v>
      </c>
      <c r="I1506" s="2">
        <v>0.0</v>
      </c>
      <c r="J1506" s="37">
        <v>0.0</v>
      </c>
      <c r="K1506" s="2">
        <v>0.0</v>
      </c>
      <c r="L1506" s="2">
        <v>0.0</v>
      </c>
      <c r="M1506" s="37">
        <v>0.0</v>
      </c>
    </row>
    <row r="1507" ht="14.25" customHeight="1">
      <c r="A1507" t="s">
        <v>1571</v>
      </c>
      <c r="B1507" t="s">
        <v>1559</v>
      </c>
      <c r="C1507" t="s">
        <v>62</v>
      </c>
      <c r="D1507" t="s">
        <v>63</v>
      </c>
      <c r="E1507">
        <v>7.3</v>
      </c>
      <c r="F1507">
        <v>8.3</v>
      </c>
      <c r="G1507" s="2" t="s">
        <v>64</v>
      </c>
      <c r="H1507" s="2">
        <v>0.0</v>
      </c>
      <c r="I1507" s="2">
        <v>0.0</v>
      </c>
      <c r="J1507" s="37">
        <v>0.0</v>
      </c>
      <c r="K1507" s="2">
        <v>0.0</v>
      </c>
      <c r="L1507" s="2">
        <v>0.0</v>
      </c>
      <c r="M1507" s="37">
        <v>0.0</v>
      </c>
    </row>
    <row r="1508" ht="14.25" customHeight="1">
      <c r="A1508" t="s">
        <v>1572</v>
      </c>
      <c r="B1508" t="s">
        <v>1559</v>
      </c>
      <c r="C1508" t="s">
        <v>62</v>
      </c>
      <c r="D1508" t="s">
        <v>63</v>
      </c>
      <c r="E1508">
        <v>10.2</v>
      </c>
      <c r="F1508">
        <v>11.0</v>
      </c>
      <c r="G1508" s="2" t="s">
        <v>64</v>
      </c>
      <c r="H1508" s="2">
        <v>0.0</v>
      </c>
      <c r="I1508" s="2">
        <v>0.0</v>
      </c>
      <c r="J1508" s="37">
        <v>0.0</v>
      </c>
      <c r="K1508" s="2">
        <v>0.0</v>
      </c>
      <c r="L1508" s="2">
        <v>0.0</v>
      </c>
      <c r="M1508" s="37">
        <v>0.0</v>
      </c>
    </row>
    <row r="1509" ht="14.25" customHeight="1">
      <c r="A1509" t="s">
        <v>1573</v>
      </c>
      <c r="B1509" t="s">
        <v>1559</v>
      </c>
      <c r="C1509" t="s">
        <v>62</v>
      </c>
      <c r="D1509" t="s">
        <v>63</v>
      </c>
      <c r="E1509">
        <v>2.5</v>
      </c>
      <c r="F1509">
        <v>3.2</v>
      </c>
      <c r="G1509" s="2" t="s">
        <v>67</v>
      </c>
      <c r="H1509" s="2">
        <v>8.0</v>
      </c>
      <c r="I1509" s="2">
        <v>48.0</v>
      </c>
      <c r="J1509" s="37">
        <v>242.08</v>
      </c>
      <c r="K1509" s="2">
        <v>10.0</v>
      </c>
      <c r="L1509" s="2">
        <v>68.0</v>
      </c>
      <c r="M1509" s="37">
        <v>313.0</v>
      </c>
    </row>
    <row r="1510" ht="14.25" customHeight="1">
      <c r="A1510" t="s">
        <v>1574</v>
      </c>
      <c r="B1510" t="s">
        <v>1559</v>
      </c>
      <c r="C1510" t="s">
        <v>62</v>
      </c>
      <c r="D1510" t="s">
        <v>63</v>
      </c>
      <c r="E1510">
        <v>3.5</v>
      </c>
      <c r="F1510">
        <v>3.7</v>
      </c>
      <c r="G1510" s="2" t="s">
        <v>67</v>
      </c>
      <c r="H1510" s="2">
        <v>10.0</v>
      </c>
      <c r="I1510" s="2">
        <v>43.0</v>
      </c>
      <c r="J1510" s="37">
        <v>280.5</v>
      </c>
      <c r="K1510" s="2">
        <v>11.0</v>
      </c>
      <c r="L1510" s="2">
        <v>71.0</v>
      </c>
      <c r="M1510" s="37">
        <v>339.36</v>
      </c>
    </row>
    <row r="1511" ht="14.25" customHeight="1">
      <c r="A1511" t="s">
        <v>1575</v>
      </c>
      <c r="B1511" t="s">
        <v>1559</v>
      </c>
      <c r="C1511" t="s">
        <v>62</v>
      </c>
      <c r="D1511" t="s">
        <v>63</v>
      </c>
      <c r="E1511">
        <v>7.1</v>
      </c>
      <c r="F1511">
        <v>7.2</v>
      </c>
      <c r="G1511" s="2" t="s">
        <v>64</v>
      </c>
      <c r="H1511" s="2">
        <v>0.0</v>
      </c>
      <c r="I1511" s="2">
        <v>0.0</v>
      </c>
      <c r="J1511" s="37">
        <v>0.0</v>
      </c>
      <c r="K1511" s="2">
        <v>0.0</v>
      </c>
      <c r="L1511" s="2">
        <v>0.0</v>
      </c>
      <c r="M1511" s="37">
        <v>0.0</v>
      </c>
    </row>
    <row r="1512" ht="14.25" customHeight="1">
      <c r="A1512" t="s">
        <v>1576</v>
      </c>
      <c r="B1512" t="s">
        <v>1559</v>
      </c>
      <c r="C1512" t="s">
        <v>62</v>
      </c>
      <c r="D1512" t="s">
        <v>63</v>
      </c>
      <c r="E1512">
        <v>3.5</v>
      </c>
      <c r="F1512">
        <v>3.7</v>
      </c>
      <c r="G1512" s="2" t="s">
        <v>67</v>
      </c>
      <c r="H1512" s="2">
        <v>9.0</v>
      </c>
      <c r="I1512" s="2">
        <v>43.0</v>
      </c>
      <c r="J1512" s="37">
        <v>258.04</v>
      </c>
      <c r="K1512" s="2">
        <v>11.0</v>
      </c>
      <c r="L1512" s="2">
        <v>71.0</v>
      </c>
      <c r="M1512" s="37">
        <v>339.36</v>
      </c>
    </row>
    <row r="1513" ht="14.25" customHeight="1">
      <c r="A1513" t="s">
        <v>1577</v>
      </c>
      <c r="B1513" t="s">
        <v>1559</v>
      </c>
      <c r="C1513" t="s">
        <v>62</v>
      </c>
      <c r="D1513" t="s">
        <v>63</v>
      </c>
      <c r="E1513">
        <v>5.0</v>
      </c>
      <c r="F1513">
        <v>5.3</v>
      </c>
      <c r="G1513" s="2" t="s">
        <v>67</v>
      </c>
      <c r="H1513" s="2">
        <v>16.0</v>
      </c>
      <c r="I1513" s="2">
        <v>95.0</v>
      </c>
      <c r="J1513" s="37">
        <v>482.86</v>
      </c>
      <c r="K1513" s="2">
        <v>18.0</v>
      </c>
      <c r="L1513" s="2">
        <v>141.0</v>
      </c>
      <c r="M1513" s="37">
        <v>587.58</v>
      </c>
    </row>
    <row r="1514" ht="14.25" customHeight="1">
      <c r="A1514" t="s">
        <v>1578</v>
      </c>
      <c r="B1514" t="s">
        <v>1559</v>
      </c>
      <c r="C1514" t="s">
        <v>75</v>
      </c>
      <c r="D1514" t="s">
        <v>63</v>
      </c>
      <c r="E1514">
        <v>8.5</v>
      </c>
      <c r="F1514">
        <v>10.0</v>
      </c>
      <c r="G1514" s="2" t="s">
        <v>64</v>
      </c>
      <c r="H1514" s="2">
        <v>0.0</v>
      </c>
      <c r="I1514" s="2">
        <v>0.0</v>
      </c>
      <c r="J1514" s="37">
        <v>0.0</v>
      </c>
      <c r="K1514" s="2">
        <v>0.0</v>
      </c>
      <c r="L1514" s="2">
        <v>0.0</v>
      </c>
      <c r="M1514" s="37">
        <v>0.0</v>
      </c>
    </row>
    <row r="1515" ht="14.25" customHeight="1">
      <c r="A1515" t="s">
        <v>1579</v>
      </c>
      <c r="B1515" t="s">
        <v>1559</v>
      </c>
      <c r="C1515" t="s">
        <v>75</v>
      </c>
      <c r="D1515" t="s">
        <v>63</v>
      </c>
      <c r="E1515">
        <v>10.0</v>
      </c>
      <c r="F1515">
        <v>11.0</v>
      </c>
      <c r="G1515" s="2" t="s">
        <v>64</v>
      </c>
      <c r="H1515" s="2">
        <v>0.0</v>
      </c>
      <c r="I1515" s="2">
        <v>0.0</v>
      </c>
      <c r="J1515" s="37">
        <v>0.0</v>
      </c>
      <c r="K1515" s="2">
        <v>0.0</v>
      </c>
      <c r="L1515" s="2">
        <v>0.0</v>
      </c>
      <c r="M1515" s="37">
        <v>0.0</v>
      </c>
    </row>
    <row r="1516" ht="14.25" customHeight="1">
      <c r="A1516" t="s">
        <v>1580</v>
      </c>
      <c r="B1516" t="s">
        <v>1559</v>
      </c>
      <c r="C1516" t="s">
        <v>75</v>
      </c>
      <c r="D1516" t="s">
        <v>63</v>
      </c>
      <c r="E1516">
        <v>13.0</v>
      </c>
      <c r="F1516">
        <v>15.5</v>
      </c>
      <c r="G1516" s="2" t="s">
        <v>67</v>
      </c>
      <c r="H1516" s="2">
        <v>44.0</v>
      </c>
      <c r="I1516" s="2">
        <v>172.0</v>
      </c>
      <c r="J1516" s="37">
        <v>1211.84</v>
      </c>
      <c r="K1516" s="2">
        <v>51.0</v>
      </c>
      <c r="L1516" s="2">
        <v>305.0</v>
      </c>
      <c r="M1516" s="37">
        <v>1541.96</v>
      </c>
    </row>
    <row r="1517" ht="14.25" customHeight="1">
      <c r="A1517" t="s">
        <v>1581</v>
      </c>
      <c r="B1517" t="s">
        <v>1559</v>
      </c>
      <c r="C1517" t="s">
        <v>75</v>
      </c>
      <c r="D1517" t="s">
        <v>63</v>
      </c>
      <c r="E1517">
        <v>14.5</v>
      </c>
      <c r="F1517">
        <v>17.0</v>
      </c>
      <c r="G1517" s="2" t="s">
        <v>67</v>
      </c>
      <c r="H1517" s="2">
        <v>48.0</v>
      </c>
      <c r="I1517" s="2">
        <v>175.0</v>
      </c>
      <c r="J1517" s="37">
        <v>1305.58</v>
      </c>
      <c r="K1517" s="2">
        <v>57.0</v>
      </c>
      <c r="L1517" s="2">
        <v>324.0</v>
      </c>
      <c r="M1517" s="37">
        <v>1701.42</v>
      </c>
    </row>
    <row r="1518" ht="14.25" customHeight="1">
      <c r="A1518" t="s">
        <v>1582</v>
      </c>
      <c r="B1518" t="s">
        <v>1559</v>
      </c>
      <c r="C1518" t="s">
        <v>75</v>
      </c>
      <c r="D1518" t="s">
        <v>63</v>
      </c>
      <c r="E1518">
        <v>16.0</v>
      </c>
      <c r="F1518">
        <v>18.9</v>
      </c>
      <c r="G1518" s="2" t="s">
        <v>67</v>
      </c>
      <c r="H1518" s="2">
        <v>52.0</v>
      </c>
      <c r="I1518" s="2">
        <v>114.0</v>
      </c>
      <c r="J1518" s="37">
        <v>1316.1200000000001</v>
      </c>
      <c r="K1518" s="2">
        <v>61.0</v>
      </c>
      <c r="L1518" s="2">
        <v>278.0</v>
      </c>
      <c r="M1518" s="37">
        <v>1731.46</v>
      </c>
    </row>
    <row r="1519" ht="14.25" customHeight="1">
      <c r="A1519" t="s">
        <v>1583</v>
      </c>
      <c r="B1519" t="s">
        <v>1559</v>
      </c>
      <c r="C1519" t="s">
        <v>62</v>
      </c>
      <c r="D1519" t="s">
        <v>63</v>
      </c>
      <c r="E1519">
        <v>2.5</v>
      </c>
      <c r="F1519">
        <v>3.2</v>
      </c>
      <c r="G1519" s="2" t="s">
        <v>67</v>
      </c>
      <c r="H1519" s="2">
        <v>8.0</v>
      </c>
      <c r="I1519" s="2">
        <v>48.0</v>
      </c>
      <c r="J1519" s="37">
        <v>242.08</v>
      </c>
      <c r="K1519" s="2">
        <v>9.0</v>
      </c>
      <c r="L1519" s="2">
        <v>68.0</v>
      </c>
      <c r="M1519" s="37">
        <v>290.54</v>
      </c>
    </row>
    <row r="1520" ht="14.25" customHeight="1">
      <c r="A1520" t="s">
        <v>1584</v>
      </c>
      <c r="B1520" t="s">
        <v>1559</v>
      </c>
      <c r="C1520" t="s">
        <v>62</v>
      </c>
      <c r="D1520" t="s">
        <v>63</v>
      </c>
      <c r="E1520">
        <v>7.2</v>
      </c>
      <c r="F1520">
        <v>7.5</v>
      </c>
      <c r="G1520" s="2" t="s">
        <v>67</v>
      </c>
      <c r="H1520" s="2">
        <v>22.0</v>
      </c>
      <c r="I1520" s="2">
        <v>117.0</v>
      </c>
      <c r="J1520" s="37">
        <v>646.22</v>
      </c>
      <c r="K1520" s="2">
        <v>25.0</v>
      </c>
      <c r="L1520" s="2">
        <v>183.0</v>
      </c>
      <c r="M1520" s="37">
        <v>799.4</v>
      </c>
    </row>
    <row r="1521" ht="14.25" customHeight="1">
      <c r="A1521" t="s">
        <v>1585</v>
      </c>
      <c r="B1521" t="s">
        <v>1559</v>
      </c>
      <c r="C1521" t="s">
        <v>62</v>
      </c>
      <c r="D1521" t="s">
        <v>63</v>
      </c>
      <c r="E1521">
        <v>8.0</v>
      </c>
      <c r="F1521">
        <v>8.0</v>
      </c>
      <c r="G1521" s="2" t="s">
        <v>67</v>
      </c>
      <c r="H1521" s="2">
        <v>21.0</v>
      </c>
      <c r="I1521" s="2">
        <v>7.0</v>
      </c>
      <c r="J1521" s="37">
        <v>480.76000000000005</v>
      </c>
      <c r="K1521" s="2">
        <v>25.0</v>
      </c>
      <c r="L1521" s="2">
        <v>80.0</v>
      </c>
      <c r="M1521" s="37">
        <v>665.5</v>
      </c>
    </row>
    <row r="1522" ht="14.25" customHeight="1">
      <c r="A1522" t="s">
        <v>1586</v>
      </c>
      <c r="B1522" t="s">
        <v>1559</v>
      </c>
      <c r="C1522" t="s">
        <v>75</v>
      </c>
      <c r="D1522" t="s">
        <v>63</v>
      </c>
      <c r="E1522">
        <v>8.5</v>
      </c>
      <c r="F1522">
        <v>10.0</v>
      </c>
      <c r="G1522" s="2" t="s">
        <v>64</v>
      </c>
      <c r="H1522" s="2">
        <v>0.0</v>
      </c>
      <c r="I1522" s="2">
        <v>0.0</v>
      </c>
      <c r="J1522" s="37">
        <v>0.0</v>
      </c>
      <c r="K1522" s="2">
        <v>0.0</v>
      </c>
      <c r="L1522" s="2">
        <v>0.0</v>
      </c>
      <c r="M1522" s="37">
        <v>0.0</v>
      </c>
    </row>
    <row r="1523" ht="14.25" customHeight="1">
      <c r="A1523" t="s">
        <v>1587</v>
      </c>
      <c r="B1523" t="s">
        <v>1559</v>
      </c>
      <c r="C1523" t="s">
        <v>75</v>
      </c>
      <c r="D1523" t="s">
        <v>63</v>
      </c>
      <c r="E1523">
        <v>10.0</v>
      </c>
      <c r="F1523">
        <v>11.0</v>
      </c>
      <c r="G1523" s="2" t="s">
        <v>64</v>
      </c>
      <c r="H1523" s="2">
        <v>0.0</v>
      </c>
      <c r="I1523" s="2">
        <v>0.0</v>
      </c>
      <c r="J1523" s="37">
        <v>0.0</v>
      </c>
      <c r="K1523" s="2">
        <v>0.0</v>
      </c>
      <c r="L1523" s="2">
        <v>0.0</v>
      </c>
      <c r="M1523" s="37">
        <v>0.0</v>
      </c>
    </row>
    <row r="1524" ht="14.25" customHeight="1">
      <c r="A1524" t="s">
        <v>1588</v>
      </c>
      <c r="B1524" t="s">
        <v>1559</v>
      </c>
      <c r="C1524" t="s">
        <v>75</v>
      </c>
      <c r="D1524" t="s">
        <v>63</v>
      </c>
      <c r="E1524">
        <v>12.3</v>
      </c>
      <c r="F1524">
        <v>14.0</v>
      </c>
      <c r="G1524" s="2" t="s">
        <v>64</v>
      </c>
      <c r="H1524" s="2">
        <v>0.0</v>
      </c>
      <c r="I1524" s="2">
        <v>0.0</v>
      </c>
      <c r="J1524" s="37">
        <v>0.0</v>
      </c>
      <c r="K1524" s="2">
        <v>0.0</v>
      </c>
      <c r="L1524" s="2">
        <v>0.0</v>
      </c>
      <c r="M1524" s="37">
        <v>0.0</v>
      </c>
    </row>
    <row r="1525" ht="14.25" customHeight="1">
      <c r="A1525" t="s">
        <v>1589</v>
      </c>
      <c r="B1525" t="s">
        <v>1559</v>
      </c>
      <c r="C1525" t="s">
        <v>62</v>
      </c>
      <c r="D1525" t="s">
        <v>63</v>
      </c>
      <c r="E1525">
        <v>2.5</v>
      </c>
      <c r="F1525">
        <v>3.2</v>
      </c>
      <c r="G1525" s="2" t="s">
        <v>67</v>
      </c>
      <c r="H1525" s="2">
        <v>8.0</v>
      </c>
      <c r="I1525" s="2">
        <v>45.0</v>
      </c>
      <c r="J1525" s="37">
        <v>238.18</v>
      </c>
      <c r="K1525" s="2">
        <v>10.0</v>
      </c>
      <c r="L1525" s="2">
        <v>65.0</v>
      </c>
      <c r="M1525" s="37">
        <v>309.1</v>
      </c>
    </row>
    <row r="1526" ht="14.25" customHeight="1">
      <c r="A1526" t="s">
        <v>1590</v>
      </c>
      <c r="B1526" t="s">
        <v>1559</v>
      </c>
      <c r="C1526" t="s">
        <v>62</v>
      </c>
      <c r="D1526" t="s">
        <v>63</v>
      </c>
      <c r="E1526">
        <v>3.7</v>
      </c>
      <c r="F1526">
        <v>3.9</v>
      </c>
      <c r="G1526" s="2" t="s">
        <v>67</v>
      </c>
      <c r="H1526" s="2">
        <v>11.0</v>
      </c>
      <c r="I1526" s="2">
        <v>38.0</v>
      </c>
      <c r="J1526" s="37">
        <v>296.46</v>
      </c>
      <c r="K1526" s="2">
        <v>12.0</v>
      </c>
      <c r="L1526" s="2">
        <v>68.0</v>
      </c>
      <c r="M1526" s="37">
        <v>357.91999999999996</v>
      </c>
    </row>
    <row r="1527" ht="14.25" customHeight="1">
      <c r="A1527" t="s">
        <v>1591</v>
      </c>
      <c r="B1527" t="s">
        <v>1559</v>
      </c>
      <c r="C1527" t="s">
        <v>62</v>
      </c>
      <c r="D1527" t="s">
        <v>63</v>
      </c>
      <c r="E1527">
        <v>2.5</v>
      </c>
      <c r="F1527">
        <v>3.2</v>
      </c>
      <c r="G1527" s="2" t="s">
        <v>67</v>
      </c>
      <c r="H1527" s="2">
        <v>8.0</v>
      </c>
      <c r="I1527" s="2">
        <v>45.0</v>
      </c>
      <c r="J1527" s="37">
        <v>238.18</v>
      </c>
      <c r="K1527" s="2">
        <v>9.0</v>
      </c>
      <c r="L1527" s="2">
        <v>65.0</v>
      </c>
      <c r="M1527" s="37">
        <v>286.64</v>
      </c>
    </row>
    <row r="1528" ht="14.25" customHeight="1">
      <c r="A1528" t="s">
        <v>1592</v>
      </c>
      <c r="B1528" t="s">
        <v>1559</v>
      </c>
      <c r="C1528" t="s">
        <v>62</v>
      </c>
      <c r="D1528" t="s">
        <v>63</v>
      </c>
      <c r="E1528">
        <v>3.7</v>
      </c>
      <c r="F1528">
        <v>3.9</v>
      </c>
      <c r="G1528" s="2" t="s">
        <v>67</v>
      </c>
      <c r="H1528" s="2">
        <v>10.0</v>
      </c>
      <c r="I1528" s="2">
        <v>38.0</v>
      </c>
      <c r="J1528" s="37">
        <v>274.0</v>
      </c>
      <c r="K1528" s="2">
        <v>12.0</v>
      </c>
      <c r="L1528" s="2">
        <v>68.0</v>
      </c>
      <c r="M1528" s="37">
        <v>357.91999999999996</v>
      </c>
    </row>
    <row r="1529" ht="14.25" customHeight="1">
      <c r="A1529" t="s">
        <v>1593</v>
      </c>
      <c r="B1529" t="s">
        <v>1559</v>
      </c>
      <c r="C1529" t="s">
        <v>62</v>
      </c>
      <c r="D1529" t="s">
        <v>63</v>
      </c>
      <c r="E1529">
        <v>5.1</v>
      </c>
      <c r="F1529">
        <v>5.8</v>
      </c>
      <c r="G1529" s="2" t="s">
        <v>67</v>
      </c>
      <c r="H1529" s="2">
        <v>17.0</v>
      </c>
      <c r="I1529" s="2">
        <v>107.0</v>
      </c>
      <c r="J1529" s="37">
        <v>520.92</v>
      </c>
      <c r="K1529" s="2">
        <v>20.0</v>
      </c>
      <c r="L1529" s="2">
        <v>154.0</v>
      </c>
      <c r="M1529" s="37">
        <v>649.4000000000001</v>
      </c>
    </row>
    <row r="1530" ht="14.25" customHeight="1">
      <c r="A1530" t="s">
        <v>1594</v>
      </c>
      <c r="B1530" t="s">
        <v>1559</v>
      </c>
      <c r="C1530" t="s">
        <v>62</v>
      </c>
      <c r="D1530" t="s">
        <v>63</v>
      </c>
      <c r="E1530">
        <v>5.1</v>
      </c>
      <c r="F1530">
        <v>5.8</v>
      </c>
      <c r="G1530" s="2" t="s">
        <v>67</v>
      </c>
      <c r="H1530" s="2">
        <v>17.0</v>
      </c>
      <c r="I1530" s="2">
        <v>107.0</v>
      </c>
      <c r="J1530" s="37">
        <v>520.92</v>
      </c>
      <c r="K1530" s="2">
        <v>20.0</v>
      </c>
      <c r="L1530" s="2">
        <v>154.0</v>
      </c>
      <c r="M1530" s="37">
        <v>649.4000000000001</v>
      </c>
    </row>
    <row r="1531" ht="14.25" customHeight="1">
      <c r="A1531" t="s">
        <v>1595</v>
      </c>
      <c r="B1531" t="s">
        <v>1559</v>
      </c>
      <c r="C1531" t="s">
        <v>62</v>
      </c>
      <c r="D1531" t="s">
        <v>63</v>
      </c>
      <c r="E1531">
        <v>5.1</v>
      </c>
      <c r="F1531">
        <v>5.8</v>
      </c>
      <c r="G1531" s="2" t="s">
        <v>67</v>
      </c>
      <c r="H1531" s="2">
        <v>15.0</v>
      </c>
      <c r="I1531" s="2">
        <v>107.0</v>
      </c>
      <c r="J1531" s="37">
        <v>476.0</v>
      </c>
      <c r="K1531" s="2">
        <v>18.0</v>
      </c>
      <c r="L1531" s="2">
        <v>154.0</v>
      </c>
      <c r="M1531" s="37">
        <v>604.48</v>
      </c>
    </row>
    <row r="1532" ht="14.25" customHeight="1">
      <c r="A1532" t="s">
        <v>1596</v>
      </c>
      <c r="B1532" t="s">
        <v>1559</v>
      </c>
      <c r="C1532" t="s">
        <v>62</v>
      </c>
      <c r="D1532" t="s">
        <v>63</v>
      </c>
      <c r="E1532">
        <v>7.2</v>
      </c>
      <c r="F1532">
        <v>8.0</v>
      </c>
      <c r="G1532" s="2" t="s">
        <v>67</v>
      </c>
      <c r="H1532" s="2">
        <v>22.0</v>
      </c>
      <c r="I1532" s="2">
        <v>99.0</v>
      </c>
      <c r="J1532" s="37">
        <v>622.82</v>
      </c>
      <c r="K1532" s="2">
        <v>26.0</v>
      </c>
      <c r="L1532" s="2">
        <v>165.0</v>
      </c>
      <c r="M1532" s="37">
        <v>798.46</v>
      </c>
    </row>
    <row r="1533" ht="14.25" customHeight="1">
      <c r="A1533" t="s">
        <v>1597</v>
      </c>
      <c r="B1533" t="s">
        <v>1559</v>
      </c>
      <c r="C1533" t="s">
        <v>62</v>
      </c>
      <c r="D1533" t="s">
        <v>63</v>
      </c>
      <c r="E1533">
        <v>7.2</v>
      </c>
      <c r="F1533">
        <v>8.0</v>
      </c>
      <c r="G1533" s="2" t="s">
        <v>67</v>
      </c>
      <c r="H1533" s="2">
        <v>22.0</v>
      </c>
      <c r="I1533" s="2">
        <v>99.0</v>
      </c>
      <c r="J1533" s="37">
        <v>622.82</v>
      </c>
      <c r="K1533" s="2">
        <v>26.0</v>
      </c>
      <c r="L1533" s="2">
        <v>165.0</v>
      </c>
      <c r="M1533" s="37">
        <v>798.46</v>
      </c>
    </row>
    <row r="1534" ht="14.25" customHeight="1">
      <c r="A1534" t="s">
        <v>1598</v>
      </c>
      <c r="B1534" t="s">
        <v>1559</v>
      </c>
      <c r="C1534" t="s">
        <v>62</v>
      </c>
      <c r="D1534" t="s">
        <v>63</v>
      </c>
      <c r="E1534">
        <v>7.2</v>
      </c>
      <c r="F1534">
        <v>8.0</v>
      </c>
      <c r="G1534" s="2" t="s">
        <v>67</v>
      </c>
      <c r="H1534" s="2">
        <v>0.0</v>
      </c>
      <c r="I1534" s="2">
        <v>0.0</v>
      </c>
      <c r="J1534" s="37">
        <v>0.0</v>
      </c>
      <c r="K1534" s="2">
        <v>0.0</v>
      </c>
      <c r="L1534" s="2">
        <v>0.0</v>
      </c>
      <c r="M1534" s="37">
        <v>0.0</v>
      </c>
    </row>
    <row r="1535" ht="14.25" customHeight="1">
      <c r="A1535" t="s">
        <v>1599</v>
      </c>
      <c r="B1535" t="s">
        <v>1559</v>
      </c>
      <c r="C1535" t="s">
        <v>62</v>
      </c>
      <c r="D1535" t="s">
        <v>63</v>
      </c>
      <c r="E1535">
        <v>8.0</v>
      </c>
      <c r="F1535">
        <v>8.5</v>
      </c>
      <c r="G1535" s="2" t="s">
        <v>64</v>
      </c>
      <c r="H1535" s="2">
        <v>0.0</v>
      </c>
      <c r="I1535" s="2">
        <v>0.0</v>
      </c>
      <c r="J1535" s="37">
        <v>0.0</v>
      </c>
      <c r="K1535" s="2">
        <v>0.0</v>
      </c>
      <c r="L1535" s="2">
        <v>0.0</v>
      </c>
      <c r="M1535" s="37">
        <v>0.0</v>
      </c>
    </row>
    <row r="1536" ht="14.25" customHeight="1">
      <c r="A1536" t="s">
        <v>1600</v>
      </c>
      <c r="B1536" t="s">
        <v>1559</v>
      </c>
      <c r="C1536" t="s">
        <v>62</v>
      </c>
      <c r="D1536" t="s">
        <v>63</v>
      </c>
      <c r="E1536">
        <v>8.0</v>
      </c>
      <c r="F1536">
        <v>8.5</v>
      </c>
      <c r="G1536" s="2" t="s">
        <v>64</v>
      </c>
      <c r="H1536" s="2">
        <v>0.0</v>
      </c>
      <c r="I1536" s="2">
        <v>0.0</v>
      </c>
      <c r="J1536" s="37">
        <v>0.0</v>
      </c>
      <c r="K1536" s="2">
        <v>0.0</v>
      </c>
      <c r="L1536" s="2">
        <v>0.0</v>
      </c>
      <c r="M1536" s="37">
        <v>0.0</v>
      </c>
    </row>
    <row r="1537" ht="14.25" customHeight="1">
      <c r="A1537" t="s">
        <v>1601</v>
      </c>
      <c r="B1537" t="s">
        <v>1559</v>
      </c>
      <c r="C1537" t="s">
        <v>62</v>
      </c>
      <c r="D1537" t="s">
        <v>63</v>
      </c>
      <c r="E1537">
        <v>8.0</v>
      </c>
      <c r="F1537">
        <v>8.5</v>
      </c>
      <c r="G1537" s="2" t="s">
        <v>64</v>
      </c>
      <c r="H1537" s="2">
        <v>23.0</v>
      </c>
      <c r="I1537" s="2">
        <v>25.0</v>
      </c>
      <c r="J1537" s="37">
        <v>549.08</v>
      </c>
      <c r="K1537" s="2">
        <v>27.0</v>
      </c>
      <c r="L1537" s="2">
        <v>97.0</v>
      </c>
      <c r="M1537" s="37">
        <v>732.5200000000001</v>
      </c>
    </row>
    <row r="1538" ht="14.25" customHeight="1">
      <c r="A1538" t="s">
        <v>1602</v>
      </c>
      <c r="B1538" t="s">
        <v>1559</v>
      </c>
      <c r="C1538" t="s">
        <v>75</v>
      </c>
      <c r="D1538" t="s">
        <v>63</v>
      </c>
      <c r="E1538">
        <v>18.0</v>
      </c>
      <c r="F1538">
        <v>21.0</v>
      </c>
      <c r="G1538" s="2" t="s">
        <v>67</v>
      </c>
      <c r="H1538" s="2">
        <v>55.0</v>
      </c>
      <c r="I1538" s="2">
        <v>53.0</v>
      </c>
      <c r="J1538" s="37">
        <v>1304.2</v>
      </c>
      <c r="K1538" s="2">
        <v>65.0</v>
      </c>
      <c r="L1538" s="2">
        <v>238.0</v>
      </c>
      <c r="M1538" s="37">
        <v>1769.3000000000002</v>
      </c>
    </row>
    <row r="1539" ht="14.25" customHeight="1">
      <c r="A1539" t="s">
        <v>1603</v>
      </c>
      <c r="B1539" t="s">
        <v>1604</v>
      </c>
      <c r="C1539" t="s">
        <v>62</v>
      </c>
      <c r="D1539" t="s">
        <v>63</v>
      </c>
      <c r="E1539">
        <v>7.1</v>
      </c>
      <c r="F1539">
        <v>8.0</v>
      </c>
      <c r="G1539" s="2" t="s">
        <v>64</v>
      </c>
      <c r="H1539" s="2">
        <v>0.0</v>
      </c>
      <c r="I1539" s="2">
        <v>0.0</v>
      </c>
      <c r="J1539" s="37">
        <v>0.0</v>
      </c>
      <c r="K1539" s="2">
        <v>0.0</v>
      </c>
      <c r="L1539" s="2">
        <v>0.0</v>
      </c>
      <c r="M1539" s="37">
        <v>0.0</v>
      </c>
    </row>
    <row r="1540" ht="14.25" customHeight="1">
      <c r="A1540" t="s">
        <v>1605</v>
      </c>
      <c r="B1540" t="s">
        <v>1604</v>
      </c>
      <c r="C1540" t="s">
        <v>62</v>
      </c>
      <c r="D1540" t="s">
        <v>63</v>
      </c>
      <c r="E1540">
        <v>10.0</v>
      </c>
      <c r="F1540">
        <v>11.2</v>
      </c>
      <c r="G1540" s="2" t="s">
        <v>64</v>
      </c>
      <c r="H1540" s="2">
        <v>0.0</v>
      </c>
      <c r="I1540" s="2">
        <v>0.0</v>
      </c>
      <c r="J1540" s="37">
        <v>0.0</v>
      </c>
      <c r="K1540" s="2">
        <v>0.0</v>
      </c>
      <c r="L1540" s="2">
        <v>0.0</v>
      </c>
      <c r="M1540" s="37">
        <v>0.0</v>
      </c>
    </row>
    <row r="1541" ht="14.25" customHeight="1">
      <c r="A1541" t="s">
        <v>1606</v>
      </c>
      <c r="B1541" t="s">
        <v>1604</v>
      </c>
      <c r="C1541" t="s">
        <v>62</v>
      </c>
      <c r="D1541" t="s">
        <v>63</v>
      </c>
      <c r="E1541">
        <v>12.5</v>
      </c>
      <c r="F1541">
        <v>14.0</v>
      </c>
      <c r="G1541" s="2" t="s">
        <v>64</v>
      </c>
      <c r="H1541" s="2">
        <v>0.0</v>
      </c>
      <c r="I1541" s="2">
        <v>0.0</v>
      </c>
      <c r="J1541" s="37">
        <v>0.0</v>
      </c>
      <c r="K1541" s="2">
        <v>0.0</v>
      </c>
      <c r="L1541" s="2">
        <v>0.0</v>
      </c>
      <c r="M1541" s="37">
        <v>0.0</v>
      </c>
    </row>
    <row r="1542" ht="14.25" customHeight="1">
      <c r="A1542" t="s">
        <v>1607</v>
      </c>
      <c r="B1542" t="s">
        <v>1604</v>
      </c>
      <c r="C1542" t="s">
        <v>62</v>
      </c>
      <c r="D1542" t="s">
        <v>63</v>
      </c>
      <c r="E1542">
        <v>13.0</v>
      </c>
      <c r="F1542">
        <v>16.0</v>
      </c>
      <c r="G1542" s="2" t="s">
        <v>64</v>
      </c>
      <c r="H1542" s="2">
        <v>0.0</v>
      </c>
      <c r="I1542" s="2">
        <v>0.0</v>
      </c>
      <c r="J1542" s="37">
        <v>0.0</v>
      </c>
      <c r="K1542" s="2">
        <v>0.0</v>
      </c>
      <c r="L1542" s="2">
        <v>0.0</v>
      </c>
      <c r="M1542" s="37">
        <v>0.0</v>
      </c>
    </row>
    <row r="1543" ht="14.25" customHeight="1">
      <c r="A1543" t="s">
        <v>1608</v>
      </c>
      <c r="B1543" t="s">
        <v>1604</v>
      </c>
      <c r="C1543" t="s">
        <v>62</v>
      </c>
      <c r="D1543" t="s">
        <v>63</v>
      </c>
      <c r="E1543">
        <v>3.5</v>
      </c>
      <c r="F1543">
        <v>4.2</v>
      </c>
      <c r="G1543" s="2" t="s">
        <v>64</v>
      </c>
      <c r="H1543" s="2">
        <v>0.0</v>
      </c>
      <c r="I1543" s="2">
        <v>0.0</v>
      </c>
      <c r="J1543" s="37">
        <v>0.0</v>
      </c>
      <c r="K1543" s="2">
        <v>0.0</v>
      </c>
      <c r="L1543" s="2">
        <v>0.0</v>
      </c>
      <c r="M1543" s="37">
        <v>0.0</v>
      </c>
    </row>
    <row r="1544" ht="14.25" customHeight="1">
      <c r="A1544" t="s">
        <v>1609</v>
      </c>
      <c r="B1544" t="s">
        <v>1604</v>
      </c>
      <c r="C1544" t="s">
        <v>62</v>
      </c>
      <c r="D1544" t="s">
        <v>63</v>
      </c>
      <c r="E1544">
        <v>5.0</v>
      </c>
      <c r="F1544">
        <v>6.0</v>
      </c>
      <c r="G1544" s="2" t="s">
        <v>64</v>
      </c>
      <c r="H1544" s="2">
        <v>0.0</v>
      </c>
      <c r="I1544" s="2">
        <v>0.0</v>
      </c>
      <c r="J1544" s="37">
        <v>0.0</v>
      </c>
      <c r="K1544" s="2">
        <v>0.0</v>
      </c>
      <c r="L1544" s="2">
        <v>0.0</v>
      </c>
      <c r="M1544" s="37">
        <v>0.0</v>
      </c>
    </row>
    <row r="1545" ht="14.25" customHeight="1">
      <c r="A1545" t="s">
        <v>1610</v>
      </c>
      <c r="B1545" t="s">
        <v>1604</v>
      </c>
      <c r="C1545" t="s">
        <v>62</v>
      </c>
      <c r="D1545" t="s">
        <v>63</v>
      </c>
      <c r="E1545">
        <v>2.5</v>
      </c>
      <c r="F1545">
        <v>3.2</v>
      </c>
      <c r="G1545" s="2" t="s">
        <v>64</v>
      </c>
      <c r="H1545" s="2">
        <v>0.0</v>
      </c>
      <c r="I1545" s="2">
        <v>0.0</v>
      </c>
      <c r="J1545" s="37">
        <v>0.0</v>
      </c>
      <c r="K1545" s="2">
        <v>0.0</v>
      </c>
      <c r="L1545" s="2">
        <v>0.0</v>
      </c>
      <c r="M1545" s="37">
        <v>0.0</v>
      </c>
    </row>
    <row r="1546" ht="14.25" customHeight="1">
      <c r="A1546" t="s">
        <v>1611</v>
      </c>
      <c r="B1546" t="s">
        <v>1604</v>
      </c>
      <c r="C1546" t="s">
        <v>62</v>
      </c>
      <c r="D1546" t="s">
        <v>63</v>
      </c>
      <c r="E1546">
        <v>3.5</v>
      </c>
      <c r="F1546">
        <v>3.8</v>
      </c>
      <c r="G1546" s="2" t="s">
        <v>64</v>
      </c>
      <c r="H1546" s="2">
        <v>0.0</v>
      </c>
      <c r="I1546" s="2">
        <v>0.0</v>
      </c>
      <c r="J1546" s="37">
        <v>0.0</v>
      </c>
      <c r="K1546" s="2">
        <v>0.0</v>
      </c>
      <c r="L1546" s="2">
        <v>0.0</v>
      </c>
      <c r="M1546" s="37">
        <v>0.0</v>
      </c>
    </row>
    <row r="1547" ht="14.25" customHeight="1">
      <c r="A1547" t="s">
        <v>1612</v>
      </c>
      <c r="B1547" t="s">
        <v>1604</v>
      </c>
      <c r="C1547" t="s">
        <v>62</v>
      </c>
      <c r="D1547" t="s">
        <v>63</v>
      </c>
      <c r="E1547">
        <v>5.0</v>
      </c>
      <c r="F1547">
        <v>6.0</v>
      </c>
      <c r="G1547" s="2" t="s">
        <v>64</v>
      </c>
      <c r="H1547" s="2">
        <v>0.0</v>
      </c>
      <c r="I1547" s="2">
        <v>0.0</v>
      </c>
      <c r="J1547" s="37">
        <v>0.0</v>
      </c>
      <c r="K1547" s="2">
        <v>0.0</v>
      </c>
      <c r="L1547" s="2">
        <v>0.0</v>
      </c>
      <c r="M1547" s="37">
        <v>0.0</v>
      </c>
    </row>
    <row r="1548" ht="14.25" customHeight="1">
      <c r="A1548" t="s">
        <v>1613</v>
      </c>
      <c r="B1548" t="s">
        <v>1604</v>
      </c>
      <c r="C1548" t="s">
        <v>62</v>
      </c>
      <c r="D1548" t="s">
        <v>63</v>
      </c>
      <c r="E1548">
        <v>6.0</v>
      </c>
      <c r="F1548">
        <v>7.0</v>
      </c>
      <c r="G1548" s="2" t="s">
        <v>64</v>
      </c>
      <c r="H1548" s="2">
        <v>0.0</v>
      </c>
      <c r="I1548" s="2">
        <v>0.0</v>
      </c>
      <c r="J1548" s="37">
        <v>0.0</v>
      </c>
      <c r="K1548" s="2">
        <v>0.0</v>
      </c>
      <c r="L1548" s="2">
        <v>0.0</v>
      </c>
      <c r="M1548" s="37">
        <v>0.0</v>
      </c>
    </row>
    <row r="1549" ht="14.25" customHeight="1">
      <c r="A1549" t="s">
        <v>1614</v>
      </c>
      <c r="B1549" t="s">
        <v>1604</v>
      </c>
      <c r="C1549" t="s">
        <v>62</v>
      </c>
      <c r="D1549" t="s">
        <v>63</v>
      </c>
      <c r="E1549">
        <v>7.0</v>
      </c>
      <c r="F1549">
        <v>8.0</v>
      </c>
      <c r="G1549" s="2" t="s">
        <v>64</v>
      </c>
      <c r="H1549" s="2">
        <v>0.0</v>
      </c>
      <c r="I1549" s="2">
        <v>0.0</v>
      </c>
      <c r="J1549" s="37">
        <v>0.0</v>
      </c>
      <c r="K1549" s="2">
        <v>0.0</v>
      </c>
      <c r="L1549" s="2">
        <v>0.0</v>
      </c>
      <c r="M1549" s="37">
        <v>0.0</v>
      </c>
    </row>
    <row r="1550" ht="14.25" customHeight="1">
      <c r="A1550" t="s">
        <v>1615</v>
      </c>
      <c r="B1550" t="s">
        <v>1604</v>
      </c>
      <c r="C1550" t="s">
        <v>62</v>
      </c>
      <c r="D1550" t="s">
        <v>63</v>
      </c>
      <c r="E1550">
        <v>8.0</v>
      </c>
      <c r="F1550">
        <v>9.0</v>
      </c>
      <c r="G1550" s="2" t="s">
        <v>64</v>
      </c>
      <c r="H1550" s="2">
        <v>0.0</v>
      </c>
      <c r="I1550" s="2">
        <v>0.0</v>
      </c>
      <c r="J1550" s="37">
        <v>0.0</v>
      </c>
      <c r="K1550" s="2">
        <v>0.0</v>
      </c>
      <c r="L1550" s="2">
        <v>0.0</v>
      </c>
      <c r="M1550" s="37">
        <v>0.0</v>
      </c>
    </row>
    <row r="1551" ht="14.25" customHeight="1">
      <c r="A1551" t="s">
        <v>1616</v>
      </c>
      <c r="B1551" t="s">
        <v>1604</v>
      </c>
      <c r="C1551" t="s">
        <v>62</v>
      </c>
      <c r="D1551" t="s">
        <v>63</v>
      </c>
      <c r="E1551">
        <v>5.0</v>
      </c>
      <c r="F1551">
        <v>6.2</v>
      </c>
      <c r="G1551" s="2" t="s">
        <v>67</v>
      </c>
      <c r="H1551" s="2">
        <v>17.0</v>
      </c>
      <c r="I1551" s="2">
        <v>74.0</v>
      </c>
      <c r="J1551" s="37">
        <v>478.02</v>
      </c>
      <c r="K1551" s="2">
        <v>19.0</v>
      </c>
      <c r="L1551" s="2">
        <v>120.0</v>
      </c>
      <c r="M1551" s="37">
        <v>582.74</v>
      </c>
    </row>
    <row r="1552" ht="14.25" customHeight="1">
      <c r="A1552" t="s">
        <v>1617</v>
      </c>
      <c r="B1552" t="s">
        <v>1604</v>
      </c>
      <c r="C1552" t="s">
        <v>62</v>
      </c>
      <c r="D1552" t="s">
        <v>63</v>
      </c>
      <c r="E1552">
        <v>2.5</v>
      </c>
      <c r="F1552">
        <v>3.3</v>
      </c>
      <c r="G1552" s="2" t="s">
        <v>67</v>
      </c>
      <c r="H1552" s="2">
        <v>9.0</v>
      </c>
      <c r="I1552" s="2">
        <v>60.0</v>
      </c>
      <c r="J1552" s="37">
        <v>280.14</v>
      </c>
      <c r="K1552" s="2">
        <v>10.0</v>
      </c>
      <c r="L1552" s="2">
        <v>80.0</v>
      </c>
      <c r="M1552" s="37">
        <v>328.6</v>
      </c>
    </row>
    <row r="1553" ht="14.25" customHeight="1">
      <c r="A1553" t="s">
        <v>1618</v>
      </c>
      <c r="B1553" t="s">
        <v>1604</v>
      </c>
      <c r="C1553" t="s">
        <v>62</v>
      </c>
      <c r="D1553" t="s">
        <v>63</v>
      </c>
      <c r="E1553">
        <v>3.5</v>
      </c>
      <c r="F1553">
        <v>4.3</v>
      </c>
      <c r="G1553" s="2" t="s">
        <v>67</v>
      </c>
      <c r="H1553" s="2">
        <v>12.0</v>
      </c>
      <c r="I1553" s="2">
        <v>61.0</v>
      </c>
      <c r="J1553" s="37">
        <v>348.82</v>
      </c>
      <c r="K1553" s="2">
        <v>13.0</v>
      </c>
      <c r="L1553" s="2">
        <v>89.0</v>
      </c>
      <c r="M1553" s="37">
        <v>407.68</v>
      </c>
    </row>
    <row r="1554" ht="14.25" customHeight="1">
      <c r="A1554" t="s">
        <v>1619</v>
      </c>
      <c r="B1554" t="s">
        <v>1604</v>
      </c>
      <c r="C1554" t="s">
        <v>62</v>
      </c>
      <c r="D1554" t="s">
        <v>63</v>
      </c>
      <c r="E1554">
        <v>5.0</v>
      </c>
      <c r="F1554">
        <v>6.0</v>
      </c>
      <c r="G1554" s="2" t="s">
        <v>67</v>
      </c>
      <c r="H1554" s="2">
        <v>17.0</v>
      </c>
      <c r="I1554" s="2">
        <v>69.0</v>
      </c>
      <c r="J1554" s="37">
        <v>471.52</v>
      </c>
      <c r="K1554" s="2">
        <v>20.0</v>
      </c>
      <c r="L1554" s="2">
        <v>114.0</v>
      </c>
      <c r="M1554" s="37">
        <v>597.4000000000001</v>
      </c>
    </row>
    <row r="1555" ht="14.25" customHeight="1">
      <c r="A1555" t="s">
        <v>1620</v>
      </c>
      <c r="B1555" t="s">
        <v>1604</v>
      </c>
      <c r="C1555" t="s">
        <v>62</v>
      </c>
      <c r="D1555" t="s">
        <v>63</v>
      </c>
      <c r="E1555">
        <v>2.5</v>
      </c>
      <c r="F1555">
        <v>3.2</v>
      </c>
      <c r="G1555" s="2" t="s">
        <v>67</v>
      </c>
      <c r="H1555" s="2">
        <v>8.0</v>
      </c>
      <c r="I1555" s="2">
        <v>48.0</v>
      </c>
      <c r="J1555" s="37">
        <v>242.08</v>
      </c>
      <c r="K1555" s="2">
        <v>9.0</v>
      </c>
      <c r="L1555" s="2">
        <v>68.0</v>
      </c>
      <c r="M1555" s="37">
        <v>290.54</v>
      </c>
    </row>
    <row r="1556" ht="14.25" customHeight="1">
      <c r="A1556" t="s">
        <v>1621</v>
      </c>
      <c r="B1556" t="s">
        <v>1604</v>
      </c>
      <c r="C1556" t="s">
        <v>62</v>
      </c>
      <c r="D1556" t="s">
        <v>63</v>
      </c>
      <c r="E1556">
        <v>3.5</v>
      </c>
      <c r="F1556">
        <v>4.0</v>
      </c>
      <c r="G1556" s="2" t="s">
        <v>67</v>
      </c>
      <c r="H1556" s="2">
        <v>10.0</v>
      </c>
      <c r="I1556" s="2">
        <v>19.0</v>
      </c>
      <c r="J1556" s="37">
        <v>249.3</v>
      </c>
      <c r="K1556" s="2">
        <v>12.0</v>
      </c>
      <c r="L1556" s="2">
        <v>47.0</v>
      </c>
      <c r="M1556" s="37">
        <v>330.62</v>
      </c>
    </row>
    <row r="1557" ht="14.25" customHeight="1">
      <c r="A1557" t="s">
        <v>1622</v>
      </c>
      <c r="B1557" t="s">
        <v>1604</v>
      </c>
      <c r="C1557" t="s">
        <v>62</v>
      </c>
      <c r="D1557" t="s">
        <v>63</v>
      </c>
      <c r="E1557">
        <v>5.0</v>
      </c>
      <c r="F1557">
        <v>5.3</v>
      </c>
      <c r="G1557" s="2" t="s">
        <v>67</v>
      </c>
      <c r="H1557" s="2">
        <v>15.0</v>
      </c>
      <c r="I1557" s="2">
        <v>40.0</v>
      </c>
      <c r="J1557" s="37">
        <v>388.90000000000003</v>
      </c>
      <c r="K1557" s="2">
        <v>17.0</v>
      </c>
      <c r="L1557" s="2">
        <v>86.0</v>
      </c>
      <c r="M1557" s="37">
        <v>493.62</v>
      </c>
    </row>
    <row r="1558" ht="14.25" customHeight="1">
      <c r="A1558" t="s">
        <v>1623</v>
      </c>
      <c r="B1558" t="s">
        <v>1604</v>
      </c>
      <c r="C1558" t="s">
        <v>62</v>
      </c>
      <c r="D1558" t="s">
        <v>63</v>
      </c>
      <c r="E1558">
        <v>2.5</v>
      </c>
      <c r="F1558">
        <v>3.2</v>
      </c>
      <c r="G1558" s="2" t="s">
        <v>67</v>
      </c>
      <c r="H1558" s="2">
        <v>8.0</v>
      </c>
      <c r="I1558" s="2">
        <v>58.0</v>
      </c>
      <c r="J1558" s="37">
        <v>255.08</v>
      </c>
      <c r="K1558" s="2">
        <v>10.0</v>
      </c>
      <c r="L1558" s="2">
        <v>78.0</v>
      </c>
      <c r="M1558" s="37">
        <v>326.0</v>
      </c>
    </row>
    <row r="1559" ht="14.25" customHeight="1">
      <c r="A1559" t="s">
        <v>1624</v>
      </c>
      <c r="B1559" t="s">
        <v>1604</v>
      </c>
      <c r="C1559" t="s">
        <v>62</v>
      </c>
      <c r="D1559" t="s">
        <v>63</v>
      </c>
      <c r="E1559">
        <v>3.5</v>
      </c>
      <c r="F1559">
        <v>3.8</v>
      </c>
      <c r="G1559" s="2" t="s">
        <v>67</v>
      </c>
      <c r="H1559" s="2">
        <v>10.0</v>
      </c>
      <c r="I1559" s="2">
        <v>38.0</v>
      </c>
      <c r="J1559" s="37">
        <v>274.0</v>
      </c>
      <c r="K1559" s="2">
        <v>12.0</v>
      </c>
      <c r="L1559" s="2">
        <v>67.0</v>
      </c>
      <c r="M1559" s="37">
        <v>356.62</v>
      </c>
    </row>
    <row r="1560" ht="14.25" customHeight="1">
      <c r="A1560" t="s">
        <v>1625</v>
      </c>
      <c r="B1560" t="s">
        <v>1604</v>
      </c>
      <c r="C1560" t="s">
        <v>62</v>
      </c>
      <c r="D1560" t="s">
        <v>63</v>
      </c>
      <c r="E1560">
        <v>6.0</v>
      </c>
      <c r="F1560">
        <v>7.0</v>
      </c>
      <c r="G1560" s="2" t="s">
        <v>67</v>
      </c>
      <c r="H1560" s="2">
        <v>19.0</v>
      </c>
      <c r="I1560" s="2">
        <v>18.0</v>
      </c>
      <c r="J1560" s="37">
        <v>450.14</v>
      </c>
      <c r="K1560" s="2">
        <v>22.0</v>
      </c>
      <c r="L1560" s="2">
        <v>73.0</v>
      </c>
      <c r="M1560" s="37">
        <v>589.02</v>
      </c>
    </row>
    <row r="1561" ht="14.25" customHeight="1">
      <c r="A1561" t="s">
        <v>1624</v>
      </c>
      <c r="B1561" t="s">
        <v>1604</v>
      </c>
      <c r="C1561" t="s">
        <v>62</v>
      </c>
      <c r="D1561" t="s">
        <v>63</v>
      </c>
      <c r="E1561">
        <v>3.5</v>
      </c>
      <c r="F1561">
        <v>3.8</v>
      </c>
      <c r="G1561" s="2" t="s">
        <v>67</v>
      </c>
      <c r="H1561" s="2">
        <v>10.0</v>
      </c>
      <c r="I1561" s="2">
        <v>38.0</v>
      </c>
      <c r="J1561" s="37">
        <v>274.0</v>
      </c>
      <c r="K1561" s="2">
        <v>12.0</v>
      </c>
      <c r="L1561" s="2">
        <v>67.0</v>
      </c>
      <c r="M1561" s="37">
        <v>356.62</v>
      </c>
    </row>
    <row r="1562" ht="14.25" customHeight="1">
      <c r="A1562" t="s">
        <v>1626</v>
      </c>
      <c r="B1562" t="s">
        <v>1604</v>
      </c>
      <c r="C1562" t="s">
        <v>62</v>
      </c>
      <c r="D1562" t="s">
        <v>63</v>
      </c>
      <c r="E1562">
        <v>7.0</v>
      </c>
      <c r="F1562">
        <v>8.0</v>
      </c>
      <c r="G1562" s="2" t="s">
        <v>67</v>
      </c>
      <c r="H1562" s="2">
        <v>23.0</v>
      </c>
      <c r="I1562" s="2">
        <v>4.0</v>
      </c>
      <c r="J1562" s="37">
        <v>521.7800000000001</v>
      </c>
      <c r="K1562" s="2">
        <v>26.0</v>
      </c>
      <c r="L1562" s="2">
        <v>67.0</v>
      </c>
      <c r="M1562" s="37">
        <v>671.0600000000001</v>
      </c>
    </row>
    <row r="1563" ht="14.25" customHeight="1">
      <c r="A1563" t="s">
        <v>1625</v>
      </c>
      <c r="B1563" t="s">
        <v>1604</v>
      </c>
      <c r="C1563" t="s">
        <v>62</v>
      </c>
      <c r="D1563" t="s">
        <v>63</v>
      </c>
      <c r="E1563">
        <v>6.0</v>
      </c>
      <c r="F1563">
        <v>7.0</v>
      </c>
      <c r="G1563" s="2" t="s">
        <v>67</v>
      </c>
      <c r="H1563" s="2">
        <v>19.0</v>
      </c>
      <c r="I1563" s="2">
        <v>18.0</v>
      </c>
      <c r="J1563" s="37">
        <v>450.14</v>
      </c>
      <c r="K1563" s="2">
        <v>22.0</v>
      </c>
      <c r="L1563" s="2">
        <v>73.0</v>
      </c>
      <c r="M1563" s="37">
        <v>589.02</v>
      </c>
    </row>
    <row r="1564" ht="14.25" customHeight="1">
      <c r="A1564" t="s">
        <v>1627</v>
      </c>
      <c r="B1564" t="s">
        <v>1604</v>
      </c>
      <c r="C1564" t="s">
        <v>62</v>
      </c>
      <c r="D1564" t="s">
        <v>63</v>
      </c>
      <c r="E1564">
        <v>2.5</v>
      </c>
      <c r="F1564">
        <v>3.2</v>
      </c>
      <c r="G1564" s="2" t="s">
        <v>67</v>
      </c>
      <c r="H1564" s="2">
        <v>8.0</v>
      </c>
      <c r="I1564" s="2">
        <v>57.0</v>
      </c>
      <c r="J1564" s="37">
        <v>253.78000000000003</v>
      </c>
      <c r="K1564" s="2">
        <v>9.0</v>
      </c>
      <c r="L1564" s="2">
        <v>77.0</v>
      </c>
      <c r="M1564" s="37">
        <v>302.24</v>
      </c>
    </row>
    <row r="1565" ht="14.25" customHeight="1">
      <c r="A1565" t="s">
        <v>1628</v>
      </c>
      <c r="B1565" t="s">
        <v>1604</v>
      </c>
      <c r="C1565" t="s">
        <v>62</v>
      </c>
      <c r="D1565" t="s">
        <v>63</v>
      </c>
      <c r="E1565">
        <v>3.5</v>
      </c>
      <c r="F1565">
        <v>3.8</v>
      </c>
      <c r="G1565" s="2" t="s">
        <v>67</v>
      </c>
      <c r="H1565" s="2">
        <v>9.0</v>
      </c>
      <c r="I1565" s="2">
        <v>37.0</v>
      </c>
      <c r="J1565" s="37">
        <v>250.24</v>
      </c>
      <c r="K1565" s="2">
        <v>11.0</v>
      </c>
      <c r="L1565" s="2">
        <v>65.0</v>
      </c>
      <c r="M1565" s="37">
        <v>331.56</v>
      </c>
    </row>
    <row r="1566" ht="14.25" customHeight="1">
      <c r="A1566" t="s">
        <v>1629</v>
      </c>
      <c r="B1566" t="s">
        <v>1604</v>
      </c>
      <c r="C1566" t="s">
        <v>62</v>
      </c>
      <c r="D1566" t="s">
        <v>63</v>
      </c>
      <c r="E1566">
        <v>5.0</v>
      </c>
      <c r="F1566">
        <v>6.0</v>
      </c>
      <c r="G1566" s="2" t="s">
        <v>67</v>
      </c>
      <c r="H1566" s="2">
        <v>17.0</v>
      </c>
      <c r="I1566" s="2">
        <v>116.0</v>
      </c>
      <c r="J1566" s="37">
        <v>532.62</v>
      </c>
      <c r="K1566" s="2">
        <v>20.0</v>
      </c>
      <c r="L1566" s="2">
        <v>162.0</v>
      </c>
      <c r="M1566" s="37">
        <v>659.8000000000001</v>
      </c>
    </row>
    <row r="1567" ht="14.25" customHeight="1">
      <c r="A1567" t="s">
        <v>1630</v>
      </c>
      <c r="B1567" t="s">
        <v>1604</v>
      </c>
      <c r="C1567" t="s">
        <v>62</v>
      </c>
      <c r="D1567" t="s">
        <v>63</v>
      </c>
      <c r="E1567">
        <v>6.0</v>
      </c>
      <c r="F1567">
        <v>7.0</v>
      </c>
      <c r="G1567" s="2" t="s">
        <v>67</v>
      </c>
      <c r="H1567" s="2">
        <v>21.0</v>
      </c>
      <c r="I1567" s="2">
        <v>84.0</v>
      </c>
      <c r="J1567" s="37">
        <v>580.86</v>
      </c>
      <c r="K1567" s="2">
        <v>24.0</v>
      </c>
      <c r="L1567" s="2">
        <v>138.0</v>
      </c>
      <c r="M1567" s="37">
        <v>718.4399999999999</v>
      </c>
    </row>
    <row r="1568" ht="14.25" customHeight="1">
      <c r="A1568" t="s">
        <v>1631</v>
      </c>
      <c r="B1568" t="s">
        <v>1604</v>
      </c>
      <c r="C1568" t="s">
        <v>62</v>
      </c>
      <c r="D1568" t="s">
        <v>63</v>
      </c>
      <c r="E1568">
        <v>7.0</v>
      </c>
      <c r="F1568">
        <v>8.0</v>
      </c>
      <c r="G1568" s="2" t="s">
        <v>67</v>
      </c>
      <c r="H1568" s="2">
        <v>22.0</v>
      </c>
      <c r="I1568" s="2">
        <v>57.0</v>
      </c>
      <c r="J1568" s="37">
        <v>568.22</v>
      </c>
      <c r="K1568" s="2">
        <v>26.0</v>
      </c>
      <c r="L1568" s="2">
        <v>121.0</v>
      </c>
      <c r="M1568" s="37">
        <v>741.26</v>
      </c>
    </row>
    <row r="1569" ht="14.25" customHeight="1">
      <c r="A1569" t="s">
        <v>1632</v>
      </c>
      <c r="B1569" t="s">
        <v>1604</v>
      </c>
      <c r="C1569" t="s">
        <v>62</v>
      </c>
      <c r="D1569" t="s">
        <v>63</v>
      </c>
      <c r="E1569">
        <v>8.0</v>
      </c>
      <c r="F1569">
        <v>9.0</v>
      </c>
      <c r="G1569" s="2" t="s">
        <v>64</v>
      </c>
      <c r="H1569" s="2">
        <v>0.0</v>
      </c>
      <c r="I1569" s="2">
        <v>0.0</v>
      </c>
      <c r="J1569" s="37">
        <v>0.0</v>
      </c>
      <c r="K1569" s="2">
        <v>0.0</v>
      </c>
      <c r="L1569" s="2">
        <v>0.0</v>
      </c>
      <c r="M1569" s="37">
        <v>0.0</v>
      </c>
    </row>
    <row r="1570" ht="14.25" customHeight="1">
      <c r="A1570" t="s">
        <v>1633</v>
      </c>
      <c r="B1570" t="s">
        <v>1604</v>
      </c>
      <c r="C1570" t="s">
        <v>62</v>
      </c>
      <c r="D1570" t="s">
        <v>63</v>
      </c>
      <c r="E1570">
        <v>5.0</v>
      </c>
      <c r="F1570">
        <v>6.0</v>
      </c>
      <c r="G1570" s="2" t="s">
        <v>67</v>
      </c>
      <c r="H1570" s="2">
        <v>18.0</v>
      </c>
      <c r="I1570" s="2">
        <v>116.0</v>
      </c>
      <c r="J1570" s="37">
        <v>555.08</v>
      </c>
      <c r="K1570" s="2">
        <v>21.0</v>
      </c>
      <c r="L1570" s="2">
        <v>162.0</v>
      </c>
      <c r="M1570" s="37">
        <v>682.26</v>
      </c>
    </row>
    <row r="1571" ht="14.25" customHeight="1">
      <c r="A1571" t="s">
        <v>1634</v>
      </c>
      <c r="B1571" t="s">
        <v>1604</v>
      </c>
      <c r="C1571" t="s">
        <v>62</v>
      </c>
      <c r="D1571" t="s">
        <v>63</v>
      </c>
      <c r="E1571">
        <v>6.0</v>
      </c>
      <c r="F1571">
        <v>7.5</v>
      </c>
      <c r="G1571" s="2" t="s">
        <v>67</v>
      </c>
      <c r="H1571" s="2">
        <v>22.0</v>
      </c>
      <c r="I1571" s="2">
        <v>127.0</v>
      </c>
      <c r="J1571" s="37">
        <v>659.22</v>
      </c>
      <c r="K1571" s="2">
        <v>25.0</v>
      </c>
      <c r="L1571" s="2">
        <v>181.0</v>
      </c>
      <c r="M1571" s="37">
        <v>796.8</v>
      </c>
    </row>
    <row r="1572" ht="14.25" customHeight="1">
      <c r="A1572" t="s">
        <v>1635</v>
      </c>
      <c r="B1572" t="s">
        <v>1604</v>
      </c>
      <c r="C1572" t="s">
        <v>62</v>
      </c>
      <c r="D1572" t="s">
        <v>63</v>
      </c>
      <c r="E1572">
        <v>7.2</v>
      </c>
      <c r="F1572">
        <v>8.6</v>
      </c>
      <c r="G1572" s="2" t="s">
        <v>67</v>
      </c>
      <c r="H1572" s="2">
        <v>24.0</v>
      </c>
      <c r="I1572" s="2">
        <v>94.0</v>
      </c>
      <c r="J1572" s="37">
        <v>661.24</v>
      </c>
      <c r="K1572" s="2">
        <v>28.0</v>
      </c>
      <c r="L1572" s="2">
        <v>159.0</v>
      </c>
      <c r="M1572" s="37">
        <v>835.58</v>
      </c>
    </row>
    <row r="1573" ht="14.25" customHeight="1">
      <c r="A1573" t="s">
        <v>1636</v>
      </c>
      <c r="B1573" t="s">
        <v>1604</v>
      </c>
      <c r="C1573" t="s">
        <v>62</v>
      </c>
      <c r="D1573" t="s">
        <v>63</v>
      </c>
      <c r="E1573">
        <v>10.0</v>
      </c>
      <c r="F1573">
        <v>11.5</v>
      </c>
      <c r="G1573" s="2" t="s">
        <v>67</v>
      </c>
      <c r="H1573" s="2">
        <v>32.0</v>
      </c>
      <c r="I1573" s="2">
        <v>215.0</v>
      </c>
      <c r="J1573" s="37">
        <v>998.22</v>
      </c>
      <c r="K1573" s="2">
        <v>38.0</v>
      </c>
      <c r="L1573" s="2">
        <v>317.0</v>
      </c>
      <c r="M1573" s="37">
        <v>1265.58</v>
      </c>
    </row>
    <row r="1574" ht="14.25" customHeight="1">
      <c r="A1574" t="s">
        <v>1637</v>
      </c>
      <c r="B1574" t="s">
        <v>1604</v>
      </c>
      <c r="C1574" t="s">
        <v>62</v>
      </c>
      <c r="D1574" t="s">
        <v>63</v>
      </c>
      <c r="E1574">
        <v>12.5</v>
      </c>
      <c r="F1574">
        <v>14.0</v>
      </c>
      <c r="G1574" s="2" t="s">
        <v>67</v>
      </c>
      <c r="H1574" s="2">
        <v>42.0</v>
      </c>
      <c r="I1574" s="2">
        <v>193.0</v>
      </c>
      <c r="J1574" s="37">
        <v>1194.22</v>
      </c>
      <c r="K1574" s="2">
        <v>49.0</v>
      </c>
      <c r="L1574" s="2">
        <v>321.0</v>
      </c>
      <c r="M1574" s="37">
        <v>1517.84</v>
      </c>
    </row>
    <row r="1575" ht="14.25" customHeight="1">
      <c r="A1575" t="s">
        <v>1638</v>
      </c>
      <c r="B1575" t="s">
        <v>1604</v>
      </c>
      <c r="C1575" t="s">
        <v>62</v>
      </c>
      <c r="D1575" t="s">
        <v>63</v>
      </c>
      <c r="E1575">
        <v>14.0</v>
      </c>
      <c r="F1575">
        <v>16.0</v>
      </c>
      <c r="G1575" s="2" t="s">
        <v>67</v>
      </c>
      <c r="H1575" s="2">
        <v>47.0</v>
      </c>
      <c r="I1575" s="2">
        <v>153.0</v>
      </c>
      <c r="J1575" s="37">
        <v>1254.5200000000002</v>
      </c>
      <c r="K1575" s="2">
        <v>54.0</v>
      </c>
      <c r="L1575" s="2">
        <v>296.0</v>
      </c>
      <c r="M1575" s="37">
        <v>1597.64</v>
      </c>
    </row>
    <row r="1576" ht="14.25" customHeight="1">
      <c r="A1576" t="s">
        <v>1639</v>
      </c>
      <c r="B1576" t="s">
        <v>1604</v>
      </c>
      <c r="C1576" t="s">
        <v>62</v>
      </c>
      <c r="D1576" t="s">
        <v>63</v>
      </c>
      <c r="E1576">
        <v>16.0</v>
      </c>
      <c r="F1576">
        <v>18.0</v>
      </c>
      <c r="G1576" s="2" t="s">
        <v>67</v>
      </c>
      <c r="H1576" s="2">
        <v>52.0</v>
      </c>
      <c r="I1576" s="2">
        <v>107.0</v>
      </c>
      <c r="J1576" s="37">
        <v>1307.02</v>
      </c>
      <c r="K1576" s="2">
        <v>61.0</v>
      </c>
      <c r="L1576" s="2">
        <v>271.0</v>
      </c>
      <c r="M1576" s="37">
        <v>1722.36</v>
      </c>
    </row>
    <row r="1577" ht="14.25" customHeight="1">
      <c r="A1577" t="s">
        <v>1640</v>
      </c>
      <c r="B1577" t="s">
        <v>1604</v>
      </c>
      <c r="C1577" t="s">
        <v>75</v>
      </c>
      <c r="D1577" t="s">
        <v>63</v>
      </c>
      <c r="E1577">
        <v>7.2</v>
      </c>
      <c r="F1577">
        <v>8.6</v>
      </c>
      <c r="G1577" s="2" t="s">
        <v>67</v>
      </c>
      <c r="H1577" s="2">
        <v>24.0</v>
      </c>
      <c r="I1577" s="2">
        <v>104.0</v>
      </c>
      <c r="J1577" s="37">
        <v>674.24</v>
      </c>
      <c r="K1577" s="2">
        <v>28.0</v>
      </c>
      <c r="L1577" s="2">
        <v>178.0</v>
      </c>
      <c r="M1577" s="37">
        <v>860.28</v>
      </c>
    </row>
    <row r="1578" ht="14.25" customHeight="1">
      <c r="A1578" t="s">
        <v>1641</v>
      </c>
      <c r="B1578" t="s">
        <v>1604</v>
      </c>
      <c r="C1578" t="s">
        <v>75</v>
      </c>
      <c r="D1578" t="s">
        <v>63</v>
      </c>
      <c r="E1578">
        <v>10.0</v>
      </c>
      <c r="F1578">
        <v>12.5</v>
      </c>
      <c r="G1578" s="2" t="s">
        <v>64</v>
      </c>
      <c r="H1578" s="2">
        <v>0.0</v>
      </c>
      <c r="I1578" s="2">
        <v>0.0</v>
      </c>
      <c r="J1578" s="37">
        <v>0.0</v>
      </c>
      <c r="K1578" s="2">
        <v>0.0</v>
      </c>
      <c r="L1578" s="2">
        <v>0.0</v>
      </c>
      <c r="M1578" s="37">
        <v>0.0</v>
      </c>
    </row>
    <row r="1579" ht="14.25" customHeight="1">
      <c r="A1579" t="s">
        <v>1642</v>
      </c>
      <c r="B1579" t="s">
        <v>1604</v>
      </c>
      <c r="C1579" t="s">
        <v>75</v>
      </c>
      <c r="D1579" t="s">
        <v>63</v>
      </c>
      <c r="E1579">
        <v>12.5</v>
      </c>
      <c r="F1579">
        <v>14.0</v>
      </c>
      <c r="G1579" s="2" t="s">
        <v>64</v>
      </c>
      <c r="H1579" s="2">
        <v>0.0</v>
      </c>
      <c r="I1579" s="2">
        <v>0.0</v>
      </c>
      <c r="J1579" s="37">
        <v>0.0</v>
      </c>
      <c r="K1579" s="2">
        <v>0.0</v>
      </c>
      <c r="L1579" s="2">
        <v>0.0</v>
      </c>
      <c r="M1579" s="37">
        <v>0.0</v>
      </c>
    </row>
    <row r="1580" ht="14.25" customHeight="1">
      <c r="A1580" t="s">
        <v>1643</v>
      </c>
      <c r="B1580" t="s">
        <v>1604</v>
      </c>
      <c r="C1580" t="s">
        <v>75</v>
      </c>
      <c r="D1580" t="s">
        <v>63</v>
      </c>
      <c r="E1580">
        <v>14.0</v>
      </c>
      <c r="F1580">
        <v>16.5</v>
      </c>
      <c r="G1580" s="2" t="s">
        <v>67</v>
      </c>
      <c r="H1580" s="2">
        <v>43.0</v>
      </c>
      <c r="I1580" s="2">
        <v>218.0</v>
      </c>
      <c r="J1580" s="37">
        <v>1249.18</v>
      </c>
      <c r="K1580" s="2">
        <v>50.0</v>
      </c>
      <c r="L1580" s="2">
        <v>361.0</v>
      </c>
      <c r="M1580" s="37">
        <v>1592.3</v>
      </c>
    </row>
    <row r="1581" ht="14.25" customHeight="1">
      <c r="A1581" t="s">
        <v>1644</v>
      </c>
      <c r="B1581" t="s">
        <v>1604</v>
      </c>
      <c r="C1581" t="s">
        <v>75</v>
      </c>
      <c r="D1581" t="s">
        <v>63</v>
      </c>
      <c r="E1581">
        <v>5.0</v>
      </c>
      <c r="F1581">
        <v>6.0</v>
      </c>
      <c r="G1581" s="2" t="s">
        <v>67</v>
      </c>
      <c r="H1581" s="2">
        <v>17.0</v>
      </c>
      <c r="I1581" s="2">
        <v>98.0</v>
      </c>
      <c r="J1581" s="37">
        <v>509.22</v>
      </c>
      <c r="K1581" s="2">
        <v>20.0</v>
      </c>
      <c r="L1581" s="2">
        <v>149.0</v>
      </c>
      <c r="M1581" s="37">
        <v>642.9000000000001</v>
      </c>
    </row>
    <row r="1582" ht="14.25" customHeight="1">
      <c r="A1582" t="s">
        <v>1645</v>
      </c>
      <c r="B1582" t="s">
        <v>1604</v>
      </c>
      <c r="C1582" t="s">
        <v>62</v>
      </c>
      <c r="D1582" t="s">
        <v>63</v>
      </c>
      <c r="E1582">
        <v>5.0</v>
      </c>
      <c r="F1582">
        <v>6.0</v>
      </c>
      <c r="G1582" s="2" t="s">
        <v>67</v>
      </c>
      <c r="H1582" s="2">
        <v>18.0</v>
      </c>
      <c r="I1582" s="2">
        <v>94.0</v>
      </c>
      <c r="J1582" s="37">
        <v>526.48</v>
      </c>
      <c r="K1582" s="2">
        <v>20.0</v>
      </c>
      <c r="L1582" s="2">
        <v>139.0</v>
      </c>
      <c r="M1582" s="37">
        <v>629.9000000000001</v>
      </c>
    </row>
    <row r="1583" ht="14.25" customHeight="1">
      <c r="A1583" t="s">
        <v>1646</v>
      </c>
      <c r="B1583" t="s">
        <v>1604</v>
      </c>
      <c r="C1583" t="s">
        <v>62</v>
      </c>
      <c r="D1583" t="s">
        <v>63</v>
      </c>
      <c r="E1583">
        <v>7.0</v>
      </c>
      <c r="F1583">
        <v>8.0</v>
      </c>
      <c r="G1583" s="2" t="s">
        <v>67</v>
      </c>
      <c r="H1583" s="2">
        <v>24.0</v>
      </c>
      <c r="I1583" s="2">
        <v>10.0</v>
      </c>
      <c r="J1583" s="37">
        <v>552.04</v>
      </c>
      <c r="K1583" s="2">
        <v>28.0</v>
      </c>
      <c r="L1583" s="2">
        <v>73.0</v>
      </c>
      <c r="M1583" s="37">
        <v>723.78</v>
      </c>
    </row>
    <row r="1584" ht="14.25" customHeight="1">
      <c r="A1584" t="s">
        <v>1647</v>
      </c>
      <c r="B1584" t="s">
        <v>1604</v>
      </c>
      <c r="C1584" t="s">
        <v>62</v>
      </c>
      <c r="D1584" t="s">
        <v>63</v>
      </c>
      <c r="E1584">
        <v>6.0</v>
      </c>
      <c r="F1584">
        <v>7.0</v>
      </c>
      <c r="G1584" s="2" t="s">
        <v>67</v>
      </c>
      <c r="H1584" s="2">
        <v>21.0</v>
      </c>
      <c r="I1584" s="2">
        <v>48.0</v>
      </c>
      <c r="J1584" s="37">
        <v>534.0600000000001</v>
      </c>
      <c r="K1584" s="2">
        <v>24.0</v>
      </c>
      <c r="L1584" s="2">
        <v>103.0</v>
      </c>
      <c r="M1584" s="37">
        <v>672.9399999999999</v>
      </c>
    </row>
    <row r="1585" ht="14.25" customHeight="1">
      <c r="A1585" t="s">
        <v>1648</v>
      </c>
      <c r="B1585" t="s">
        <v>1604</v>
      </c>
      <c r="C1585" t="s">
        <v>62</v>
      </c>
      <c r="D1585" t="s">
        <v>63</v>
      </c>
      <c r="E1585">
        <v>6.0</v>
      </c>
      <c r="F1585">
        <v>7.5</v>
      </c>
      <c r="G1585" s="2" t="s">
        <v>64</v>
      </c>
      <c r="H1585" s="2">
        <v>0.0</v>
      </c>
      <c r="I1585" s="2">
        <v>0.0</v>
      </c>
      <c r="J1585" s="37">
        <v>0.0</v>
      </c>
      <c r="K1585" s="2">
        <v>0.0</v>
      </c>
      <c r="L1585" s="2">
        <v>0.0</v>
      </c>
      <c r="M1585" s="37">
        <v>0.0</v>
      </c>
    </row>
    <row r="1586" ht="14.25" customHeight="1">
      <c r="A1586" t="s">
        <v>1649</v>
      </c>
      <c r="B1586" t="s">
        <v>1604</v>
      </c>
      <c r="C1586" t="s">
        <v>62</v>
      </c>
      <c r="D1586" t="s">
        <v>63</v>
      </c>
      <c r="E1586">
        <v>10.0</v>
      </c>
      <c r="F1586">
        <v>11.5</v>
      </c>
      <c r="G1586" s="2" t="s">
        <v>67</v>
      </c>
      <c r="H1586" s="2">
        <v>32.0</v>
      </c>
      <c r="I1586" s="2">
        <v>176.0</v>
      </c>
      <c r="J1586" s="37">
        <v>947.52</v>
      </c>
      <c r="K1586" s="2">
        <v>38.0</v>
      </c>
      <c r="L1586" s="2">
        <v>279.0</v>
      </c>
      <c r="M1586" s="37">
        <v>1216.18</v>
      </c>
    </row>
    <row r="1587" ht="14.25" customHeight="1">
      <c r="A1587" t="s">
        <v>1650</v>
      </c>
      <c r="B1587" t="s">
        <v>1604</v>
      </c>
      <c r="C1587" t="s">
        <v>62</v>
      </c>
      <c r="D1587" t="s">
        <v>63</v>
      </c>
      <c r="E1587">
        <v>12.5</v>
      </c>
      <c r="F1587">
        <v>14.0</v>
      </c>
      <c r="G1587" s="2" t="s">
        <v>67</v>
      </c>
      <c r="H1587" s="2">
        <v>42.0</v>
      </c>
      <c r="I1587" s="2">
        <v>193.0</v>
      </c>
      <c r="J1587" s="37">
        <v>1194.22</v>
      </c>
      <c r="K1587" s="2">
        <v>49.0</v>
      </c>
      <c r="L1587" s="2">
        <v>321.0</v>
      </c>
      <c r="M1587" s="37">
        <v>1517.84</v>
      </c>
    </row>
    <row r="1588" ht="14.25" customHeight="1">
      <c r="A1588" t="s">
        <v>1651</v>
      </c>
      <c r="B1588" t="s">
        <v>1604</v>
      </c>
      <c r="C1588" t="s">
        <v>62</v>
      </c>
      <c r="D1588" t="s">
        <v>63</v>
      </c>
      <c r="E1588">
        <v>14.0</v>
      </c>
      <c r="F1588">
        <v>16.0</v>
      </c>
      <c r="G1588" s="2" t="s">
        <v>67</v>
      </c>
      <c r="H1588" s="2">
        <v>44.0</v>
      </c>
      <c r="I1588" s="2">
        <v>153.0</v>
      </c>
      <c r="J1588" s="37">
        <v>1187.14</v>
      </c>
      <c r="K1588" s="2">
        <v>52.0</v>
      </c>
      <c r="L1588" s="2">
        <v>296.0</v>
      </c>
      <c r="M1588" s="37">
        <v>1552.72</v>
      </c>
    </row>
    <row r="1589" ht="14.25" customHeight="1">
      <c r="A1589" t="s">
        <v>1652</v>
      </c>
      <c r="B1589" t="s">
        <v>1604</v>
      </c>
      <c r="C1589" t="s">
        <v>62</v>
      </c>
      <c r="D1589" t="s">
        <v>63</v>
      </c>
      <c r="E1589">
        <v>16.0</v>
      </c>
      <c r="F1589">
        <v>18.0</v>
      </c>
      <c r="G1589" s="2" t="s">
        <v>67</v>
      </c>
      <c r="H1589" s="2">
        <v>53.0</v>
      </c>
      <c r="I1589" s="2">
        <v>39.0</v>
      </c>
      <c r="J1589" s="37">
        <v>1241.0800000000002</v>
      </c>
      <c r="K1589" s="2">
        <v>62.0</v>
      </c>
      <c r="L1589" s="2">
        <v>203.0</v>
      </c>
      <c r="M1589" s="37">
        <v>1656.42</v>
      </c>
    </row>
    <row r="1590" ht="14.25" customHeight="1">
      <c r="A1590" t="s">
        <v>1653</v>
      </c>
      <c r="B1590" t="s">
        <v>1604</v>
      </c>
      <c r="C1590" t="s">
        <v>75</v>
      </c>
      <c r="D1590" t="s">
        <v>63</v>
      </c>
      <c r="E1590">
        <v>7.2</v>
      </c>
      <c r="F1590">
        <v>8.6</v>
      </c>
      <c r="G1590" s="2" t="s">
        <v>67</v>
      </c>
      <c r="H1590" s="2">
        <v>24.0</v>
      </c>
      <c r="I1590" s="2">
        <v>140.0</v>
      </c>
      <c r="J1590" s="37">
        <v>721.04</v>
      </c>
      <c r="K1590" s="2">
        <v>28.0</v>
      </c>
      <c r="L1590" s="2">
        <v>213.0</v>
      </c>
      <c r="M1590" s="37">
        <v>905.78</v>
      </c>
    </row>
    <row r="1591" ht="14.25" customHeight="1">
      <c r="A1591" t="s">
        <v>1654</v>
      </c>
      <c r="B1591" t="s">
        <v>1604</v>
      </c>
      <c r="C1591" t="s">
        <v>75</v>
      </c>
      <c r="D1591" t="s">
        <v>63</v>
      </c>
      <c r="E1591">
        <v>16.0</v>
      </c>
      <c r="F1591">
        <v>18.0</v>
      </c>
      <c r="G1591" s="2" t="s">
        <v>67</v>
      </c>
      <c r="H1591" s="2">
        <v>45.0</v>
      </c>
      <c r="I1591" s="2">
        <v>68.0</v>
      </c>
      <c r="J1591" s="37">
        <v>1099.1000000000001</v>
      </c>
      <c r="K1591" s="2">
        <v>54.0</v>
      </c>
      <c r="L1591" s="2">
        <v>232.0</v>
      </c>
      <c r="M1591" s="37">
        <v>1514.44</v>
      </c>
    </row>
    <row r="1592" ht="14.25" customHeight="1">
      <c r="A1592" t="s">
        <v>1655</v>
      </c>
      <c r="B1592" t="s">
        <v>1604</v>
      </c>
      <c r="C1592" t="s">
        <v>75</v>
      </c>
      <c r="D1592" t="s">
        <v>63</v>
      </c>
      <c r="E1592">
        <v>6.0</v>
      </c>
      <c r="F1592">
        <v>7.5</v>
      </c>
      <c r="G1592" s="2" t="s">
        <v>67</v>
      </c>
      <c r="H1592" s="2">
        <v>20.0</v>
      </c>
      <c r="I1592" s="2">
        <v>105.0</v>
      </c>
      <c r="J1592" s="37">
        <v>585.7</v>
      </c>
      <c r="K1592" s="2">
        <v>24.0</v>
      </c>
      <c r="L1592" s="2">
        <v>166.0</v>
      </c>
      <c r="M1592" s="37">
        <v>754.8399999999999</v>
      </c>
    </row>
    <row r="1593" ht="14.25" customHeight="1">
      <c r="A1593" t="s">
        <v>1656</v>
      </c>
      <c r="B1593" t="s">
        <v>1604</v>
      </c>
      <c r="C1593" t="s">
        <v>75</v>
      </c>
      <c r="D1593" t="s">
        <v>63</v>
      </c>
      <c r="E1593">
        <v>10.0</v>
      </c>
      <c r="F1593">
        <v>11.5</v>
      </c>
      <c r="G1593" s="2" t="s">
        <v>64</v>
      </c>
      <c r="H1593" s="2">
        <v>0.0</v>
      </c>
      <c r="I1593" s="2">
        <v>0.0</v>
      </c>
      <c r="J1593" s="37">
        <v>0.0</v>
      </c>
      <c r="K1593" s="2">
        <v>0.0</v>
      </c>
      <c r="L1593" s="2">
        <v>0.0</v>
      </c>
      <c r="M1593" s="37">
        <v>0.0</v>
      </c>
    </row>
    <row r="1594" ht="14.25" customHeight="1">
      <c r="A1594" t="s">
        <v>1657</v>
      </c>
      <c r="B1594" t="s">
        <v>1604</v>
      </c>
      <c r="C1594" t="s">
        <v>75</v>
      </c>
      <c r="D1594" t="s">
        <v>63</v>
      </c>
      <c r="E1594">
        <v>12.5</v>
      </c>
      <c r="F1594">
        <v>14.0</v>
      </c>
      <c r="G1594" s="2" t="s">
        <v>67</v>
      </c>
      <c r="H1594" s="2">
        <v>41.0</v>
      </c>
      <c r="I1594" s="2">
        <v>219.0</v>
      </c>
      <c r="J1594" s="37">
        <v>1205.56</v>
      </c>
      <c r="K1594" s="2">
        <v>48.0</v>
      </c>
      <c r="L1594" s="2">
        <v>347.0</v>
      </c>
      <c r="M1594" s="37">
        <v>1529.1799999999998</v>
      </c>
    </row>
    <row r="1595" ht="14.25" customHeight="1">
      <c r="A1595" t="s">
        <v>1658</v>
      </c>
      <c r="B1595" t="s">
        <v>1604</v>
      </c>
      <c r="C1595" t="s">
        <v>75</v>
      </c>
      <c r="D1595" t="s">
        <v>63</v>
      </c>
      <c r="E1595">
        <v>14.0</v>
      </c>
      <c r="F1595">
        <v>16.0</v>
      </c>
      <c r="G1595" s="2" t="s">
        <v>67</v>
      </c>
      <c r="H1595" s="2">
        <v>44.0</v>
      </c>
      <c r="I1595" s="2">
        <v>99.0</v>
      </c>
      <c r="J1595" s="37">
        <v>1116.94</v>
      </c>
      <c r="K1595" s="2">
        <v>52.0</v>
      </c>
      <c r="L1595" s="2">
        <v>243.0</v>
      </c>
      <c r="M1595" s="37">
        <v>1483.8200000000002</v>
      </c>
    </row>
    <row r="1596" ht="14.25" customHeight="1">
      <c r="A1596" t="s">
        <v>1659</v>
      </c>
      <c r="B1596" t="s">
        <v>1604</v>
      </c>
      <c r="C1596" t="s">
        <v>62</v>
      </c>
      <c r="D1596" t="s">
        <v>63</v>
      </c>
      <c r="E1596">
        <v>5.0</v>
      </c>
      <c r="F1596">
        <v>6.0</v>
      </c>
      <c r="G1596" s="2" t="s">
        <v>64</v>
      </c>
      <c r="H1596" s="2">
        <v>0.0</v>
      </c>
      <c r="I1596" s="2">
        <v>0.0</v>
      </c>
      <c r="J1596" s="37">
        <v>0.0</v>
      </c>
      <c r="K1596" s="2">
        <v>0.0</v>
      </c>
      <c r="L1596" s="2">
        <v>0.0</v>
      </c>
      <c r="M1596" s="37">
        <v>0.0</v>
      </c>
    </row>
    <row r="1597" ht="14.25" customHeight="1">
      <c r="A1597" t="s">
        <v>1660</v>
      </c>
      <c r="B1597" t="s">
        <v>1604</v>
      </c>
      <c r="C1597" t="s">
        <v>62</v>
      </c>
      <c r="D1597" t="s">
        <v>63</v>
      </c>
      <c r="E1597">
        <v>7.2</v>
      </c>
      <c r="F1597">
        <v>8.6</v>
      </c>
      <c r="G1597" s="2" t="s">
        <v>67</v>
      </c>
      <c r="H1597" s="2">
        <v>22.0</v>
      </c>
      <c r="I1597" s="2">
        <v>52.0</v>
      </c>
      <c r="J1597" s="37">
        <v>561.72</v>
      </c>
      <c r="K1597" s="2">
        <v>26.0</v>
      </c>
      <c r="L1597" s="2">
        <v>117.0</v>
      </c>
      <c r="M1597" s="37">
        <v>736.0600000000001</v>
      </c>
    </row>
    <row r="1598" ht="14.25" customHeight="1">
      <c r="A1598" t="s">
        <v>1661</v>
      </c>
      <c r="B1598" t="s">
        <v>1604</v>
      </c>
      <c r="C1598" t="s">
        <v>62</v>
      </c>
      <c r="D1598" t="s">
        <v>63</v>
      </c>
      <c r="E1598">
        <v>10.0</v>
      </c>
      <c r="F1598">
        <v>11.5</v>
      </c>
      <c r="G1598" s="2" t="s">
        <v>67</v>
      </c>
      <c r="H1598" s="2">
        <v>33.0</v>
      </c>
      <c r="I1598" s="2">
        <v>155.0</v>
      </c>
      <c r="J1598" s="37">
        <v>942.6800000000001</v>
      </c>
      <c r="K1598" s="2">
        <v>39.0</v>
      </c>
      <c r="L1598" s="2">
        <v>258.0</v>
      </c>
      <c r="M1598" s="37">
        <v>1211.3400000000001</v>
      </c>
    </row>
    <row r="1599" ht="14.25" customHeight="1">
      <c r="A1599" t="s">
        <v>1662</v>
      </c>
      <c r="B1599" t="s">
        <v>1604</v>
      </c>
      <c r="C1599" t="s">
        <v>62</v>
      </c>
      <c r="D1599" t="s">
        <v>63</v>
      </c>
      <c r="E1599">
        <v>12.5</v>
      </c>
      <c r="F1599">
        <v>14.0</v>
      </c>
      <c r="G1599" s="2" t="s">
        <v>67</v>
      </c>
      <c r="H1599" s="2">
        <v>39.0</v>
      </c>
      <c r="I1599" s="2">
        <v>48.0</v>
      </c>
      <c r="J1599" s="37">
        <v>938.34</v>
      </c>
      <c r="K1599" s="2">
        <v>46.0</v>
      </c>
      <c r="L1599" s="2">
        <v>176.0</v>
      </c>
      <c r="M1599" s="37">
        <v>1261.96</v>
      </c>
    </row>
    <row r="1600" ht="14.25" customHeight="1">
      <c r="A1600" t="s">
        <v>1663</v>
      </c>
      <c r="B1600" t="s">
        <v>1604</v>
      </c>
      <c r="C1600" t="s">
        <v>62</v>
      </c>
      <c r="D1600" t="s">
        <v>63</v>
      </c>
      <c r="E1600">
        <v>14.0</v>
      </c>
      <c r="F1600">
        <v>16.0</v>
      </c>
      <c r="G1600" s="2" t="s">
        <v>67</v>
      </c>
      <c r="H1600" s="2">
        <v>40.0</v>
      </c>
      <c r="I1600" s="2">
        <v>49.0</v>
      </c>
      <c r="J1600" s="37">
        <v>962.1000000000001</v>
      </c>
      <c r="K1600" s="2">
        <v>47.0</v>
      </c>
      <c r="L1600" s="2">
        <v>192.0</v>
      </c>
      <c r="M1600" s="37">
        <v>1305.2200000000003</v>
      </c>
    </row>
    <row r="1601" ht="14.25" customHeight="1">
      <c r="A1601" t="s">
        <v>1664</v>
      </c>
      <c r="B1601" t="s">
        <v>1604</v>
      </c>
      <c r="C1601" t="s">
        <v>62</v>
      </c>
      <c r="D1601" t="s">
        <v>63</v>
      </c>
      <c r="E1601">
        <v>8.0</v>
      </c>
      <c r="F1601">
        <v>9.0</v>
      </c>
      <c r="G1601" s="2" t="s">
        <v>67</v>
      </c>
      <c r="H1601" s="2">
        <v>28.0</v>
      </c>
      <c r="I1601" s="2">
        <v>10.0</v>
      </c>
      <c r="J1601" s="37">
        <v>641.88</v>
      </c>
      <c r="K1601" s="2">
        <v>32.0</v>
      </c>
      <c r="L1601" s="2">
        <v>83.0</v>
      </c>
      <c r="M1601" s="37">
        <v>826.62</v>
      </c>
    </row>
    <row r="1602" ht="14.25" customHeight="1">
      <c r="A1602" t="s">
        <v>1665</v>
      </c>
      <c r="B1602" t="s">
        <v>1604</v>
      </c>
      <c r="C1602" t="s">
        <v>62</v>
      </c>
      <c r="D1602" t="s">
        <v>63</v>
      </c>
      <c r="E1602">
        <v>14.0</v>
      </c>
      <c r="F1602">
        <v>16.0</v>
      </c>
      <c r="G1602" s="2" t="s">
        <v>67</v>
      </c>
      <c r="H1602" s="2">
        <v>42.0</v>
      </c>
      <c r="I1602" s="2">
        <v>93.0</v>
      </c>
      <c r="J1602" s="37">
        <v>1064.22</v>
      </c>
      <c r="K1602" s="2">
        <v>49.0</v>
      </c>
      <c r="L1602" s="2">
        <v>237.0</v>
      </c>
      <c r="M1602" s="37">
        <v>1408.6399999999999</v>
      </c>
    </row>
    <row r="1603" ht="14.25" customHeight="1">
      <c r="A1603" t="s">
        <v>1666</v>
      </c>
      <c r="B1603" t="s">
        <v>1604</v>
      </c>
      <c r="C1603" t="s">
        <v>62</v>
      </c>
      <c r="D1603" t="s">
        <v>63</v>
      </c>
      <c r="E1603">
        <v>12.5</v>
      </c>
      <c r="F1603">
        <v>14.0</v>
      </c>
      <c r="G1603" s="2" t="s">
        <v>64</v>
      </c>
      <c r="H1603" s="2">
        <v>0.0</v>
      </c>
      <c r="I1603" s="2">
        <v>0.0</v>
      </c>
      <c r="J1603" s="37">
        <v>0.0</v>
      </c>
      <c r="K1603" s="2">
        <v>0.0</v>
      </c>
      <c r="L1603" s="2">
        <v>0.0</v>
      </c>
      <c r="M1603" s="37">
        <v>0.0</v>
      </c>
    </row>
    <row r="1604" ht="14.25" customHeight="1">
      <c r="A1604" t="s">
        <v>1667</v>
      </c>
      <c r="B1604" t="s">
        <v>1604</v>
      </c>
      <c r="C1604" t="s">
        <v>62</v>
      </c>
      <c r="D1604" t="s">
        <v>63</v>
      </c>
      <c r="E1604">
        <v>10.0</v>
      </c>
      <c r="F1604">
        <v>11.5</v>
      </c>
      <c r="G1604" s="2" t="s">
        <v>64</v>
      </c>
      <c r="H1604" s="2">
        <v>0.0</v>
      </c>
      <c r="I1604" s="2">
        <v>0.0</v>
      </c>
      <c r="J1604" s="37">
        <v>0.0</v>
      </c>
      <c r="K1604" s="2">
        <v>0.0</v>
      </c>
      <c r="L1604" s="2">
        <v>0.0</v>
      </c>
      <c r="M1604" s="37">
        <v>0.0</v>
      </c>
    </row>
    <row r="1605" ht="14.25" customHeight="1">
      <c r="A1605" t="s">
        <v>1668</v>
      </c>
      <c r="B1605" t="s">
        <v>1604</v>
      </c>
      <c r="C1605" t="s">
        <v>75</v>
      </c>
      <c r="D1605" t="s">
        <v>63</v>
      </c>
      <c r="E1605">
        <v>14.0</v>
      </c>
      <c r="F1605">
        <v>16.0</v>
      </c>
      <c r="G1605" s="2" t="s">
        <v>67</v>
      </c>
      <c r="H1605" s="2">
        <v>41.0</v>
      </c>
      <c r="I1605" s="2">
        <v>99.0</v>
      </c>
      <c r="J1605" s="37">
        <v>1049.56</v>
      </c>
      <c r="K1605" s="2">
        <v>48.0</v>
      </c>
      <c r="L1605" s="2">
        <v>243.0</v>
      </c>
      <c r="M1605" s="37">
        <v>1393.98</v>
      </c>
    </row>
    <row r="1606" ht="14.25" customHeight="1">
      <c r="A1606" t="s">
        <v>1669</v>
      </c>
      <c r="B1606" t="s">
        <v>1604</v>
      </c>
      <c r="C1606" t="s">
        <v>75</v>
      </c>
      <c r="D1606" t="s">
        <v>63</v>
      </c>
      <c r="E1606">
        <v>12.5</v>
      </c>
      <c r="F1606">
        <v>14.0</v>
      </c>
      <c r="G1606" s="2" t="s">
        <v>67</v>
      </c>
      <c r="H1606" s="2">
        <v>40.0</v>
      </c>
      <c r="I1606" s="2">
        <v>219.0</v>
      </c>
      <c r="J1606" s="37">
        <v>1183.1000000000001</v>
      </c>
      <c r="K1606" s="2">
        <v>47.0</v>
      </c>
      <c r="L1606" s="2">
        <v>347.0</v>
      </c>
      <c r="M1606" s="37">
        <v>1506.7200000000003</v>
      </c>
    </row>
    <row r="1607" ht="14.25" customHeight="1">
      <c r="A1607" t="s">
        <v>1670</v>
      </c>
      <c r="B1607" t="s">
        <v>1604</v>
      </c>
      <c r="C1607" t="s">
        <v>75</v>
      </c>
      <c r="D1607" t="s">
        <v>63</v>
      </c>
      <c r="E1607">
        <v>10.0</v>
      </c>
      <c r="F1607">
        <v>11.5</v>
      </c>
      <c r="G1607" s="2" t="s">
        <v>64</v>
      </c>
      <c r="H1607" s="2">
        <v>0.0</v>
      </c>
      <c r="I1607" s="2">
        <v>0.0</v>
      </c>
      <c r="J1607" s="37">
        <v>0.0</v>
      </c>
      <c r="K1607" s="2">
        <v>0.0</v>
      </c>
      <c r="L1607" s="2">
        <v>0.0</v>
      </c>
      <c r="M1607" s="37">
        <v>0.0</v>
      </c>
    </row>
    <row r="1608" ht="14.25" customHeight="1">
      <c r="A1608" t="s">
        <v>1671</v>
      </c>
      <c r="B1608" t="s">
        <v>1604</v>
      </c>
      <c r="C1608" t="s">
        <v>75</v>
      </c>
      <c r="D1608" t="s">
        <v>63</v>
      </c>
      <c r="E1608">
        <v>12.5</v>
      </c>
      <c r="F1608">
        <v>14.0</v>
      </c>
      <c r="G1608" s="2" t="s">
        <v>67</v>
      </c>
      <c r="H1608" s="2">
        <v>39.0</v>
      </c>
      <c r="I1608" s="2">
        <v>220.0</v>
      </c>
      <c r="J1608" s="37">
        <v>1161.94</v>
      </c>
      <c r="K1608" s="2">
        <v>46.0</v>
      </c>
      <c r="L1608" s="2">
        <v>348.0</v>
      </c>
      <c r="M1608" s="37">
        <v>1485.5600000000002</v>
      </c>
    </row>
    <row r="1609" ht="14.25" customHeight="1">
      <c r="A1609" t="s">
        <v>1672</v>
      </c>
      <c r="B1609" t="s">
        <v>1604</v>
      </c>
      <c r="C1609" t="s">
        <v>75</v>
      </c>
      <c r="D1609" t="s">
        <v>63</v>
      </c>
      <c r="E1609">
        <v>10.0</v>
      </c>
      <c r="F1609">
        <v>12.5</v>
      </c>
      <c r="G1609" s="2" t="s">
        <v>64</v>
      </c>
      <c r="H1609" s="2">
        <v>0.0</v>
      </c>
      <c r="I1609" s="2">
        <v>0.0</v>
      </c>
      <c r="J1609" s="37">
        <v>0.0</v>
      </c>
      <c r="K1609" s="2">
        <v>0.0</v>
      </c>
      <c r="L1609" s="2">
        <v>0.0</v>
      </c>
      <c r="M1609" s="37">
        <v>0.0</v>
      </c>
    </row>
    <row r="1610" ht="14.25" customHeight="1">
      <c r="A1610" t="s">
        <v>1673</v>
      </c>
      <c r="B1610" t="s">
        <v>1604</v>
      </c>
      <c r="C1610" t="s">
        <v>75</v>
      </c>
      <c r="D1610" t="s">
        <v>63</v>
      </c>
      <c r="E1610">
        <v>14.0</v>
      </c>
      <c r="F1610">
        <v>16.5</v>
      </c>
      <c r="G1610" s="2" t="s">
        <v>67</v>
      </c>
      <c r="H1610" s="2">
        <v>42.0</v>
      </c>
      <c r="I1610" s="2">
        <v>218.0</v>
      </c>
      <c r="J1610" s="37">
        <v>1226.72</v>
      </c>
      <c r="K1610" s="2">
        <v>49.0</v>
      </c>
      <c r="L1610" s="2">
        <v>361.0</v>
      </c>
      <c r="M1610" s="37">
        <v>1569.84</v>
      </c>
    </row>
    <row r="1611" ht="14.25" customHeight="1">
      <c r="A1611" t="s">
        <v>1674</v>
      </c>
      <c r="B1611" t="s">
        <v>1604</v>
      </c>
      <c r="C1611" t="s">
        <v>75</v>
      </c>
      <c r="D1611" t="s">
        <v>63</v>
      </c>
      <c r="E1611">
        <v>16.0</v>
      </c>
      <c r="F1611">
        <v>18.0</v>
      </c>
      <c r="G1611" s="2" t="s">
        <v>67</v>
      </c>
      <c r="H1611" s="2">
        <v>47.0</v>
      </c>
      <c r="I1611" s="2">
        <v>68.0</v>
      </c>
      <c r="J1611" s="37">
        <v>1144.0200000000002</v>
      </c>
      <c r="K1611" s="2">
        <v>55.0</v>
      </c>
      <c r="L1611" s="2">
        <v>232.0</v>
      </c>
      <c r="M1611" s="37">
        <v>1536.9</v>
      </c>
    </row>
    <row r="1612" ht="14.25" customHeight="1">
      <c r="A1612" t="s">
        <v>1642</v>
      </c>
      <c r="B1612" t="s">
        <v>1604</v>
      </c>
      <c r="C1612" t="s">
        <v>75</v>
      </c>
      <c r="D1612" t="s">
        <v>63</v>
      </c>
      <c r="E1612">
        <v>12.5</v>
      </c>
      <c r="F1612">
        <v>14.0</v>
      </c>
      <c r="G1612" s="2" t="s">
        <v>67</v>
      </c>
      <c r="H1612" s="2">
        <v>0.0</v>
      </c>
      <c r="I1612" s="2">
        <v>0.0</v>
      </c>
      <c r="J1612" s="37">
        <v>0.0</v>
      </c>
      <c r="K1612" s="2">
        <v>0.0</v>
      </c>
      <c r="L1612" s="2">
        <v>0.0</v>
      </c>
      <c r="M1612" s="37">
        <v>0.0</v>
      </c>
    </row>
    <row r="1613" ht="14.25" customHeight="1">
      <c r="A1613" t="s">
        <v>1654</v>
      </c>
      <c r="B1613" t="s">
        <v>1604</v>
      </c>
      <c r="C1613" t="s">
        <v>75</v>
      </c>
      <c r="D1613" t="s">
        <v>63</v>
      </c>
      <c r="E1613">
        <v>16.0</v>
      </c>
      <c r="F1613">
        <v>18.0</v>
      </c>
      <c r="G1613" s="2" t="s">
        <v>67</v>
      </c>
      <c r="H1613" s="2">
        <v>45.0</v>
      </c>
      <c r="I1613" s="2">
        <v>68.0</v>
      </c>
      <c r="J1613" s="37">
        <v>1099.1000000000001</v>
      </c>
      <c r="K1613" s="2">
        <v>54.0</v>
      </c>
      <c r="L1613" s="2">
        <v>232.0</v>
      </c>
      <c r="M1613" s="37">
        <v>1514.44</v>
      </c>
    </row>
    <row r="1614" ht="14.25" customHeight="1">
      <c r="A1614" t="s">
        <v>1674</v>
      </c>
      <c r="B1614" t="s">
        <v>1604</v>
      </c>
      <c r="C1614" t="s">
        <v>75</v>
      </c>
      <c r="D1614" t="s">
        <v>63</v>
      </c>
      <c r="E1614">
        <v>16.0</v>
      </c>
      <c r="F1614">
        <v>18.0</v>
      </c>
      <c r="G1614" s="2" t="s">
        <v>67</v>
      </c>
      <c r="H1614" s="2">
        <v>47.0</v>
      </c>
      <c r="I1614" s="2">
        <v>68.0</v>
      </c>
      <c r="J1614" s="37">
        <v>1144.0200000000002</v>
      </c>
      <c r="K1614" s="2">
        <v>55.0</v>
      </c>
      <c r="L1614" s="2">
        <v>232.0</v>
      </c>
      <c r="M1614" s="37">
        <v>1536.9</v>
      </c>
    </row>
    <row r="1615" ht="14.25" customHeight="1">
      <c r="A1615" t="s">
        <v>1675</v>
      </c>
      <c r="B1615" t="s">
        <v>1604</v>
      </c>
      <c r="C1615" t="s">
        <v>62</v>
      </c>
      <c r="D1615" t="s">
        <v>63</v>
      </c>
      <c r="E1615">
        <v>10.0</v>
      </c>
      <c r="F1615">
        <v>11.5</v>
      </c>
      <c r="G1615" s="2" t="s">
        <v>67</v>
      </c>
      <c r="H1615" s="2">
        <v>33.0</v>
      </c>
      <c r="I1615" s="2">
        <v>203.0</v>
      </c>
      <c r="J1615" s="37">
        <v>1005.0800000000002</v>
      </c>
      <c r="K1615" s="2">
        <v>39.0</v>
      </c>
      <c r="L1615" s="2">
        <v>305.0</v>
      </c>
      <c r="M1615" s="37">
        <v>1272.44</v>
      </c>
    </row>
    <row r="1616" ht="14.25" customHeight="1">
      <c r="A1616" t="s">
        <v>1676</v>
      </c>
      <c r="B1616" t="s">
        <v>1604</v>
      </c>
      <c r="C1616" t="s">
        <v>62</v>
      </c>
      <c r="D1616" t="s">
        <v>63</v>
      </c>
      <c r="E1616">
        <v>10.0</v>
      </c>
      <c r="F1616">
        <v>11.5</v>
      </c>
      <c r="G1616" s="2" t="s">
        <v>67</v>
      </c>
      <c r="H1616" s="2">
        <v>31.0</v>
      </c>
      <c r="I1616" s="2">
        <v>167.0</v>
      </c>
      <c r="J1616" s="37">
        <v>913.36</v>
      </c>
      <c r="K1616" s="2">
        <v>37.0</v>
      </c>
      <c r="L1616" s="2">
        <v>270.0</v>
      </c>
      <c r="M1616" s="37">
        <v>1182.02</v>
      </c>
    </row>
    <row r="1617" ht="14.25" customHeight="1">
      <c r="A1617" t="s">
        <v>1677</v>
      </c>
      <c r="B1617" t="s">
        <v>1604</v>
      </c>
      <c r="C1617" t="s">
        <v>62</v>
      </c>
      <c r="D1617" t="s">
        <v>63</v>
      </c>
      <c r="E1617">
        <v>7.2</v>
      </c>
      <c r="F1617">
        <v>8.1</v>
      </c>
      <c r="G1617" s="2" t="s">
        <v>64</v>
      </c>
      <c r="H1617" s="2">
        <v>0.0</v>
      </c>
      <c r="I1617" s="2">
        <v>0.0</v>
      </c>
      <c r="J1617" s="37">
        <v>0.0</v>
      </c>
      <c r="K1617" s="2">
        <v>0.0</v>
      </c>
      <c r="L1617" s="2">
        <v>0.0</v>
      </c>
      <c r="M1617" s="37">
        <v>0.0</v>
      </c>
    </row>
    <row r="1618" ht="14.25" customHeight="1">
      <c r="A1618" t="s">
        <v>1678</v>
      </c>
      <c r="B1618" t="s">
        <v>1679</v>
      </c>
      <c r="C1618" t="s">
        <v>62</v>
      </c>
      <c r="D1618" t="s">
        <v>63</v>
      </c>
      <c r="E1618">
        <v>3.5</v>
      </c>
      <c r="F1618">
        <v>4.5</v>
      </c>
      <c r="G1618" s="2" t="s">
        <v>64</v>
      </c>
      <c r="H1618" s="2">
        <v>0.0</v>
      </c>
      <c r="I1618" s="2">
        <v>0.0</v>
      </c>
      <c r="J1618" s="37">
        <v>0.0</v>
      </c>
      <c r="K1618" s="2">
        <v>0.0</v>
      </c>
      <c r="L1618" s="2">
        <v>0.0</v>
      </c>
      <c r="M1618" s="37">
        <v>0.0</v>
      </c>
    </row>
    <row r="1619" ht="14.25" customHeight="1">
      <c r="A1619" t="s">
        <v>1680</v>
      </c>
      <c r="B1619" t="s">
        <v>1679</v>
      </c>
      <c r="C1619" t="s">
        <v>62</v>
      </c>
      <c r="D1619" t="s">
        <v>63</v>
      </c>
      <c r="E1619">
        <v>3.5</v>
      </c>
      <c r="F1619">
        <v>4.5</v>
      </c>
      <c r="G1619" s="2" t="s">
        <v>64</v>
      </c>
      <c r="H1619" s="2">
        <v>0.0</v>
      </c>
      <c r="I1619" s="2">
        <v>0.0</v>
      </c>
      <c r="J1619" s="37">
        <v>0.0</v>
      </c>
      <c r="K1619" s="2">
        <v>0.0</v>
      </c>
      <c r="L1619" s="2">
        <v>0.0</v>
      </c>
      <c r="M1619" s="37">
        <v>0.0</v>
      </c>
    </row>
    <row r="1620" ht="14.25" customHeight="1">
      <c r="A1620" t="s">
        <v>1681</v>
      </c>
      <c r="B1620" t="s">
        <v>1679</v>
      </c>
      <c r="C1620" t="s">
        <v>62</v>
      </c>
      <c r="D1620" t="s">
        <v>63</v>
      </c>
      <c r="E1620">
        <v>3.5</v>
      </c>
      <c r="F1620">
        <v>4.5</v>
      </c>
      <c r="G1620" s="2" t="s">
        <v>64</v>
      </c>
      <c r="H1620" s="2">
        <v>0.0</v>
      </c>
      <c r="I1620" s="2">
        <v>0.0</v>
      </c>
      <c r="J1620" s="37">
        <v>0.0</v>
      </c>
      <c r="K1620" s="2">
        <v>0.0</v>
      </c>
      <c r="L1620" s="2">
        <v>0.0</v>
      </c>
      <c r="M1620" s="37">
        <v>0.0</v>
      </c>
    </row>
    <row r="1621" ht="14.25" customHeight="1">
      <c r="A1621" t="s">
        <v>1682</v>
      </c>
      <c r="B1621" t="s">
        <v>1679</v>
      </c>
      <c r="C1621" t="s">
        <v>62</v>
      </c>
      <c r="D1621" t="s">
        <v>63</v>
      </c>
      <c r="E1621">
        <v>3.5</v>
      </c>
      <c r="F1621">
        <v>4.5</v>
      </c>
      <c r="G1621" s="2" t="s">
        <v>64</v>
      </c>
      <c r="H1621" s="2">
        <v>0.0</v>
      </c>
      <c r="I1621" s="2">
        <v>0.0</v>
      </c>
      <c r="J1621" s="37">
        <v>0.0</v>
      </c>
      <c r="K1621" s="2">
        <v>0.0</v>
      </c>
      <c r="L1621" s="2">
        <v>0.0</v>
      </c>
      <c r="M1621" s="37">
        <v>0.0</v>
      </c>
    </row>
    <row r="1622" ht="14.25" customHeight="1">
      <c r="A1622" t="s">
        <v>1683</v>
      </c>
      <c r="B1622" t="s">
        <v>1679</v>
      </c>
      <c r="C1622" t="s">
        <v>62</v>
      </c>
      <c r="D1622" t="s">
        <v>63</v>
      </c>
      <c r="E1622">
        <v>3.5</v>
      </c>
      <c r="F1622">
        <v>4.5</v>
      </c>
      <c r="G1622" s="2" t="s">
        <v>64</v>
      </c>
      <c r="H1622" s="2">
        <v>0.0</v>
      </c>
      <c r="I1622" s="2">
        <v>0.0</v>
      </c>
      <c r="J1622" s="37">
        <v>0.0</v>
      </c>
      <c r="K1622" s="2">
        <v>0.0</v>
      </c>
      <c r="L1622" s="2">
        <v>0.0</v>
      </c>
      <c r="M1622" s="37">
        <v>0.0</v>
      </c>
    </row>
    <row r="1623" ht="14.25" customHeight="1">
      <c r="A1623" t="s">
        <v>1684</v>
      </c>
      <c r="B1623" t="s">
        <v>1679</v>
      </c>
      <c r="C1623" t="s">
        <v>62</v>
      </c>
      <c r="D1623" t="s">
        <v>63</v>
      </c>
      <c r="E1623">
        <v>5.2</v>
      </c>
      <c r="F1623">
        <v>5.2</v>
      </c>
      <c r="G1623" s="2" t="s">
        <v>67</v>
      </c>
      <c r="H1623" s="2">
        <v>15.0</v>
      </c>
      <c r="I1623" s="2">
        <v>63.0</v>
      </c>
      <c r="J1623" s="37">
        <v>418.80000000000007</v>
      </c>
      <c r="K1623" s="2">
        <v>17.0</v>
      </c>
      <c r="L1623" s="2">
        <v>111.0</v>
      </c>
      <c r="M1623" s="37">
        <v>526.12</v>
      </c>
    </row>
    <row r="1624" ht="14.25" customHeight="1">
      <c r="A1624" t="s">
        <v>1685</v>
      </c>
      <c r="B1624" t="s">
        <v>1679</v>
      </c>
      <c r="C1624" t="s">
        <v>62</v>
      </c>
      <c r="D1624" t="s">
        <v>63</v>
      </c>
      <c r="E1624">
        <v>5.2</v>
      </c>
      <c r="F1624">
        <v>5.2</v>
      </c>
      <c r="G1624" s="2" t="s">
        <v>67</v>
      </c>
      <c r="H1624" s="2">
        <v>15.0</v>
      </c>
      <c r="I1624" s="2">
        <v>63.0</v>
      </c>
      <c r="J1624" s="37">
        <v>418.80000000000007</v>
      </c>
      <c r="K1624" s="2">
        <v>17.0</v>
      </c>
      <c r="L1624" s="2">
        <v>111.0</v>
      </c>
      <c r="M1624" s="37">
        <v>526.12</v>
      </c>
    </row>
    <row r="1625" ht="14.25" customHeight="1">
      <c r="A1625" t="s">
        <v>1686</v>
      </c>
      <c r="B1625" t="s">
        <v>1679</v>
      </c>
      <c r="C1625" t="s">
        <v>62</v>
      </c>
      <c r="D1625" t="s">
        <v>63</v>
      </c>
      <c r="E1625">
        <v>5.2</v>
      </c>
      <c r="F1625">
        <v>5.2</v>
      </c>
      <c r="G1625" s="2" t="s">
        <v>67</v>
      </c>
      <c r="H1625" s="2">
        <v>15.0</v>
      </c>
      <c r="I1625" s="2">
        <v>63.0</v>
      </c>
      <c r="J1625" s="37">
        <v>418.80000000000007</v>
      </c>
      <c r="K1625" s="2">
        <v>17.0</v>
      </c>
      <c r="L1625" s="2">
        <v>111.0</v>
      </c>
      <c r="M1625" s="37">
        <v>526.12</v>
      </c>
    </row>
    <row r="1626" ht="14.25" customHeight="1">
      <c r="A1626" t="s">
        <v>1687</v>
      </c>
      <c r="B1626" t="s">
        <v>1679</v>
      </c>
      <c r="C1626" t="s">
        <v>62</v>
      </c>
      <c r="D1626" t="s">
        <v>63</v>
      </c>
      <c r="E1626">
        <v>5.2</v>
      </c>
      <c r="F1626">
        <v>5.2</v>
      </c>
      <c r="G1626" s="2" t="s">
        <v>67</v>
      </c>
      <c r="H1626" s="2">
        <v>15.0</v>
      </c>
      <c r="I1626" s="2">
        <v>63.0</v>
      </c>
      <c r="J1626" s="37">
        <v>418.80000000000007</v>
      </c>
      <c r="K1626" s="2">
        <v>17.0</v>
      </c>
      <c r="L1626" s="2">
        <v>111.0</v>
      </c>
      <c r="M1626" s="37">
        <v>526.12</v>
      </c>
    </row>
    <row r="1627" ht="14.25" customHeight="1">
      <c r="A1627" t="s">
        <v>1688</v>
      </c>
      <c r="B1627" t="s">
        <v>1679</v>
      </c>
      <c r="C1627" t="s">
        <v>62</v>
      </c>
      <c r="D1627" t="s">
        <v>63</v>
      </c>
      <c r="E1627">
        <v>5.2</v>
      </c>
      <c r="F1627">
        <v>5.2</v>
      </c>
      <c r="G1627" s="2" t="s">
        <v>67</v>
      </c>
      <c r="H1627" s="2">
        <v>15.0</v>
      </c>
      <c r="I1627" s="2">
        <v>63.0</v>
      </c>
      <c r="J1627" s="37">
        <v>418.80000000000007</v>
      </c>
      <c r="K1627" s="2">
        <v>17.0</v>
      </c>
      <c r="L1627" s="2">
        <v>111.0</v>
      </c>
      <c r="M1627" s="37">
        <v>526.12</v>
      </c>
    </row>
    <row r="1628" ht="14.25" customHeight="1">
      <c r="A1628" t="s">
        <v>1689</v>
      </c>
      <c r="B1628" t="s">
        <v>1679</v>
      </c>
      <c r="C1628" t="s">
        <v>62</v>
      </c>
      <c r="D1628" t="s">
        <v>63</v>
      </c>
      <c r="E1628">
        <v>7.2</v>
      </c>
      <c r="F1628">
        <v>7.2</v>
      </c>
      <c r="G1628" s="2" t="s">
        <v>67</v>
      </c>
      <c r="H1628" s="2">
        <v>21.0</v>
      </c>
      <c r="I1628" s="2">
        <v>99.0</v>
      </c>
      <c r="J1628" s="37">
        <v>600.36</v>
      </c>
      <c r="K1628" s="2">
        <v>24.0</v>
      </c>
      <c r="L1628" s="2">
        <v>165.0</v>
      </c>
      <c r="M1628" s="37">
        <v>753.54</v>
      </c>
    </row>
    <row r="1629" ht="14.25" customHeight="1">
      <c r="A1629" t="s">
        <v>1690</v>
      </c>
      <c r="B1629" t="s">
        <v>1679</v>
      </c>
      <c r="C1629" t="s">
        <v>62</v>
      </c>
      <c r="D1629" t="s">
        <v>63</v>
      </c>
      <c r="E1629">
        <v>7.2</v>
      </c>
      <c r="F1629">
        <v>7.2</v>
      </c>
      <c r="G1629" s="2" t="s">
        <v>67</v>
      </c>
      <c r="H1629" s="2">
        <v>21.0</v>
      </c>
      <c r="I1629" s="2">
        <v>99.0</v>
      </c>
      <c r="J1629" s="37">
        <v>600.36</v>
      </c>
      <c r="K1629" s="2">
        <v>24.0</v>
      </c>
      <c r="L1629" s="2">
        <v>165.0</v>
      </c>
      <c r="M1629" s="37">
        <v>753.54</v>
      </c>
    </row>
    <row r="1630" ht="14.25" customHeight="1">
      <c r="A1630" t="s">
        <v>1691</v>
      </c>
      <c r="B1630" t="s">
        <v>1679</v>
      </c>
      <c r="C1630" t="s">
        <v>62</v>
      </c>
      <c r="D1630" t="s">
        <v>63</v>
      </c>
      <c r="E1630">
        <v>7.2</v>
      </c>
      <c r="F1630">
        <v>7.2</v>
      </c>
      <c r="G1630" s="2" t="s">
        <v>67</v>
      </c>
      <c r="H1630" s="2">
        <v>21.0</v>
      </c>
      <c r="I1630" s="2">
        <v>99.0</v>
      </c>
      <c r="J1630" s="37">
        <v>600.36</v>
      </c>
      <c r="K1630" s="2">
        <v>24.0</v>
      </c>
      <c r="L1630" s="2">
        <v>165.0</v>
      </c>
      <c r="M1630" s="37">
        <v>753.54</v>
      </c>
    </row>
    <row r="1631" ht="14.25" customHeight="1">
      <c r="A1631" t="s">
        <v>1692</v>
      </c>
      <c r="B1631" t="s">
        <v>1679</v>
      </c>
      <c r="C1631" t="s">
        <v>62</v>
      </c>
      <c r="D1631" t="s">
        <v>63</v>
      </c>
      <c r="E1631">
        <v>7.2</v>
      </c>
      <c r="F1631">
        <v>7.2</v>
      </c>
      <c r="G1631" s="2" t="s">
        <v>67</v>
      </c>
      <c r="H1631" s="2">
        <v>21.0</v>
      </c>
      <c r="I1631" s="2">
        <v>99.0</v>
      </c>
      <c r="J1631" s="37">
        <v>600.36</v>
      </c>
      <c r="K1631" s="2">
        <v>24.0</v>
      </c>
      <c r="L1631" s="2">
        <v>165.0</v>
      </c>
      <c r="M1631" s="37">
        <v>753.54</v>
      </c>
    </row>
    <row r="1632" ht="14.25" customHeight="1">
      <c r="A1632" t="s">
        <v>1693</v>
      </c>
      <c r="B1632" t="s">
        <v>1679</v>
      </c>
      <c r="C1632" t="s">
        <v>62</v>
      </c>
      <c r="D1632" t="s">
        <v>63</v>
      </c>
      <c r="E1632">
        <v>7.2</v>
      </c>
      <c r="F1632">
        <v>7.2</v>
      </c>
      <c r="G1632" s="2" t="s">
        <v>67</v>
      </c>
      <c r="H1632" s="2">
        <v>21.0</v>
      </c>
      <c r="I1632" s="2">
        <v>99.0</v>
      </c>
      <c r="J1632" s="37">
        <v>600.36</v>
      </c>
      <c r="K1632" s="2">
        <v>24.0</v>
      </c>
      <c r="L1632" s="2">
        <v>165.0</v>
      </c>
      <c r="M1632" s="37">
        <v>753.54</v>
      </c>
    </row>
    <row r="1633" ht="14.25" customHeight="1">
      <c r="A1633" t="s">
        <v>1694</v>
      </c>
      <c r="B1633" t="s">
        <v>1679</v>
      </c>
      <c r="C1633" t="s">
        <v>62</v>
      </c>
      <c r="D1633" t="s">
        <v>63</v>
      </c>
      <c r="E1633">
        <v>8.8</v>
      </c>
      <c r="F1633">
        <v>8.8</v>
      </c>
      <c r="G1633" s="2" t="s">
        <v>67</v>
      </c>
      <c r="H1633" s="2">
        <v>24.0</v>
      </c>
      <c r="I1633" s="2">
        <v>69.0</v>
      </c>
      <c r="J1633" s="37">
        <v>628.74</v>
      </c>
      <c r="K1633" s="2">
        <v>27.0</v>
      </c>
      <c r="L1633" s="2">
        <v>149.0</v>
      </c>
      <c r="M1633" s="37">
        <v>800.1200000000001</v>
      </c>
    </row>
    <row r="1634" ht="14.25" customHeight="1">
      <c r="A1634" t="s">
        <v>1695</v>
      </c>
      <c r="B1634" t="s">
        <v>1679</v>
      </c>
      <c r="C1634" t="s">
        <v>62</v>
      </c>
      <c r="D1634" t="s">
        <v>63</v>
      </c>
      <c r="E1634">
        <v>8.8</v>
      </c>
      <c r="F1634">
        <v>8.8</v>
      </c>
      <c r="G1634" s="2" t="s">
        <v>67</v>
      </c>
      <c r="H1634" s="2">
        <v>24.0</v>
      </c>
      <c r="I1634" s="2">
        <v>69.0</v>
      </c>
      <c r="J1634" s="37">
        <v>628.74</v>
      </c>
      <c r="K1634" s="2">
        <v>27.0</v>
      </c>
      <c r="L1634" s="2">
        <v>149.0</v>
      </c>
      <c r="M1634" s="37">
        <v>800.1200000000001</v>
      </c>
    </row>
    <row r="1635" ht="14.25" customHeight="1">
      <c r="A1635" t="s">
        <v>1696</v>
      </c>
      <c r="B1635" t="s">
        <v>1679</v>
      </c>
      <c r="C1635" t="s">
        <v>62</v>
      </c>
      <c r="D1635" t="s">
        <v>63</v>
      </c>
      <c r="E1635">
        <v>8.8</v>
      </c>
      <c r="F1635">
        <v>8.8</v>
      </c>
      <c r="G1635" s="2" t="s">
        <v>67</v>
      </c>
      <c r="H1635" s="2">
        <v>24.0</v>
      </c>
      <c r="I1635" s="2">
        <v>69.0</v>
      </c>
      <c r="J1635" s="37">
        <v>628.74</v>
      </c>
      <c r="K1635" s="2">
        <v>27.0</v>
      </c>
      <c r="L1635" s="2">
        <v>149.0</v>
      </c>
      <c r="M1635" s="37">
        <v>800.1200000000001</v>
      </c>
    </row>
    <row r="1636" ht="14.25" customHeight="1">
      <c r="A1636" t="s">
        <v>1697</v>
      </c>
      <c r="B1636" t="s">
        <v>1679</v>
      </c>
      <c r="C1636" t="s">
        <v>62</v>
      </c>
      <c r="D1636" t="s">
        <v>63</v>
      </c>
      <c r="E1636">
        <v>8.8</v>
      </c>
      <c r="F1636">
        <v>8.8</v>
      </c>
      <c r="G1636" s="2" t="s">
        <v>67</v>
      </c>
      <c r="H1636" s="2">
        <v>24.0</v>
      </c>
      <c r="I1636" s="2">
        <v>69.0</v>
      </c>
      <c r="J1636" s="37">
        <v>628.74</v>
      </c>
      <c r="K1636" s="2">
        <v>27.0</v>
      </c>
      <c r="L1636" s="2">
        <v>149.0</v>
      </c>
      <c r="M1636" s="37">
        <v>800.1200000000001</v>
      </c>
    </row>
    <row r="1637" ht="14.25" customHeight="1">
      <c r="A1637" t="s">
        <v>1698</v>
      </c>
      <c r="B1637" t="s">
        <v>1679</v>
      </c>
      <c r="C1637" t="s">
        <v>62</v>
      </c>
      <c r="D1637" t="s">
        <v>63</v>
      </c>
      <c r="E1637">
        <v>8.8</v>
      </c>
      <c r="F1637">
        <v>8.8</v>
      </c>
      <c r="G1637" s="2" t="s">
        <v>67</v>
      </c>
      <c r="H1637" s="2">
        <v>24.0</v>
      </c>
      <c r="I1637" s="2">
        <v>69.0</v>
      </c>
      <c r="J1637" s="37">
        <v>628.74</v>
      </c>
      <c r="K1637" s="2">
        <v>27.0</v>
      </c>
      <c r="L1637" s="2">
        <v>149.0</v>
      </c>
      <c r="M1637" s="37">
        <v>800.1200000000001</v>
      </c>
    </row>
    <row r="1638" ht="14.25" customHeight="1">
      <c r="A1638" t="s">
        <v>1699</v>
      </c>
      <c r="B1638" t="s">
        <v>1679</v>
      </c>
      <c r="C1638" t="s">
        <v>62</v>
      </c>
      <c r="D1638" t="s">
        <v>63</v>
      </c>
      <c r="E1638">
        <v>2.64</v>
      </c>
      <c r="F1638">
        <v>4.05</v>
      </c>
      <c r="G1638" s="2" t="s">
        <v>64</v>
      </c>
      <c r="H1638" s="2">
        <v>0.0</v>
      </c>
      <c r="I1638" s="2">
        <v>0.0</v>
      </c>
      <c r="J1638" s="37">
        <v>0.0</v>
      </c>
      <c r="K1638" s="2">
        <v>0.0</v>
      </c>
      <c r="L1638" s="2">
        <v>0.0</v>
      </c>
      <c r="M1638" s="37">
        <v>0.0</v>
      </c>
    </row>
    <row r="1639" ht="14.25" customHeight="1">
      <c r="A1639" t="s">
        <v>1700</v>
      </c>
      <c r="B1639" t="s">
        <v>1679</v>
      </c>
      <c r="C1639" t="s">
        <v>62</v>
      </c>
      <c r="D1639" t="s">
        <v>63</v>
      </c>
      <c r="E1639">
        <v>2.64</v>
      </c>
      <c r="F1639">
        <v>4.05</v>
      </c>
      <c r="G1639" s="2" t="s">
        <v>64</v>
      </c>
      <c r="H1639" s="2">
        <v>0.0</v>
      </c>
      <c r="I1639" s="2">
        <v>0.0</v>
      </c>
      <c r="J1639" s="37">
        <v>0.0</v>
      </c>
      <c r="K1639" s="2">
        <v>0.0</v>
      </c>
      <c r="L1639" s="2">
        <v>0.0</v>
      </c>
      <c r="M1639" s="37">
        <v>0.0</v>
      </c>
    </row>
    <row r="1640" ht="14.25" customHeight="1">
      <c r="A1640" t="s">
        <v>1701</v>
      </c>
      <c r="B1640" t="s">
        <v>1679</v>
      </c>
      <c r="C1640" t="s">
        <v>62</v>
      </c>
      <c r="D1640" t="s">
        <v>63</v>
      </c>
      <c r="E1640">
        <v>2.64</v>
      </c>
      <c r="F1640">
        <v>4.05</v>
      </c>
      <c r="G1640" s="2" t="s">
        <v>64</v>
      </c>
      <c r="H1640" s="2">
        <v>0.0</v>
      </c>
      <c r="I1640" s="2">
        <v>0.0</v>
      </c>
      <c r="J1640" s="37">
        <v>0.0</v>
      </c>
      <c r="K1640" s="2">
        <v>0.0</v>
      </c>
      <c r="L1640" s="2">
        <v>0.0</v>
      </c>
      <c r="M1640" s="37">
        <v>0.0</v>
      </c>
    </row>
    <row r="1641" ht="14.25" customHeight="1">
      <c r="A1641" t="s">
        <v>1702</v>
      </c>
      <c r="B1641" t="s">
        <v>1679</v>
      </c>
      <c r="C1641" t="s">
        <v>62</v>
      </c>
      <c r="D1641" t="s">
        <v>63</v>
      </c>
      <c r="E1641">
        <v>2.64</v>
      </c>
      <c r="F1641">
        <v>4.05</v>
      </c>
      <c r="G1641" s="2" t="s">
        <v>64</v>
      </c>
      <c r="H1641" s="2">
        <v>0.0</v>
      </c>
      <c r="I1641" s="2">
        <v>0.0</v>
      </c>
      <c r="J1641" s="37">
        <v>0.0</v>
      </c>
      <c r="K1641" s="2">
        <v>0.0</v>
      </c>
      <c r="L1641" s="2">
        <v>0.0</v>
      </c>
      <c r="M1641" s="37">
        <v>0.0</v>
      </c>
    </row>
    <row r="1642" ht="14.25" customHeight="1">
      <c r="A1642" t="s">
        <v>1703</v>
      </c>
      <c r="B1642" t="s">
        <v>1679</v>
      </c>
      <c r="C1642" t="s">
        <v>62</v>
      </c>
      <c r="D1642" t="s">
        <v>63</v>
      </c>
      <c r="E1642">
        <v>2.64</v>
      </c>
      <c r="F1642">
        <v>4.05</v>
      </c>
      <c r="G1642" s="2" t="s">
        <v>64</v>
      </c>
      <c r="H1642" s="2">
        <v>0.0</v>
      </c>
      <c r="I1642" s="2">
        <v>0.0</v>
      </c>
      <c r="J1642" s="37">
        <v>0.0</v>
      </c>
      <c r="K1642" s="2">
        <v>0.0</v>
      </c>
      <c r="L1642" s="2">
        <v>0.0</v>
      </c>
      <c r="M1642" s="37">
        <v>0.0</v>
      </c>
    </row>
    <row r="1643" ht="14.25" customHeight="1">
      <c r="A1643" t="s">
        <v>1704</v>
      </c>
      <c r="B1643" t="s">
        <v>1679</v>
      </c>
      <c r="C1643" t="s">
        <v>62</v>
      </c>
      <c r="D1643" t="s">
        <v>63</v>
      </c>
      <c r="E1643">
        <v>2.64</v>
      </c>
      <c r="F1643">
        <v>3.3</v>
      </c>
      <c r="G1643" s="2" t="s">
        <v>67</v>
      </c>
      <c r="H1643" s="2">
        <v>8.0</v>
      </c>
      <c r="I1643" s="2">
        <v>47.0</v>
      </c>
      <c r="J1643" s="37">
        <v>240.78</v>
      </c>
      <c r="K1643" s="2">
        <v>9.0</v>
      </c>
      <c r="L1643" s="2">
        <v>69.0</v>
      </c>
      <c r="M1643" s="37">
        <v>291.84000000000003</v>
      </c>
    </row>
    <row r="1644" ht="14.25" customHeight="1">
      <c r="A1644" t="s">
        <v>1705</v>
      </c>
      <c r="B1644" t="s">
        <v>1679</v>
      </c>
      <c r="C1644" t="s">
        <v>62</v>
      </c>
      <c r="D1644" t="s">
        <v>63</v>
      </c>
      <c r="E1644">
        <v>2.64</v>
      </c>
      <c r="F1644">
        <v>3.3</v>
      </c>
      <c r="G1644" s="2" t="s">
        <v>67</v>
      </c>
      <c r="H1644" s="2">
        <v>8.0</v>
      </c>
      <c r="I1644" s="2">
        <v>47.0</v>
      </c>
      <c r="J1644" s="37">
        <v>240.78</v>
      </c>
      <c r="K1644" s="2">
        <v>9.0</v>
      </c>
      <c r="L1644" s="2">
        <v>69.0</v>
      </c>
      <c r="M1644" s="37">
        <v>291.84000000000003</v>
      </c>
    </row>
    <row r="1645" ht="14.25" customHeight="1">
      <c r="A1645" t="s">
        <v>1706</v>
      </c>
      <c r="B1645" t="s">
        <v>1679</v>
      </c>
      <c r="C1645" t="s">
        <v>62</v>
      </c>
      <c r="D1645" t="s">
        <v>63</v>
      </c>
      <c r="E1645">
        <v>2.64</v>
      </c>
      <c r="F1645">
        <v>3.3</v>
      </c>
      <c r="G1645" s="2" t="s">
        <v>67</v>
      </c>
      <c r="H1645" s="2">
        <v>8.0</v>
      </c>
      <c r="I1645" s="2">
        <v>47.0</v>
      </c>
      <c r="J1645" s="37">
        <v>240.78</v>
      </c>
      <c r="K1645" s="2">
        <v>9.0</v>
      </c>
      <c r="L1645" s="2">
        <v>69.0</v>
      </c>
      <c r="M1645" s="37">
        <v>291.84000000000003</v>
      </c>
    </row>
    <row r="1646" ht="14.25" customHeight="1">
      <c r="A1646" t="s">
        <v>1707</v>
      </c>
      <c r="B1646" t="s">
        <v>1679</v>
      </c>
      <c r="C1646" t="s">
        <v>62</v>
      </c>
      <c r="D1646" t="s">
        <v>63</v>
      </c>
      <c r="E1646">
        <v>2.64</v>
      </c>
      <c r="F1646">
        <v>3.3</v>
      </c>
      <c r="G1646" s="2" t="s">
        <v>67</v>
      </c>
      <c r="H1646" s="2">
        <v>8.0</v>
      </c>
      <c r="I1646" s="2">
        <v>47.0</v>
      </c>
      <c r="J1646" s="37">
        <v>240.78</v>
      </c>
      <c r="K1646" s="2">
        <v>9.0</v>
      </c>
      <c r="L1646" s="2">
        <v>69.0</v>
      </c>
      <c r="M1646" s="37">
        <v>291.84000000000003</v>
      </c>
    </row>
    <row r="1647" ht="14.25" customHeight="1">
      <c r="A1647" t="s">
        <v>1708</v>
      </c>
      <c r="B1647" t="s">
        <v>1679</v>
      </c>
      <c r="C1647" t="s">
        <v>62</v>
      </c>
      <c r="D1647" t="s">
        <v>63</v>
      </c>
      <c r="E1647">
        <v>2.64</v>
      </c>
      <c r="F1647">
        <v>3.3</v>
      </c>
      <c r="G1647" s="2" t="s">
        <v>67</v>
      </c>
      <c r="H1647" s="2">
        <v>8.0</v>
      </c>
      <c r="I1647" s="2">
        <v>47.0</v>
      </c>
      <c r="J1647" s="37">
        <v>240.78</v>
      </c>
      <c r="K1647" s="2">
        <v>9.0</v>
      </c>
      <c r="L1647" s="2">
        <v>69.0</v>
      </c>
      <c r="M1647" s="37">
        <v>291.84000000000003</v>
      </c>
    </row>
    <row r="1648" ht="14.25" customHeight="1">
      <c r="A1648" t="s">
        <v>1709</v>
      </c>
      <c r="B1648" t="s">
        <v>1679</v>
      </c>
      <c r="C1648" t="s">
        <v>62</v>
      </c>
      <c r="D1648" t="s">
        <v>63</v>
      </c>
      <c r="E1648">
        <v>2.15</v>
      </c>
      <c r="F1648">
        <v>2.1</v>
      </c>
      <c r="G1648" s="2" t="s">
        <v>64</v>
      </c>
      <c r="H1648" s="2">
        <v>0.0</v>
      </c>
      <c r="I1648" s="2">
        <v>0.0</v>
      </c>
      <c r="J1648" s="37">
        <v>0.0</v>
      </c>
      <c r="K1648" s="2">
        <v>0.0</v>
      </c>
      <c r="L1648" s="2">
        <v>0.0</v>
      </c>
      <c r="M1648" s="37">
        <v>0.0</v>
      </c>
    </row>
    <row r="1649" ht="14.25" customHeight="1">
      <c r="A1649" t="s">
        <v>1710</v>
      </c>
      <c r="B1649" t="s">
        <v>1679</v>
      </c>
      <c r="C1649" t="s">
        <v>62</v>
      </c>
      <c r="D1649" t="s">
        <v>63</v>
      </c>
      <c r="E1649">
        <v>2.15</v>
      </c>
      <c r="F1649">
        <v>2.1</v>
      </c>
      <c r="G1649" s="2" t="s">
        <v>64</v>
      </c>
      <c r="H1649" s="2">
        <v>0.0</v>
      </c>
      <c r="I1649" s="2">
        <v>0.0</v>
      </c>
      <c r="J1649" s="37">
        <v>0.0</v>
      </c>
      <c r="K1649" s="2">
        <v>0.0</v>
      </c>
      <c r="L1649" s="2">
        <v>0.0</v>
      </c>
      <c r="M1649" s="37">
        <v>0.0</v>
      </c>
    </row>
    <row r="1650" ht="14.25" customHeight="1">
      <c r="A1650" t="s">
        <v>1711</v>
      </c>
      <c r="B1650" t="s">
        <v>1679</v>
      </c>
      <c r="C1650" t="s">
        <v>62</v>
      </c>
      <c r="D1650" t="s">
        <v>63</v>
      </c>
      <c r="E1650">
        <v>2.15</v>
      </c>
      <c r="F1650">
        <v>2.1</v>
      </c>
      <c r="G1650" s="2" t="s">
        <v>64</v>
      </c>
      <c r="H1650" s="2">
        <v>0.0</v>
      </c>
      <c r="I1650" s="2">
        <v>0.0</v>
      </c>
      <c r="J1650" s="37">
        <v>0.0</v>
      </c>
      <c r="K1650" s="2">
        <v>0.0</v>
      </c>
      <c r="L1650" s="2">
        <v>0.0</v>
      </c>
      <c r="M1650" s="37">
        <v>0.0</v>
      </c>
    </row>
    <row r="1651" ht="14.25" customHeight="1">
      <c r="A1651" t="s">
        <v>1712</v>
      </c>
      <c r="B1651" t="s">
        <v>1679</v>
      </c>
      <c r="C1651" t="s">
        <v>62</v>
      </c>
      <c r="D1651" t="s">
        <v>63</v>
      </c>
      <c r="E1651">
        <v>2.15</v>
      </c>
      <c r="F1651">
        <v>2.1</v>
      </c>
      <c r="G1651" s="2" t="s">
        <v>64</v>
      </c>
      <c r="H1651" s="2">
        <v>0.0</v>
      </c>
      <c r="I1651" s="2">
        <v>0.0</v>
      </c>
      <c r="J1651" s="37">
        <v>0.0</v>
      </c>
      <c r="K1651" s="2">
        <v>0.0</v>
      </c>
      <c r="L1651" s="2">
        <v>0.0</v>
      </c>
      <c r="M1651" s="37">
        <v>0.0</v>
      </c>
    </row>
    <row r="1652" ht="14.25" customHeight="1">
      <c r="A1652" t="s">
        <v>1713</v>
      </c>
      <c r="B1652" t="s">
        <v>1679</v>
      </c>
      <c r="C1652" t="s">
        <v>62</v>
      </c>
      <c r="D1652" t="s">
        <v>63</v>
      </c>
      <c r="E1652">
        <v>2.15</v>
      </c>
      <c r="F1652">
        <v>2.1</v>
      </c>
      <c r="G1652" s="2" t="s">
        <v>64</v>
      </c>
      <c r="H1652" s="2">
        <v>0.0</v>
      </c>
      <c r="I1652" s="2">
        <v>0.0</v>
      </c>
      <c r="J1652" s="37">
        <v>0.0</v>
      </c>
      <c r="K1652" s="2">
        <v>0.0</v>
      </c>
      <c r="L1652" s="2">
        <v>0.0</v>
      </c>
      <c r="M1652" s="37">
        <v>0.0</v>
      </c>
    </row>
    <row r="1653" ht="14.25" customHeight="1">
      <c r="A1653" t="s">
        <v>1714</v>
      </c>
      <c r="B1653" t="s">
        <v>1679</v>
      </c>
      <c r="C1653" t="s">
        <v>62</v>
      </c>
      <c r="D1653" t="s">
        <v>268</v>
      </c>
      <c r="E1653">
        <v>5.2</v>
      </c>
      <c r="F1653">
        <v>4.1</v>
      </c>
      <c r="G1653" s="2" t="s">
        <v>64</v>
      </c>
      <c r="H1653" s="2">
        <v>0.0</v>
      </c>
      <c r="I1653" s="2">
        <v>0.0</v>
      </c>
      <c r="J1653" s="37">
        <v>0.0</v>
      </c>
      <c r="K1653" s="2">
        <v>0.0</v>
      </c>
      <c r="L1653" s="2">
        <v>0.0</v>
      </c>
      <c r="M1653" s="37">
        <v>0.0</v>
      </c>
    </row>
    <row r="1654" ht="14.25" customHeight="1">
      <c r="A1654" t="s">
        <v>1715</v>
      </c>
      <c r="B1654" t="s">
        <v>1679</v>
      </c>
      <c r="C1654" t="s">
        <v>62</v>
      </c>
      <c r="D1654" t="s">
        <v>268</v>
      </c>
      <c r="E1654">
        <v>5.2</v>
      </c>
      <c r="F1654">
        <v>4.1</v>
      </c>
      <c r="G1654" s="2" t="s">
        <v>64</v>
      </c>
      <c r="H1654" s="2">
        <v>0.0</v>
      </c>
      <c r="I1654" s="2">
        <v>0.0</v>
      </c>
      <c r="J1654" s="37">
        <v>0.0</v>
      </c>
      <c r="K1654" s="2">
        <v>0.0</v>
      </c>
      <c r="L1654" s="2">
        <v>0.0</v>
      </c>
      <c r="M1654" s="37">
        <v>0.0</v>
      </c>
    </row>
    <row r="1655" ht="14.25" customHeight="1">
      <c r="A1655" t="s">
        <v>1716</v>
      </c>
      <c r="B1655" t="s">
        <v>1679</v>
      </c>
      <c r="C1655" t="s">
        <v>62</v>
      </c>
      <c r="D1655" t="s">
        <v>268</v>
      </c>
      <c r="E1655">
        <v>5.2</v>
      </c>
      <c r="F1655">
        <v>4.1</v>
      </c>
      <c r="G1655" s="2" t="s">
        <v>64</v>
      </c>
      <c r="H1655" s="2">
        <v>0.0</v>
      </c>
      <c r="I1655" s="2">
        <v>0.0</v>
      </c>
      <c r="J1655" s="37">
        <v>0.0</v>
      </c>
      <c r="K1655" s="2">
        <v>0.0</v>
      </c>
      <c r="L1655" s="2">
        <v>0.0</v>
      </c>
      <c r="M1655" s="37">
        <v>0.0</v>
      </c>
    </row>
    <row r="1656" ht="14.25" customHeight="1">
      <c r="A1656" t="s">
        <v>1717</v>
      </c>
      <c r="B1656" t="s">
        <v>1679</v>
      </c>
      <c r="C1656" t="s">
        <v>62</v>
      </c>
      <c r="D1656" t="s">
        <v>268</v>
      </c>
      <c r="E1656">
        <v>5.2</v>
      </c>
      <c r="F1656">
        <v>4.1</v>
      </c>
      <c r="G1656" s="2" t="s">
        <v>64</v>
      </c>
      <c r="H1656" s="2">
        <v>0.0</v>
      </c>
      <c r="I1656" s="2">
        <v>0.0</v>
      </c>
      <c r="J1656" s="37">
        <v>0.0</v>
      </c>
      <c r="K1656" s="2">
        <v>0.0</v>
      </c>
      <c r="L1656" s="2">
        <v>0.0</v>
      </c>
      <c r="M1656" s="37">
        <v>0.0</v>
      </c>
    </row>
    <row r="1657" ht="14.25" customHeight="1">
      <c r="A1657" t="s">
        <v>1718</v>
      </c>
      <c r="B1657" t="s">
        <v>1679</v>
      </c>
      <c r="C1657" t="s">
        <v>62</v>
      </c>
      <c r="D1657" t="s">
        <v>268</v>
      </c>
      <c r="E1657">
        <v>5.2</v>
      </c>
      <c r="F1657">
        <v>4.1</v>
      </c>
      <c r="G1657" s="2" t="s">
        <v>64</v>
      </c>
      <c r="H1657" s="2">
        <v>0.0</v>
      </c>
      <c r="I1657" s="2">
        <v>0.0</v>
      </c>
      <c r="J1657" s="37">
        <v>0.0</v>
      </c>
      <c r="K1657" s="2">
        <v>0.0</v>
      </c>
      <c r="L1657" s="2">
        <v>0.0</v>
      </c>
      <c r="M1657" s="37">
        <v>0.0</v>
      </c>
    </row>
    <row r="1658" ht="14.25" customHeight="1">
      <c r="A1658" t="s">
        <v>1719</v>
      </c>
      <c r="B1658" t="s">
        <v>1679</v>
      </c>
      <c r="C1658" t="s">
        <v>62</v>
      </c>
      <c r="D1658" t="s">
        <v>268</v>
      </c>
      <c r="E1658">
        <v>3.8</v>
      </c>
      <c r="F1658">
        <v>2.8</v>
      </c>
      <c r="G1658" s="2" t="s">
        <v>64</v>
      </c>
      <c r="H1658" s="2">
        <v>0.0</v>
      </c>
      <c r="I1658" s="2">
        <v>0.0</v>
      </c>
      <c r="J1658" s="37">
        <v>0.0</v>
      </c>
      <c r="K1658" s="2">
        <v>0.0</v>
      </c>
      <c r="L1658" s="2">
        <v>0.0</v>
      </c>
      <c r="M1658" s="37">
        <v>0.0</v>
      </c>
    </row>
    <row r="1659" ht="14.25" customHeight="1">
      <c r="A1659" t="s">
        <v>1720</v>
      </c>
      <c r="B1659" t="s">
        <v>1679</v>
      </c>
      <c r="C1659" t="s">
        <v>62</v>
      </c>
      <c r="D1659" t="s">
        <v>268</v>
      </c>
      <c r="E1659">
        <v>3.8</v>
      </c>
      <c r="F1659">
        <v>2.8</v>
      </c>
      <c r="G1659" s="2" t="s">
        <v>64</v>
      </c>
      <c r="H1659" s="2">
        <v>0.0</v>
      </c>
      <c r="I1659" s="2">
        <v>0.0</v>
      </c>
      <c r="J1659" s="37">
        <v>0.0</v>
      </c>
      <c r="K1659" s="2">
        <v>0.0</v>
      </c>
      <c r="L1659" s="2">
        <v>0.0</v>
      </c>
      <c r="M1659" s="37">
        <v>0.0</v>
      </c>
    </row>
    <row r="1660" ht="14.25" customHeight="1">
      <c r="A1660" t="s">
        <v>1721</v>
      </c>
      <c r="B1660" t="s">
        <v>1679</v>
      </c>
      <c r="C1660" t="s">
        <v>62</v>
      </c>
      <c r="D1660" t="s">
        <v>268</v>
      </c>
      <c r="E1660">
        <v>3.8</v>
      </c>
      <c r="F1660">
        <v>2.8</v>
      </c>
      <c r="G1660" s="2" t="s">
        <v>64</v>
      </c>
      <c r="H1660" s="2">
        <v>0.0</v>
      </c>
      <c r="I1660" s="2">
        <v>0.0</v>
      </c>
      <c r="J1660" s="37">
        <v>0.0</v>
      </c>
      <c r="K1660" s="2">
        <v>0.0</v>
      </c>
      <c r="L1660" s="2">
        <v>0.0</v>
      </c>
      <c r="M1660" s="37">
        <v>0.0</v>
      </c>
    </row>
    <row r="1661" ht="14.25" customHeight="1">
      <c r="A1661" t="s">
        <v>1722</v>
      </c>
      <c r="B1661" t="s">
        <v>1679</v>
      </c>
      <c r="C1661" t="s">
        <v>62</v>
      </c>
      <c r="D1661" t="s">
        <v>268</v>
      </c>
      <c r="E1661">
        <v>3.8</v>
      </c>
      <c r="F1661">
        <v>2.8</v>
      </c>
      <c r="G1661" s="2" t="s">
        <v>64</v>
      </c>
      <c r="H1661" s="2">
        <v>0.0</v>
      </c>
      <c r="I1661" s="2">
        <v>0.0</v>
      </c>
      <c r="J1661" s="37">
        <v>0.0</v>
      </c>
      <c r="K1661" s="2">
        <v>0.0</v>
      </c>
      <c r="L1661" s="2">
        <v>0.0</v>
      </c>
      <c r="M1661" s="37">
        <v>0.0</v>
      </c>
    </row>
    <row r="1662" ht="14.25" customHeight="1">
      <c r="A1662" t="s">
        <v>1723</v>
      </c>
      <c r="B1662" t="s">
        <v>1679</v>
      </c>
      <c r="C1662" t="s">
        <v>62</v>
      </c>
      <c r="D1662" t="s">
        <v>268</v>
      </c>
      <c r="E1662">
        <v>3.8</v>
      </c>
      <c r="F1662">
        <v>2.8</v>
      </c>
      <c r="G1662" s="2" t="s">
        <v>64</v>
      </c>
      <c r="H1662" s="2">
        <v>0.0</v>
      </c>
      <c r="I1662" s="2">
        <v>0.0</v>
      </c>
      <c r="J1662" s="37">
        <v>0.0</v>
      </c>
      <c r="K1662" s="2">
        <v>0.0</v>
      </c>
      <c r="L1662" s="2">
        <v>0.0</v>
      </c>
      <c r="M1662" s="37">
        <v>0.0</v>
      </c>
    </row>
    <row r="1663" ht="14.25" customHeight="1">
      <c r="A1663" t="s">
        <v>1724</v>
      </c>
      <c r="B1663" t="s">
        <v>1679</v>
      </c>
      <c r="C1663" t="s">
        <v>62</v>
      </c>
      <c r="D1663" t="s">
        <v>63</v>
      </c>
      <c r="E1663">
        <v>3.53</v>
      </c>
      <c r="F1663">
        <v>3.65</v>
      </c>
      <c r="G1663" s="2" t="s">
        <v>67</v>
      </c>
      <c r="H1663" s="2">
        <v>9.0</v>
      </c>
      <c r="I1663" s="2">
        <v>28.0</v>
      </c>
      <c r="J1663" s="37">
        <v>238.54000000000002</v>
      </c>
      <c r="K1663" s="2">
        <v>11.0</v>
      </c>
      <c r="L1663" s="2">
        <v>56.0</v>
      </c>
      <c r="M1663" s="37">
        <v>319.86</v>
      </c>
    </row>
    <row r="1664" ht="14.25" customHeight="1">
      <c r="A1664" t="s">
        <v>1725</v>
      </c>
      <c r="B1664" t="s">
        <v>1679</v>
      </c>
      <c r="C1664" t="s">
        <v>62</v>
      </c>
      <c r="D1664" t="s">
        <v>63</v>
      </c>
      <c r="E1664">
        <v>3.53</v>
      </c>
      <c r="F1664">
        <v>3.65</v>
      </c>
      <c r="G1664" s="2" t="s">
        <v>67</v>
      </c>
      <c r="H1664" s="2">
        <v>9.0</v>
      </c>
      <c r="I1664" s="2">
        <v>28.0</v>
      </c>
      <c r="J1664" s="37">
        <v>238.54000000000002</v>
      </c>
      <c r="K1664" s="2">
        <v>11.0</v>
      </c>
      <c r="L1664" s="2">
        <v>56.0</v>
      </c>
      <c r="M1664" s="37">
        <v>319.86</v>
      </c>
    </row>
    <row r="1665" ht="14.25" customHeight="1">
      <c r="A1665" t="s">
        <v>1726</v>
      </c>
      <c r="B1665" t="s">
        <v>1679</v>
      </c>
      <c r="C1665" t="s">
        <v>62</v>
      </c>
      <c r="D1665" t="s">
        <v>63</v>
      </c>
      <c r="E1665">
        <v>3.53</v>
      </c>
      <c r="F1665">
        <v>3.65</v>
      </c>
      <c r="G1665" s="2" t="s">
        <v>67</v>
      </c>
      <c r="H1665" s="2">
        <v>9.0</v>
      </c>
      <c r="I1665" s="2">
        <v>28.0</v>
      </c>
      <c r="J1665" s="37">
        <v>238.54000000000002</v>
      </c>
      <c r="K1665" s="2">
        <v>11.0</v>
      </c>
      <c r="L1665" s="2">
        <v>56.0</v>
      </c>
      <c r="M1665" s="37">
        <v>319.86</v>
      </c>
    </row>
    <row r="1666" ht="14.25" customHeight="1">
      <c r="A1666" t="s">
        <v>1727</v>
      </c>
      <c r="B1666" t="s">
        <v>1679</v>
      </c>
      <c r="C1666" t="s">
        <v>62</v>
      </c>
      <c r="D1666" t="s">
        <v>63</v>
      </c>
      <c r="E1666">
        <v>3.53</v>
      </c>
      <c r="F1666">
        <v>3.65</v>
      </c>
      <c r="G1666" s="2" t="s">
        <v>67</v>
      </c>
      <c r="H1666" s="2">
        <v>9.0</v>
      </c>
      <c r="I1666" s="2">
        <v>28.0</v>
      </c>
      <c r="J1666" s="37">
        <v>238.54000000000002</v>
      </c>
      <c r="K1666" s="2">
        <v>11.0</v>
      </c>
      <c r="L1666" s="2">
        <v>56.0</v>
      </c>
      <c r="M1666" s="37">
        <v>319.86</v>
      </c>
    </row>
    <row r="1667" ht="14.25" customHeight="1">
      <c r="A1667" t="s">
        <v>1728</v>
      </c>
      <c r="B1667" t="s">
        <v>1679</v>
      </c>
      <c r="C1667" t="s">
        <v>62</v>
      </c>
      <c r="D1667" t="s">
        <v>63</v>
      </c>
      <c r="E1667">
        <v>3.53</v>
      </c>
      <c r="F1667">
        <v>3.65</v>
      </c>
      <c r="G1667" s="2" t="s">
        <v>67</v>
      </c>
      <c r="H1667" s="2">
        <v>9.0</v>
      </c>
      <c r="I1667" s="2">
        <v>28.0</v>
      </c>
      <c r="J1667" s="37">
        <v>238.54000000000002</v>
      </c>
      <c r="K1667" s="2">
        <v>11.0</v>
      </c>
      <c r="L1667" s="2">
        <v>56.0</v>
      </c>
      <c r="M1667" s="37">
        <v>319.86</v>
      </c>
    </row>
    <row r="1668" ht="14.25" customHeight="1">
      <c r="A1668" t="s">
        <v>1729</v>
      </c>
      <c r="B1668" t="s">
        <v>1679</v>
      </c>
      <c r="C1668" t="s">
        <v>62</v>
      </c>
      <c r="D1668" t="s">
        <v>63</v>
      </c>
      <c r="E1668">
        <v>5.3</v>
      </c>
      <c r="F1668">
        <v>5.3</v>
      </c>
      <c r="G1668" s="2" t="s">
        <v>67</v>
      </c>
      <c r="H1668" s="2">
        <v>16.0</v>
      </c>
      <c r="I1668" s="2">
        <v>102.0</v>
      </c>
      <c r="J1668" s="37">
        <v>491.96000000000004</v>
      </c>
      <c r="K1668" s="2">
        <v>19.0</v>
      </c>
      <c r="L1668" s="2">
        <v>150.0</v>
      </c>
      <c r="M1668" s="37">
        <v>621.74</v>
      </c>
    </row>
    <row r="1669" ht="14.25" customHeight="1">
      <c r="A1669" t="s">
        <v>1730</v>
      </c>
      <c r="B1669" t="s">
        <v>1679</v>
      </c>
      <c r="C1669" t="s">
        <v>62</v>
      </c>
      <c r="D1669" t="s">
        <v>63</v>
      </c>
      <c r="E1669">
        <v>5.3</v>
      </c>
      <c r="F1669">
        <v>5.3</v>
      </c>
      <c r="G1669" s="2" t="s">
        <v>67</v>
      </c>
      <c r="H1669" s="2">
        <v>16.0</v>
      </c>
      <c r="I1669" s="2">
        <v>102.0</v>
      </c>
      <c r="J1669" s="37">
        <v>491.96000000000004</v>
      </c>
      <c r="K1669" s="2">
        <v>19.0</v>
      </c>
      <c r="L1669" s="2">
        <v>150.0</v>
      </c>
      <c r="M1669" s="37">
        <v>621.74</v>
      </c>
    </row>
    <row r="1670" ht="14.25" customHeight="1">
      <c r="A1670" t="s">
        <v>1731</v>
      </c>
      <c r="B1670" t="s">
        <v>1679</v>
      </c>
      <c r="C1670" t="s">
        <v>62</v>
      </c>
      <c r="D1670" t="s">
        <v>63</v>
      </c>
      <c r="E1670">
        <v>5.3</v>
      </c>
      <c r="F1670">
        <v>5.3</v>
      </c>
      <c r="G1670" s="2" t="s">
        <v>67</v>
      </c>
      <c r="H1670" s="2">
        <v>16.0</v>
      </c>
      <c r="I1670" s="2">
        <v>102.0</v>
      </c>
      <c r="J1670" s="37">
        <v>491.96000000000004</v>
      </c>
      <c r="K1670" s="2">
        <v>19.0</v>
      </c>
      <c r="L1670" s="2">
        <v>150.0</v>
      </c>
      <c r="M1670" s="37">
        <v>621.74</v>
      </c>
    </row>
    <row r="1671" ht="14.25" customHeight="1">
      <c r="A1671" t="s">
        <v>1732</v>
      </c>
      <c r="B1671" t="s">
        <v>1679</v>
      </c>
      <c r="C1671" t="s">
        <v>62</v>
      </c>
      <c r="D1671" t="s">
        <v>63</v>
      </c>
      <c r="E1671">
        <v>5.3</v>
      </c>
      <c r="F1671">
        <v>5.3</v>
      </c>
      <c r="G1671" s="2" t="s">
        <v>67</v>
      </c>
      <c r="H1671" s="2">
        <v>16.0</v>
      </c>
      <c r="I1671" s="2">
        <v>102.0</v>
      </c>
      <c r="J1671" s="37">
        <v>491.96000000000004</v>
      </c>
      <c r="K1671" s="2">
        <v>19.0</v>
      </c>
      <c r="L1671" s="2">
        <v>150.0</v>
      </c>
      <c r="M1671" s="37">
        <v>621.74</v>
      </c>
    </row>
    <row r="1672" ht="14.25" customHeight="1">
      <c r="A1672" t="s">
        <v>1733</v>
      </c>
      <c r="B1672" t="s">
        <v>1679</v>
      </c>
      <c r="C1672" t="s">
        <v>62</v>
      </c>
      <c r="D1672" t="s">
        <v>63</v>
      </c>
      <c r="E1672">
        <v>5.3</v>
      </c>
      <c r="F1672">
        <v>5.3</v>
      </c>
      <c r="G1672" s="2" t="s">
        <v>67</v>
      </c>
      <c r="H1672" s="2">
        <v>16.0</v>
      </c>
      <c r="I1672" s="2">
        <v>102.0</v>
      </c>
      <c r="J1672" s="37">
        <v>491.96000000000004</v>
      </c>
      <c r="K1672" s="2">
        <v>19.0</v>
      </c>
      <c r="L1672" s="2">
        <v>150.0</v>
      </c>
      <c r="M1672" s="37">
        <v>621.74</v>
      </c>
    </row>
    <row r="1673" ht="14.25" customHeight="1">
      <c r="A1673" t="s">
        <v>1734</v>
      </c>
      <c r="B1673" t="s">
        <v>1679</v>
      </c>
      <c r="C1673" t="s">
        <v>62</v>
      </c>
      <c r="D1673" t="s">
        <v>63</v>
      </c>
      <c r="E1673">
        <v>7.2</v>
      </c>
      <c r="F1673">
        <v>7.3</v>
      </c>
      <c r="G1673" s="2" t="s">
        <v>67</v>
      </c>
      <c r="H1673" s="2">
        <v>21.0</v>
      </c>
      <c r="I1673" s="2">
        <v>43.0</v>
      </c>
      <c r="J1673" s="37">
        <v>527.5600000000001</v>
      </c>
      <c r="K1673" s="2">
        <v>24.0</v>
      </c>
      <c r="L1673" s="2">
        <v>108.0</v>
      </c>
      <c r="M1673" s="37">
        <v>679.4399999999999</v>
      </c>
    </row>
    <row r="1674" ht="14.25" customHeight="1">
      <c r="A1674" t="s">
        <v>1735</v>
      </c>
      <c r="B1674" t="s">
        <v>1679</v>
      </c>
      <c r="C1674" t="s">
        <v>62</v>
      </c>
      <c r="D1674" t="s">
        <v>63</v>
      </c>
      <c r="E1674">
        <v>7.2</v>
      </c>
      <c r="F1674">
        <v>7.3</v>
      </c>
      <c r="G1674" s="2" t="s">
        <v>67</v>
      </c>
      <c r="H1674" s="2">
        <v>21.0</v>
      </c>
      <c r="I1674" s="2">
        <v>43.0</v>
      </c>
      <c r="J1674" s="37">
        <v>527.5600000000001</v>
      </c>
      <c r="K1674" s="2">
        <v>24.0</v>
      </c>
      <c r="L1674" s="2">
        <v>108.0</v>
      </c>
      <c r="M1674" s="37">
        <v>679.4399999999999</v>
      </c>
    </row>
    <row r="1675" ht="14.25" customHeight="1">
      <c r="A1675" t="s">
        <v>1736</v>
      </c>
      <c r="B1675" t="s">
        <v>1679</v>
      </c>
      <c r="C1675" t="s">
        <v>62</v>
      </c>
      <c r="D1675" t="s">
        <v>63</v>
      </c>
      <c r="E1675">
        <v>7.2</v>
      </c>
      <c r="F1675">
        <v>7.3</v>
      </c>
      <c r="G1675" s="2" t="s">
        <v>67</v>
      </c>
      <c r="H1675" s="2">
        <v>21.0</v>
      </c>
      <c r="I1675" s="2">
        <v>43.0</v>
      </c>
      <c r="J1675" s="37">
        <v>527.5600000000001</v>
      </c>
      <c r="K1675" s="2">
        <v>24.0</v>
      </c>
      <c r="L1675" s="2">
        <v>108.0</v>
      </c>
      <c r="M1675" s="37">
        <v>679.4399999999999</v>
      </c>
    </row>
    <row r="1676" ht="14.25" customHeight="1">
      <c r="A1676" t="s">
        <v>1737</v>
      </c>
      <c r="B1676" t="s">
        <v>1679</v>
      </c>
      <c r="C1676" t="s">
        <v>62</v>
      </c>
      <c r="D1676" t="s">
        <v>63</v>
      </c>
      <c r="E1676">
        <v>7.2</v>
      </c>
      <c r="F1676">
        <v>7.3</v>
      </c>
      <c r="G1676" s="2" t="s">
        <v>67</v>
      </c>
      <c r="H1676" s="2">
        <v>21.0</v>
      </c>
      <c r="I1676" s="2">
        <v>43.0</v>
      </c>
      <c r="J1676" s="37">
        <v>527.5600000000001</v>
      </c>
      <c r="K1676" s="2">
        <v>24.0</v>
      </c>
      <c r="L1676" s="2">
        <v>108.0</v>
      </c>
      <c r="M1676" s="37">
        <v>679.4399999999999</v>
      </c>
    </row>
    <row r="1677" ht="14.25" customHeight="1">
      <c r="A1677" t="s">
        <v>1738</v>
      </c>
      <c r="B1677" t="s">
        <v>1679</v>
      </c>
      <c r="C1677" t="s">
        <v>62</v>
      </c>
      <c r="D1677" t="s">
        <v>63</v>
      </c>
      <c r="E1677">
        <v>7.2</v>
      </c>
      <c r="F1677">
        <v>7.3</v>
      </c>
      <c r="G1677" s="2" t="s">
        <v>67</v>
      </c>
      <c r="H1677" s="2">
        <v>21.0</v>
      </c>
      <c r="I1677" s="2">
        <v>43.0</v>
      </c>
      <c r="J1677" s="37">
        <v>527.5600000000001</v>
      </c>
      <c r="K1677" s="2">
        <v>24.0</v>
      </c>
      <c r="L1677" s="2">
        <v>108.0</v>
      </c>
      <c r="M1677" s="37">
        <v>679.4399999999999</v>
      </c>
    </row>
    <row r="1678" ht="14.25" customHeight="1">
      <c r="A1678" t="s">
        <v>1739</v>
      </c>
      <c r="B1678" t="s">
        <v>1679</v>
      </c>
      <c r="C1678" t="s">
        <v>75</v>
      </c>
      <c r="D1678" t="s">
        <v>63</v>
      </c>
      <c r="E1678">
        <v>10.5</v>
      </c>
      <c r="F1678">
        <v>12.5</v>
      </c>
      <c r="G1678" s="2" t="s">
        <v>67</v>
      </c>
      <c r="H1678" s="2">
        <v>38.0</v>
      </c>
      <c r="I1678" s="2">
        <v>268.0</v>
      </c>
      <c r="J1678" s="37">
        <v>1201.88</v>
      </c>
      <c r="K1678" s="2">
        <v>44.0</v>
      </c>
      <c r="L1678" s="2">
        <v>376.0</v>
      </c>
      <c r="M1678" s="37">
        <v>1477.04</v>
      </c>
    </row>
    <row r="1679" ht="14.25" customHeight="1">
      <c r="A1679" t="s">
        <v>1740</v>
      </c>
      <c r="B1679" t="s">
        <v>1679</v>
      </c>
      <c r="C1679" t="s">
        <v>75</v>
      </c>
      <c r="D1679" t="s">
        <v>63</v>
      </c>
      <c r="E1679">
        <v>10.5</v>
      </c>
      <c r="F1679">
        <v>12.5</v>
      </c>
      <c r="G1679" s="2" t="s">
        <v>67</v>
      </c>
      <c r="H1679" s="2">
        <v>38.0</v>
      </c>
      <c r="I1679" s="2">
        <v>268.0</v>
      </c>
      <c r="J1679" s="37">
        <v>1201.88</v>
      </c>
      <c r="K1679" s="2">
        <v>44.0</v>
      </c>
      <c r="L1679" s="2">
        <v>376.0</v>
      </c>
      <c r="M1679" s="37">
        <v>1477.04</v>
      </c>
    </row>
    <row r="1680" ht="14.25" customHeight="1">
      <c r="A1680" t="s">
        <v>1741</v>
      </c>
      <c r="B1680" t="s">
        <v>1679</v>
      </c>
      <c r="C1680" t="s">
        <v>75</v>
      </c>
      <c r="D1680" t="s">
        <v>63</v>
      </c>
      <c r="E1680">
        <v>10.5</v>
      </c>
      <c r="F1680">
        <v>12.5</v>
      </c>
      <c r="G1680" s="2" t="s">
        <v>67</v>
      </c>
      <c r="H1680" s="2">
        <v>38.0</v>
      </c>
      <c r="I1680" s="2">
        <v>268.0</v>
      </c>
      <c r="J1680" s="37">
        <v>1201.88</v>
      </c>
      <c r="K1680" s="2">
        <v>44.0</v>
      </c>
      <c r="L1680" s="2">
        <v>376.0</v>
      </c>
      <c r="M1680" s="37">
        <v>1477.04</v>
      </c>
    </row>
    <row r="1681" ht="14.25" customHeight="1">
      <c r="A1681" t="s">
        <v>1742</v>
      </c>
      <c r="B1681" t="s">
        <v>1679</v>
      </c>
      <c r="C1681" t="s">
        <v>75</v>
      </c>
      <c r="D1681" t="s">
        <v>63</v>
      </c>
      <c r="E1681">
        <v>10.5</v>
      </c>
      <c r="F1681">
        <v>12.5</v>
      </c>
      <c r="G1681" s="2" t="s">
        <v>67</v>
      </c>
      <c r="H1681" s="2">
        <v>38.0</v>
      </c>
      <c r="I1681" s="2">
        <v>268.0</v>
      </c>
      <c r="J1681" s="37">
        <v>1201.88</v>
      </c>
      <c r="K1681" s="2">
        <v>44.0</v>
      </c>
      <c r="L1681" s="2">
        <v>376.0</v>
      </c>
      <c r="M1681" s="37">
        <v>1477.04</v>
      </c>
    </row>
    <row r="1682" ht="14.25" customHeight="1">
      <c r="A1682" t="s">
        <v>1743</v>
      </c>
      <c r="B1682" t="s">
        <v>1679</v>
      </c>
      <c r="C1682" t="s">
        <v>75</v>
      </c>
      <c r="D1682" t="s">
        <v>63</v>
      </c>
      <c r="E1682">
        <v>10.5</v>
      </c>
      <c r="F1682">
        <v>12.5</v>
      </c>
      <c r="G1682" s="2" t="s">
        <v>67</v>
      </c>
      <c r="H1682" s="2">
        <v>38.0</v>
      </c>
      <c r="I1682" s="2">
        <v>268.0</v>
      </c>
      <c r="J1682" s="37">
        <v>1201.88</v>
      </c>
      <c r="K1682" s="2">
        <v>44.0</v>
      </c>
      <c r="L1682" s="2">
        <v>376.0</v>
      </c>
      <c r="M1682" s="37">
        <v>1477.04</v>
      </c>
    </row>
    <row r="1683" ht="14.25" customHeight="1">
      <c r="A1683" t="s">
        <v>1744</v>
      </c>
      <c r="B1683" t="s">
        <v>1679</v>
      </c>
      <c r="C1683" t="s">
        <v>75</v>
      </c>
      <c r="D1683" t="s">
        <v>63</v>
      </c>
      <c r="E1683">
        <v>14.0</v>
      </c>
      <c r="F1683">
        <v>16.5</v>
      </c>
      <c r="G1683" s="2" t="s">
        <v>67</v>
      </c>
      <c r="H1683" s="2">
        <v>47.0</v>
      </c>
      <c r="I1683" s="2">
        <v>197.0</v>
      </c>
      <c r="J1683" s="37">
        <v>1311.7200000000003</v>
      </c>
      <c r="K1683" s="2">
        <v>55.0</v>
      </c>
      <c r="L1683" s="2">
        <v>341.0</v>
      </c>
      <c r="M1683" s="37">
        <v>1678.6</v>
      </c>
    </row>
    <row r="1684" ht="14.25" customHeight="1">
      <c r="A1684" t="s">
        <v>1745</v>
      </c>
      <c r="B1684" t="s">
        <v>1679</v>
      </c>
      <c r="C1684" t="s">
        <v>75</v>
      </c>
      <c r="D1684" t="s">
        <v>63</v>
      </c>
      <c r="E1684">
        <v>14.0</v>
      </c>
      <c r="F1684">
        <v>16.5</v>
      </c>
      <c r="G1684" s="2" t="s">
        <v>67</v>
      </c>
      <c r="H1684" s="2">
        <v>47.0</v>
      </c>
      <c r="I1684" s="2">
        <v>197.0</v>
      </c>
      <c r="J1684" s="37">
        <v>1311.7200000000003</v>
      </c>
      <c r="K1684" s="2">
        <v>55.0</v>
      </c>
      <c r="L1684" s="2">
        <v>341.0</v>
      </c>
      <c r="M1684" s="37">
        <v>1678.6</v>
      </c>
    </row>
    <row r="1685" ht="14.25" customHeight="1">
      <c r="A1685" t="s">
        <v>1746</v>
      </c>
      <c r="B1685" t="s">
        <v>1679</v>
      </c>
      <c r="C1685" t="s">
        <v>75</v>
      </c>
      <c r="D1685" t="s">
        <v>63</v>
      </c>
      <c r="E1685">
        <v>14.0</v>
      </c>
      <c r="F1685">
        <v>16.5</v>
      </c>
      <c r="G1685" s="2" t="s">
        <v>67</v>
      </c>
      <c r="H1685" s="2">
        <v>47.0</v>
      </c>
      <c r="I1685" s="2">
        <v>197.0</v>
      </c>
      <c r="J1685" s="37">
        <v>1311.7200000000003</v>
      </c>
      <c r="K1685" s="2">
        <v>55.0</v>
      </c>
      <c r="L1685" s="2">
        <v>341.0</v>
      </c>
      <c r="M1685" s="37">
        <v>1678.6</v>
      </c>
    </row>
    <row r="1686" ht="14.25" customHeight="1">
      <c r="A1686" t="s">
        <v>1747</v>
      </c>
      <c r="B1686" t="s">
        <v>1679</v>
      </c>
      <c r="C1686" t="s">
        <v>75</v>
      </c>
      <c r="D1686" t="s">
        <v>63</v>
      </c>
      <c r="E1686">
        <v>14.0</v>
      </c>
      <c r="F1686">
        <v>16.5</v>
      </c>
      <c r="G1686" s="2" t="s">
        <v>67</v>
      </c>
      <c r="H1686" s="2">
        <v>47.0</v>
      </c>
      <c r="I1686" s="2">
        <v>197.0</v>
      </c>
      <c r="J1686" s="37">
        <v>1311.7200000000003</v>
      </c>
      <c r="K1686" s="2">
        <v>55.0</v>
      </c>
      <c r="L1686" s="2">
        <v>341.0</v>
      </c>
      <c r="M1686" s="37">
        <v>1678.6</v>
      </c>
    </row>
    <row r="1687" ht="14.25" customHeight="1">
      <c r="A1687" t="s">
        <v>1748</v>
      </c>
      <c r="B1687" t="s">
        <v>1679</v>
      </c>
      <c r="C1687" t="s">
        <v>75</v>
      </c>
      <c r="D1687" t="s">
        <v>63</v>
      </c>
      <c r="E1687">
        <v>14.0</v>
      </c>
      <c r="F1687">
        <v>16.5</v>
      </c>
      <c r="G1687" s="2" t="s">
        <v>67</v>
      </c>
      <c r="H1687" s="2">
        <v>47.0</v>
      </c>
      <c r="I1687" s="2">
        <v>197.0</v>
      </c>
      <c r="J1687" s="37">
        <v>1311.7200000000003</v>
      </c>
      <c r="K1687" s="2">
        <v>55.0</v>
      </c>
      <c r="L1687" s="2">
        <v>341.0</v>
      </c>
      <c r="M1687" s="37">
        <v>1678.6</v>
      </c>
    </row>
    <row r="1688" ht="14.25" customHeight="1">
      <c r="A1688" t="s">
        <v>1749</v>
      </c>
      <c r="B1688" t="s">
        <v>1679</v>
      </c>
      <c r="C1688" t="s">
        <v>75</v>
      </c>
      <c r="D1688" t="s">
        <v>63</v>
      </c>
      <c r="E1688">
        <v>7.1</v>
      </c>
      <c r="F1688">
        <v>7.5</v>
      </c>
      <c r="G1688" s="2" t="s">
        <v>67</v>
      </c>
      <c r="H1688" s="2">
        <v>23.0</v>
      </c>
      <c r="I1688" s="2">
        <v>115.0</v>
      </c>
      <c r="J1688" s="37">
        <v>666.08</v>
      </c>
      <c r="K1688" s="2">
        <v>27.0</v>
      </c>
      <c r="L1688" s="2">
        <v>188.0</v>
      </c>
      <c r="M1688" s="37">
        <v>850.82</v>
      </c>
    </row>
    <row r="1689" ht="14.25" customHeight="1">
      <c r="A1689" t="s">
        <v>1750</v>
      </c>
      <c r="B1689" t="s">
        <v>1679</v>
      </c>
      <c r="C1689" t="s">
        <v>75</v>
      </c>
      <c r="D1689" t="s">
        <v>63</v>
      </c>
      <c r="E1689">
        <v>7.1</v>
      </c>
      <c r="F1689">
        <v>7.5</v>
      </c>
      <c r="G1689" s="2" t="s">
        <v>67</v>
      </c>
      <c r="H1689" s="2">
        <v>23.0</v>
      </c>
      <c r="I1689" s="2">
        <v>115.0</v>
      </c>
      <c r="J1689" s="37">
        <v>666.08</v>
      </c>
      <c r="K1689" s="2">
        <v>27.0</v>
      </c>
      <c r="L1689" s="2">
        <v>188.0</v>
      </c>
      <c r="M1689" s="37">
        <v>850.82</v>
      </c>
    </row>
    <row r="1690" ht="14.25" customHeight="1">
      <c r="A1690" t="s">
        <v>1751</v>
      </c>
      <c r="B1690" t="s">
        <v>1679</v>
      </c>
      <c r="C1690" t="s">
        <v>75</v>
      </c>
      <c r="D1690" t="s">
        <v>63</v>
      </c>
      <c r="E1690">
        <v>7.1</v>
      </c>
      <c r="F1690">
        <v>7.5</v>
      </c>
      <c r="G1690" s="2" t="s">
        <v>67</v>
      </c>
      <c r="H1690" s="2">
        <v>23.0</v>
      </c>
      <c r="I1690" s="2">
        <v>115.0</v>
      </c>
      <c r="J1690" s="37">
        <v>666.08</v>
      </c>
      <c r="K1690" s="2">
        <v>27.0</v>
      </c>
      <c r="L1690" s="2">
        <v>188.0</v>
      </c>
      <c r="M1690" s="37">
        <v>850.82</v>
      </c>
    </row>
    <row r="1691" ht="14.25" customHeight="1">
      <c r="A1691" t="s">
        <v>1752</v>
      </c>
      <c r="B1691" t="s">
        <v>1679</v>
      </c>
      <c r="C1691" t="s">
        <v>75</v>
      </c>
      <c r="D1691" t="s">
        <v>63</v>
      </c>
      <c r="E1691">
        <v>7.1</v>
      </c>
      <c r="F1691">
        <v>7.5</v>
      </c>
      <c r="G1691" s="2" t="s">
        <v>67</v>
      </c>
      <c r="H1691" s="2">
        <v>23.0</v>
      </c>
      <c r="I1691" s="2">
        <v>115.0</v>
      </c>
      <c r="J1691" s="37">
        <v>666.08</v>
      </c>
      <c r="K1691" s="2">
        <v>27.0</v>
      </c>
      <c r="L1691" s="2">
        <v>188.0</v>
      </c>
      <c r="M1691" s="37">
        <v>850.82</v>
      </c>
    </row>
    <row r="1692" ht="14.25" customHeight="1">
      <c r="A1692" t="s">
        <v>1753</v>
      </c>
      <c r="B1692" t="s">
        <v>1679</v>
      </c>
      <c r="C1692" t="s">
        <v>75</v>
      </c>
      <c r="D1692" t="s">
        <v>63</v>
      </c>
      <c r="E1692">
        <v>7.1</v>
      </c>
      <c r="F1692">
        <v>7.5</v>
      </c>
      <c r="G1692" s="2" t="s">
        <v>67</v>
      </c>
      <c r="H1692" s="2">
        <v>23.0</v>
      </c>
      <c r="I1692" s="2">
        <v>115.0</v>
      </c>
      <c r="J1692" s="37">
        <v>666.08</v>
      </c>
      <c r="K1692" s="2">
        <v>27.0</v>
      </c>
      <c r="L1692" s="2">
        <v>188.0</v>
      </c>
      <c r="M1692" s="37">
        <v>850.82</v>
      </c>
    </row>
    <row r="1693" ht="14.25" customHeight="1">
      <c r="A1693" t="s">
        <v>1754</v>
      </c>
      <c r="B1693" t="s">
        <v>1755</v>
      </c>
      <c r="C1693" t="s">
        <v>62</v>
      </c>
      <c r="D1693" t="s">
        <v>63</v>
      </c>
      <c r="E1693">
        <v>7.2</v>
      </c>
      <c r="F1693">
        <v>7.2</v>
      </c>
      <c r="G1693" s="2" t="s">
        <v>67</v>
      </c>
      <c r="H1693" s="2">
        <v>20.0</v>
      </c>
      <c r="I1693" s="2">
        <v>95.0</v>
      </c>
      <c r="J1693" s="37">
        <v>572.7</v>
      </c>
      <c r="K1693" s="2">
        <v>24.0</v>
      </c>
      <c r="L1693" s="2">
        <v>160.0</v>
      </c>
      <c r="M1693" s="37">
        <v>747.04</v>
      </c>
    </row>
    <row r="1694" ht="14.25" customHeight="1">
      <c r="A1694" t="s">
        <v>1756</v>
      </c>
      <c r="B1694" t="s">
        <v>1757</v>
      </c>
      <c r="C1694" t="s">
        <v>62</v>
      </c>
      <c r="D1694" t="s">
        <v>258</v>
      </c>
      <c r="E1694">
        <v>2.35</v>
      </c>
      <c r="F1694">
        <v>2.35</v>
      </c>
      <c r="G1694" s="2" t="s">
        <v>64</v>
      </c>
      <c r="H1694" s="2">
        <v>0.0</v>
      </c>
      <c r="I1694" s="2">
        <v>0.0</v>
      </c>
      <c r="J1694" s="37">
        <v>0.0</v>
      </c>
      <c r="K1694" s="2">
        <v>0.0</v>
      </c>
      <c r="L1694" s="2">
        <v>0.0</v>
      </c>
      <c r="M1694" s="37">
        <v>0.0</v>
      </c>
    </row>
    <row r="1695" ht="14.25" customHeight="1">
      <c r="A1695" t="s">
        <v>1758</v>
      </c>
      <c r="B1695" t="s">
        <v>1757</v>
      </c>
      <c r="C1695" t="s">
        <v>62</v>
      </c>
      <c r="D1695" t="s">
        <v>258</v>
      </c>
      <c r="E1695">
        <v>2.35</v>
      </c>
      <c r="F1695">
        <v>2.35</v>
      </c>
      <c r="G1695" s="2" t="s">
        <v>64</v>
      </c>
      <c r="H1695" s="2">
        <v>0.0</v>
      </c>
      <c r="I1695" s="2">
        <v>0.0</v>
      </c>
      <c r="J1695" s="37">
        <v>0.0</v>
      </c>
      <c r="K1695" s="2">
        <v>0.0</v>
      </c>
      <c r="L1695" s="2">
        <v>0.0</v>
      </c>
      <c r="M1695" s="37">
        <v>0.0</v>
      </c>
    </row>
    <row r="1696" ht="14.25" customHeight="1">
      <c r="A1696" t="s">
        <v>1759</v>
      </c>
      <c r="B1696" t="s">
        <v>1757</v>
      </c>
      <c r="C1696" t="s">
        <v>62</v>
      </c>
      <c r="D1696" t="s">
        <v>258</v>
      </c>
      <c r="E1696">
        <v>2.35</v>
      </c>
      <c r="F1696">
        <v>2.35</v>
      </c>
      <c r="G1696" s="2" t="s">
        <v>64</v>
      </c>
      <c r="H1696" s="2">
        <v>0.0</v>
      </c>
      <c r="I1696" s="2">
        <v>0.0</v>
      </c>
      <c r="J1696" s="37">
        <v>0.0</v>
      </c>
      <c r="K1696" s="2">
        <v>0.0</v>
      </c>
      <c r="L1696" s="2">
        <v>0.0</v>
      </c>
      <c r="M1696" s="37">
        <v>0.0</v>
      </c>
    </row>
    <row r="1697" ht="14.25" customHeight="1">
      <c r="A1697" t="s">
        <v>1760</v>
      </c>
      <c r="B1697" t="s">
        <v>1757</v>
      </c>
      <c r="C1697" t="s">
        <v>62</v>
      </c>
      <c r="D1697" t="s">
        <v>258</v>
      </c>
      <c r="E1697">
        <v>2.35</v>
      </c>
      <c r="F1697">
        <v>2.35</v>
      </c>
      <c r="G1697" s="2" t="s">
        <v>64</v>
      </c>
      <c r="H1697" s="2">
        <v>0.0</v>
      </c>
      <c r="I1697" s="2">
        <v>0.0</v>
      </c>
      <c r="J1697" s="37">
        <v>0.0</v>
      </c>
      <c r="K1697" s="2">
        <v>0.0</v>
      </c>
      <c r="L1697" s="2">
        <v>0.0</v>
      </c>
      <c r="M1697" s="37">
        <v>0.0</v>
      </c>
    </row>
    <row r="1698" ht="14.25" customHeight="1">
      <c r="A1698" t="s">
        <v>1761</v>
      </c>
      <c r="B1698" t="s">
        <v>1757</v>
      </c>
      <c r="C1698" t="s">
        <v>62</v>
      </c>
      <c r="D1698" t="s">
        <v>258</v>
      </c>
      <c r="E1698">
        <v>2.35</v>
      </c>
      <c r="F1698">
        <v>2.35</v>
      </c>
      <c r="G1698" s="2" t="s">
        <v>64</v>
      </c>
      <c r="H1698" s="2">
        <v>0.0</v>
      </c>
      <c r="I1698" s="2">
        <v>0.0</v>
      </c>
      <c r="J1698" s="37">
        <v>0.0</v>
      </c>
      <c r="K1698" s="2">
        <v>0.0</v>
      </c>
      <c r="L1698" s="2">
        <v>0.0</v>
      </c>
      <c r="M1698" s="37">
        <v>0.0</v>
      </c>
    </row>
    <row r="1699" ht="14.25" customHeight="1">
      <c r="A1699" t="s">
        <v>1762</v>
      </c>
      <c r="B1699" t="s">
        <v>1757</v>
      </c>
      <c r="C1699" t="s">
        <v>62</v>
      </c>
      <c r="D1699" t="s">
        <v>258</v>
      </c>
      <c r="E1699">
        <v>2.35</v>
      </c>
      <c r="F1699">
        <v>2.35</v>
      </c>
      <c r="G1699" s="2" t="s">
        <v>64</v>
      </c>
      <c r="H1699" s="2">
        <v>0.0</v>
      </c>
      <c r="I1699" s="2">
        <v>0.0</v>
      </c>
      <c r="J1699" s="37">
        <v>0.0</v>
      </c>
      <c r="K1699" s="2">
        <v>0.0</v>
      </c>
      <c r="L1699" s="2">
        <v>0.0</v>
      </c>
      <c r="M1699" s="37">
        <v>0.0</v>
      </c>
    </row>
    <row r="1700" ht="14.25" customHeight="1">
      <c r="A1700" t="s">
        <v>1763</v>
      </c>
      <c r="B1700" t="s">
        <v>1764</v>
      </c>
      <c r="C1700" t="s">
        <v>62</v>
      </c>
      <c r="D1700" t="s">
        <v>63</v>
      </c>
      <c r="E1700">
        <v>2.5</v>
      </c>
      <c r="F1700">
        <v>3.2</v>
      </c>
      <c r="G1700" s="2" t="s">
        <v>67</v>
      </c>
      <c r="H1700" s="2">
        <v>8.0</v>
      </c>
      <c r="I1700" s="2">
        <v>48.0</v>
      </c>
      <c r="J1700" s="37">
        <v>242.08</v>
      </c>
      <c r="K1700" s="2">
        <v>9.0</v>
      </c>
      <c r="L1700" s="2">
        <v>68.0</v>
      </c>
      <c r="M1700" s="37">
        <v>290.54</v>
      </c>
    </row>
    <row r="1701" ht="14.25" customHeight="1">
      <c r="A1701" t="s">
        <v>1765</v>
      </c>
      <c r="B1701" t="s">
        <v>1764</v>
      </c>
      <c r="C1701" t="s">
        <v>62</v>
      </c>
      <c r="D1701" t="s">
        <v>63</v>
      </c>
      <c r="E1701">
        <v>3.5</v>
      </c>
      <c r="F1701">
        <v>4.0</v>
      </c>
      <c r="G1701" s="2" t="s">
        <v>67</v>
      </c>
      <c r="H1701" s="2">
        <v>10.0</v>
      </c>
      <c r="I1701" s="2">
        <v>40.0</v>
      </c>
      <c r="J1701" s="37">
        <v>276.6</v>
      </c>
      <c r="K1701" s="2">
        <v>12.0</v>
      </c>
      <c r="L1701" s="2">
        <v>68.0</v>
      </c>
      <c r="M1701" s="37">
        <v>357.91999999999996</v>
      </c>
    </row>
    <row r="1702" ht="14.25" customHeight="1">
      <c r="A1702" t="s">
        <v>1766</v>
      </c>
      <c r="B1702" t="s">
        <v>1764</v>
      </c>
      <c r="C1702" t="s">
        <v>62</v>
      </c>
      <c r="D1702" t="s">
        <v>63</v>
      </c>
      <c r="E1702">
        <v>5.0</v>
      </c>
      <c r="F1702">
        <v>6.0</v>
      </c>
      <c r="G1702" s="2" t="s">
        <v>67</v>
      </c>
      <c r="H1702" s="2">
        <v>17.0</v>
      </c>
      <c r="I1702" s="2">
        <v>92.0</v>
      </c>
      <c r="J1702" s="37">
        <v>501.42</v>
      </c>
      <c r="K1702" s="2">
        <v>20.0</v>
      </c>
      <c r="L1702" s="2">
        <v>138.0</v>
      </c>
      <c r="M1702" s="37">
        <v>628.6</v>
      </c>
    </row>
    <row r="1703" ht="14.25" customHeight="1">
      <c r="A1703" t="s">
        <v>1767</v>
      </c>
      <c r="B1703" t="s">
        <v>1764</v>
      </c>
      <c r="C1703" t="s">
        <v>62</v>
      </c>
      <c r="D1703" t="s">
        <v>63</v>
      </c>
      <c r="E1703">
        <v>7.1</v>
      </c>
      <c r="F1703">
        <v>8.0</v>
      </c>
      <c r="G1703" s="2" t="s">
        <v>67</v>
      </c>
      <c r="H1703" s="2">
        <v>22.0</v>
      </c>
      <c r="I1703" s="2">
        <v>54.0</v>
      </c>
      <c r="J1703" s="37">
        <v>564.32</v>
      </c>
      <c r="K1703" s="2">
        <v>25.0</v>
      </c>
      <c r="L1703" s="2">
        <v>119.0</v>
      </c>
      <c r="M1703" s="37">
        <v>716.2</v>
      </c>
    </row>
    <row r="1704" ht="14.25" customHeight="1">
      <c r="A1704" t="s">
        <v>1768</v>
      </c>
      <c r="B1704" t="s">
        <v>1764</v>
      </c>
      <c r="C1704" t="s">
        <v>62</v>
      </c>
      <c r="D1704" t="s">
        <v>63</v>
      </c>
      <c r="E1704">
        <v>9.0</v>
      </c>
      <c r="F1704">
        <v>10.0</v>
      </c>
      <c r="G1704" s="2" t="s">
        <v>67</v>
      </c>
      <c r="H1704" s="2">
        <v>28.0</v>
      </c>
      <c r="I1704" s="2">
        <v>66.0</v>
      </c>
      <c r="J1704" s="37">
        <v>714.68</v>
      </c>
      <c r="K1704" s="2">
        <v>32.0</v>
      </c>
      <c r="L1704" s="2">
        <v>148.0</v>
      </c>
      <c r="M1704" s="37">
        <v>911.12</v>
      </c>
    </row>
    <row r="1705" ht="14.25" customHeight="1">
      <c r="A1705" t="s">
        <v>1769</v>
      </c>
      <c r="B1705" t="s">
        <v>1770</v>
      </c>
      <c r="C1705" t="s">
        <v>62</v>
      </c>
      <c r="D1705" t="s">
        <v>63</v>
      </c>
      <c r="E1705">
        <v>3.55</v>
      </c>
      <c r="F1705">
        <v>4.0</v>
      </c>
      <c r="G1705" s="2" t="s">
        <v>67</v>
      </c>
      <c r="H1705" s="2">
        <v>10.0</v>
      </c>
      <c r="I1705" s="2">
        <v>44.0</v>
      </c>
      <c r="J1705" s="37">
        <v>281.8</v>
      </c>
      <c r="K1705" s="2">
        <v>12.0</v>
      </c>
      <c r="L1705" s="2">
        <v>72.0</v>
      </c>
      <c r="M1705" s="37">
        <v>363.12</v>
      </c>
    </row>
    <row r="1706" ht="14.25" customHeight="1">
      <c r="A1706" t="s">
        <v>1771</v>
      </c>
      <c r="B1706" t="s">
        <v>1770</v>
      </c>
      <c r="C1706" t="s">
        <v>62</v>
      </c>
      <c r="D1706" t="s">
        <v>63</v>
      </c>
      <c r="E1706">
        <v>2.0</v>
      </c>
      <c r="F1706">
        <v>2.25</v>
      </c>
      <c r="G1706" s="2" t="s">
        <v>64</v>
      </c>
      <c r="H1706" s="2">
        <v>0.0</v>
      </c>
      <c r="I1706" s="2">
        <v>0.0</v>
      </c>
      <c r="J1706" s="37">
        <v>0.0</v>
      </c>
      <c r="K1706" s="2">
        <v>0.0</v>
      </c>
      <c r="L1706" s="2">
        <v>0.0</v>
      </c>
      <c r="M1706" s="37">
        <v>0.0</v>
      </c>
    </row>
    <row r="1707" ht="14.25" customHeight="1">
      <c r="A1707" t="s">
        <v>1772</v>
      </c>
      <c r="B1707" t="s">
        <v>1770</v>
      </c>
      <c r="C1707" t="s">
        <v>62</v>
      </c>
      <c r="D1707" t="s">
        <v>63</v>
      </c>
      <c r="E1707">
        <v>2.6</v>
      </c>
      <c r="F1707">
        <v>2.7</v>
      </c>
      <c r="G1707" s="2" t="s">
        <v>67</v>
      </c>
      <c r="H1707" s="2">
        <v>7.0</v>
      </c>
      <c r="I1707" s="2">
        <v>35.0</v>
      </c>
      <c r="J1707" s="37">
        <v>202.72</v>
      </c>
      <c r="K1707" s="2">
        <v>8.0</v>
      </c>
      <c r="L1707" s="2">
        <v>56.0</v>
      </c>
      <c r="M1707" s="37">
        <v>252.48000000000002</v>
      </c>
    </row>
    <row r="1708" ht="14.25" customHeight="1">
      <c r="A1708" t="s">
        <v>1773</v>
      </c>
      <c r="B1708" t="s">
        <v>1770</v>
      </c>
      <c r="C1708" t="s">
        <v>62</v>
      </c>
      <c r="D1708" t="s">
        <v>63</v>
      </c>
      <c r="E1708">
        <v>5.0</v>
      </c>
      <c r="F1708">
        <v>5.2</v>
      </c>
      <c r="G1708" s="2" t="s">
        <v>67</v>
      </c>
      <c r="H1708" s="2">
        <v>15.0</v>
      </c>
      <c r="I1708" s="2">
        <v>74.0</v>
      </c>
      <c r="J1708" s="37">
        <v>433.1</v>
      </c>
      <c r="K1708" s="2">
        <v>17.0</v>
      </c>
      <c r="L1708" s="2">
        <v>120.0</v>
      </c>
      <c r="M1708" s="37">
        <v>537.8199999999999</v>
      </c>
    </row>
    <row r="1709" ht="14.25" customHeight="1">
      <c r="A1709" t="s">
        <v>1774</v>
      </c>
      <c r="B1709" t="s">
        <v>1770</v>
      </c>
      <c r="C1709" t="s">
        <v>62</v>
      </c>
      <c r="D1709" t="s">
        <v>63</v>
      </c>
      <c r="E1709">
        <v>7.0</v>
      </c>
      <c r="F1709">
        <v>7.5</v>
      </c>
      <c r="G1709" s="2" t="s">
        <v>67</v>
      </c>
      <c r="H1709" s="2">
        <v>21.0</v>
      </c>
      <c r="I1709" s="2">
        <v>66.0</v>
      </c>
      <c r="J1709" s="37">
        <v>557.46</v>
      </c>
      <c r="K1709" s="2">
        <v>24.0</v>
      </c>
      <c r="L1709" s="2">
        <v>130.0</v>
      </c>
      <c r="M1709" s="37">
        <v>708.04</v>
      </c>
    </row>
    <row r="1710" ht="14.25" customHeight="1">
      <c r="A1710" t="s">
        <v>1775</v>
      </c>
      <c r="B1710" t="s">
        <v>1770</v>
      </c>
      <c r="C1710" t="s">
        <v>62</v>
      </c>
      <c r="D1710" t="s">
        <v>63</v>
      </c>
      <c r="E1710">
        <v>8.0</v>
      </c>
      <c r="F1710">
        <v>8.5</v>
      </c>
      <c r="G1710" s="2" t="s">
        <v>64</v>
      </c>
      <c r="H1710" s="2">
        <v>0.0</v>
      </c>
      <c r="I1710" s="2">
        <v>0.0</v>
      </c>
      <c r="J1710" s="37">
        <v>0.0</v>
      </c>
      <c r="K1710" s="2">
        <v>0.0</v>
      </c>
      <c r="L1710" s="2">
        <v>0.0</v>
      </c>
      <c r="M1710" s="37">
        <v>0.0</v>
      </c>
    </row>
    <row r="1711" ht="14.25" customHeight="1">
      <c r="A1711" t="s">
        <v>1776</v>
      </c>
      <c r="B1711" t="s">
        <v>1770</v>
      </c>
      <c r="C1711" t="s">
        <v>62</v>
      </c>
      <c r="D1711" t="s">
        <v>467</v>
      </c>
      <c r="E1711">
        <v>2.8</v>
      </c>
      <c r="F1711">
        <v>2.45</v>
      </c>
      <c r="G1711" s="2" t="s">
        <v>64</v>
      </c>
      <c r="H1711" s="2">
        <v>0.0</v>
      </c>
      <c r="I1711" s="2">
        <v>0.0</v>
      </c>
      <c r="J1711" s="37">
        <v>0.0</v>
      </c>
      <c r="K1711" s="2">
        <v>0.0</v>
      </c>
      <c r="L1711" s="2">
        <v>0.0</v>
      </c>
      <c r="M1711" s="37">
        <v>0.0</v>
      </c>
    </row>
    <row r="1712" ht="14.25" customHeight="1">
      <c r="A1712" t="s">
        <v>1777</v>
      </c>
      <c r="B1712" t="s">
        <v>1770</v>
      </c>
      <c r="C1712" t="s">
        <v>62</v>
      </c>
      <c r="D1712" t="s">
        <v>467</v>
      </c>
      <c r="E1712">
        <v>3.9</v>
      </c>
      <c r="F1712">
        <v>3.6</v>
      </c>
      <c r="G1712" s="2" t="s">
        <v>64</v>
      </c>
      <c r="H1712" s="2">
        <v>0.0</v>
      </c>
      <c r="I1712" s="2">
        <v>0.0</v>
      </c>
      <c r="J1712" s="37">
        <v>0.0</v>
      </c>
      <c r="K1712" s="2">
        <v>0.0</v>
      </c>
      <c r="L1712" s="2">
        <v>0.0</v>
      </c>
      <c r="M1712" s="37">
        <v>0.0</v>
      </c>
    </row>
    <row r="1713" ht="14.25" customHeight="1">
      <c r="A1713" t="s">
        <v>1778</v>
      </c>
      <c r="B1713" t="s">
        <v>1770</v>
      </c>
      <c r="C1713" t="s">
        <v>62</v>
      </c>
      <c r="D1713" t="s">
        <v>467</v>
      </c>
      <c r="E1713">
        <v>5.3</v>
      </c>
      <c r="F1713">
        <v>4.8</v>
      </c>
      <c r="G1713" s="2" t="s">
        <v>64</v>
      </c>
      <c r="H1713" s="2">
        <v>0.0</v>
      </c>
      <c r="I1713" s="2">
        <v>0.0</v>
      </c>
      <c r="J1713" s="37">
        <v>0.0</v>
      </c>
      <c r="K1713" s="2">
        <v>0.0</v>
      </c>
      <c r="L1713" s="2">
        <v>0.0</v>
      </c>
      <c r="M1713" s="37">
        <v>0.0</v>
      </c>
    </row>
    <row r="1714" ht="14.25" customHeight="1">
      <c r="A1714" t="s">
        <v>1779</v>
      </c>
      <c r="B1714" t="s">
        <v>1770</v>
      </c>
      <c r="C1714" t="s">
        <v>62</v>
      </c>
      <c r="D1714" t="s">
        <v>467</v>
      </c>
      <c r="E1714">
        <v>6.0</v>
      </c>
      <c r="F1714">
        <v>5.52</v>
      </c>
      <c r="G1714" s="2" t="s">
        <v>64</v>
      </c>
      <c r="H1714" s="2">
        <v>0.0</v>
      </c>
      <c r="I1714" s="2">
        <v>0.0</v>
      </c>
      <c r="J1714" s="37">
        <v>0.0</v>
      </c>
      <c r="K1714" s="2">
        <v>0.0</v>
      </c>
      <c r="L1714" s="2">
        <v>0.0</v>
      </c>
      <c r="M1714" s="37">
        <v>0.0</v>
      </c>
    </row>
    <row r="1715" ht="14.25" customHeight="1">
      <c r="A1715" t="s">
        <v>1780</v>
      </c>
      <c r="B1715" t="s">
        <v>1781</v>
      </c>
      <c r="C1715" t="s">
        <v>62</v>
      </c>
      <c r="D1715" t="s">
        <v>63</v>
      </c>
      <c r="E1715">
        <v>2.6</v>
      </c>
      <c r="F1715">
        <v>2.8</v>
      </c>
      <c r="G1715" s="2" t="s">
        <v>64</v>
      </c>
      <c r="H1715" s="2">
        <v>0.0</v>
      </c>
      <c r="I1715" s="2">
        <v>0.0</v>
      </c>
      <c r="J1715" s="37">
        <v>0.0</v>
      </c>
      <c r="K1715" s="2">
        <v>0.0</v>
      </c>
      <c r="L1715" s="2">
        <v>0.0</v>
      </c>
      <c r="M1715" s="37">
        <v>0.0</v>
      </c>
    </row>
    <row r="1716" ht="14.25" customHeight="1">
      <c r="A1716" t="s">
        <v>1782</v>
      </c>
      <c r="B1716" t="s">
        <v>1781</v>
      </c>
      <c r="C1716" t="s">
        <v>62</v>
      </c>
      <c r="D1716" t="s">
        <v>63</v>
      </c>
      <c r="E1716">
        <v>5.0</v>
      </c>
      <c r="F1716">
        <v>5.1</v>
      </c>
      <c r="G1716" s="2" t="s">
        <v>67</v>
      </c>
      <c r="H1716" s="2">
        <v>14.0</v>
      </c>
      <c r="I1716" s="2">
        <v>60.0</v>
      </c>
      <c r="J1716" s="37">
        <v>392.44</v>
      </c>
      <c r="K1716" s="2">
        <v>17.0</v>
      </c>
      <c r="L1716" s="2">
        <v>105.0</v>
      </c>
      <c r="M1716" s="37">
        <v>518.3199999999999</v>
      </c>
    </row>
    <row r="1717" ht="14.25" customHeight="1">
      <c r="A1717" t="s">
        <v>1783</v>
      </c>
      <c r="B1717" t="s">
        <v>1781</v>
      </c>
      <c r="C1717" t="s">
        <v>62</v>
      </c>
      <c r="D1717" t="s">
        <v>63</v>
      </c>
      <c r="E1717">
        <v>8.0</v>
      </c>
      <c r="F1717">
        <v>8.1</v>
      </c>
      <c r="G1717" s="2" t="s">
        <v>64</v>
      </c>
      <c r="H1717" s="2">
        <v>0.0</v>
      </c>
      <c r="I1717" s="2">
        <v>0.0</v>
      </c>
      <c r="J1717" s="37">
        <v>0.0</v>
      </c>
      <c r="K1717" s="2">
        <v>0.0</v>
      </c>
      <c r="L1717" s="2">
        <v>0.0</v>
      </c>
      <c r="M1717" s="37">
        <v>0.0</v>
      </c>
    </row>
    <row r="1718" ht="14.25" customHeight="1">
      <c r="A1718" t="s">
        <v>1784</v>
      </c>
      <c r="B1718" t="s">
        <v>1781</v>
      </c>
      <c r="C1718" t="s">
        <v>62</v>
      </c>
      <c r="D1718" t="s">
        <v>63</v>
      </c>
      <c r="E1718">
        <v>7.0</v>
      </c>
      <c r="F1718">
        <v>7.5</v>
      </c>
      <c r="G1718" s="2" t="s">
        <v>64</v>
      </c>
      <c r="H1718" s="2">
        <v>0.0</v>
      </c>
      <c r="I1718" s="2">
        <v>0.0</v>
      </c>
      <c r="J1718" s="37">
        <v>0.0</v>
      </c>
      <c r="K1718" s="2">
        <v>0.0</v>
      </c>
      <c r="L1718" s="2">
        <v>0.0</v>
      </c>
      <c r="M1718" s="37">
        <v>0.0</v>
      </c>
    </row>
    <row r="1719" ht="14.25" customHeight="1">
      <c r="A1719" t="s">
        <v>1785</v>
      </c>
      <c r="B1719" t="s">
        <v>1781</v>
      </c>
      <c r="C1719" t="s">
        <v>62</v>
      </c>
      <c r="D1719" t="s">
        <v>63</v>
      </c>
      <c r="E1719">
        <v>3.5</v>
      </c>
      <c r="F1719">
        <v>3.8</v>
      </c>
      <c r="G1719" s="2" t="s">
        <v>67</v>
      </c>
      <c r="H1719" s="2">
        <v>9.0</v>
      </c>
      <c r="I1719" s="2">
        <v>25.0</v>
      </c>
      <c r="J1719" s="37">
        <v>234.64000000000001</v>
      </c>
      <c r="K1719" s="2">
        <v>11.0</v>
      </c>
      <c r="L1719" s="2">
        <v>53.0</v>
      </c>
      <c r="M1719" s="37">
        <v>315.96000000000004</v>
      </c>
    </row>
    <row r="1720" ht="14.25" customHeight="1">
      <c r="A1720" t="s">
        <v>1786</v>
      </c>
      <c r="B1720" t="s">
        <v>1770</v>
      </c>
      <c r="C1720" t="s">
        <v>75</v>
      </c>
      <c r="D1720" t="s">
        <v>63</v>
      </c>
      <c r="E1720">
        <v>7.3</v>
      </c>
      <c r="F1720">
        <v>7.5</v>
      </c>
      <c r="G1720" s="2" t="s">
        <v>67</v>
      </c>
      <c r="H1720" s="2">
        <v>24.0</v>
      </c>
      <c r="I1720" s="2">
        <v>75.0</v>
      </c>
      <c r="J1720" s="37">
        <v>636.54</v>
      </c>
      <c r="K1720" s="2">
        <v>27.0</v>
      </c>
      <c r="L1720" s="2">
        <v>150.0</v>
      </c>
      <c r="M1720" s="37">
        <v>801.4200000000001</v>
      </c>
    </row>
    <row r="1721" ht="14.25" customHeight="1">
      <c r="A1721" t="s">
        <v>1787</v>
      </c>
      <c r="B1721" t="s">
        <v>1770</v>
      </c>
      <c r="C1721" t="s">
        <v>75</v>
      </c>
      <c r="D1721" t="s">
        <v>63</v>
      </c>
      <c r="E1721">
        <v>10.5</v>
      </c>
      <c r="F1721">
        <v>11.5</v>
      </c>
      <c r="G1721" s="2" t="s">
        <v>67</v>
      </c>
      <c r="H1721" s="2">
        <v>37.0</v>
      </c>
      <c r="I1721" s="2">
        <v>85.0</v>
      </c>
      <c r="J1721" s="37">
        <v>941.52</v>
      </c>
      <c r="K1721" s="2">
        <v>42.0</v>
      </c>
      <c r="L1721" s="2">
        <v>192.0</v>
      </c>
      <c r="M1721" s="37">
        <v>1192.92</v>
      </c>
    </row>
    <row r="1722" ht="14.25" customHeight="1">
      <c r="A1722" t="s">
        <v>1788</v>
      </c>
      <c r="B1722" t="s">
        <v>1770</v>
      </c>
      <c r="C1722" t="s">
        <v>75</v>
      </c>
      <c r="D1722" t="s">
        <v>63</v>
      </c>
      <c r="E1722">
        <v>12.5</v>
      </c>
      <c r="F1722">
        <v>13.0</v>
      </c>
      <c r="G1722" s="2" t="s">
        <v>67</v>
      </c>
      <c r="H1722" s="2">
        <v>41.0</v>
      </c>
      <c r="I1722" s="2">
        <v>113.0</v>
      </c>
      <c r="J1722" s="37">
        <v>1067.76</v>
      </c>
      <c r="K1722" s="2">
        <v>47.0</v>
      </c>
      <c r="L1722" s="2">
        <v>241.0</v>
      </c>
      <c r="M1722" s="37">
        <v>1368.92</v>
      </c>
    </row>
    <row r="1723" ht="14.25" customHeight="1">
      <c r="A1723" t="s">
        <v>1789</v>
      </c>
      <c r="B1723" t="s">
        <v>1770</v>
      </c>
      <c r="C1723" t="s">
        <v>75</v>
      </c>
      <c r="D1723" t="s">
        <v>63</v>
      </c>
      <c r="E1723">
        <v>14.0</v>
      </c>
      <c r="F1723">
        <v>14.0</v>
      </c>
      <c r="G1723" s="2" t="s">
        <v>67</v>
      </c>
      <c r="H1723" s="2">
        <v>44.0</v>
      </c>
      <c r="I1723" s="2">
        <v>93.0</v>
      </c>
      <c r="J1723" s="37">
        <v>1109.14</v>
      </c>
      <c r="K1723" s="2">
        <v>51.0</v>
      </c>
      <c r="L1723" s="2">
        <v>237.0</v>
      </c>
      <c r="M1723" s="37">
        <v>1453.56</v>
      </c>
    </row>
    <row r="1724" ht="14.25" customHeight="1">
      <c r="A1724" t="s">
        <v>1790</v>
      </c>
      <c r="B1724" t="s">
        <v>1770</v>
      </c>
      <c r="C1724" t="s">
        <v>75</v>
      </c>
      <c r="D1724" t="s">
        <v>63</v>
      </c>
      <c r="E1724">
        <v>17.0</v>
      </c>
      <c r="F1724">
        <v>18.0</v>
      </c>
      <c r="G1724" s="2" t="s">
        <v>67</v>
      </c>
      <c r="H1724" s="2">
        <v>55.0</v>
      </c>
      <c r="I1724" s="2">
        <v>69.0</v>
      </c>
      <c r="J1724" s="37">
        <v>1325.0</v>
      </c>
      <c r="K1724" s="2">
        <v>64.0</v>
      </c>
      <c r="L1724" s="2">
        <v>243.0</v>
      </c>
      <c r="M1724" s="37">
        <v>1753.3400000000001</v>
      </c>
    </row>
    <row r="1725" ht="14.25" customHeight="1">
      <c r="A1725" t="s">
        <v>1791</v>
      </c>
      <c r="B1725" t="s">
        <v>1770</v>
      </c>
      <c r="C1725" t="s">
        <v>62</v>
      </c>
      <c r="D1725" t="s">
        <v>63</v>
      </c>
      <c r="E1725">
        <v>10.5</v>
      </c>
      <c r="F1725">
        <v>11.0</v>
      </c>
      <c r="G1725" s="2" t="s">
        <v>67</v>
      </c>
      <c r="H1725" s="2">
        <v>35.0</v>
      </c>
      <c r="I1725" s="2">
        <v>224.0</v>
      </c>
      <c r="J1725" s="37">
        <v>1077.3</v>
      </c>
      <c r="K1725" s="2">
        <v>41.0</v>
      </c>
      <c r="L1725" s="2">
        <v>332.0</v>
      </c>
      <c r="M1725" s="37">
        <v>1352.46</v>
      </c>
    </row>
    <row r="1726" ht="14.25" customHeight="1">
      <c r="A1726" t="s">
        <v>1792</v>
      </c>
      <c r="B1726" t="s">
        <v>1770</v>
      </c>
      <c r="C1726" t="s">
        <v>62</v>
      </c>
      <c r="D1726" t="s">
        <v>63</v>
      </c>
      <c r="E1726">
        <v>12.5</v>
      </c>
      <c r="F1726">
        <v>13.0</v>
      </c>
      <c r="G1726" s="2" t="s">
        <v>67</v>
      </c>
      <c r="H1726" s="2">
        <v>41.0</v>
      </c>
      <c r="I1726" s="2">
        <v>190.0</v>
      </c>
      <c r="J1726" s="37">
        <v>1167.8600000000001</v>
      </c>
      <c r="K1726" s="2">
        <v>47.0</v>
      </c>
      <c r="L1726" s="2">
        <v>318.0</v>
      </c>
      <c r="M1726" s="37">
        <v>1469.0200000000002</v>
      </c>
    </row>
    <row r="1727" ht="14.25" customHeight="1">
      <c r="A1727" t="s">
        <v>1793</v>
      </c>
      <c r="B1727" t="s">
        <v>1770</v>
      </c>
      <c r="C1727" t="s">
        <v>62</v>
      </c>
      <c r="D1727" t="s">
        <v>63</v>
      </c>
      <c r="E1727">
        <v>14.0</v>
      </c>
      <c r="F1727">
        <v>14.5</v>
      </c>
      <c r="G1727" s="2" t="s">
        <v>67</v>
      </c>
      <c r="H1727" s="2">
        <v>45.0</v>
      </c>
      <c r="I1727" s="2">
        <v>78.0</v>
      </c>
      <c r="J1727" s="37">
        <v>1112.1000000000001</v>
      </c>
      <c r="K1727" s="2">
        <v>52.0</v>
      </c>
      <c r="L1727" s="2">
        <v>222.0</v>
      </c>
      <c r="M1727" s="37">
        <v>1456.52</v>
      </c>
    </row>
    <row r="1728" ht="14.25" customHeight="1">
      <c r="A1728" t="s">
        <v>1774</v>
      </c>
      <c r="B1728" t="s">
        <v>1770</v>
      </c>
      <c r="C1728" t="s">
        <v>62</v>
      </c>
      <c r="D1728" t="s">
        <v>63</v>
      </c>
      <c r="E1728">
        <v>7.0</v>
      </c>
      <c r="F1728">
        <v>7.5</v>
      </c>
      <c r="G1728" s="2" t="s">
        <v>67</v>
      </c>
      <c r="H1728" s="2">
        <v>21.0</v>
      </c>
      <c r="I1728" s="2">
        <v>66.0</v>
      </c>
      <c r="J1728" s="37">
        <v>557.46</v>
      </c>
      <c r="K1728" s="2">
        <v>24.0</v>
      </c>
      <c r="L1728" s="2">
        <v>130.0</v>
      </c>
      <c r="M1728" s="37">
        <v>708.04</v>
      </c>
    </row>
    <row r="1729" ht="14.25" customHeight="1">
      <c r="A1729" t="s">
        <v>1775</v>
      </c>
      <c r="B1729" t="s">
        <v>1770</v>
      </c>
      <c r="C1729" t="s">
        <v>62</v>
      </c>
      <c r="D1729" t="s">
        <v>63</v>
      </c>
      <c r="E1729">
        <v>7.6</v>
      </c>
      <c r="F1729">
        <v>8.5</v>
      </c>
      <c r="G1729" s="2" t="s">
        <v>67</v>
      </c>
      <c r="H1729" s="2">
        <v>0.0</v>
      </c>
      <c r="I1729" s="2">
        <v>0.0</v>
      </c>
      <c r="J1729" s="37">
        <v>0.0</v>
      </c>
      <c r="K1729" s="2">
        <v>0.0</v>
      </c>
      <c r="L1729" s="2">
        <v>0.0</v>
      </c>
      <c r="M1729" s="37">
        <v>0.0</v>
      </c>
    </row>
    <row r="1730" ht="14.25" customHeight="1">
      <c r="A1730" t="s">
        <v>1779</v>
      </c>
      <c r="B1730" t="s">
        <v>1770</v>
      </c>
      <c r="C1730" t="s">
        <v>62</v>
      </c>
      <c r="D1730" t="s">
        <v>467</v>
      </c>
      <c r="E1730">
        <v>6.09</v>
      </c>
      <c r="F1730">
        <v>5.8</v>
      </c>
      <c r="G1730" s="2" t="s">
        <v>64</v>
      </c>
      <c r="H1730" s="2">
        <v>0.0</v>
      </c>
      <c r="I1730" s="2">
        <v>0.0</v>
      </c>
      <c r="J1730" s="37">
        <v>0.0</v>
      </c>
      <c r="K1730" s="2">
        <v>0.0</v>
      </c>
      <c r="L1730" s="2">
        <v>0.0</v>
      </c>
      <c r="M1730" s="37">
        <v>0.0</v>
      </c>
    </row>
    <row r="1731" ht="14.25" customHeight="1">
      <c r="A1731" t="s">
        <v>1794</v>
      </c>
      <c r="B1731" t="s">
        <v>1770</v>
      </c>
      <c r="C1731" t="s">
        <v>75</v>
      </c>
      <c r="D1731" t="s">
        <v>63</v>
      </c>
      <c r="E1731">
        <v>10.5</v>
      </c>
      <c r="F1731">
        <v>10.0</v>
      </c>
      <c r="G1731" s="2" t="s">
        <v>64</v>
      </c>
      <c r="H1731" s="2">
        <v>0.0</v>
      </c>
      <c r="I1731" s="2">
        <v>0.0</v>
      </c>
      <c r="J1731" s="37">
        <v>0.0</v>
      </c>
      <c r="K1731" s="2">
        <v>0.0</v>
      </c>
      <c r="L1731" s="2">
        <v>0.0</v>
      </c>
      <c r="M1731" s="37">
        <v>0.0</v>
      </c>
    </row>
    <row r="1732" ht="14.25" customHeight="1">
      <c r="A1732" t="s">
        <v>1795</v>
      </c>
      <c r="B1732" t="s">
        <v>1770</v>
      </c>
      <c r="C1732" t="s">
        <v>75</v>
      </c>
      <c r="D1732" t="s">
        <v>63</v>
      </c>
      <c r="E1732">
        <v>7.0</v>
      </c>
      <c r="F1732">
        <v>8.0</v>
      </c>
      <c r="G1732" s="2" t="s">
        <v>64</v>
      </c>
      <c r="H1732" s="2">
        <v>0.0</v>
      </c>
      <c r="I1732" s="2">
        <v>0.0</v>
      </c>
      <c r="J1732" s="37">
        <v>0.0</v>
      </c>
      <c r="K1732" s="2">
        <v>0.0</v>
      </c>
      <c r="L1732" s="2">
        <v>0.0</v>
      </c>
      <c r="M1732" s="37">
        <v>0.0</v>
      </c>
    </row>
    <row r="1733" ht="14.25" customHeight="1">
      <c r="A1733" t="s">
        <v>1796</v>
      </c>
      <c r="B1733" t="s">
        <v>1770</v>
      </c>
      <c r="C1733" t="s">
        <v>75</v>
      </c>
      <c r="D1733" t="s">
        <v>63</v>
      </c>
      <c r="E1733">
        <v>13.0</v>
      </c>
      <c r="F1733">
        <v>15.0</v>
      </c>
      <c r="G1733" s="2" t="s">
        <v>64</v>
      </c>
      <c r="H1733" s="2">
        <v>0.0</v>
      </c>
      <c r="I1733" s="2">
        <v>0.0</v>
      </c>
      <c r="J1733" s="37">
        <v>0.0</v>
      </c>
      <c r="K1733" s="2">
        <v>0.0</v>
      </c>
      <c r="L1733" s="2">
        <v>0.0</v>
      </c>
      <c r="M1733" s="37">
        <v>0.0</v>
      </c>
    </row>
    <row r="1734" ht="14.25" customHeight="1">
      <c r="A1734" t="s">
        <v>1797</v>
      </c>
      <c r="B1734" t="s">
        <v>1770</v>
      </c>
      <c r="C1734" t="s">
        <v>75</v>
      </c>
      <c r="D1734" t="s">
        <v>63</v>
      </c>
      <c r="E1734">
        <v>14.5</v>
      </c>
      <c r="F1734">
        <v>17.0</v>
      </c>
      <c r="G1734" s="2" t="s">
        <v>64</v>
      </c>
      <c r="H1734" s="2">
        <v>0.0</v>
      </c>
      <c r="I1734" s="2">
        <v>0.0</v>
      </c>
      <c r="J1734" s="37">
        <v>0.0</v>
      </c>
      <c r="K1734" s="2">
        <v>0.0</v>
      </c>
      <c r="L1734" s="2">
        <v>0.0</v>
      </c>
      <c r="M1734" s="37">
        <v>0.0</v>
      </c>
    </row>
    <row r="1735" ht="14.25" customHeight="1">
      <c r="A1735" t="s">
        <v>1798</v>
      </c>
      <c r="B1735" t="s">
        <v>1770</v>
      </c>
      <c r="C1735" t="s">
        <v>75</v>
      </c>
      <c r="D1735" t="s">
        <v>63</v>
      </c>
      <c r="E1735">
        <v>10.5</v>
      </c>
      <c r="F1735">
        <v>11.5</v>
      </c>
      <c r="G1735" s="2" t="s">
        <v>64</v>
      </c>
      <c r="H1735" s="2">
        <v>0.0</v>
      </c>
      <c r="I1735" s="2">
        <v>0.0</v>
      </c>
      <c r="J1735" s="37">
        <v>0.0</v>
      </c>
      <c r="K1735" s="2">
        <v>0.0</v>
      </c>
      <c r="L1735" s="2">
        <v>0.0</v>
      </c>
      <c r="M1735" s="37">
        <v>0.0</v>
      </c>
    </row>
    <row r="1736" ht="14.25" customHeight="1">
      <c r="A1736" t="s">
        <v>1799</v>
      </c>
      <c r="B1736" t="s">
        <v>1770</v>
      </c>
      <c r="C1736" t="s">
        <v>75</v>
      </c>
      <c r="D1736" t="s">
        <v>63</v>
      </c>
      <c r="E1736">
        <v>12.5</v>
      </c>
      <c r="F1736">
        <v>13.0</v>
      </c>
      <c r="G1736" s="2" t="s">
        <v>67</v>
      </c>
      <c r="H1736" s="2">
        <v>40.0</v>
      </c>
      <c r="I1736" s="2">
        <v>113.0</v>
      </c>
      <c r="J1736" s="37">
        <v>1045.3000000000002</v>
      </c>
      <c r="K1736" s="2">
        <v>46.0</v>
      </c>
      <c r="L1736" s="2">
        <v>241.0</v>
      </c>
      <c r="M1736" s="37">
        <v>1346.46</v>
      </c>
    </row>
    <row r="1737" ht="14.25" customHeight="1">
      <c r="A1737" t="s">
        <v>1800</v>
      </c>
      <c r="B1737" t="s">
        <v>1770</v>
      </c>
      <c r="C1737" t="s">
        <v>62</v>
      </c>
      <c r="D1737" t="s">
        <v>63</v>
      </c>
      <c r="E1737">
        <v>7.0</v>
      </c>
      <c r="F1737">
        <v>7.7</v>
      </c>
      <c r="G1737" s="2" t="s">
        <v>67</v>
      </c>
      <c r="H1737" s="2">
        <v>23.0</v>
      </c>
      <c r="I1737" s="2">
        <v>101.0</v>
      </c>
      <c r="J1737" s="37">
        <v>647.8800000000001</v>
      </c>
      <c r="K1737" s="2">
        <v>26.0</v>
      </c>
      <c r="L1737" s="2">
        <v>165.0</v>
      </c>
      <c r="M1737" s="37">
        <v>798.46</v>
      </c>
    </row>
    <row r="1738" ht="14.25" customHeight="1">
      <c r="A1738" t="s">
        <v>1798</v>
      </c>
      <c r="B1738" t="s">
        <v>1770</v>
      </c>
      <c r="C1738" t="s">
        <v>75</v>
      </c>
      <c r="D1738" t="s">
        <v>63</v>
      </c>
      <c r="E1738">
        <v>10.5</v>
      </c>
      <c r="F1738">
        <v>11.5</v>
      </c>
      <c r="G1738" s="2" t="s">
        <v>67</v>
      </c>
      <c r="H1738" s="2">
        <v>0.0</v>
      </c>
      <c r="I1738" s="2">
        <v>0.0</v>
      </c>
      <c r="J1738" s="37">
        <v>0.0</v>
      </c>
      <c r="K1738" s="2">
        <v>0.0</v>
      </c>
      <c r="L1738" s="2">
        <v>0.0</v>
      </c>
      <c r="M1738" s="37">
        <v>0.0</v>
      </c>
    </row>
    <row r="1739" ht="14.25" customHeight="1">
      <c r="A1739" t="s">
        <v>1799</v>
      </c>
      <c r="B1739" t="s">
        <v>1770</v>
      </c>
      <c r="C1739" t="s">
        <v>75</v>
      </c>
      <c r="D1739" t="s">
        <v>63</v>
      </c>
      <c r="E1739">
        <v>12.5</v>
      </c>
      <c r="F1739">
        <v>13.0</v>
      </c>
      <c r="G1739" s="2" t="s">
        <v>67</v>
      </c>
      <c r="H1739" s="2">
        <v>40.0</v>
      </c>
      <c r="I1739" s="2">
        <v>113.0</v>
      </c>
      <c r="J1739" s="37">
        <v>1045.3000000000002</v>
      </c>
      <c r="K1739" s="2">
        <v>46.0</v>
      </c>
      <c r="L1739" s="2">
        <v>241.0</v>
      </c>
      <c r="M1739" s="37">
        <v>1346.46</v>
      </c>
    </row>
    <row r="1740" ht="14.25" customHeight="1">
      <c r="A1740" t="s">
        <v>1801</v>
      </c>
      <c r="B1740" t="s">
        <v>1770</v>
      </c>
      <c r="C1740" t="s">
        <v>62</v>
      </c>
      <c r="D1740" t="s">
        <v>63</v>
      </c>
      <c r="E1740">
        <v>2.05</v>
      </c>
      <c r="F1740">
        <v>2.37</v>
      </c>
      <c r="G1740" s="2" t="s">
        <v>67</v>
      </c>
      <c r="H1740" s="2">
        <v>6.0</v>
      </c>
      <c r="I1740" s="2">
        <v>35.0</v>
      </c>
      <c r="J1740" s="37">
        <v>180.26</v>
      </c>
      <c r="K1740" s="2">
        <v>7.0</v>
      </c>
      <c r="L1740" s="2">
        <v>51.0</v>
      </c>
      <c r="M1740" s="37">
        <v>223.51999999999998</v>
      </c>
    </row>
    <row r="1741" ht="14.25" customHeight="1">
      <c r="A1741" t="s">
        <v>1802</v>
      </c>
      <c r="B1741" t="s">
        <v>1770</v>
      </c>
      <c r="C1741" t="s">
        <v>62</v>
      </c>
      <c r="D1741" t="s">
        <v>63</v>
      </c>
      <c r="E1741">
        <v>2.5</v>
      </c>
      <c r="F1741">
        <v>2.795</v>
      </c>
      <c r="G1741" s="2" t="s">
        <v>67</v>
      </c>
      <c r="H1741" s="2">
        <v>7.0</v>
      </c>
      <c r="I1741" s="2">
        <v>42.0</v>
      </c>
      <c r="J1741" s="37">
        <v>211.82</v>
      </c>
      <c r="K1741" s="2">
        <v>8.0</v>
      </c>
      <c r="L1741" s="2">
        <v>62.0</v>
      </c>
      <c r="M1741" s="37">
        <v>260.28000000000003</v>
      </c>
    </row>
    <row r="1742" ht="14.25" customHeight="1">
      <c r="A1742" t="s">
        <v>1803</v>
      </c>
      <c r="B1742" t="s">
        <v>1770</v>
      </c>
      <c r="C1742" t="s">
        <v>62</v>
      </c>
      <c r="D1742" t="s">
        <v>63</v>
      </c>
      <c r="E1742">
        <v>3.5</v>
      </c>
      <c r="F1742">
        <v>4.0</v>
      </c>
      <c r="G1742" s="2" t="s">
        <v>67</v>
      </c>
      <c r="H1742" s="2">
        <v>10.0</v>
      </c>
      <c r="I1742" s="2">
        <v>31.0</v>
      </c>
      <c r="J1742" s="37">
        <v>264.90000000000003</v>
      </c>
      <c r="K1742" s="2">
        <v>12.0</v>
      </c>
      <c r="L1742" s="2">
        <v>59.0</v>
      </c>
      <c r="M1742" s="37">
        <v>346.21999999999997</v>
      </c>
    </row>
    <row r="1743" ht="14.25" customHeight="1">
      <c r="A1743" t="s">
        <v>1804</v>
      </c>
      <c r="B1743" t="s">
        <v>1770</v>
      </c>
      <c r="C1743" t="s">
        <v>62</v>
      </c>
      <c r="D1743" t="s">
        <v>63</v>
      </c>
      <c r="E1743">
        <v>5.0</v>
      </c>
      <c r="F1743">
        <v>5.54</v>
      </c>
      <c r="G1743" s="2" t="s">
        <v>67</v>
      </c>
      <c r="H1743" s="2">
        <v>16.0</v>
      </c>
      <c r="I1743" s="2">
        <v>63.0</v>
      </c>
      <c r="J1743" s="37">
        <v>441.26</v>
      </c>
      <c r="K1743" s="2">
        <v>19.0</v>
      </c>
      <c r="L1743" s="2">
        <v>109.0</v>
      </c>
      <c r="M1743" s="37">
        <v>568.44</v>
      </c>
    </row>
    <row r="1744" ht="14.25" customHeight="1">
      <c r="A1744" t="s">
        <v>1805</v>
      </c>
      <c r="B1744" t="s">
        <v>1770</v>
      </c>
      <c r="C1744" t="s">
        <v>62</v>
      </c>
      <c r="D1744" t="s">
        <v>63</v>
      </c>
      <c r="E1744">
        <v>7.0</v>
      </c>
      <c r="F1744">
        <v>7.5</v>
      </c>
      <c r="G1744" s="2" t="s">
        <v>67</v>
      </c>
      <c r="H1744" s="2">
        <v>21.0</v>
      </c>
      <c r="I1744" s="2">
        <v>48.0</v>
      </c>
      <c r="J1744" s="37">
        <v>534.0600000000001</v>
      </c>
      <c r="K1744" s="2">
        <v>25.0</v>
      </c>
      <c r="L1744" s="2">
        <v>112.0</v>
      </c>
      <c r="M1744" s="37">
        <v>707.1</v>
      </c>
    </row>
    <row r="1745" ht="14.25" customHeight="1">
      <c r="A1745" t="s">
        <v>1806</v>
      </c>
      <c r="B1745" t="s">
        <v>1770</v>
      </c>
      <c r="C1745" t="s">
        <v>62</v>
      </c>
      <c r="D1745" t="s">
        <v>63</v>
      </c>
      <c r="E1745">
        <v>7.65</v>
      </c>
      <c r="F1745">
        <v>8.2</v>
      </c>
      <c r="G1745" s="2" t="s">
        <v>67</v>
      </c>
      <c r="H1745" s="2">
        <v>23.0</v>
      </c>
      <c r="I1745" s="2">
        <v>30.0</v>
      </c>
      <c r="J1745" s="37">
        <v>555.58</v>
      </c>
      <c r="K1745" s="2">
        <v>26.0</v>
      </c>
      <c r="L1745" s="2">
        <v>99.0</v>
      </c>
      <c r="M1745" s="37">
        <v>712.6600000000001</v>
      </c>
    </row>
    <row r="1746" ht="14.25" customHeight="1">
      <c r="A1746" t="s">
        <v>1807</v>
      </c>
      <c r="B1746" t="s">
        <v>1770</v>
      </c>
      <c r="C1746" t="s">
        <v>62</v>
      </c>
      <c r="D1746" t="s">
        <v>63</v>
      </c>
      <c r="E1746">
        <v>9.0</v>
      </c>
      <c r="F1746">
        <v>9.5</v>
      </c>
      <c r="G1746" s="2" t="s">
        <v>67</v>
      </c>
      <c r="H1746" s="2">
        <v>28.0</v>
      </c>
      <c r="I1746" s="2">
        <v>62.0</v>
      </c>
      <c r="J1746" s="37">
        <v>709.48</v>
      </c>
      <c r="K1746" s="2">
        <v>32.0</v>
      </c>
      <c r="L1746" s="2">
        <v>144.0</v>
      </c>
      <c r="M1746" s="37">
        <v>905.9200000000001</v>
      </c>
    </row>
    <row r="1747" ht="14.25" customHeight="1">
      <c r="A1747" t="s">
        <v>1808</v>
      </c>
      <c r="B1747" t="s">
        <v>1770</v>
      </c>
      <c r="C1747" t="s">
        <v>75</v>
      </c>
      <c r="D1747" t="s">
        <v>63</v>
      </c>
      <c r="E1747">
        <v>7.3</v>
      </c>
      <c r="F1747">
        <v>7.5</v>
      </c>
      <c r="G1747" s="2" t="s">
        <v>67</v>
      </c>
      <c r="H1747" s="2">
        <v>24.0</v>
      </c>
      <c r="I1747" s="2">
        <v>64.0</v>
      </c>
      <c r="J1747" s="37">
        <v>622.24</v>
      </c>
      <c r="K1747" s="2">
        <v>28.0</v>
      </c>
      <c r="L1747" s="2">
        <v>138.0</v>
      </c>
      <c r="M1747" s="37">
        <v>808.28</v>
      </c>
    </row>
    <row r="1748" ht="14.25" customHeight="1">
      <c r="A1748" t="s">
        <v>1809</v>
      </c>
      <c r="B1748" t="s">
        <v>1770</v>
      </c>
      <c r="C1748" t="s">
        <v>75</v>
      </c>
      <c r="D1748" t="s">
        <v>63</v>
      </c>
      <c r="E1748">
        <v>10.5</v>
      </c>
      <c r="F1748">
        <v>12.5</v>
      </c>
      <c r="G1748" s="2" t="s">
        <v>67</v>
      </c>
      <c r="H1748" s="2">
        <v>38.0</v>
      </c>
      <c r="I1748" s="2">
        <v>71.0</v>
      </c>
      <c r="J1748" s="37">
        <v>945.78</v>
      </c>
      <c r="K1748" s="2">
        <v>44.0</v>
      </c>
      <c r="L1748" s="2">
        <v>179.0</v>
      </c>
      <c r="M1748" s="37">
        <v>1220.94</v>
      </c>
    </row>
    <row r="1749" ht="14.25" customHeight="1">
      <c r="A1749" t="s">
        <v>1810</v>
      </c>
      <c r="B1749" t="s">
        <v>1770</v>
      </c>
      <c r="C1749" t="s">
        <v>75</v>
      </c>
      <c r="D1749" t="s">
        <v>63</v>
      </c>
      <c r="E1749">
        <v>12.6</v>
      </c>
      <c r="F1749">
        <v>14.5</v>
      </c>
      <c r="G1749" s="2" t="s">
        <v>67</v>
      </c>
      <c r="H1749" s="2">
        <v>45.0</v>
      </c>
      <c r="I1749" s="2">
        <v>88.0</v>
      </c>
      <c r="J1749" s="37">
        <v>1125.1000000000001</v>
      </c>
      <c r="K1749" s="2">
        <v>52.0</v>
      </c>
      <c r="L1749" s="2">
        <v>217.0</v>
      </c>
      <c r="M1749" s="37">
        <v>1450.02</v>
      </c>
    </row>
    <row r="1750" ht="14.25" customHeight="1">
      <c r="A1750" t="s">
        <v>1811</v>
      </c>
      <c r="B1750" t="s">
        <v>1770</v>
      </c>
      <c r="C1750" t="s">
        <v>75</v>
      </c>
      <c r="D1750" t="s">
        <v>63</v>
      </c>
      <c r="E1750">
        <v>14.0</v>
      </c>
      <c r="F1750">
        <v>15.5</v>
      </c>
      <c r="G1750" s="2" t="s">
        <v>67</v>
      </c>
      <c r="H1750" s="2">
        <v>48.0</v>
      </c>
      <c r="I1750" s="2">
        <v>114.0</v>
      </c>
      <c r="J1750" s="37">
        <v>1226.28</v>
      </c>
      <c r="K1750" s="2">
        <v>56.0</v>
      </c>
      <c r="L1750" s="2">
        <v>257.0</v>
      </c>
      <c r="M1750" s="37">
        <v>1591.8600000000001</v>
      </c>
    </row>
    <row r="1751" ht="14.25" customHeight="1">
      <c r="A1751" t="s">
        <v>1812</v>
      </c>
      <c r="B1751" t="s">
        <v>1770</v>
      </c>
      <c r="C1751" t="s">
        <v>75</v>
      </c>
      <c r="D1751" t="s">
        <v>63</v>
      </c>
      <c r="E1751">
        <v>14.0</v>
      </c>
      <c r="F1751">
        <v>17.0</v>
      </c>
      <c r="G1751" s="2" t="s">
        <v>67</v>
      </c>
      <c r="H1751" s="2">
        <v>53.0</v>
      </c>
      <c r="I1751" s="2">
        <v>182.0</v>
      </c>
      <c r="J1751" s="37">
        <v>1426.98</v>
      </c>
      <c r="K1751" s="2">
        <v>61.0</v>
      </c>
      <c r="L1751" s="2">
        <v>326.0</v>
      </c>
      <c r="M1751" s="37">
        <v>1793.86</v>
      </c>
    </row>
    <row r="1752" ht="14.25" customHeight="1">
      <c r="A1752" t="s">
        <v>1813</v>
      </c>
      <c r="B1752" t="s">
        <v>1770</v>
      </c>
      <c r="C1752" t="s">
        <v>75</v>
      </c>
      <c r="D1752" t="s">
        <v>63</v>
      </c>
      <c r="E1752">
        <v>17.0</v>
      </c>
      <c r="F1752">
        <v>18.0</v>
      </c>
      <c r="G1752" s="2" t="s">
        <v>67</v>
      </c>
      <c r="H1752" s="2">
        <v>55.0</v>
      </c>
      <c r="I1752" s="2">
        <v>113.0</v>
      </c>
      <c r="J1752" s="37">
        <v>1382.2</v>
      </c>
      <c r="K1752" s="2">
        <v>64.0</v>
      </c>
      <c r="L1752" s="2">
        <v>288.0</v>
      </c>
      <c r="M1752" s="37">
        <v>1811.8400000000001</v>
      </c>
    </row>
    <row r="1753" ht="14.25" customHeight="1">
      <c r="A1753" t="s">
        <v>1814</v>
      </c>
      <c r="B1753" t="s">
        <v>1815</v>
      </c>
      <c r="C1753" t="s">
        <v>62</v>
      </c>
      <c r="D1753" t="s">
        <v>467</v>
      </c>
      <c r="E1753">
        <v>5.3</v>
      </c>
      <c r="F1753">
        <v>4.8</v>
      </c>
      <c r="G1753" s="2" t="s">
        <v>64</v>
      </c>
      <c r="H1753" s="2">
        <v>0.0</v>
      </c>
      <c r="I1753" s="2">
        <v>0.0</v>
      </c>
      <c r="J1753" s="37">
        <v>0.0</v>
      </c>
      <c r="K1753" s="2">
        <v>0.0</v>
      </c>
      <c r="L1753" s="2">
        <v>0.0</v>
      </c>
      <c r="M1753" s="37">
        <v>0.0</v>
      </c>
    </row>
    <row r="1754" ht="14.25" customHeight="1">
      <c r="A1754" t="s">
        <v>1816</v>
      </c>
      <c r="B1754" t="s">
        <v>1815</v>
      </c>
      <c r="C1754" t="s">
        <v>62</v>
      </c>
      <c r="D1754" t="s">
        <v>467</v>
      </c>
      <c r="E1754">
        <v>5.3</v>
      </c>
      <c r="F1754">
        <v>4.8</v>
      </c>
      <c r="G1754" s="2" t="s">
        <v>64</v>
      </c>
      <c r="H1754" s="2">
        <v>0.0</v>
      </c>
      <c r="I1754" s="2">
        <v>0.0</v>
      </c>
      <c r="J1754" s="37">
        <v>0.0</v>
      </c>
      <c r="K1754" s="2">
        <v>0.0</v>
      </c>
      <c r="L1754" s="2">
        <v>0.0</v>
      </c>
      <c r="M1754" s="37">
        <v>0.0</v>
      </c>
    </row>
    <row r="1755" ht="14.25" customHeight="1">
      <c r="A1755" t="s">
        <v>1817</v>
      </c>
      <c r="B1755" t="s">
        <v>1815</v>
      </c>
      <c r="C1755" t="s">
        <v>62</v>
      </c>
      <c r="D1755" t="s">
        <v>467</v>
      </c>
      <c r="E1755">
        <v>2.2</v>
      </c>
      <c r="F1755">
        <v>1.9</v>
      </c>
      <c r="G1755" s="2" t="s">
        <v>64</v>
      </c>
      <c r="H1755" s="2">
        <v>0.0</v>
      </c>
      <c r="I1755" s="2">
        <v>0.0</v>
      </c>
      <c r="J1755" s="37">
        <v>0.0</v>
      </c>
      <c r="K1755" s="2">
        <v>0.0</v>
      </c>
      <c r="L1755" s="2">
        <v>0.0</v>
      </c>
      <c r="M1755" s="37">
        <v>0.0</v>
      </c>
    </row>
    <row r="1756" ht="14.25" customHeight="1">
      <c r="A1756" t="s">
        <v>1818</v>
      </c>
      <c r="B1756" t="s">
        <v>1815</v>
      </c>
      <c r="C1756" t="s">
        <v>62</v>
      </c>
      <c r="D1756" t="s">
        <v>467</v>
      </c>
      <c r="E1756">
        <v>2.2</v>
      </c>
      <c r="F1756">
        <v>1.9</v>
      </c>
      <c r="G1756" s="2" t="s">
        <v>64</v>
      </c>
      <c r="H1756" s="2">
        <v>0.0</v>
      </c>
      <c r="I1756" s="2">
        <v>0.0</v>
      </c>
      <c r="J1756" s="37">
        <v>0.0</v>
      </c>
      <c r="K1756" s="2">
        <v>0.0</v>
      </c>
      <c r="L1756" s="2">
        <v>0.0</v>
      </c>
      <c r="M1756" s="37">
        <v>0.0</v>
      </c>
    </row>
    <row r="1757" ht="14.25" customHeight="1">
      <c r="A1757" t="s">
        <v>1819</v>
      </c>
      <c r="B1757" t="s">
        <v>1815</v>
      </c>
      <c r="C1757" t="s">
        <v>62</v>
      </c>
      <c r="D1757" t="s">
        <v>467</v>
      </c>
      <c r="E1757">
        <v>3.9</v>
      </c>
      <c r="F1757">
        <v>3.6</v>
      </c>
      <c r="G1757" s="2" t="s">
        <v>64</v>
      </c>
      <c r="H1757" s="2">
        <v>0.0</v>
      </c>
      <c r="I1757" s="2">
        <v>0.0</v>
      </c>
      <c r="J1757" s="37">
        <v>0.0</v>
      </c>
      <c r="K1757" s="2">
        <v>0.0</v>
      </c>
      <c r="L1757" s="2">
        <v>0.0</v>
      </c>
      <c r="M1757" s="37">
        <v>0.0</v>
      </c>
    </row>
    <row r="1758" ht="14.25" customHeight="1">
      <c r="A1758" t="s">
        <v>1820</v>
      </c>
      <c r="B1758" t="s">
        <v>1815</v>
      </c>
      <c r="C1758" t="s">
        <v>62</v>
      </c>
      <c r="D1758" t="s">
        <v>467</v>
      </c>
      <c r="E1758">
        <v>3.9</v>
      </c>
      <c r="F1758">
        <v>3.6</v>
      </c>
      <c r="G1758" s="2" t="s">
        <v>64</v>
      </c>
      <c r="H1758" s="2">
        <v>0.0</v>
      </c>
      <c r="I1758" s="2">
        <v>0.0</v>
      </c>
      <c r="J1758" s="37">
        <v>0.0</v>
      </c>
      <c r="K1758" s="2">
        <v>0.0</v>
      </c>
      <c r="L1758" s="2">
        <v>0.0</v>
      </c>
      <c r="M1758" s="37">
        <v>0.0</v>
      </c>
    </row>
    <row r="1759" ht="14.25" customHeight="1">
      <c r="A1759" t="s">
        <v>1821</v>
      </c>
      <c r="B1759" t="s">
        <v>1815</v>
      </c>
      <c r="C1759" t="s">
        <v>62</v>
      </c>
      <c r="D1759" t="s">
        <v>467</v>
      </c>
      <c r="E1759">
        <v>2.8</v>
      </c>
      <c r="F1759">
        <v>2.45</v>
      </c>
      <c r="G1759" s="2" t="s">
        <v>64</v>
      </c>
      <c r="H1759" s="2">
        <v>0.0</v>
      </c>
      <c r="I1759" s="2">
        <v>0.0</v>
      </c>
      <c r="J1759" s="37">
        <v>0.0</v>
      </c>
      <c r="K1759" s="2">
        <v>0.0</v>
      </c>
      <c r="L1759" s="2">
        <v>0.0</v>
      </c>
      <c r="M1759" s="37">
        <v>0.0</v>
      </c>
    </row>
    <row r="1760" ht="14.25" customHeight="1">
      <c r="A1760" t="s">
        <v>1822</v>
      </c>
      <c r="B1760" t="s">
        <v>1815</v>
      </c>
      <c r="C1760" t="s">
        <v>62</v>
      </c>
      <c r="D1760" t="s">
        <v>467</v>
      </c>
      <c r="E1760">
        <v>2.8</v>
      </c>
      <c r="F1760">
        <v>2.45</v>
      </c>
      <c r="G1760" s="2" t="s">
        <v>64</v>
      </c>
      <c r="H1760" s="2">
        <v>0.0</v>
      </c>
      <c r="I1760" s="2">
        <v>0.0</v>
      </c>
      <c r="J1760" s="37">
        <v>0.0</v>
      </c>
      <c r="K1760" s="2">
        <v>0.0</v>
      </c>
      <c r="L1760" s="2">
        <v>0.0</v>
      </c>
      <c r="M1760" s="37">
        <v>0.0</v>
      </c>
    </row>
    <row r="1761" ht="14.25" customHeight="1">
      <c r="A1761" t="s">
        <v>1823</v>
      </c>
      <c r="B1761" t="s">
        <v>1815</v>
      </c>
      <c r="C1761" t="s">
        <v>62</v>
      </c>
      <c r="D1761" t="s">
        <v>467</v>
      </c>
      <c r="E1761">
        <v>6.09</v>
      </c>
      <c r="F1761">
        <v>5.8</v>
      </c>
      <c r="G1761" s="2" t="s">
        <v>64</v>
      </c>
      <c r="H1761" s="2">
        <v>0.0</v>
      </c>
      <c r="I1761" s="2">
        <v>0.0</v>
      </c>
      <c r="J1761" s="37">
        <v>0.0</v>
      </c>
      <c r="K1761" s="2">
        <v>0.0</v>
      </c>
      <c r="L1761" s="2">
        <v>0.0</v>
      </c>
      <c r="M1761" s="37">
        <v>0.0</v>
      </c>
    </row>
    <row r="1762" ht="14.25" customHeight="1">
      <c r="A1762" t="s">
        <v>1824</v>
      </c>
      <c r="B1762" t="s">
        <v>1815</v>
      </c>
      <c r="C1762" t="s">
        <v>62</v>
      </c>
      <c r="D1762" t="s">
        <v>467</v>
      </c>
      <c r="E1762">
        <v>6.09</v>
      </c>
      <c r="F1762">
        <v>5.8</v>
      </c>
      <c r="G1762" s="2" t="s">
        <v>64</v>
      </c>
      <c r="H1762" s="2">
        <v>0.0</v>
      </c>
      <c r="I1762" s="2">
        <v>0.0</v>
      </c>
      <c r="J1762" s="37">
        <v>0.0</v>
      </c>
      <c r="K1762" s="2">
        <v>0.0</v>
      </c>
      <c r="L1762" s="2">
        <v>0.0</v>
      </c>
      <c r="M1762" s="37">
        <v>0.0</v>
      </c>
    </row>
    <row r="1763" ht="14.25" customHeight="1">
      <c r="A1763" t="s">
        <v>1825</v>
      </c>
      <c r="B1763" t="s">
        <v>1826</v>
      </c>
      <c r="C1763" t="s">
        <v>62</v>
      </c>
      <c r="D1763" t="s">
        <v>268</v>
      </c>
      <c r="E1763">
        <v>2.6</v>
      </c>
      <c r="F1763">
        <v>1.9</v>
      </c>
      <c r="G1763" s="2" t="s">
        <v>64</v>
      </c>
      <c r="H1763" s="2">
        <v>0.0</v>
      </c>
      <c r="I1763" s="2">
        <v>0.0</v>
      </c>
      <c r="J1763" s="37">
        <v>0.0</v>
      </c>
      <c r="K1763" s="2">
        <v>0.0</v>
      </c>
      <c r="L1763" s="2">
        <v>0.0</v>
      </c>
      <c r="M1763" s="37">
        <v>0.0</v>
      </c>
    </row>
    <row r="1764" ht="14.25" customHeight="1">
      <c r="A1764" t="s">
        <v>1827</v>
      </c>
      <c r="B1764" t="s">
        <v>1828</v>
      </c>
      <c r="C1764" t="s">
        <v>62</v>
      </c>
      <c r="D1764" t="s">
        <v>63</v>
      </c>
      <c r="E1764">
        <v>10.0</v>
      </c>
      <c r="F1764">
        <v>11.0</v>
      </c>
      <c r="G1764" s="2" t="s">
        <v>67</v>
      </c>
      <c r="H1764" s="2">
        <v>34.0</v>
      </c>
      <c r="I1764" s="2">
        <v>123.0</v>
      </c>
      <c r="J1764" s="37">
        <v>923.54</v>
      </c>
      <c r="K1764" s="2">
        <v>39.0</v>
      </c>
      <c r="L1764" s="2">
        <v>225.0</v>
      </c>
      <c r="M1764" s="37">
        <v>1168.44</v>
      </c>
    </row>
    <row r="1765" ht="14.25" customHeight="1">
      <c r="A1765" t="s">
        <v>1829</v>
      </c>
      <c r="B1765" t="s">
        <v>1828</v>
      </c>
      <c r="C1765" t="s">
        <v>62</v>
      </c>
      <c r="D1765" t="s">
        <v>63</v>
      </c>
      <c r="E1765">
        <v>5.2</v>
      </c>
      <c r="F1765">
        <v>5.8</v>
      </c>
      <c r="G1765" s="2" t="s">
        <v>64</v>
      </c>
      <c r="H1765" s="2">
        <v>0.0</v>
      </c>
      <c r="I1765" s="2">
        <v>0.0</v>
      </c>
      <c r="J1765" s="37">
        <v>0.0</v>
      </c>
      <c r="K1765" s="2">
        <v>0.0</v>
      </c>
      <c r="L1765" s="2">
        <v>0.0</v>
      </c>
      <c r="M1765" s="37">
        <v>0.0</v>
      </c>
    </row>
    <row r="1766" ht="14.25" customHeight="1">
      <c r="A1766" t="s">
        <v>1830</v>
      </c>
      <c r="B1766" t="s">
        <v>1828</v>
      </c>
      <c r="C1766" t="s">
        <v>62</v>
      </c>
      <c r="D1766" t="s">
        <v>63</v>
      </c>
      <c r="E1766">
        <v>7.1</v>
      </c>
      <c r="F1766">
        <v>7.8</v>
      </c>
      <c r="G1766" s="2" t="s">
        <v>67</v>
      </c>
      <c r="H1766" s="2">
        <v>23.0</v>
      </c>
      <c r="I1766" s="2">
        <v>84.0</v>
      </c>
      <c r="J1766" s="37">
        <v>625.7800000000001</v>
      </c>
      <c r="K1766" s="2">
        <v>27.0</v>
      </c>
      <c r="L1766" s="2">
        <v>149.0</v>
      </c>
      <c r="M1766" s="37">
        <v>800.1200000000001</v>
      </c>
    </row>
    <row r="1767" ht="14.25" customHeight="1">
      <c r="A1767" t="s">
        <v>1831</v>
      </c>
      <c r="B1767" t="s">
        <v>1828</v>
      </c>
      <c r="C1767" t="s">
        <v>62</v>
      </c>
      <c r="D1767" t="s">
        <v>63</v>
      </c>
      <c r="E1767">
        <v>2.0</v>
      </c>
      <c r="F1767">
        <v>2.638</v>
      </c>
      <c r="G1767" s="2" t="s">
        <v>64</v>
      </c>
      <c r="H1767" s="2">
        <v>0.0</v>
      </c>
      <c r="I1767" s="2">
        <v>0.0</v>
      </c>
      <c r="J1767" s="37">
        <v>0.0</v>
      </c>
      <c r="K1767" s="2">
        <v>0.0</v>
      </c>
      <c r="L1767" s="2">
        <v>0.0</v>
      </c>
      <c r="M1767" s="37">
        <v>0.0</v>
      </c>
    </row>
    <row r="1768" ht="14.25" customHeight="1">
      <c r="A1768" t="s">
        <v>1832</v>
      </c>
      <c r="B1768" t="s">
        <v>1828</v>
      </c>
      <c r="C1768" t="s">
        <v>62</v>
      </c>
      <c r="D1768" t="s">
        <v>63</v>
      </c>
      <c r="E1768">
        <v>2.7</v>
      </c>
      <c r="F1768">
        <v>3.0</v>
      </c>
      <c r="G1768" s="2" t="s">
        <v>64</v>
      </c>
      <c r="H1768" s="2">
        <v>0.0</v>
      </c>
      <c r="I1768" s="2">
        <v>0.0</v>
      </c>
      <c r="J1768" s="37">
        <v>0.0</v>
      </c>
      <c r="K1768" s="2">
        <v>0.0</v>
      </c>
      <c r="L1768" s="2">
        <v>0.0</v>
      </c>
      <c r="M1768" s="37">
        <v>0.0</v>
      </c>
    </row>
    <row r="1769" ht="14.25" customHeight="1">
      <c r="A1769" t="s">
        <v>1833</v>
      </c>
      <c r="B1769" t="s">
        <v>1828</v>
      </c>
      <c r="C1769" t="s">
        <v>62</v>
      </c>
      <c r="D1769" t="s">
        <v>63</v>
      </c>
      <c r="E1769">
        <v>3.517</v>
      </c>
      <c r="F1769">
        <v>3.8</v>
      </c>
      <c r="G1769" s="2" t="s">
        <v>64</v>
      </c>
      <c r="H1769" s="2">
        <v>0.0</v>
      </c>
      <c r="I1769" s="2">
        <v>0.0</v>
      </c>
      <c r="J1769" s="37">
        <v>0.0</v>
      </c>
      <c r="K1769" s="2">
        <v>0.0</v>
      </c>
      <c r="L1769" s="2">
        <v>0.0</v>
      </c>
      <c r="M1769" s="37">
        <v>0.0</v>
      </c>
    </row>
    <row r="1770" ht="14.25" customHeight="1">
      <c r="A1770" t="s">
        <v>1834</v>
      </c>
      <c r="B1770" t="s">
        <v>1835</v>
      </c>
      <c r="C1770" t="s">
        <v>62</v>
      </c>
      <c r="D1770" t="s">
        <v>268</v>
      </c>
      <c r="E1770">
        <v>4.7</v>
      </c>
      <c r="F1770">
        <v>4.0</v>
      </c>
      <c r="G1770" s="2" t="s">
        <v>64</v>
      </c>
      <c r="H1770" s="2">
        <v>0.0</v>
      </c>
      <c r="I1770" s="2">
        <v>0.0</v>
      </c>
      <c r="J1770" s="37">
        <v>0.0</v>
      </c>
      <c r="K1770" s="2">
        <v>0.0</v>
      </c>
      <c r="L1770" s="2">
        <v>0.0</v>
      </c>
      <c r="M1770" s="37">
        <v>0.0</v>
      </c>
    </row>
    <row r="1771" ht="14.25" customHeight="1">
      <c r="A1771" t="s">
        <v>1836</v>
      </c>
      <c r="B1771" t="s">
        <v>1835</v>
      </c>
      <c r="C1771" t="s">
        <v>62</v>
      </c>
      <c r="D1771" t="s">
        <v>268</v>
      </c>
      <c r="E1771">
        <v>4.7</v>
      </c>
      <c r="F1771">
        <v>4.0</v>
      </c>
      <c r="G1771" s="2" t="s">
        <v>64</v>
      </c>
      <c r="H1771" s="2">
        <v>0.0</v>
      </c>
      <c r="I1771" s="2">
        <v>0.0</v>
      </c>
      <c r="J1771" s="37">
        <v>0.0</v>
      </c>
      <c r="K1771" s="2">
        <v>0.0</v>
      </c>
      <c r="L1771" s="2">
        <v>0.0</v>
      </c>
      <c r="M1771" s="37">
        <v>0.0</v>
      </c>
    </row>
    <row r="1772" ht="14.25" customHeight="1">
      <c r="A1772" t="s">
        <v>1837</v>
      </c>
      <c r="B1772" t="s">
        <v>1835</v>
      </c>
      <c r="C1772" t="s">
        <v>62</v>
      </c>
      <c r="D1772" t="s">
        <v>268</v>
      </c>
      <c r="E1772">
        <v>4.7</v>
      </c>
      <c r="F1772">
        <v>4.0</v>
      </c>
      <c r="G1772" s="2" t="s">
        <v>64</v>
      </c>
      <c r="H1772" s="2">
        <v>0.0</v>
      </c>
      <c r="I1772" s="2">
        <v>0.0</v>
      </c>
      <c r="J1772" s="37">
        <v>0.0</v>
      </c>
      <c r="K1772" s="2">
        <v>0.0</v>
      </c>
      <c r="L1772" s="2">
        <v>0.0</v>
      </c>
      <c r="M1772" s="37">
        <v>0.0</v>
      </c>
    </row>
    <row r="1773" ht="14.25" customHeight="1">
      <c r="A1773" t="s">
        <v>1838</v>
      </c>
      <c r="B1773" t="s">
        <v>1835</v>
      </c>
      <c r="C1773" t="s">
        <v>62</v>
      </c>
      <c r="D1773" t="s">
        <v>268</v>
      </c>
      <c r="E1773">
        <v>4.7</v>
      </c>
      <c r="F1773">
        <v>4.0</v>
      </c>
      <c r="G1773" s="2" t="s">
        <v>64</v>
      </c>
      <c r="H1773" s="2">
        <v>0.0</v>
      </c>
      <c r="I1773" s="2">
        <v>0.0</v>
      </c>
      <c r="J1773" s="37">
        <v>0.0</v>
      </c>
      <c r="K1773" s="2">
        <v>0.0</v>
      </c>
      <c r="L1773" s="2">
        <v>0.0</v>
      </c>
      <c r="M1773" s="37">
        <v>0.0</v>
      </c>
    </row>
    <row r="1774" ht="14.25" customHeight="1">
      <c r="A1774" t="s">
        <v>1839</v>
      </c>
      <c r="B1774" t="s">
        <v>1835</v>
      </c>
      <c r="C1774" t="s">
        <v>62</v>
      </c>
      <c r="D1774" t="s">
        <v>268</v>
      </c>
      <c r="E1774">
        <v>4.7</v>
      </c>
      <c r="F1774">
        <v>4.0</v>
      </c>
      <c r="G1774" s="2" t="s">
        <v>64</v>
      </c>
      <c r="H1774" s="2">
        <v>0.0</v>
      </c>
      <c r="I1774" s="2">
        <v>0.0</v>
      </c>
      <c r="J1774" s="37">
        <v>0.0</v>
      </c>
      <c r="K1774" s="2">
        <v>0.0</v>
      </c>
      <c r="L1774" s="2">
        <v>0.0</v>
      </c>
      <c r="M1774" s="37">
        <v>0.0</v>
      </c>
    </row>
    <row r="1775" ht="14.25" customHeight="1">
      <c r="A1775" t="s">
        <v>1840</v>
      </c>
      <c r="B1775" t="s">
        <v>1835</v>
      </c>
      <c r="C1775" t="s">
        <v>62</v>
      </c>
      <c r="D1775" t="s">
        <v>268</v>
      </c>
      <c r="E1775">
        <v>4.7</v>
      </c>
      <c r="F1775">
        <v>4.0</v>
      </c>
      <c r="G1775" s="2" t="s">
        <v>64</v>
      </c>
      <c r="H1775" s="2">
        <v>0.0</v>
      </c>
      <c r="I1775" s="2">
        <v>0.0</v>
      </c>
      <c r="J1775" s="37">
        <v>0.0</v>
      </c>
      <c r="K1775" s="2">
        <v>0.0</v>
      </c>
      <c r="L1775" s="2">
        <v>0.0</v>
      </c>
      <c r="M1775" s="37">
        <v>0.0</v>
      </c>
    </row>
    <row r="1776" ht="14.25" customHeight="1">
      <c r="A1776" t="s">
        <v>1841</v>
      </c>
      <c r="B1776" t="s">
        <v>1835</v>
      </c>
      <c r="C1776" t="s">
        <v>62</v>
      </c>
      <c r="D1776" t="s">
        <v>467</v>
      </c>
      <c r="E1776">
        <v>2.6</v>
      </c>
      <c r="F1776">
        <v>2.9</v>
      </c>
      <c r="G1776" s="2" t="s">
        <v>64</v>
      </c>
      <c r="H1776" s="2">
        <v>0.0</v>
      </c>
      <c r="I1776" s="2">
        <v>0.0</v>
      </c>
      <c r="J1776" s="37">
        <v>0.0</v>
      </c>
      <c r="K1776" s="2">
        <v>0.0</v>
      </c>
      <c r="L1776" s="2">
        <v>0.0</v>
      </c>
      <c r="M1776" s="37">
        <v>0.0</v>
      </c>
    </row>
    <row r="1777" ht="14.25" customHeight="1">
      <c r="A1777" t="s">
        <v>1842</v>
      </c>
      <c r="B1777" t="s">
        <v>1835</v>
      </c>
      <c r="C1777" t="s">
        <v>62</v>
      </c>
      <c r="D1777" t="s">
        <v>467</v>
      </c>
      <c r="E1777">
        <v>2.6</v>
      </c>
      <c r="F1777">
        <v>2.9</v>
      </c>
      <c r="G1777" s="2" t="s">
        <v>64</v>
      </c>
      <c r="H1777" s="2">
        <v>0.0</v>
      </c>
      <c r="I1777" s="2">
        <v>0.0</v>
      </c>
      <c r="J1777" s="37">
        <v>0.0</v>
      </c>
      <c r="K1777" s="2">
        <v>0.0</v>
      </c>
      <c r="L1777" s="2">
        <v>0.0</v>
      </c>
      <c r="M1777" s="37">
        <v>0.0</v>
      </c>
    </row>
    <row r="1778" ht="14.25" customHeight="1">
      <c r="A1778" t="s">
        <v>1843</v>
      </c>
      <c r="B1778" t="s">
        <v>1835</v>
      </c>
      <c r="C1778" t="s">
        <v>62</v>
      </c>
      <c r="D1778" t="s">
        <v>467</v>
      </c>
      <c r="E1778">
        <v>2.6</v>
      </c>
      <c r="F1778">
        <v>2.9</v>
      </c>
      <c r="G1778" s="2" t="s">
        <v>64</v>
      </c>
      <c r="H1778" s="2">
        <v>0.0</v>
      </c>
      <c r="I1778" s="2">
        <v>0.0</v>
      </c>
      <c r="J1778" s="37">
        <v>0.0</v>
      </c>
      <c r="K1778" s="2">
        <v>0.0</v>
      </c>
      <c r="L1778" s="2">
        <v>0.0</v>
      </c>
      <c r="M1778" s="37">
        <v>0.0</v>
      </c>
    </row>
    <row r="1779" ht="14.25" customHeight="1">
      <c r="A1779" t="s">
        <v>1844</v>
      </c>
      <c r="B1779" t="s">
        <v>1835</v>
      </c>
      <c r="C1779" t="s">
        <v>62</v>
      </c>
      <c r="D1779" t="s">
        <v>467</v>
      </c>
      <c r="E1779">
        <v>2.6</v>
      </c>
      <c r="F1779">
        <v>2.9</v>
      </c>
      <c r="G1779" s="2" t="s">
        <v>64</v>
      </c>
      <c r="H1779" s="2">
        <v>0.0</v>
      </c>
      <c r="I1779" s="2">
        <v>0.0</v>
      </c>
      <c r="J1779" s="37">
        <v>0.0</v>
      </c>
      <c r="K1779" s="2">
        <v>0.0</v>
      </c>
      <c r="L1779" s="2">
        <v>0.0</v>
      </c>
      <c r="M1779" s="37">
        <v>0.0</v>
      </c>
    </row>
    <row r="1780" ht="14.25" customHeight="1">
      <c r="A1780" t="s">
        <v>1845</v>
      </c>
      <c r="B1780" t="s">
        <v>1835</v>
      </c>
      <c r="C1780" t="s">
        <v>62</v>
      </c>
      <c r="D1780" t="s">
        <v>63</v>
      </c>
      <c r="E1780">
        <v>7.04</v>
      </c>
      <c r="F1780">
        <v>8.2</v>
      </c>
      <c r="G1780" s="2" t="s">
        <v>64</v>
      </c>
      <c r="H1780" s="2">
        <v>0.0</v>
      </c>
      <c r="I1780" s="2">
        <v>0.0</v>
      </c>
      <c r="J1780" s="37">
        <v>0.0</v>
      </c>
      <c r="K1780" s="2">
        <v>0.0</v>
      </c>
      <c r="L1780" s="2">
        <v>0.0</v>
      </c>
      <c r="M1780" s="37">
        <v>0.0</v>
      </c>
    </row>
    <row r="1781" ht="14.25" customHeight="1">
      <c r="A1781" t="s">
        <v>1846</v>
      </c>
      <c r="B1781" t="s">
        <v>1835</v>
      </c>
      <c r="C1781" t="s">
        <v>62</v>
      </c>
      <c r="D1781" t="s">
        <v>63</v>
      </c>
      <c r="E1781">
        <v>7.04</v>
      </c>
      <c r="F1781">
        <v>8.2</v>
      </c>
      <c r="G1781" s="2" t="s">
        <v>64</v>
      </c>
      <c r="H1781" s="2">
        <v>0.0</v>
      </c>
      <c r="I1781" s="2">
        <v>0.0</v>
      </c>
      <c r="J1781" s="37">
        <v>0.0</v>
      </c>
      <c r="K1781" s="2">
        <v>0.0</v>
      </c>
      <c r="L1781" s="2">
        <v>0.0</v>
      </c>
      <c r="M1781" s="37">
        <v>0.0</v>
      </c>
    </row>
    <row r="1782" ht="14.25" customHeight="1">
      <c r="A1782" t="s">
        <v>1847</v>
      </c>
      <c r="B1782" t="s">
        <v>1835</v>
      </c>
      <c r="C1782" t="s">
        <v>62</v>
      </c>
      <c r="D1782" t="s">
        <v>63</v>
      </c>
      <c r="E1782">
        <v>7.04</v>
      </c>
      <c r="F1782">
        <v>8.2</v>
      </c>
      <c r="G1782" s="2" t="s">
        <v>64</v>
      </c>
      <c r="H1782" s="2">
        <v>0.0</v>
      </c>
      <c r="I1782" s="2">
        <v>0.0</v>
      </c>
      <c r="J1782" s="37">
        <v>0.0</v>
      </c>
      <c r="K1782" s="2">
        <v>0.0</v>
      </c>
      <c r="L1782" s="2">
        <v>0.0</v>
      </c>
      <c r="M1782" s="37">
        <v>0.0</v>
      </c>
    </row>
    <row r="1783" ht="14.25" customHeight="1">
      <c r="A1783" t="s">
        <v>1848</v>
      </c>
      <c r="B1783" t="s">
        <v>1835</v>
      </c>
      <c r="C1783" t="s">
        <v>62</v>
      </c>
      <c r="D1783" t="s">
        <v>63</v>
      </c>
      <c r="E1783">
        <v>7.04</v>
      </c>
      <c r="F1783">
        <v>8.2</v>
      </c>
      <c r="G1783" s="2" t="s">
        <v>64</v>
      </c>
      <c r="H1783" s="2">
        <v>0.0</v>
      </c>
      <c r="I1783" s="2">
        <v>0.0</v>
      </c>
      <c r="J1783" s="37">
        <v>0.0</v>
      </c>
      <c r="K1783" s="2">
        <v>0.0</v>
      </c>
      <c r="L1783" s="2">
        <v>0.0</v>
      </c>
      <c r="M1783" s="37">
        <v>0.0</v>
      </c>
    </row>
    <row r="1784" ht="14.25" customHeight="1">
      <c r="A1784" t="s">
        <v>1849</v>
      </c>
      <c r="B1784" t="s">
        <v>1835</v>
      </c>
      <c r="C1784" t="s">
        <v>62</v>
      </c>
      <c r="D1784" t="s">
        <v>63</v>
      </c>
      <c r="E1784">
        <v>2.64</v>
      </c>
      <c r="F1784">
        <v>2.9</v>
      </c>
      <c r="G1784" s="2" t="s">
        <v>67</v>
      </c>
      <c r="H1784" s="2">
        <v>7.0</v>
      </c>
      <c r="I1784" s="2">
        <v>15.0</v>
      </c>
      <c r="J1784" s="37">
        <v>176.72</v>
      </c>
      <c r="K1784" s="2">
        <v>9.0</v>
      </c>
      <c r="L1784" s="2">
        <v>36.0</v>
      </c>
      <c r="M1784" s="37">
        <v>248.94000000000003</v>
      </c>
    </row>
    <row r="1785" ht="14.25" customHeight="1">
      <c r="A1785" t="s">
        <v>1850</v>
      </c>
      <c r="B1785" t="s">
        <v>1835</v>
      </c>
      <c r="C1785" t="s">
        <v>62</v>
      </c>
      <c r="D1785" t="s">
        <v>63</v>
      </c>
      <c r="E1785">
        <v>2.64</v>
      </c>
      <c r="F1785">
        <v>2.9</v>
      </c>
      <c r="G1785" s="2" t="s">
        <v>67</v>
      </c>
      <c r="H1785" s="2">
        <v>7.0</v>
      </c>
      <c r="I1785" s="2">
        <v>15.0</v>
      </c>
      <c r="J1785" s="37">
        <v>176.72</v>
      </c>
      <c r="K1785" s="2">
        <v>9.0</v>
      </c>
      <c r="L1785" s="2">
        <v>36.0</v>
      </c>
      <c r="M1785" s="37">
        <v>248.94000000000003</v>
      </c>
    </row>
    <row r="1786" ht="14.25" customHeight="1">
      <c r="A1786" t="s">
        <v>1851</v>
      </c>
      <c r="B1786" t="s">
        <v>1835</v>
      </c>
      <c r="C1786" t="s">
        <v>62</v>
      </c>
      <c r="D1786" t="s">
        <v>63</v>
      </c>
      <c r="E1786">
        <v>2.64</v>
      </c>
      <c r="F1786">
        <v>2.9</v>
      </c>
      <c r="G1786" s="2" t="s">
        <v>67</v>
      </c>
      <c r="H1786" s="2">
        <v>7.0</v>
      </c>
      <c r="I1786" s="2">
        <v>15.0</v>
      </c>
      <c r="J1786" s="37">
        <v>176.72</v>
      </c>
      <c r="K1786" s="2">
        <v>9.0</v>
      </c>
      <c r="L1786" s="2">
        <v>36.0</v>
      </c>
      <c r="M1786" s="37">
        <v>248.94000000000003</v>
      </c>
    </row>
    <row r="1787" ht="14.25" customHeight="1">
      <c r="A1787" t="s">
        <v>1852</v>
      </c>
      <c r="B1787" t="s">
        <v>1835</v>
      </c>
      <c r="C1787" t="s">
        <v>62</v>
      </c>
      <c r="D1787" t="s">
        <v>63</v>
      </c>
      <c r="E1787">
        <v>2.64</v>
      </c>
      <c r="F1787">
        <v>2.9</v>
      </c>
      <c r="G1787" s="2" t="s">
        <v>67</v>
      </c>
      <c r="H1787" s="2">
        <v>7.0</v>
      </c>
      <c r="I1787" s="2">
        <v>15.0</v>
      </c>
      <c r="J1787" s="37">
        <v>176.72</v>
      </c>
      <c r="K1787" s="2">
        <v>9.0</v>
      </c>
      <c r="L1787" s="2">
        <v>36.0</v>
      </c>
      <c r="M1787" s="37">
        <v>248.94000000000003</v>
      </c>
    </row>
    <row r="1788" ht="14.25" customHeight="1">
      <c r="A1788" t="s">
        <v>1853</v>
      </c>
      <c r="B1788" t="s">
        <v>1835</v>
      </c>
      <c r="C1788" t="s">
        <v>62</v>
      </c>
      <c r="D1788" t="s">
        <v>63</v>
      </c>
      <c r="E1788">
        <v>8.2</v>
      </c>
      <c r="F1788">
        <v>8.5</v>
      </c>
      <c r="G1788" s="2" t="s">
        <v>67</v>
      </c>
      <c r="H1788" s="2">
        <v>24.0</v>
      </c>
      <c r="I1788" s="2">
        <v>73.0</v>
      </c>
      <c r="J1788" s="37">
        <v>633.9399999999999</v>
      </c>
      <c r="K1788" s="2">
        <v>28.0</v>
      </c>
      <c r="L1788" s="2">
        <v>147.0</v>
      </c>
      <c r="M1788" s="37">
        <v>819.98</v>
      </c>
    </row>
    <row r="1789" ht="14.25" customHeight="1">
      <c r="A1789" t="s">
        <v>1854</v>
      </c>
      <c r="B1789" t="s">
        <v>1835</v>
      </c>
      <c r="C1789" t="s">
        <v>62</v>
      </c>
      <c r="D1789" t="s">
        <v>63</v>
      </c>
      <c r="E1789">
        <v>8.2</v>
      </c>
      <c r="F1789">
        <v>8.5</v>
      </c>
      <c r="G1789" s="2" t="s">
        <v>67</v>
      </c>
      <c r="H1789" s="2">
        <v>24.0</v>
      </c>
      <c r="I1789" s="2">
        <v>73.0</v>
      </c>
      <c r="J1789" s="37">
        <v>633.9399999999999</v>
      </c>
      <c r="K1789" s="2">
        <v>28.0</v>
      </c>
      <c r="L1789" s="2">
        <v>147.0</v>
      </c>
      <c r="M1789" s="37">
        <v>819.98</v>
      </c>
    </row>
    <row r="1790" ht="14.25" customHeight="1">
      <c r="A1790" t="s">
        <v>1855</v>
      </c>
      <c r="B1790" t="s">
        <v>1835</v>
      </c>
      <c r="C1790" t="s">
        <v>62</v>
      </c>
      <c r="D1790" t="s">
        <v>63</v>
      </c>
      <c r="E1790">
        <v>8.2</v>
      </c>
      <c r="F1790">
        <v>8.5</v>
      </c>
      <c r="G1790" s="2" t="s">
        <v>67</v>
      </c>
      <c r="H1790" s="2">
        <v>24.0</v>
      </c>
      <c r="I1790" s="2">
        <v>73.0</v>
      </c>
      <c r="J1790" s="37">
        <v>633.9399999999999</v>
      </c>
      <c r="K1790" s="2">
        <v>28.0</v>
      </c>
      <c r="L1790" s="2">
        <v>147.0</v>
      </c>
      <c r="M1790" s="37">
        <v>819.98</v>
      </c>
    </row>
    <row r="1791" ht="14.25" customHeight="1">
      <c r="A1791" t="s">
        <v>1856</v>
      </c>
      <c r="B1791" t="s">
        <v>1835</v>
      </c>
      <c r="C1791" t="s">
        <v>62</v>
      </c>
      <c r="D1791" t="s">
        <v>63</v>
      </c>
      <c r="E1791">
        <v>8.2</v>
      </c>
      <c r="F1791">
        <v>8.5</v>
      </c>
      <c r="G1791" s="2" t="s">
        <v>67</v>
      </c>
      <c r="H1791" s="2">
        <v>24.0</v>
      </c>
      <c r="I1791" s="2">
        <v>73.0</v>
      </c>
      <c r="J1791" s="37">
        <v>633.9399999999999</v>
      </c>
      <c r="K1791" s="2">
        <v>28.0</v>
      </c>
      <c r="L1791" s="2">
        <v>147.0</v>
      </c>
      <c r="M1791" s="37">
        <v>819.98</v>
      </c>
    </row>
    <row r="1792" ht="14.25" customHeight="1">
      <c r="A1792" t="s">
        <v>1857</v>
      </c>
      <c r="B1792" t="s">
        <v>1835</v>
      </c>
      <c r="C1792" t="s">
        <v>62</v>
      </c>
      <c r="D1792" t="s">
        <v>63</v>
      </c>
      <c r="E1792">
        <v>8.2</v>
      </c>
      <c r="F1792">
        <v>8.5</v>
      </c>
      <c r="G1792" s="2" t="s">
        <v>67</v>
      </c>
      <c r="H1792" s="2">
        <v>24.0</v>
      </c>
      <c r="I1792" s="2">
        <v>73.0</v>
      </c>
      <c r="J1792" s="37">
        <v>633.9399999999999</v>
      </c>
      <c r="K1792" s="2">
        <v>28.0</v>
      </c>
      <c r="L1792" s="2">
        <v>147.0</v>
      </c>
      <c r="M1792" s="37">
        <v>819.98</v>
      </c>
    </row>
    <row r="1793" ht="14.25" customHeight="1">
      <c r="A1793" t="s">
        <v>1858</v>
      </c>
      <c r="B1793" t="s">
        <v>1835</v>
      </c>
      <c r="C1793" t="s">
        <v>62</v>
      </c>
      <c r="D1793" t="s">
        <v>63</v>
      </c>
      <c r="E1793">
        <v>5.3</v>
      </c>
      <c r="F1793">
        <v>5.3</v>
      </c>
      <c r="G1793" s="2" t="s">
        <v>67</v>
      </c>
      <c r="H1793" s="2">
        <v>15.0</v>
      </c>
      <c r="I1793" s="2">
        <v>4.0</v>
      </c>
      <c r="J1793" s="37">
        <v>342.1</v>
      </c>
      <c r="K1793" s="2">
        <v>18.0</v>
      </c>
      <c r="L1793" s="2">
        <v>53.0</v>
      </c>
      <c r="M1793" s="37">
        <v>473.18000000000006</v>
      </c>
    </row>
    <row r="1794" ht="14.25" customHeight="1">
      <c r="A1794" t="s">
        <v>1859</v>
      </c>
      <c r="B1794" t="s">
        <v>1835</v>
      </c>
      <c r="C1794" t="s">
        <v>62</v>
      </c>
      <c r="D1794" t="s">
        <v>63</v>
      </c>
      <c r="E1794">
        <v>5.3</v>
      </c>
      <c r="F1794">
        <v>5.3</v>
      </c>
      <c r="G1794" s="2" t="s">
        <v>67</v>
      </c>
      <c r="H1794" s="2">
        <v>15.0</v>
      </c>
      <c r="I1794" s="2">
        <v>4.0</v>
      </c>
      <c r="J1794" s="37">
        <v>342.1</v>
      </c>
      <c r="K1794" s="2">
        <v>18.0</v>
      </c>
      <c r="L1794" s="2">
        <v>53.0</v>
      </c>
      <c r="M1794" s="37">
        <v>473.18000000000006</v>
      </c>
    </row>
    <row r="1795" ht="14.25" customHeight="1">
      <c r="A1795" t="s">
        <v>1860</v>
      </c>
      <c r="B1795" t="s">
        <v>1835</v>
      </c>
      <c r="C1795" t="s">
        <v>62</v>
      </c>
      <c r="D1795" t="s">
        <v>63</v>
      </c>
      <c r="E1795">
        <v>5.3</v>
      </c>
      <c r="F1795">
        <v>5.3</v>
      </c>
      <c r="G1795" s="2" t="s">
        <v>67</v>
      </c>
      <c r="H1795" s="2">
        <v>15.0</v>
      </c>
      <c r="I1795" s="2">
        <v>4.0</v>
      </c>
      <c r="J1795" s="37">
        <v>342.1</v>
      </c>
      <c r="K1795" s="2">
        <v>18.0</v>
      </c>
      <c r="L1795" s="2">
        <v>53.0</v>
      </c>
      <c r="M1795" s="37">
        <v>473.18000000000006</v>
      </c>
    </row>
    <row r="1796" ht="14.25" customHeight="1">
      <c r="A1796" t="s">
        <v>1861</v>
      </c>
      <c r="B1796" t="s">
        <v>1835</v>
      </c>
      <c r="C1796" t="s">
        <v>62</v>
      </c>
      <c r="D1796" t="s">
        <v>63</v>
      </c>
      <c r="E1796">
        <v>5.3</v>
      </c>
      <c r="F1796">
        <v>5.3</v>
      </c>
      <c r="G1796" s="2" t="s">
        <v>67</v>
      </c>
      <c r="H1796" s="2">
        <v>15.0</v>
      </c>
      <c r="I1796" s="2">
        <v>4.0</v>
      </c>
      <c r="J1796" s="37">
        <v>342.1</v>
      </c>
      <c r="K1796" s="2">
        <v>18.0</v>
      </c>
      <c r="L1796" s="2">
        <v>53.0</v>
      </c>
      <c r="M1796" s="37">
        <v>473.18000000000006</v>
      </c>
    </row>
    <row r="1797" ht="14.25" customHeight="1">
      <c r="A1797" t="s">
        <v>1862</v>
      </c>
      <c r="B1797" t="s">
        <v>1835</v>
      </c>
      <c r="C1797" t="s">
        <v>62</v>
      </c>
      <c r="D1797" t="s">
        <v>63</v>
      </c>
      <c r="E1797">
        <v>3.5</v>
      </c>
      <c r="F1797">
        <v>4.0</v>
      </c>
      <c r="G1797" s="2" t="s">
        <v>64</v>
      </c>
      <c r="H1797" s="2">
        <v>0.0</v>
      </c>
      <c r="I1797" s="2">
        <v>0.0</v>
      </c>
      <c r="J1797" s="37">
        <v>0.0</v>
      </c>
      <c r="K1797" s="2">
        <v>0.0</v>
      </c>
      <c r="L1797" s="2">
        <v>0.0</v>
      </c>
      <c r="M1797" s="37">
        <v>0.0</v>
      </c>
    </row>
    <row r="1798" ht="14.25" customHeight="1">
      <c r="A1798" t="s">
        <v>1863</v>
      </c>
      <c r="B1798" t="s">
        <v>1835</v>
      </c>
      <c r="C1798" t="s">
        <v>62</v>
      </c>
      <c r="D1798" t="s">
        <v>63</v>
      </c>
      <c r="E1798">
        <v>3.5</v>
      </c>
      <c r="F1798">
        <v>4.0</v>
      </c>
      <c r="G1798" s="2" t="s">
        <v>64</v>
      </c>
      <c r="H1798" s="2">
        <v>0.0</v>
      </c>
      <c r="I1798" s="2">
        <v>0.0</v>
      </c>
      <c r="J1798" s="37">
        <v>0.0</v>
      </c>
      <c r="K1798" s="2">
        <v>0.0</v>
      </c>
      <c r="L1798" s="2">
        <v>0.0</v>
      </c>
      <c r="M1798" s="37">
        <v>0.0</v>
      </c>
    </row>
    <row r="1799" ht="14.25" customHeight="1">
      <c r="A1799" t="s">
        <v>1864</v>
      </c>
      <c r="B1799" t="s">
        <v>1835</v>
      </c>
      <c r="C1799" t="s">
        <v>62</v>
      </c>
      <c r="D1799" t="s">
        <v>63</v>
      </c>
      <c r="E1799">
        <v>3.5</v>
      </c>
      <c r="F1799">
        <v>4.0</v>
      </c>
      <c r="G1799" s="2" t="s">
        <v>64</v>
      </c>
      <c r="H1799" s="2">
        <v>0.0</v>
      </c>
      <c r="I1799" s="2">
        <v>0.0</v>
      </c>
      <c r="J1799" s="37">
        <v>0.0</v>
      </c>
      <c r="K1799" s="2">
        <v>0.0</v>
      </c>
      <c r="L1799" s="2">
        <v>0.0</v>
      </c>
      <c r="M1799" s="37">
        <v>0.0</v>
      </c>
    </row>
    <row r="1800" ht="14.25" customHeight="1">
      <c r="A1800" t="s">
        <v>1865</v>
      </c>
      <c r="B1800" t="s">
        <v>1835</v>
      </c>
      <c r="C1800" t="s">
        <v>62</v>
      </c>
      <c r="D1800" t="s">
        <v>63</v>
      </c>
      <c r="E1800">
        <v>3.5</v>
      </c>
      <c r="F1800">
        <v>4.0</v>
      </c>
      <c r="G1800" s="2" t="s">
        <v>64</v>
      </c>
      <c r="H1800" s="2">
        <v>0.0</v>
      </c>
      <c r="I1800" s="2">
        <v>0.0</v>
      </c>
      <c r="J1800" s="37">
        <v>0.0</v>
      </c>
      <c r="K1800" s="2">
        <v>0.0</v>
      </c>
      <c r="L1800" s="2">
        <v>0.0</v>
      </c>
      <c r="M1800" s="37">
        <v>0.0</v>
      </c>
    </row>
    <row r="1801" ht="14.25" customHeight="1">
      <c r="A1801" t="s">
        <v>1866</v>
      </c>
      <c r="B1801" t="s">
        <v>1835</v>
      </c>
      <c r="C1801" t="s">
        <v>62</v>
      </c>
      <c r="D1801" t="s">
        <v>467</v>
      </c>
      <c r="E1801">
        <v>3.08</v>
      </c>
      <c r="F1801">
        <v>3.22</v>
      </c>
      <c r="G1801" s="2" t="s">
        <v>64</v>
      </c>
      <c r="H1801" s="2">
        <v>0.0</v>
      </c>
      <c r="I1801" s="2">
        <v>0.0</v>
      </c>
      <c r="J1801" s="37">
        <v>0.0</v>
      </c>
      <c r="K1801" s="2">
        <v>0.0</v>
      </c>
      <c r="L1801" s="2">
        <v>0.0</v>
      </c>
      <c r="M1801" s="37">
        <v>0.0</v>
      </c>
    </row>
    <row r="1802" ht="14.25" customHeight="1">
      <c r="A1802" t="s">
        <v>1867</v>
      </c>
      <c r="B1802" t="s">
        <v>1835</v>
      </c>
      <c r="C1802" t="s">
        <v>62</v>
      </c>
      <c r="D1802" t="s">
        <v>467</v>
      </c>
      <c r="E1802">
        <v>3.08</v>
      </c>
      <c r="F1802">
        <v>3.22</v>
      </c>
      <c r="G1802" s="2" t="s">
        <v>64</v>
      </c>
      <c r="H1802" s="2">
        <v>0.0</v>
      </c>
      <c r="I1802" s="2">
        <v>0.0</v>
      </c>
      <c r="J1802" s="37">
        <v>0.0</v>
      </c>
      <c r="K1802" s="2">
        <v>0.0</v>
      </c>
      <c r="L1802" s="2">
        <v>0.0</v>
      </c>
      <c r="M1802" s="37">
        <v>0.0</v>
      </c>
    </row>
    <row r="1803" ht="14.25" customHeight="1">
      <c r="A1803" t="s">
        <v>1868</v>
      </c>
      <c r="B1803" t="s">
        <v>1835</v>
      </c>
      <c r="C1803" t="s">
        <v>62</v>
      </c>
      <c r="D1803" t="s">
        <v>467</v>
      </c>
      <c r="E1803">
        <v>3.08</v>
      </c>
      <c r="F1803">
        <v>3.22</v>
      </c>
      <c r="G1803" s="2" t="s">
        <v>64</v>
      </c>
      <c r="H1803" s="2">
        <v>0.0</v>
      </c>
      <c r="I1803" s="2">
        <v>0.0</v>
      </c>
      <c r="J1803" s="37">
        <v>0.0</v>
      </c>
      <c r="K1803" s="2">
        <v>0.0</v>
      </c>
      <c r="L1803" s="2">
        <v>0.0</v>
      </c>
      <c r="M1803" s="37">
        <v>0.0</v>
      </c>
    </row>
    <row r="1804" ht="14.25" customHeight="1">
      <c r="A1804" t="s">
        <v>1869</v>
      </c>
      <c r="B1804" t="s">
        <v>1835</v>
      </c>
      <c r="C1804" t="s">
        <v>62</v>
      </c>
      <c r="D1804" t="s">
        <v>467</v>
      </c>
      <c r="E1804">
        <v>3.08</v>
      </c>
      <c r="F1804">
        <v>3.22</v>
      </c>
      <c r="G1804" s="2" t="s">
        <v>64</v>
      </c>
      <c r="H1804" s="2">
        <v>0.0</v>
      </c>
      <c r="I1804" s="2">
        <v>0.0</v>
      </c>
      <c r="J1804" s="37">
        <v>0.0</v>
      </c>
      <c r="K1804" s="2">
        <v>0.0</v>
      </c>
      <c r="L1804" s="2">
        <v>0.0</v>
      </c>
      <c r="M1804" s="37">
        <v>0.0</v>
      </c>
    </row>
    <row r="1805" ht="14.25" customHeight="1">
      <c r="A1805" t="s">
        <v>1870</v>
      </c>
      <c r="B1805" t="s">
        <v>1835</v>
      </c>
      <c r="C1805" t="s">
        <v>62</v>
      </c>
      <c r="D1805" t="s">
        <v>467</v>
      </c>
      <c r="E1805">
        <v>3.08</v>
      </c>
      <c r="F1805">
        <v>3.22</v>
      </c>
      <c r="G1805" s="2" t="s">
        <v>64</v>
      </c>
      <c r="H1805" s="2">
        <v>0.0</v>
      </c>
      <c r="I1805" s="2">
        <v>0.0</v>
      </c>
      <c r="J1805" s="37">
        <v>0.0</v>
      </c>
      <c r="K1805" s="2">
        <v>0.0</v>
      </c>
      <c r="L1805" s="2">
        <v>0.0</v>
      </c>
      <c r="M1805" s="37">
        <v>0.0</v>
      </c>
    </row>
    <row r="1806" ht="14.25" customHeight="1">
      <c r="A1806" t="s">
        <v>1871</v>
      </c>
      <c r="B1806" t="s">
        <v>1835</v>
      </c>
      <c r="C1806" t="s">
        <v>62</v>
      </c>
      <c r="D1806" t="s">
        <v>467</v>
      </c>
      <c r="E1806">
        <v>2.7</v>
      </c>
      <c r="F1806">
        <v>2.4</v>
      </c>
      <c r="G1806" s="2" t="s">
        <v>64</v>
      </c>
      <c r="H1806" s="2">
        <v>0.0</v>
      </c>
      <c r="I1806" s="2">
        <v>0.0</v>
      </c>
      <c r="J1806" s="37">
        <v>0.0</v>
      </c>
      <c r="K1806" s="2">
        <v>0.0</v>
      </c>
      <c r="L1806" s="2">
        <v>0.0</v>
      </c>
      <c r="M1806" s="37">
        <v>0.0</v>
      </c>
    </row>
    <row r="1807" ht="14.25" customHeight="1">
      <c r="A1807" t="s">
        <v>1872</v>
      </c>
      <c r="B1807" t="s">
        <v>1835</v>
      </c>
      <c r="C1807" t="s">
        <v>62</v>
      </c>
      <c r="D1807" t="s">
        <v>467</v>
      </c>
      <c r="E1807">
        <v>2.7</v>
      </c>
      <c r="F1807">
        <v>2.4</v>
      </c>
      <c r="G1807" s="2" t="s">
        <v>64</v>
      </c>
      <c r="H1807" s="2">
        <v>0.0</v>
      </c>
      <c r="I1807" s="2">
        <v>0.0</v>
      </c>
      <c r="J1807" s="37">
        <v>0.0</v>
      </c>
      <c r="K1807" s="2">
        <v>0.0</v>
      </c>
      <c r="L1807" s="2">
        <v>0.0</v>
      </c>
      <c r="M1807" s="37">
        <v>0.0</v>
      </c>
    </row>
    <row r="1808" ht="14.25" customHeight="1">
      <c r="A1808" t="s">
        <v>1873</v>
      </c>
      <c r="B1808" t="s">
        <v>1835</v>
      </c>
      <c r="C1808" t="s">
        <v>62</v>
      </c>
      <c r="D1808" t="s">
        <v>467</v>
      </c>
      <c r="E1808">
        <v>2.7</v>
      </c>
      <c r="F1808">
        <v>2.4</v>
      </c>
      <c r="G1808" s="2" t="s">
        <v>64</v>
      </c>
      <c r="H1808" s="2">
        <v>0.0</v>
      </c>
      <c r="I1808" s="2">
        <v>0.0</v>
      </c>
      <c r="J1808" s="37">
        <v>0.0</v>
      </c>
      <c r="K1808" s="2">
        <v>0.0</v>
      </c>
      <c r="L1808" s="2">
        <v>0.0</v>
      </c>
      <c r="M1808" s="37">
        <v>0.0</v>
      </c>
    </row>
    <row r="1809" ht="14.25" customHeight="1">
      <c r="A1809" t="s">
        <v>1874</v>
      </c>
      <c r="B1809" t="s">
        <v>1835</v>
      </c>
      <c r="C1809" t="s">
        <v>62</v>
      </c>
      <c r="D1809" t="s">
        <v>467</v>
      </c>
      <c r="E1809">
        <v>2.7</v>
      </c>
      <c r="F1809">
        <v>2.4</v>
      </c>
      <c r="G1809" s="2" t="s">
        <v>64</v>
      </c>
      <c r="H1809" s="2">
        <v>0.0</v>
      </c>
      <c r="I1809" s="2">
        <v>0.0</v>
      </c>
      <c r="J1809" s="37">
        <v>0.0</v>
      </c>
      <c r="K1809" s="2">
        <v>0.0</v>
      </c>
      <c r="L1809" s="2">
        <v>0.0</v>
      </c>
      <c r="M1809" s="37">
        <v>0.0</v>
      </c>
    </row>
    <row r="1810" ht="14.25" customHeight="1">
      <c r="A1810" t="s">
        <v>1875</v>
      </c>
      <c r="B1810" t="s">
        <v>1835</v>
      </c>
      <c r="C1810" t="s">
        <v>62</v>
      </c>
      <c r="D1810" t="s">
        <v>467</v>
      </c>
      <c r="E1810">
        <v>2.7</v>
      </c>
      <c r="F1810">
        <v>2.4</v>
      </c>
      <c r="G1810" s="2" t="s">
        <v>64</v>
      </c>
      <c r="H1810" s="2">
        <v>0.0</v>
      </c>
      <c r="I1810" s="2">
        <v>0.0</v>
      </c>
      <c r="J1810" s="37">
        <v>0.0</v>
      </c>
      <c r="K1810" s="2">
        <v>0.0</v>
      </c>
      <c r="L1810" s="2">
        <v>0.0</v>
      </c>
      <c r="M1810" s="37">
        <v>0.0</v>
      </c>
    </row>
    <row r="1811" ht="14.25" customHeight="1">
      <c r="A1811" t="s">
        <v>1876</v>
      </c>
      <c r="B1811" t="s">
        <v>1835</v>
      </c>
      <c r="C1811" t="s">
        <v>62</v>
      </c>
      <c r="D1811" t="s">
        <v>63</v>
      </c>
      <c r="E1811">
        <v>2.64</v>
      </c>
      <c r="F1811">
        <v>4.05</v>
      </c>
      <c r="G1811" s="2" t="s">
        <v>64</v>
      </c>
      <c r="H1811" s="2">
        <v>0.0</v>
      </c>
      <c r="I1811" s="2">
        <v>0.0</v>
      </c>
      <c r="J1811" s="37">
        <v>0.0</v>
      </c>
      <c r="K1811" s="2">
        <v>0.0</v>
      </c>
      <c r="L1811" s="2">
        <v>0.0</v>
      </c>
      <c r="M1811" s="37">
        <v>0.0</v>
      </c>
    </row>
    <row r="1812" ht="14.25" customHeight="1">
      <c r="A1812" t="s">
        <v>1877</v>
      </c>
      <c r="B1812" t="s">
        <v>1835</v>
      </c>
      <c r="C1812" t="s">
        <v>62</v>
      </c>
      <c r="D1812" t="s">
        <v>63</v>
      </c>
      <c r="E1812">
        <v>2.64</v>
      </c>
      <c r="F1812">
        <v>4.05</v>
      </c>
      <c r="G1812" s="2" t="s">
        <v>64</v>
      </c>
      <c r="H1812" s="2">
        <v>0.0</v>
      </c>
      <c r="I1812" s="2">
        <v>0.0</v>
      </c>
      <c r="J1812" s="37">
        <v>0.0</v>
      </c>
      <c r="K1812" s="2">
        <v>0.0</v>
      </c>
      <c r="L1812" s="2">
        <v>0.0</v>
      </c>
      <c r="M1812" s="37">
        <v>0.0</v>
      </c>
    </row>
    <row r="1813" ht="14.25" customHeight="1">
      <c r="A1813" t="s">
        <v>1878</v>
      </c>
      <c r="B1813" t="s">
        <v>1835</v>
      </c>
      <c r="C1813" t="s">
        <v>62</v>
      </c>
      <c r="D1813" t="s">
        <v>63</v>
      </c>
      <c r="E1813">
        <v>2.64</v>
      </c>
      <c r="F1813">
        <v>4.05</v>
      </c>
      <c r="G1813" s="2" t="s">
        <v>64</v>
      </c>
      <c r="H1813" s="2">
        <v>0.0</v>
      </c>
      <c r="I1813" s="2">
        <v>0.0</v>
      </c>
      <c r="J1813" s="37">
        <v>0.0</v>
      </c>
      <c r="K1813" s="2">
        <v>0.0</v>
      </c>
      <c r="L1813" s="2">
        <v>0.0</v>
      </c>
      <c r="M1813" s="37">
        <v>0.0</v>
      </c>
    </row>
    <row r="1814" ht="14.25" customHeight="1">
      <c r="A1814" t="s">
        <v>1879</v>
      </c>
      <c r="B1814" t="s">
        <v>1835</v>
      </c>
      <c r="C1814" t="s">
        <v>62</v>
      </c>
      <c r="D1814" t="s">
        <v>63</v>
      </c>
      <c r="E1814">
        <v>2.64</v>
      </c>
      <c r="F1814">
        <v>4.05</v>
      </c>
      <c r="G1814" s="2" t="s">
        <v>64</v>
      </c>
      <c r="H1814" s="2">
        <v>0.0</v>
      </c>
      <c r="I1814" s="2">
        <v>0.0</v>
      </c>
      <c r="J1814" s="37">
        <v>0.0</v>
      </c>
      <c r="K1814" s="2">
        <v>0.0</v>
      </c>
      <c r="L1814" s="2">
        <v>0.0</v>
      </c>
      <c r="M1814" s="37">
        <v>0.0</v>
      </c>
    </row>
    <row r="1815" ht="14.25" customHeight="1">
      <c r="A1815" t="s">
        <v>1880</v>
      </c>
      <c r="B1815" t="s">
        <v>1835</v>
      </c>
      <c r="C1815" t="s">
        <v>62</v>
      </c>
      <c r="D1815" t="s">
        <v>63</v>
      </c>
      <c r="E1815">
        <v>2.64</v>
      </c>
      <c r="F1815">
        <v>4.05</v>
      </c>
      <c r="G1815" s="2" t="s">
        <v>64</v>
      </c>
      <c r="H1815" s="2">
        <v>0.0</v>
      </c>
      <c r="I1815" s="2">
        <v>0.0</v>
      </c>
      <c r="J1815" s="37">
        <v>0.0</v>
      </c>
      <c r="K1815" s="2">
        <v>0.0</v>
      </c>
      <c r="L1815" s="2">
        <v>0.0</v>
      </c>
      <c r="M1815" s="37">
        <v>0.0</v>
      </c>
    </row>
    <row r="1816" ht="14.25" customHeight="1">
      <c r="A1816" t="s">
        <v>1881</v>
      </c>
      <c r="B1816" t="s">
        <v>1835</v>
      </c>
      <c r="C1816" t="s">
        <v>62</v>
      </c>
      <c r="D1816" t="s">
        <v>63</v>
      </c>
      <c r="E1816">
        <v>3.5</v>
      </c>
      <c r="F1816">
        <v>4.5</v>
      </c>
      <c r="G1816" s="2" t="s">
        <v>64</v>
      </c>
      <c r="H1816" s="2">
        <v>0.0</v>
      </c>
      <c r="I1816" s="2">
        <v>0.0</v>
      </c>
      <c r="J1816" s="37">
        <v>0.0</v>
      </c>
      <c r="K1816" s="2">
        <v>0.0</v>
      </c>
      <c r="L1816" s="2">
        <v>0.0</v>
      </c>
      <c r="M1816" s="37">
        <v>0.0</v>
      </c>
    </row>
    <row r="1817" ht="14.25" customHeight="1">
      <c r="A1817" t="s">
        <v>1882</v>
      </c>
      <c r="B1817" t="s">
        <v>1835</v>
      </c>
      <c r="C1817" t="s">
        <v>62</v>
      </c>
      <c r="D1817" t="s">
        <v>63</v>
      </c>
      <c r="E1817">
        <v>3.5</v>
      </c>
      <c r="F1817">
        <v>4.5</v>
      </c>
      <c r="G1817" s="2" t="s">
        <v>64</v>
      </c>
      <c r="H1817" s="2">
        <v>0.0</v>
      </c>
      <c r="I1817" s="2">
        <v>0.0</v>
      </c>
      <c r="J1817" s="37">
        <v>0.0</v>
      </c>
      <c r="K1817" s="2">
        <v>0.0</v>
      </c>
      <c r="L1817" s="2">
        <v>0.0</v>
      </c>
      <c r="M1817" s="37">
        <v>0.0</v>
      </c>
    </row>
    <row r="1818" ht="14.25" customHeight="1">
      <c r="A1818" t="s">
        <v>1883</v>
      </c>
      <c r="B1818" t="s">
        <v>1835</v>
      </c>
      <c r="C1818" t="s">
        <v>62</v>
      </c>
      <c r="D1818" t="s">
        <v>63</v>
      </c>
      <c r="E1818">
        <v>3.5</v>
      </c>
      <c r="F1818">
        <v>4.5</v>
      </c>
      <c r="G1818" s="2" t="s">
        <v>64</v>
      </c>
      <c r="H1818" s="2">
        <v>0.0</v>
      </c>
      <c r="I1818" s="2">
        <v>0.0</v>
      </c>
      <c r="J1818" s="37">
        <v>0.0</v>
      </c>
      <c r="K1818" s="2">
        <v>0.0</v>
      </c>
      <c r="L1818" s="2">
        <v>0.0</v>
      </c>
      <c r="M1818" s="37">
        <v>0.0</v>
      </c>
    </row>
    <row r="1819" ht="14.25" customHeight="1">
      <c r="A1819" t="s">
        <v>1884</v>
      </c>
      <c r="B1819" t="s">
        <v>1835</v>
      </c>
      <c r="C1819" t="s">
        <v>62</v>
      </c>
      <c r="D1819" t="s">
        <v>63</v>
      </c>
      <c r="E1819">
        <v>3.5</v>
      </c>
      <c r="F1819">
        <v>4.5</v>
      </c>
      <c r="G1819" s="2" t="s">
        <v>64</v>
      </c>
      <c r="H1819" s="2">
        <v>0.0</v>
      </c>
      <c r="I1819" s="2">
        <v>0.0</v>
      </c>
      <c r="J1819" s="37">
        <v>0.0</v>
      </c>
      <c r="K1819" s="2">
        <v>0.0</v>
      </c>
      <c r="L1819" s="2">
        <v>0.0</v>
      </c>
      <c r="M1819" s="37">
        <v>0.0</v>
      </c>
    </row>
    <row r="1820" ht="14.25" customHeight="1">
      <c r="A1820" t="s">
        <v>1885</v>
      </c>
      <c r="B1820" t="s">
        <v>1835</v>
      </c>
      <c r="C1820" t="s">
        <v>62</v>
      </c>
      <c r="D1820" t="s">
        <v>63</v>
      </c>
      <c r="E1820">
        <v>3.5</v>
      </c>
      <c r="F1820">
        <v>4.5</v>
      </c>
      <c r="G1820" s="2" t="s">
        <v>64</v>
      </c>
      <c r="H1820" s="2">
        <v>0.0</v>
      </c>
      <c r="I1820" s="2">
        <v>0.0</v>
      </c>
      <c r="J1820" s="37">
        <v>0.0</v>
      </c>
      <c r="K1820" s="2">
        <v>0.0</v>
      </c>
      <c r="L1820" s="2">
        <v>0.0</v>
      </c>
      <c r="M1820" s="37">
        <v>0.0</v>
      </c>
    </row>
    <row r="1821" ht="14.25" customHeight="1">
      <c r="A1821" t="s">
        <v>1886</v>
      </c>
      <c r="B1821" t="s">
        <v>1835</v>
      </c>
      <c r="C1821" t="s">
        <v>62</v>
      </c>
      <c r="D1821" t="s">
        <v>63</v>
      </c>
      <c r="E1821">
        <v>7.0</v>
      </c>
      <c r="F1821">
        <v>7.0</v>
      </c>
      <c r="G1821" s="2" t="s">
        <v>67</v>
      </c>
      <c r="H1821" s="2">
        <v>18.0</v>
      </c>
      <c r="I1821" s="2">
        <v>48.0</v>
      </c>
      <c r="J1821" s="37">
        <v>466.68000000000006</v>
      </c>
      <c r="K1821" s="2">
        <v>22.0</v>
      </c>
      <c r="L1821" s="2">
        <v>112.0</v>
      </c>
      <c r="M1821" s="37">
        <v>639.72</v>
      </c>
    </row>
    <row r="1822" ht="14.25" customHeight="1">
      <c r="A1822" t="s">
        <v>1887</v>
      </c>
      <c r="B1822" t="s">
        <v>1835</v>
      </c>
      <c r="C1822" t="s">
        <v>62</v>
      </c>
      <c r="D1822" t="s">
        <v>63</v>
      </c>
      <c r="E1822">
        <v>7.0</v>
      </c>
      <c r="F1822">
        <v>7.0</v>
      </c>
      <c r="G1822" s="2" t="s">
        <v>67</v>
      </c>
      <c r="H1822" s="2">
        <v>18.0</v>
      </c>
      <c r="I1822" s="2">
        <v>48.0</v>
      </c>
      <c r="J1822" s="37">
        <v>466.68000000000006</v>
      </c>
      <c r="K1822" s="2">
        <v>22.0</v>
      </c>
      <c r="L1822" s="2">
        <v>112.0</v>
      </c>
      <c r="M1822" s="37">
        <v>639.72</v>
      </c>
    </row>
    <row r="1823" ht="14.25" customHeight="1">
      <c r="A1823" t="s">
        <v>1888</v>
      </c>
      <c r="B1823" t="s">
        <v>1835</v>
      </c>
      <c r="C1823" t="s">
        <v>62</v>
      </c>
      <c r="D1823" t="s">
        <v>63</v>
      </c>
      <c r="E1823">
        <v>7.0</v>
      </c>
      <c r="F1823">
        <v>7.0</v>
      </c>
      <c r="G1823" s="2" t="s">
        <v>67</v>
      </c>
      <c r="H1823" s="2">
        <v>18.0</v>
      </c>
      <c r="I1823" s="2">
        <v>48.0</v>
      </c>
      <c r="J1823" s="37">
        <v>466.68000000000006</v>
      </c>
      <c r="K1823" s="2">
        <v>22.0</v>
      </c>
      <c r="L1823" s="2">
        <v>112.0</v>
      </c>
      <c r="M1823" s="37">
        <v>639.72</v>
      </c>
    </row>
    <row r="1824" ht="14.25" customHeight="1">
      <c r="A1824" t="s">
        <v>1889</v>
      </c>
      <c r="B1824" t="s">
        <v>1835</v>
      </c>
      <c r="C1824" t="s">
        <v>62</v>
      </c>
      <c r="D1824" t="s">
        <v>63</v>
      </c>
      <c r="E1824">
        <v>7.0</v>
      </c>
      <c r="F1824">
        <v>7.0</v>
      </c>
      <c r="G1824" s="2" t="s">
        <v>67</v>
      </c>
      <c r="H1824" s="2">
        <v>18.0</v>
      </c>
      <c r="I1824" s="2">
        <v>48.0</v>
      </c>
      <c r="J1824" s="37">
        <v>466.68000000000006</v>
      </c>
      <c r="K1824" s="2">
        <v>22.0</v>
      </c>
      <c r="L1824" s="2">
        <v>112.0</v>
      </c>
      <c r="M1824" s="37">
        <v>639.72</v>
      </c>
    </row>
    <row r="1825" ht="14.25" customHeight="1">
      <c r="A1825" t="s">
        <v>1890</v>
      </c>
      <c r="B1825" t="s">
        <v>1835</v>
      </c>
      <c r="C1825" t="s">
        <v>62</v>
      </c>
      <c r="D1825" t="s">
        <v>63</v>
      </c>
      <c r="E1825">
        <v>7.0</v>
      </c>
      <c r="F1825">
        <v>7.0</v>
      </c>
      <c r="G1825" s="2" t="s">
        <v>67</v>
      </c>
      <c r="H1825" s="2">
        <v>18.0</v>
      </c>
      <c r="I1825" s="2">
        <v>48.0</v>
      </c>
      <c r="J1825" s="37">
        <v>466.68000000000006</v>
      </c>
      <c r="K1825" s="2">
        <v>22.0</v>
      </c>
      <c r="L1825" s="2">
        <v>112.0</v>
      </c>
      <c r="M1825" s="37">
        <v>639.72</v>
      </c>
    </row>
    <row r="1826" ht="14.25" customHeight="1">
      <c r="A1826" t="s">
        <v>1891</v>
      </c>
      <c r="B1826" t="s">
        <v>1835</v>
      </c>
      <c r="C1826" t="s">
        <v>62</v>
      </c>
      <c r="D1826" t="s">
        <v>467</v>
      </c>
      <c r="E1826">
        <v>4.2</v>
      </c>
      <c r="F1826">
        <v>3.6</v>
      </c>
      <c r="G1826" s="2" t="s">
        <v>64</v>
      </c>
      <c r="H1826" s="2">
        <v>0.0</v>
      </c>
      <c r="I1826" s="2">
        <v>0.0</v>
      </c>
      <c r="J1826" s="37">
        <v>0.0</v>
      </c>
      <c r="K1826" s="2">
        <v>0.0</v>
      </c>
      <c r="L1826" s="2">
        <v>0.0</v>
      </c>
      <c r="M1826" s="37">
        <v>0.0</v>
      </c>
    </row>
    <row r="1827" ht="14.25" customHeight="1">
      <c r="A1827" t="s">
        <v>1892</v>
      </c>
      <c r="B1827" t="s">
        <v>1835</v>
      </c>
      <c r="C1827" t="s">
        <v>62</v>
      </c>
      <c r="D1827" t="s">
        <v>467</v>
      </c>
      <c r="E1827">
        <v>4.2</v>
      </c>
      <c r="F1827">
        <v>3.6</v>
      </c>
      <c r="G1827" s="2" t="s">
        <v>64</v>
      </c>
      <c r="H1827" s="2">
        <v>0.0</v>
      </c>
      <c r="I1827" s="2">
        <v>0.0</v>
      </c>
      <c r="J1827" s="37">
        <v>0.0</v>
      </c>
      <c r="K1827" s="2">
        <v>0.0</v>
      </c>
      <c r="L1827" s="2">
        <v>0.0</v>
      </c>
      <c r="M1827" s="37">
        <v>0.0</v>
      </c>
    </row>
    <row r="1828" ht="14.25" customHeight="1">
      <c r="A1828" t="s">
        <v>1893</v>
      </c>
      <c r="B1828" t="s">
        <v>1835</v>
      </c>
      <c r="C1828" t="s">
        <v>62</v>
      </c>
      <c r="D1828" t="s">
        <v>467</v>
      </c>
      <c r="E1828">
        <v>4.2</v>
      </c>
      <c r="F1828">
        <v>3.6</v>
      </c>
      <c r="G1828" s="2" t="s">
        <v>64</v>
      </c>
      <c r="H1828" s="2">
        <v>0.0</v>
      </c>
      <c r="I1828" s="2">
        <v>0.0</v>
      </c>
      <c r="J1828" s="37">
        <v>0.0</v>
      </c>
      <c r="K1828" s="2">
        <v>0.0</v>
      </c>
      <c r="L1828" s="2">
        <v>0.0</v>
      </c>
      <c r="M1828" s="37">
        <v>0.0</v>
      </c>
    </row>
    <row r="1829" ht="14.25" customHeight="1">
      <c r="A1829" t="s">
        <v>1894</v>
      </c>
      <c r="B1829" t="s">
        <v>1835</v>
      </c>
      <c r="C1829" t="s">
        <v>62</v>
      </c>
      <c r="D1829" t="s">
        <v>467</v>
      </c>
      <c r="E1829">
        <v>4.2</v>
      </c>
      <c r="F1829">
        <v>3.6</v>
      </c>
      <c r="G1829" s="2" t="s">
        <v>64</v>
      </c>
      <c r="H1829" s="2">
        <v>0.0</v>
      </c>
      <c r="I1829" s="2">
        <v>0.0</v>
      </c>
      <c r="J1829" s="37">
        <v>0.0</v>
      </c>
      <c r="K1829" s="2">
        <v>0.0</v>
      </c>
      <c r="L1829" s="2">
        <v>0.0</v>
      </c>
      <c r="M1829" s="37">
        <v>0.0</v>
      </c>
    </row>
    <row r="1830" ht="14.25" customHeight="1">
      <c r="A1830" t="s">
        <v>1895</v>
      </c>
      <c r="B1830" t="s">
        <v>1835</v>
      </c>
      <c r="C1830" t="s">
        <v>62</v>
      </c>
      <c r="D1830" t="s">
        <v>467</v>
      </c>
      <c r="E1830">
        <v>4.2</v>
      </c>
      <c r="F1830">
        <v>3.6</v>
      </c>
      <c r="G1830" s="2" t="s">
        <v>64</v>
      </c>
      <c r="H1830" s="2">
        <v>0.0</v>
      </c>
      <c r="I1830" s="2">
        <v>0.0</v>
      </c>
      <c r="J1830" s="37">
        <v>0.0</v>
      </c>
      <c r="K1830" s="2">
        <v>0.0</v>
      </c>
      <c r="L1830" s="2">
        <v>0.0</v>
      </c>
      <c r="M1830" s="37">
        <v>0.0</v>
      </c>
    </row>
    <row r="1831" ht="14.25" customHeight="1">
      <c r="A1831" t="s">
        <v>1896</v>
      </c>
      <c r="B1831" t="s">
        <v>1835</v>
      </c>
      <c r="C1831" t="s">
        <v>62</v>
      </c>
      <c r="D1831" t="s">
        <v>63</v>
      </c>
      <c r="E1831">
        <v>2.62</v>
      </c>
      <c r="F1831">
        <v>3.3</v>
      </c>
      <c r="G1831" s="2" t="s">
        <v>67</v>
      </c>
      <c r="H1831" s="2">
        <v>8.0</v>
      </c>
      <c r="I1831" s="2">
        <v>49.0</v>
      </c>
      <c r="J1831" s="37">
        <v>243.38</v>
      </c>
      <c r="K1831" s="2">
        <v>9.0</v>
      </c>
      <c r="L1831" s="2">
        <v>70.0</v>
      </c>
      <c r="M1831" s="37">
        <v>293.14</v>
      </c>
    </row>
    <row r="1832" ht="14.25" customHeight="1">
      <c r="A1832" t="s">
        <v>1897</v>
      </c>
      <c r="B1832" t="s">
        <v>1835</v>
      </c>
      <c r="C1832" t="s">
        <v>62</v>
      </c>
      <c r="D1832" t="s">
        <v>63</v>
      </c>
      <c r="E1832">
        <v>2.62</v>
      </c>
      <c r="F1832">
        <v>3.3</v>
      </c>
      <c r="G1832" s="2" t="s">
        <v>67</v>
      </c>
      <c r="H1832" s="2">
        <v>8.0</v>
      </c>
      <c r="I1832" s="2">
        <v>49.0</v>
      </c>
      <c r="J1832" s="37">
        <v>243.38</v>
      </c>
      <c r="K1832" s="2">
        <v>9.0</v>
      </c>
      <c r="L1832" s="2">
        <v>70.0</v>
      </c>
      <c r="M1832" s="37">
        <v>293.14</v>
      </c>
    </row>
    <row r="1833" ht="14.25" customHeight="1">
      <c r="A1833" t="s">
        <v>1898</v>
      </c>
      <c r="B1833" t="s">
        <v>1835</v>
      </c>
      <c r="C1833" t="s">
        <v>62</v>
      </c>
      <c r="D1833" t="s">
        <v>63</v>
      </c>
      <c r="E1833">
        <v>2.62</v>
      </c>
      <c r="F1833">
        <v>3.3</v>
      </c>
      <c r="G1833" s="2" t="s">
        <v>67</v>
      </c>
      <c r="H1833" s="2">
        <v>8.0</v>
      </c>
      <c r="I1833" s="2">
        <v>49.0</v>
      </c>
      <c r="J1833" s="37">
        <v>243.38</v>
      </c>
      <c r="K1833" s="2">
        <v>9.0</v>
      </c>
      <c r="L1833" s="2">
        <v>70.0</v>
      </c>
      <c r="M1833" s="37">
        <v>293.14</v>
      </c>
    </row>
    <row r="1834" ht="14.25" customHeight="1">
      <c r="A1834" t="s">
        <v>1899</v>
      </c>
      <c r="B1834" t="s">
        <v>1835</v>
      </c>
      <c r="C1834" t="s">
        <v>62</v>
      </c>
      <c r="D1834" t="s">
        <v>63</v>
      </c>
      <c r="E1834">
        <v>2.62</v>
      </c>
      <c r="F1834">
        <v>3.3</v>
      </c>
      <c r="G1834" s="2" t="s">
        <v>67</v>
      </c>
      <c r="H1834" s="2">
        <v>8.0</v>
      </c>
      <c r="I1834" s="2">
        <v>49.0</v>
      </c>
      <c r="J1834" s="37">
        <v>243.38</v>
      </c>
      <c r="K1834" s="2">
        <v>9.0</v>
      </c>
      <c r="L1834" s="2">
        <v>70.0</v>
      </c>
      <c r="M1834" s="37">
        <v>293.14</v>
      </c>
    </row>
    <row r="1835" ht="14.25" customHeight="1">
      <c r="A1835" t="s">
        <v>1900</v>
      </c>
      <c r="B1835" t="s">
        <v>1835</v>
      </c>
      <c r="C1835" t="s">
        <v>62</v>
      </c>
      <c r="D1835" t="s">
        <v>63</v>
      </c>
      <c r="E1835">
        <v>2.62</v>
      </c>
      <c r="F1835">
        <v>3.3</v>
      </c>
      <c r="G1835" s="2" t="s">
        <v>67</v>
      </c>
      <c r="H1835" s="2">
        <v>8.0</v>
      </c>
      <c r="I1835" s="2">
        <v>49.0</v>
      </c>
      <c r="J1835" s="37">
        <v>243.38</v>
      </c>
      <c r="K1835" s="2">
        <v>9.0</v>
      </c>
      <c r="L1835" s="2">
        <v>70.0</v>
      </c>
      <c r="M1835" s="37">
        <v>293.14</v>
      </c>
    </row>
    <row r="1836" ht="14.25" customHeight="1">
      <c r="A1836" t="s">
        <v>1901</v>
      </c>
      <c r="B1836" t="s">
        <v>1835</v>
      </c>
      <c r="C1836" t="s">
        <v>62</v>
      </c>
      <c r="D1836" t="s">
        <v>63</v>
      </c>
      <c r="E1836">
        <v>3.53</v>
      </c>
      <c r="F1836">
        <v>3.65</v>
      </c>
      <c r="G1836" s="2" t="s">
        <v>67</v>
      </c>
      <c r="H1836" s="2">
        <v>9.0</v>
      </c>
      <c r="I1836" s="2">
        <v>17.0</v>
      </c>
      <c r="J1836" s="37">
        <v>224.24</v>
      </c>
      <c r="K1836" s="2">
        <v>11.0</v>
      </c>
      <c r="L1836" s="2">
        <v>45.0</v>
      </c>
      <c r="M1836" s="37">
        <v>305.56</v>
      </c>
    </row>
    <row r="1837" ht="14.25" customHeight="1">
      <c r="A1837" t="s">
        <v>1902</v>
      </c>
      <c r="B1837" t="s">
        <v>1835</v>
      </c>
      <c r="C1837" t="s">
        <v>62</v>
      </c>
      <c r="D1837" t="s">
        <v>63</v>
      </c>
      <c r="E1837">
        <v>3.53</v>
      </c>
      <c r="F1837">
        <v>3.65</v>
      </c>
      <c r="G1837" s="2" t="s">
        <v>67</v>
      </c>
      <c r="H1837" s="2">
        <v>9.0</v>
      </c>
      <c r="I1837" s="2">
        <v>17.0</v>
      </c>
      <c r="J1837" s="37">
        <v>224.24</v>
      </c>
      <c r="K1837" s="2">
        <v>11.0</v>
      </c>
      <c r="L1837" s="2">
        <v>45.0</v>
      </c>
      <c r="M1837" s="37">
        <v>305.56</v>
      </c>
    </row>
    <row r="1838" ht="14.25" customHeight="1">
      <c r="A1838" t="s">
        <v>1903</v>
      </c>
      <c r="B1838" t="s">
        <v>1835</v>
      </c>
      <c r="C1838" t="s">
        <v>62</v>
      </c>
      <c r="D1838" t="s">
        <v>63</v>
      </c>
      <c r="E1838">
        <v>3.53</v>
      </c>
      <c r="F1838">
        <v>3.65</v>
      </c>
      <c r="G1838" s="2" t="s">
        <v>67</v>
      </c>
      <c r="H1838" s="2">
        <v>9.0</v>
      </c>
      <c r="I1838" s="2">
        <v>17.0</v>
      </c>
      <c r="J1838" s="37">
        <v>224.24</v>
      </c>
      <c r="K1838" s="2">
        <v>11.0</v>
      </c>
      <c r="L1838" s="2">
        <v>45.0</v>
      </c>
      <c r="M1838" s="37">
        <v>305.56</v>
      </c>
    </row>
    <row r="1839" ht="14.25" customHeight="1">
      <c r="A1839" t="s">
        <v>1904</v>
      </c>
      <c r="B1839" t="s">
        <v>1835</v>
      </c>
      <c r="C1839" t="s">
        <v>62</v>
      </c>
      <c r="D1839" t="s">
        <v>63</v>
      </c>
      <c r="E1839">
        <v>3.53</v>
      </c>
      <c r="F1839">
        <v>3.65</v>
      </c>
      <c r="G1839" s="2" t="s">
        <v>67</v>
      </c>
      <c r="H1839" s="2">
        <v>9.0</v>
      </c>
      <c r="I1839" s="2">
        <v>17.0</v>
      </c>
      <c r="J1839" s="37">
        <v>224.24</v>
      </c>
      <c r="K1839" s="2">
        <v>11.0</v>
      </c>
      <c r="L1839" s="2">
        <v>45.0</v>
      </c>
      <c r="M1839" s="37">
        <v>305.56</v>
      </c>
    </row>
    <row r="1840" ht="14.25" customHeight="1">
      <c r="A1840" t="s">
        <v>1905</v>
      </c>
      <c r="B1840" t="s">
        <v>1835</v>
      </c>
      <c r="C1840" t="s">
        <v>62</v>
      </c>
      <c r="D1840" t="s">
        <v>63</v>
      </c>
      <c r="E1840">
        <v>3.53</v>
      </c>
      <c r="F1840">
        <v>3.65</v>
      </c>
      <c r="G1840" s="2" t="s">
        <v>67</v>
      </c>
      <c r="H1840" s="2">
        <v>9.0</v>
      </c>
      <c r="I1840" s="2">
        <v>17.0</v>
      </c>
      <c r="J1840" s="37">
        <v>224.24</v>
      </c>
      <c r="K1840" s="2">
        <v>11.0</v>
      </c>
      <c r="L1840" s="2">
        <v>45.0</v>
      </c>
      <c r="M1840" s="37">
        <v>305.56</v>
      </c>
    </row>
    <row r="1841" ht="14.25" customHeight="1">
      <c r="A1841" t="s">
        <v>1906</v>
      </c>
      <c r="B1841" t="s">
        <v>1835</v>
      </c>
      <c r="C1841" t="s">
        <v>62</v>
      </c>
      <c r="D1841" t="s">
        <v>63</v>
      </c>
      <c r="E1841">
        <v>5.25</v>
      </c>
      <c r="F1841">
        <v>5.2</v>
      </c>
      <c r="G1841" s="2" t="s">
        <v>64</v>
      </c>
      <c r="H1841" s="2">
        <v>0.0</v>
      </c>
      <c r="I1841" s="2">
        <v>0.0</v>
      </c>
      <c r="J1841" s="37">
        <v>0.0</v>
      </c>
      <c r="K1841" s="2">
        <v>0.0</v>
      </c>
      <c r="L1841" s="2">
        <v>0.0</v>
      </c>
      <c r="M1841" s="37">
        <v>0.0</v>
      </c>
    </row>
    <row r="1842" ht="14.25" customHeight="1">
      <c r="A1842" t="s">
        <v>1907</v>
      </c>
      <c r="B1842" t="s">
        <v>1835</v>
      </c>
      <c r="C1842" t="s">
        <v>62</v>
      </c>
      <c r="D1842" t="s">
        <v>63</v>
      </c>
      <c r="E1842">
        <v>5.25</v>
      </c>
      <c r="F1842">
        <v>5.2</v>
      </c>
      <c r="G1842" s="2" t="s">
        <v>64</v>
      </c>
      <c r="H1842" s="2">
        <v>0.0</v>
      </c>
      <c r="I1842" s="2">
        <v>0.0</v>
      </c>
      <c r="J1842" s="37">
        <v>0.0</v>
      </c>
      <c r="K1842" s="2">
        <v>0.0</v>
      </c>
      <c r="L1842" s="2">
        <v>0.0</v>
      </c>
      <c r="M1842" s="37">
        <v>0.0</v>
      </c>
    </row>
    <row r="1843" ht="14.25" customHeight="1">
      <c r="A1843" t="s">
        <v>1908</v>
      </c>
      <c r="B1843" t="s">
        <v>1835</v>
      </c>
      <c r="C1843" t="s">
        <v>62</v>
      </c>
      <c r="D1843" t="s">
        <v>63</v>
      </c>
      <c r="E1843">
        <v>5.25</v>
      </c>
      <c r="F1843">
        <v>5.2</v>
      </c>
      <c r="G1843" s="2" t="s">
        <v>64</v>
      </c>
      <c r="H1843" s="2">
        <v>0.0</v>
      </c>
      <c r="I1843" s="2">
        <v>0.0</v>
      </c>
      <c r="J1843" s="37">
        <v>0.0</v>
      </c>
      <c r="K1843" s="2">
        <v>0.0</v>
      </c>
      <c r="L1843" s="2">
        <v>0.0</v>
      </c>
      <c r="M1843" s="37">
        <v>0.0</v>
      </c>
    </row>
    <row r="1844" ht="14.25" customHeight="1">
      <c r="A1844" t="s">
        <v>1909</v>
      </c>
      <c r="B1844" t="s">
        <v>1835</v>
      </c>
      <c r="C1844" t="s">
        <v>62</v>
      </c>
      <c r="D1844" t="s">
        <v>63</v>
      </c>
      <c r="E1844">
        <v>5.25</v>
      </c>
      <c r="F1844">
        <v>5.2</v>
      </c>
      <c r="G1844" s="2" t="s">
        <v>64</v>
      </c>
      <c r="H1844" s="2">
        <v>0.0</v>
      </c>
      <c r="I1844" s="2">
        <v>0.0</v>
      </c>
      <c r="J1844" s="37">
        <v>0.0</v>
      </c>
      <c r="K1844" s="2">
        <v>0.0</v>
      </c>
      <c r="L1844" s="2">
        <v>0.0</v>
      </c>
      <c r="M1844" s="37">
        <v>0.0</v>
      </c>
    </row>
    <row r="1845" ht="14.25" customHeight="1">
      <c r="A1845" t="s">
        <v>1910</v>
      </c>
      <c r="B1845" t="s">
        <v>1835</v>
      </c>
      <c r="C1845" t="s">
        <v>62</v>
      </c>
      <c r="D1845" t="s">
        <v>63</v>
      </c>
      <c r="E1845">
        <v>5.25</v>
      </c>
      <c r="F1845">
        <v>5.2</v>
      </c>
      <c r="G1845" s="2" t="s">
        <v>64</v>
      </c>
      <c r="H1845" s="2">
        <v>0.0</v>
      </c>
      <c r="I1845" s="2">
        <v>0.0</v>
      </c>
      <c r="J1845" s="37">
        <v>0.0</v>
      </c>
      <c r="K1845" s="2">
        <v>0.0</v>
      </c>
      <c r="L1845" s="2">
        <v>0.0</v>
      </c>
      <c r="M1845" s="37">
        <v>0.0</v>
      </c>
    </row>
    <row r="1846" ht="14.25" customHeight="1">
      <c r="A1846" t="s">
        <v>1911</v>
      </c>
      <c r="B1846" t="s">
        <v>1835</v>
      </c>
      <c r="C1846" t="s">
        <v>62</v>
      </c>
      <c r="D1846" t="s">
        <v>63</v>
      </c>
      <c r="E1846">
        <v>8.2</v>
      </c>
      <c r="F1846">
        <v>8.4</v>
      </c>
      <c r="G1846" s="2" t="s">
        <v>67</v>
      </c>
      <c r="H1846" s="2">
        <v>24.0</v>
      </c>
      <c r="I1846" s="2">
        <v>47.0</v>
      </c>
      <c r="J1846" s="37">
        <v>600.14</v>
      </c>
      <c r="K1846" s="2">
        <v>27.0</v>
      </c>
      <c r="L1846" s="2">
        <v>122.0</v>
      </c>
      <c r="M1846" s="37">
        <v>765.0200000000001</v>
      </c>
    </row>
    <row r="1847" ht="14.25" customHeight="1">
      <c r="A1847" t="s">
        <v>1912</v>
      </c>
      <c r="B1847" t="s">
        <v>1835</v>
      </c>
      <c r="C1847" t="s">
        <v>62</v>
      </c>
      <c r="D1847" t="s">
        <v>63</v>
      </c>
      <c r="E1847">
        <v>8.2</v>
      </c>
      <c r="F1847">
        <v>8.4</v>
      </c>
      <c r="G1847" s="2" t="s">
        <v>67</v>
      </c>
      <c r="H1847" s="2">
        <v>24.0</v>
      </c>
      <c r="I1847" s="2">
        <v>47.0</v>
      </c>
      <c r="J1847" s="37">
        <v>600.14</v>
      </c>
      <c r="K1847" s="2">
        <v>27.0</v>
      </c>
      <c r="L1847" s="2">
        <v>122.0</v>
      </c>
      <c r="M1847" s="37">
        <v>765.0200000000001</v>
      </c>
    </row>
    <row r="1848" ht="14.25" customHeight="1">
      <c r="A1848" t="s">
        <v>1913</v>
      </c>
      <c r="B1848" t="s">
        <v>1835</v>
      </c>
      <c r="C1848" t="s">
        <v>62</v>
      </c>
      <c r="D1848" t="s">
        <v>63</v>
      </c>
      <c r="E1848">
        <v>8.2</v>
      </c>
      <c r="F1848">
        <v>8.4</v>
      </c>
      <c r="G1848" s="2" t="s">
        <v>67</v>
      </c>
      <c r="H1848" s="2">
        <v>24.0</v>
      </c>
      <c r="I1848" s="2">
        <v>47.0</v>
      </c>
      <c r="J1848" s="37">
        <v>600.14</v>
      </c>
      <c r="K1848" s="2">
        <v>27.0</v>
      </c>
      <c r="L1848" s="2">
        <v>122.0</v>
      </c>
      <c r="M1848" s="37">
        <v>765.0200000000001</v>
      </c>
    </row>
    <row r="1849" ht="14.25" customHeight="1">
      <c r="A1849" t="s">
        <v>1914</v>
      </c>
      <c r="B1849" t="s">
        <v>1835</v>
      </c>
      <c r="C1849" t="s">
        <v>62</v>
      </c>
      <c r="D1849" t="s">
        <v>63</v>
      </c>
      <c r="E1849">
        <v>8.2</v>
      </c>
      <c r="F1849">
        <v>8.4</v>
      </c>
      <c r="G1849" s="2" t="s">
        <v>67</v>
      </c>
      <c r="H1849" s="2">
        <v>24.0</v>
      </c>
      <c r="I1849" s="2">
        <v>47.0</v>
      </c>
      <c r="J1849" s="37">
        <v>600.14</v>
      </c>
      <c r="K1849" s="2">
        <v>27.0</v>
      </c>
      <c r="L1849" s="2">
        <v>122.0</v>
      </c>
      <c r="M1849" s="37">
        <v>765.0200000000001</v>
      </c>
    </row>
    <row r="1850" ht="14.25" customHeight="1">
      <c r="A1850" t="s">
        <v>1915</v>
      </c>
      <c r="B1850" t="s">
        <v>1835</v>
      </c>
      <c r="C1850" t="s">
        <v>62</v>
      </c>
      <c r="D1850" t="s">
        <v>63</v>
      </c>
      <c r="E1850">
        <v>8.2</v>
      </c>
      <c r="F1850">
        <v>8.4</v>
      </c>
      <c r="G1850" s="2" t="s">
        <v>67</v>
      </c>
      <c r="H1850" s="2">
        <v>24.0</v>
      </c>
      <c r="I1850" s="2">
        <v>47.0</v>
      </c>
      <c r="J1850" s="37">
        <v>600.14</v>
      </c>
      <c r="K1850" s="2">
        <v>27.0</v>
      </c>
      <c r="L1850" s="2">
        <v>122.0</v>
      </c>
      <c r="M1850" s="37">
        <v>765.0200000000001</v>
      </c>
    </row>
    <row r="1851" ht="14.25" customHeight="1">
      <c r="A1851" t="s">
        <v>1916</v>
      </c>
      <c r="B1851" t="s">
        <v>1917</v>
      </c>
      <c r="C1851" t="s">
        <v>75</v>
      </c>
      <c r="D1851" t="s">
        <v>82</v>
      </c>
      <c r="E1851">
        <v>2.0</v>
      </c>
      <c r="F1851">
        <v>2.5</v>
      </c>
      <c r="G1851" s="2" t="s">
        <v>64</v>
      </c>
      <c r="H1851" s="2">
        <v>0.0</v>
      </c>
      <c r="I1851" s="2">
        <v>0.0</v>
      </c>
      <c r="J1851" s="37">
        <v>0.0</v>
      </c>
      <c r="K1851" s="2">
        <v>0.0</v>
      </c>
      <c r="L1851" s="2">
        <v>0.0</v>
      </c>
      <c r="M1851" s="37">
        <v>0.0</v>
      </c>
    </row>
    <row r="1852" ht="14.25" customHeight="1">
      <c r="A1852" t="s">
        <v>1918</v>
      </c>
      <c r="B1852" t="s">
        <v>1917</v>
      </c>
      <c r="C1852" t="s">
        <v>75</v>
      </c>
      <c r="D1852" t="s">
        <v>82</v>
      </c>
      <c r="E1852">
        <v>6.4</v>
      </c>
      <c r="F1852">
        <v>8.0</v>
      </c>
      <c r="G1852" s="2" t="s">
        <v>64</v>
      </c>
      <c r="H1852" s="2">
        <v>0.0</v>
      </c>
      <c r="I1852" s="2">
        <v>0.0</v>
      </c>
      <c r="J1852" s="37">
        <v>0.0</v>
      </c>
      <c r="K1852" s="2">
        <v>0.0</v>
      </c>
      <c r="L1852" s="2">
        <v>0.0</v>
      </c>
      <c r="M1852" s="37">
        <v>0.0</v>
      </c>
    </row>
    <row r="1853" ht="14.25" customHeight="1">
      <c r="A1853" t="s">
        <v>1919</v>
      </c>
      <c r="B1853" t="s">
        <v>1917</v>
      </c>
      <c r="C1853" t="s">
        <v>75</v>
      </c>
      <c r="D1853" t="s">
        <v>82</v>
      </c>
      <c r="E1853">
        <v>7.6</v>
      </c>
      <c r="F1853">
        <v>9.0</v>
      </c>
      <c r="G1853" s="2" t="s">
        <v>64</v>
      </c>
      <c r="H1853" s="2">
        <v>0.0</v>
      </c>
      <c r="I1853" s="2">
        <v>0.0</v>
      </c>
      <c r="J1853" s="37">
        <v>0.0</v>
      </c>
      <c r="K1853" s="2">
        <v>0.0</v>
      </c>
      <c r="L1853" s="2">
        <v>0.0</v>
      </c>
      <c r="M1853" s="37">
        <v>0.0</v>
      </c>
    </row>
    <row r="1854" ht="14.25" customHeight="1">
      <c r="A1854" t="s">
        <v>1920</v>
      </c>
      <c r="B1854" t="s">
        <v>1917</v>
      </c>
      <c r="C1854" t="s">
        <v>75</v>
      </c>
      <c r="D1854" t="s">
        <v>82</v>
      </c>
      <c r="E1854">
        <v>10.2</v>
      </c>
      <c r="F1854">
        <v>12.3</v>
      </c>
      <c r="G1854" s="2" t="s">
        <v>64</v>
      </c>
      <c r="H1854" s="2">
        <v>0.0</v>
      </c>
      <c r="I1854" s="2">
        <v>0.0</v>
      </c>
      <c r="J1854" s="37">
        <v>0.0</v>
      </c>
      <c r="K1854" s="2">
        <v>0.0</v>
      </c>
      <c r="L1854" s="2">
        <v>0.0</v>
      </c>
      <c r="M1854" s="37">
        <v>0.0</v>
      </c>
    </row>
    <row r="1855" ht="14.25" customHeight="1">
      <c r="A1855" t="s">
        <v>1921</v>
      </c>
      <c r="B1855" t="s">
        <v>1917</v>
      </c>
      <c r="C1855" t="s">
        <v>75</v>
      </c>
      <c r="D1855" t="s">
        <v>82</v>
      </c>
      <c r="E1855">
        <v>2.62</v>
      </c>
      <c r="F1855">
        <v>3.4</v>
      </c>
      <c r="G1855" s="2" t="s">
        <v>64</v>
      </c>
      <c r="H1855" s="2">
        <v>0.0</v>
      </c>
      <c r="I1855" s="2">
        <v>0.0</v>
      </c>
      <c r="J1855" s="37">
        <v>0.0</v>
      </c>
      <c r="K1855" s="2">
        <v>0.0</v>
      </c>
      <c r="L1855" s="2">
        <v>0.0</v>
      </c>
      <c r="M1855" s="37">
        <v>0.0</v>
      </c>
    </row>
    <row r="1856" ht="14.25" customHeight="1">
      <c r="A1856" t="s">
        <v>1922</v>
      </c>
      <c r="B1856" t="s">
        <v>1923</v>
      </c>
      <c r="C1856" t="s">
        <v>62</v>
      </c>
      <c r="D1856" t="s">
        <v>63</v>
      </c>
      <c r="E1856">
        <v>9.5</v>
      </c>
      <c r="F1856">
        <v>10.8</v>
      </c>
      <c r="G1856" s="2" t="s">
        <v>64</v>
      </c>
      <c r="H1856" s="2">
        <v>0.0</v>
      </c>
      <c r="I1856" s="2">
        <v>0.0</v>
      </c>
      <c r="J1856" s="37">
        <v>0.0</v>
      </c>
      <c r="K1856" s="2">
        <v>0.0</v>
      </c>
      <c r="L1856" s="2">
        <v>0.0</v>
      </c>
      <c r="M1856" s="37">
        <v>0.0</v>
      </c>
    </row>
    <row r="1857" ht="14.25" customHeight="1">
      <c r="A1857" t="s">
        <v>1924</v>
      </c>
      <c r="B1857" t="s">
        <v>1923</v>
      </c>
      <c r="C1857" t="s">
        <v>62</v>
      </c>
      <c r="D1857" t="s">
        <v>63</v>
      </c>
      <c r="E1857">
        <v>12.1</v>
      </c>
      <c r="F1857">
        <v>13.5</v>
      </c>
      <c r="G1857" s="2" t="s">
        <v>64</v>
      </c>
      <c r="H1857" s="2">
        <v>0.0</v>
      </c>
      <c r="I1857" s="2">
        <v>0.0</v>
      </c>
      <c r="J1857" s="37">
        <v>0.0</v>
      </c>
      <c r="K1857" s="2">
        <v>0.0</v>
      </c>
      <c r="L1857" s="2">
        <v>0.0</v>
      </c>
      <c r="M1857" s="37">
        <v>0.0</v>
      </c>
    </row>
    <row r="1858" ht="14.25" customHeight="1">
      <c r="A1858" t="s">
        <v>1925</v>
      </c>
      <c r="B1858" t="s">
        <v>1923</v>
      </c>
      <c r="C1858" t="s">
        <v>62</v>
      </c>
      <c r="D1858" t="s">
        <v>63</v>
      </c>
      <c r="E1858">
        <v>13.4</v>
      </c>
      <c r="F1858">
        <v>15.5</v>
      </c>
      <c r="G1858" s="2" t="s">
        <v>64</v>
      </c>
      <c r="H1858" s="2">
        <v>0.0</v>
      </c>
      <c r="I1858" s="2">
        <v>0.0</v>
      </c>
      <c r="J1858" s="37">
        <v>0.0</v>
      </c>
      <c r="K1858" s="2">
        <v>0.0</v>
      </c>
      <c r="L1858" s="2">
        <v>0.0</v>
      </c>
      <c r="M1858" s="37">
        <v>0.0</v>
      </c>
    </row>
    <row r="1859" ht="14.25" customHeight="1">
      <c r="A1859" t="s">
        <v>1926</v>
      </c>
      <c r="B1859" t="s">
        <v>1923</v>
      </c>
      <c r="C1859" t="s">
        <v>75</v>
      </c>
      <c r="D1859" t="s">
        <v>63</v>
      </c>
      <c r="E1859">
        <v>2.5</v>
      </c>
      <c r="F1859">
        <v>3.2</v>
      </c>
      <c r="G1859" s="2" t="s">
        <v>64</v>
      </c>
      <c r="H1859" s="2">
        <v>0.0</v>
      </c>
      <c r="I1859" s="2">
        <v>0.0</v>
      </c>
      <c r="J1859" s="37">
        <v>0.0</v>
      </c>
      <c r="K1859" s="2">
        <v>0.0</v>
      </c>
      <c r="L1859" s="2">
        <v>0.0</v>
      </c>
      <c r="M1859" s="37">
        <v>0.0</v>
      </c>
    </row>
    <row r="1860" ht="14.25" customHeight="1">
      <c r="A1860" t="s">
        <v>1927</v>
      </c>
      <c r="B1860" t="s">
        <v>1923</v>
      </c>
      <c r="C1860" t="s">
        <v>75</v>
      </c>
      <c r="D1860" t="s">
        <v>63</v>
      </c>
      <c r="E1860">
        <v>3.4</v>
      </c>
      <c r="F1860">
        <v>4.0</v>
      </c>
      <c r="G1860" s="2" t="s">
        <v>64</v>
      </c>
      <c r="H1860" s="2">
        <v>0.0</v>
      </c>
      <c r="I1860" s="2">
        <v>0.0</v>
      </c>
      <c r="J1860" s="37">
        <v>0.0</v>
      </c>
      <c r="K1860" s="2">
        <v>0.0</v>
      </c>
      <c r="L1860" s="2">
        <v>0.0</v>
      </c>
      <c r="M1860" s="37">
        <v>0.0</v>
      </c>
    </row>
    <row r="1861" ht="14.25" customHeight="1">
      <c r="A1861" t="s">
        <v>1928</v>
      </c>
      <c r="B1861" t="s">
        <v>1923</v>
      </c>
      <c r="C1861" t="s">
        <v>75</v>
      </c>
      <c r="D1861" t="s">
        <v>63</v>
      </c>
      <c r="E1861">
        <v>5.0</v>
      </c>
      <c r="F1861">
        <v>5.8</v>
      </c>
      <c r="G1861" s="2" t="s">
        <v>64</v>
      </c>
      <c r="H1861" s="2">
        <v>0.0</v>
      </c>
      <c r="I1861" s="2">
        <v>0.0</v>
      </c>
      <c r="J1861" s="37">
        <v>0.0</v>
      </c>
      <c r="K1861" s="2">
        <v>0.0</v>
      </c>
      <c r="L1861" s="2">
        <v>0.0</v>
      </c>
      <c r="M1861" s="37">
        <v>0.0</v>
      </c>
    </row>
    <row r="1862" ht="14.25" customHeight="1">
      <c r="A1862" t="s">
        <v>1929</v>
      </c>
      <c r="B1862" t="s">
        <v>1923</v>
      </c>
      <c r="C1862" t="s">
        <v>75</v>
      </c>
      <c r="D1862" t="s">
        <v>63</v>
      </c>
      <c r="E1862">
        <v>8.0</v>
      </c>
      <c r="F1862">
        <v>9.0</v>
      </c>
      <c r="G1862" s="2" t="s">
        <v>64</v>
      </c>
      <c r="H1862" s="2">
        <v>0.0</v>
      </c>
      <c r="I1862" s="2">
        <v>0.0</v>
      </c>
      <c r="J1862" s="37">
        <v>0.0</v>
      </c>
      <c r="K1862" s="2">
        <v>0.0</v>
      </c>
      <c r="L1862" s="2">
        <v>0.0</v>
      </c>
      <c r="M1862" s="37">
        <v>0.0</v>
      </c>
    </row>
    <row r="1863" ht="14.25" customHeight="1">
      <c r="A1863" t="s">
        <v>1930</v>
      </c>
      <c r="B1863" t="s">
        <v>1923</v>
      </c>
      <c r="C1863" t="s">
        <v>75</v>
      </c>
      <c r="D1863" t="s">
        <v>63</v>
      </c>
      <c r="E1863">
        <v>6.8</v>
      </c>
      <c r="F1863">
        <v>7.5</v>
      </c>
      <c r="G1863" s="2" t="s">
        <v>64</v>
      </c>
      <c r="H1863" s="2">
        <v>0.0</v>
      </c>
      <c r="I1863" s="2">
        <v>0.0</v>
      </c>
      <c r="J1863" s="37">
        <v>0.0</v>
      </c>
      <c r="K1863" s="2">
        <v>0.0</v>
      </c>
      <c r="L1863" s="2">
        <v>0.0</v>
      </c>
      <c r="M1863" s="37">
        <v>0.0</v>
      </c>
    </row>
    <row r="1864" ht="14.25" customHeight="1">
      <c r="A1864" t="s">
        <v>1931</v>
      </c>
      <c r="B1864" t="s">
        <v>1923</v>
      </c>
      <c r="C1864" t="s">
        <v>75</v>
      </c>
      <c r="D1864" t="s">
        <v>63</v>
      </c>
      <c r="E1864">
        <v>13.8</v>
      </c>
      <c r="F1864">
        <v>15.5</v>
      </c>
      <c r="G1864" s="2" t="s">
        <v>64</v>
      </c>
      <c r="H1864" s="2">
        <v>0.0</v>
      </c>
      <c r="I1864" s="2">
        <v>0.0</v>
      </c>
      <c r="J1864" s="37">
        <v>0.0</v>
      </c>
      <c r="K1864" s="2">
        <v>0.0</v>
      </c>
      <c r="L1864" s="2">
        <v>0.0</v>
      </c>
      <c r="M1864" s="37">
        <v>0.0</v>
      </c>
    </row>
    <row r="1865" ht="14.25" customHeight="1">
      <c r="A1865" t="s">
        <v>1932</v>
      </c>
      <c r="B1865" t="s">
        <v>1923</v>
      </c>
      <c r="C1865" t="s">
        <v>75</v>
      </c>
      <c r="D1865" t="s">
        <v>63</v>
      </c>
      <c r="E1865">
        <v>9.5</v>
      </c>
      <c r="F1865">
        <v>10.8</v>
      </c>
      <c r="G1865" s="2" t="s">
        <v>64</v>
      </c>
      <c r="H1865" s="2">
        <v>0.0</v>
      </c>
      <c r="I1865" s="2">
        <v>0.0</v>
      </c>
      <c r="J1865" s="37">
        <v>0.0</v>
      </c>
      <c r="K1865" s="2">
        <v>0.0</v>
      </c>
      <c r="L1865" s="2">
        <v>0.0</v>
      </c>
      <c r="M1865" s="37">
        <v>0.0</v>
      </c>
    </row>
    <row r="1866" ht="14.25" customHeight="1">
      <c r="A1866" t="s">
        <v>1933</v>
      </c>
      <c r="B1866" t="s">
        <v>1923</v>
      </c>
      <c r="C1866" t="s">
        <v>62</v>
      </c>
      <c r="D1866" t="s">
        <v>63</v>
      </c>
      <c r="E1866">
        <v>8.5</v>
      </c>
      <c r="F1866">
        <v>9.0</v>
      </c>
      <c r="G1866" s="2" t="s">
        <v>67</v>
      </c>
      <c r="H1866" s="2">
        <v>24.0</v>
      </c>
      <c r="I1866" s="2">
        <v>112.0</v>
      </c>
      <c r="J1866" s="37">
        <v>684.64</v>
      </c>
      <c r="K1866" s="2">
        <v>28.0</v>
      </c>
      <c r="L1866" s="2">
        <v>190.0</v>
      </c>
      <c r="M1866" s="37">
        <v>875.88</v>
      </c>
    </row>
    <row r="1867" ht="14.25" customHeight="1">
      <c r="A1867" t="s">
        <v>1934</v>
      </c>
      <c r="B1867" t="s">
        <v>1923</v>
      </c>
      <c r="C1867" t="s">
        <v>62</v>
      </c>
      <c r="D1867" t="s">
        <v>63</v>
      </c>
      <c r="E1867">
        <v>7.1</v>
      </c>
      <c r="F1867">
        <v>8.0</v>
      </c>
      <c r="G1867" s="2" t="s">
        <v>67</v>
      </c>
      <c r="H1867" s="2">
        <v>22.0</v>
      </c>
      <c r="I1867" s="2">
        <v>93.0</v>
      </c>
      <c r="J1867" s="37">
        <v>615.02</v>
      </c>
      <c r="K1867" s="2">
        <v>25.0</v>
      </c>
      <c r="L1867" s="2">
        <v>158.0</v>
      </c>
      <c r="M1867" s="37">
        <v>766.9</v>
      </c>
    </row>
    <row r="1868" ht="14.25" customHeight="1">
      <c r="A1868" t="s">
        <v>1935</v>
      </c>
      <c r="B1868" t="s">
        <v>1923</v>
      </c>
      <c r="C1868" t="s">
        <v>62</v>
      </c>
      <c r="D1868" t="s">
        <v>63</v>
      </c>
      <c r="E1868">
        <v>2.5</v>
      </c>
      <c r="F1868">
        <v>3.2</v>
      </c>
      <c r="G1868" s="2" t="s">
        <v>67</v>
      </c>
      <c r="H1868" s="2">
        <v>8.0</v>
      </c>
      <c r="I1868" s="2">
        <v>50.0</v>
      </c>
      <c r="J1868" s="37">
        <v>244.68</v>
      </c>
      <c r="K1868" s="2">
        <v>9.0</v>
      </c>
      <c r="L1868" s="2">
        <v>70.0</v>
      </c>
      <c r="M1868" s="37">
        <v>293.14</v>
      </c>
    </row>
    <row r="1869" ht="14.25" customHeight="1">
      <c r="A1869" t="s">
        <v>1936</v>
      </c>
      <c r="B1869" t="s">
        <v>1923</v>
      </c>
      <c r="C1869" t="s">
        <v>62</v>
      </c>
      <c r="D1869" t="s">
        <v>63</v>
      </c>
      <c r="E1869">
        <v>3.5</v>
      </c>
      <c r="F1869">
        <v>4.0</v>
      </c>
      <c r="G1869" s="2" t="s">
        <v>67</v>
      </c>
      <c r="H1869" s="2">
        <v>10.0</v>
      </c>
      <c r="I1869" s="2">
        <v>28.0</v>
      </c>
      <c r="J1869" s="37">
        <v>261.0</v>
      </c>
      <c r="K1869" s="2">
        <v>11.0</v>
      </c>
      <c r="L1869" s="2">
        <v>56.0</v>
      </c>
      <c r="M1869" s="37">
        <v>319.86</v>
      </c>
    </row>
    <row r="1870" ht="14.25" customHeight="1">
      <c r="A1870" t="s">
        <v>1937</v>
      </c>
      <c r="B1870" t="s">
        <v>1923</v>
      </c>
      <c r="C1870" t="s">
        <v>62</v>
      </c>
      <c r="D1870" t="s">
        <v>63</v>
      </c>
      <c r="E1870">
        <v>9.4</v>
      </c>
      <c r="F1870">
        <v>10.3</v>
      </c>
      <c r="G1870" s="2" t="s">
        <v>67</v>
      </c>
      <c r="H1870" s="2">
        <v>27.0</v>
      </c>
      <c r="I1870" s="2">
        <v>70.0</v>
      </c>
      <c r="J1870" s="37">
        <v>697.4200000000001</v>
      </c>
      <c r="K1870" s="2">
        <v>31.0</v>
      </c>
      <c r="L1870" s="2">
        <v>156.0</v>
      </c>
      <c r="M1870" s="37">
        <v>899.06</v>
      </c>
    </row>
    <row r="1871" ht="14.25" customHeight="1">
      <c r="A1871" t="s">
        <v>1938</v>
      </c>
      <c r="B1871" t="s">
        <v>1923</v>
      </c>
      <c r="C1871" t="s">
        <v>75</v>
      </c>
      <c r="D1871" t="s">
        <v>63</v>
      </c>
      <c r="E1871">
        <v>8.8</v>
      </c>
      <c r="F1871">
        <v>9.4</v>
      </c>
      <c r="G1871" s="2" t="s">
        <v>64</v>
      </c>
      <c r="H1871" s="2">
        <v>0.0</v>
      </c>
      <c r="I1871" s="2">
        <v>0.0</v>
      </c>
      <c r="J1871" s="37">
        <v>0.0</v>
      </c>
      <c r="K1871" s="2">
        <v>0.0</v>
      </c>
      <c r="L1871" s="2">
        <v>0.0</v>
      </c>
      <c r="M1871" s="37">
        <v>0.0</v>
      </c>
    </row>
    <row r="1872" ht="14.25" customHeight="1">
      <c r="A1872" t="s">
        <v>1939</v>
      </c>
      <c r="B1872" t="s">
        <v>1923</v>
      </c>
      <c r="C1872" t="s">
        <v>75</v>
      </c>
      <c r="D1872" t="s">
        <v>63</v>
      </c>
      <c r="E1872">
        <v>10.5</v>
      </c>
      <c r="F1872">
        <v>13.0</v>
      </c>
      <c r="G1872" s="2" t="s">
        <v>64</v>
      </c>
      <c r="H1872" s="2">
        <v>0.0</v>
      </c>
      <c r="I1872" s="2">
        <v>0.0</v>
      </c>
      <c r="J1872" s="37">
        <v>0.0</v>
      </c>
      <c r="K1872" s="2">
        <v>0.0</v>
      </c>
      <c r="L1872" s="2">
        <v>0.0</v>
      </c>
      <c r="M1872" s="37">
        <v>0.0</v>
      </c>
    </row>
    <row r="1873" ht="14.25" customHeight="1">
      <c r="A1873" t="s">
        <v>1940</v>
      </c>
      <c r="B1873" t="s">
        <v>1923</v>
      </c>
      <c r="C1873" t="s">
        <v>75</v>
      </c>
      <c r="D1873" t="s">
        <v>63</v>
      </c>
      <c r="E1873">
        <v>12.5</v>
      </c>
      <c r="F1873">
        <v>15.0</v>
      </c>
      <c r="G1873" s="2" t="s">
        <v>64</v>
      </c>
      <c r="H1873" s="2">
        <v>0.0</v>
      </c>
      <c r="I1873" s="2">
        <v>0.0</v>
      </c>
      <c r="J1873" s="37">
        <v>0.0</v>
      </c>
      <c r="K1873" s="2">
        <v>0.0</v>
      </c>
      <c r="L1873" s="2">
        <v>0.0</v>
      </c>
      <c r="M1873" s="37">
        <v>0.0</v>
      </c>
    </row>
    <row r="1874" ht="14.25" customHeight="1">
      <c r="A1874" t="s">
        <v>1941</v>
      </c>
      <c r="B1874" t="s">
        <v>1923</v>
      </c>
      <c r="C1874" t="s">
        <v>75</v>
      </c>
      <c r="D1874" t="s">
        <v>63</v>
      </c>
      <c r="E1874">
        <v>15.0</v>
      </c>
      <c r="F1874">
        <v>17.0</v>
      </c>
      <c r="G1874" s="2" t="s">
        <v>64</v>
      </c>
      <c r="H1874" s="2">
        <v>0.0</v>
      </c>
      <c r="I1874" s="2">
        <v>0.0</v>
      </c>
      <c r="J1874" s="37">
        <v>0.0</v>
      </c>
      <c r="K1874" s="2">
        <v>0.0</v>
      </c>
      <c r="L1874" s="2">
        <v>0.0</v>
      </c>
      <c r="M1874" s="37">
        <v>0.0</v>
      </c>
    </row>
    <row r="1875" ht="14.25" customHeight="1">
      <c r="A1875" t="s">
        <v>1942</v>
      </c>
      <c r="B1875" t="s">
        <v>1923</v>
      </c>
      <c r="C1875" t="s">
        <v>75</v>
      </c>
      <c r="D1875" t="s">
        <v>63</v>
      </c>
      <c r="E1875">
        <v>12.3</v>
      </c>
      <c r="F1875">
        <v>13.5</v>
      </c>
      <c r="G1875" s="2" t="s">
        <v>64</v>
      </c>
      <c r="H1875" s="2">
        <v>0.0</v>
      </c>
      <c r="I1875" s="2">
        <v>0.0</v>
      </c>
      <c r="J1875" s="37">
        <v>0.0</v>
      </c>
      <c r="K1875" s="2">
        <v>0.0</v>
      </c>
      <c r="L1875" s="2">
        <v>0.0</v>
      </c>
      <c r="M1875" s="37">
        <v>0.0</v>
      </c>
    </row>
    <row r="1876" ht="14.25" customHeight="1">
      <c r="A1876" t="s">
        <v>1943</v>
      </c>
      <c r="B1876" t="s">
        <v>1923</v>
      </c>
      <c r="C1876" t="s">
        <v>62</v>
      </c>
      <c r="D1876" t="s">
        <v>63</v>
      </c>
      <c r="E1876">
        <v>6.1</v>
      </c>
      <c r="F1876">
        <v>7.0</v>
      </c>
      <c r="G1876" s="2" t="s">
        <v>67</v>
      </c>
      <c r="H1876" s="2">
        <v>20.0</v>
      </c>
      <c r="I1876" s="2">
        <v>111.0</v>
      </c>
      <c r="J1876" s="37">
        <v>593.5</v>
      </c>
      <c r="K1876" s="2">
        <v>23.0</v>
      </c>
      <c r="L1876" s="2">
        <v>166.0</v>
      </c>
      <c r="M1876" s="37">
        <v>732.3800000000001</v>
      </c>
    </row>
    <row r="1877" ht="14.25" customHeight="1">
      <c r="A1877" t="s">
        <v>1944</v>
      </c>
      <c r="B1877" t="s">
        <v>1923</v>
      </c>
      <c r="C1877" t="s">
        <v>62</v>
      </c>
      <c r="D1877" t="s">
        <v>63</v>
      </c>
      <c r="E1877">
        <v>6.8</v>
      </c>
      <c r="F1877">
        <v>7.5</v>
      </c>
      <c r="G1877" s="2" t="s">
        <v>64</v>
      </c>
      <c r="H1877" s="2">
        <v>0.0</v>
      </c>
      <c r="I1877" s="2">
        <v>0.0</v>
      </c>
      <c r="J1877" s="37">
        <v>0.0</v>
      </c>
      <c r="K1877" s="2">
        <v>0.0</v>
      </c>
      <c r="L1877" s="2">
        <v>0.0</v>
      </c>
      <c r="M1877" s="37">
        <v>0.0</v>
      </c>
    </row>
    <row r="1878" ht="14.25" customHeight="1">
      <c r="A1878" t="s">
        <v>1945</v>
      </c>
      <c r="B1878" t="s">
        <v>1923</v>
      </c>
      <c r="C1878" t="s">
        <v>62</v>
      </c>
      <c r="D1878" t="s">
        <v>63</v>
      </c>
      <c r="E1878">
        <v>8.0</v>
      </c>
      <c r="F1878">
        <v>8.9</v>
      </c>
      <c r="G1878" s="2" t="s">
        <v>64</v>
      </c>
      <c r="H1878" s="2">
        <v>0.0</v>
      </c>
      <c r="I1878" s="2">
        <v>0.0</v>
      </c>
      <c r="J1878" s="37">
        <v>0.0</v>
      </c>
      <c r="K1878" s="2">
        <v>0.0</v>
      </c>
      <c r="L1878" s="2">
        <v>0.0</v>
      </c>
      <c r="M1878" s="37">
        <v>0.0</v>
      </c>
    </row>
    <row r="1879" ht="14.25" customHeight="1">
      <c r="A1879" t="s">
        <v>1946</v>
      </c>
      <c r="B1879" t="s">
        <v>1923</v>
      </c>
      <c r="C1879" t="s">
        <v>62</v>
      </c>
      <c r="D1879" t="s">
        <v>63</v>
      </c>
      <c r="E1879">
        <v>5.0</v>
      </c>
      <c r="F1879">
        <v>6.0</v>
      </c>
      <c r="G1879" s="2" t="s">
        <v>67</v>
      </c>
      <c r="H1879" s="2">
        <v>18.0</v>
      </c>
      <c r="I1879" s="2">
        <v>122.0</v>
      </c>
      <c r="J1879" s="37">
        <v>562.88</v>
      </c>
      <c r="K1879" s="2">
        <v>20.0</v>
      </c>
      <c r="L1879" s="2">
        <v>167.0</v>
      </c>
      <c r="M1879" s="37">
        <v>666.3000000000001</v>
      </c>
    </row>
    <row r="1880" ht="14.25" customHeight="1">
      <c r="A1880" t="s">
        <v>1947</v>
      </c>
      <c r="B1880" t="s">
        <v>1923</v>
      </c>
      <c r="C1880" t="s">
        <v>62</v>
      </c>
      <c r="D1880" t="s">
        <v>63</v>
      </c>
      <c r="E1880">
        <v>7.1</v>
      </c>
      <c r="F1880">
        <v>7.7</v>
      </c>
      <c r="G1880" s="2" t="s">
        <v>64</v>
      </c>
      <c r="H1880" s="2">
        <v>0.0</v>
      </c>
      <c r="I1880" s="2">
        <v>0.0</v>
      </c>
      <c r="J1880" s="37">
        <v>0.0</v>
      </c>
      <c r="K1880" s="2">
        <v>0.0</v>
      </c>
      <c r="L1880" s="2">
        <v>0.0</v>
      </c>
      <c r="M1880" s="37">
        <v>0.0</v>
      </c>
    </row>
    <row r="1881" ht="14.25" customHeight="1">
      <c r="A1881" t="s">
        <v>1948</v>
      </c>
      <c r="B1881" t="s">
        <v>1923</v>
      </c>
      <c r="C1881" t="s">
        <v>75</v>
      </c>
      <c r="D1881" t="s">
        <v>63</v>
      </c>
      <c r="E1881">
        <v>14.0</v>
      </c>
      <c r="F1881">
        <v>16.5</v>
      </c>
      <c r="G1881" s="2" t="s">
        <v>67</v>
      </c>
      <c r="H1881" s="2">
        <v>40.0</v>
      </c>
      <c r="I1881" s="2">
        <v>64.0</v>
      </c>
      <c r="J1881" s="37">
        <v>981.6000000000001</v>
      </c>
      <c r="K1881" s="2">
        <v>48.0</v>
      </c>
      <c r="L1881" s="2">
        <v>207.0</v>
      </c>
      <c r="M1881" s="37">
        <v>1347.1799999999998</v>
      </c>
    </row>
    <row r="1882" ht="14.25" customHeight="1">
      <c r="A1882" t="s">
        <v>1949</v>
      </c>
      <c r="B1882" t="s">
        <v>1923</v>
      </c>
      <c r="C1882" t="s">
        <v>75</v>
      </c>
      <c r="D1882" t="s">
        <v>63</v>
      </c>
      <c r="E1882">
        <v>8.0</v>
      </c>
      <c r="F1882">
        <v>9.0</v>
      </c>
      <c r="G1882" s="2" t="s">
        <v>64</v>
      </c>
      <c r="H1882" s="2">
        <v>0.0</v>
      </c>
      <c r="I1882" s="2">
        <v>0.0</v>
      </c>
      <c r="J1882" s="37">
        <v>0.0</v>
      </c>
      <c r="K1882" s="2">
        <v>0.0</v>
      </c>
      <c r="L1882" s="2">
        <v>0.0</v>
      </c>
      <c r="M1882" s="37">
        <v>0.0</v>
      </c>
    </row>
    <row r="1883" ht="14.25" customHeight="1">
      <c r="A1883" t="s">
        <v>1950</v>
      </c>
      <c r="B1883" t="s">
        <v>1923</v>
      </c>
      <c r="C1883" t="s">
        <v>75</v>
      </c>
      <c r="D1883" t="s">
        <v>63</v>
      </c>
      <c r="E1883">
        <v>9.5</v>
      </c>
      <c r="F1883">
        <v>10.8</v>
      </c>
      <c r="G1883" s="2" t="s">
        <v>67</v>
      </c>
      <c r="H1883" s="2">
        <v>30.0</v>
      </c>
      <c r="I1883" s="2">
        <v>167.0</v>
      </c>
      <c r="J1883" s="37">
        <v>890.9000000000001</v>
      </c>
      <c r="K1883" s="2">
        <v>35.0</v>
      </c>
      <c r="L1883" s="2">
        <v>264.0</v>
      </c>
      <c r="M1883" s="37">
        <v>1129.3</v>
      </c>
    </row>
    <row r="1884" ht="14.25" customHeight="1">
      <c r="A1884" t="s">
        <v>1951</v>
      </c>
      <c r="B1884" t="s">
        <v>1923</v>
      </c>
      <c r="C1884" t="s">
        <v>75</v>
      </c>
      <c r="D1884" t="s">
        <v>63</v>
      </c>
      <c r="E1884">
        <v>12.3</v>
      </c>
      <c r="F1884">
        <v>13.5</v>
      </c>
      <c r="G1884" s="2" t="s">
        <v>64</v>
      </c>
      <c r="H1884" s="2">
        <v>0.0</v>
      </c>
      <c r="I1884" s="2">
        <v>0.0</v>
      </c>
      <c r="J1884" s="37">
        <v>0.0</v>
      </c>
      <c r="K1884" s="2">
        <v>0.0</v>
      </c>
      <c r="L1884" s="2">
        <v>0.0</v>
      </c>
      <c r="M1884" s="37">
        <v>0.0</v>
      </c>
    </row>
    <row r="1885" ht="14.25" customHeight="1">
      <c r="A1885" t="s">
        <v>1952</v>
      </c>
      <c r="B1885" t="s">
        <v>1923</v>
      </c>
      <c r="C1885" t="s">
        <v>75</v>
      </c>
      <c r="D1885" t="s">
        <v>63</v>
      </c>
      <c r="E1885">
        <v>13.8</v>
      </c>
      <c r="F1885">
        <v>15.5</v>
      </c>
      <c r="G1885" s="2" t="s">
        <v>64</v>
      </c>
      <c r="H1885" s="2">
        <v>0.0</v>
      </c>
      <c r="I1885" s="2">
        <v>0.0</v>
      </c>
      <c r="J1885" s="37">
        <v>0.0</v>
      </c>
      <c r="K1885" s="2">
        <v>0.0</v>
      </c>
      <c r="L1885" s="2">
        <v>0.0</v>
      </c>
      <c r="M1885" s="37">
        <v>0.0</v>
      </c>
    </row>
    <row r="1886" ht="14.25" customHeight="1">
      <c r="A1886" t="s">
        <v>1953</v>
      </c>
      <c r="B1886" t="s">
        <v>1923</v>
      </c>
      <c r="C1886" t="s">
        <v>75</v>
      </c>
      <c r="D1886" t="s">
        <v>63</v>
      </c>
      <c r="E1886">
        <v>8.8</v>
      </c>
      <c r="F1886">
        <v>9.4</v>
      </c>
      <c r="G1886" s="2" t="s">
        <v>64</v>
      </c>
      <c r="H1886" s="2">
        <v>0.0</v>
      </c>
      <c r="I1886" s="2">
        <v>0.0</v>
      </c>
      <c r="J1886" s="37">
        <v>0.0</v>
      </c>
      <c r="K1886" s="2">
        <v>0.0</v>
      </c>
      <c r="L1886" s="2">
        <v>0.0</v>
      </c>
      <c r="M1886" s="37">
        <v>0.0</v>
      </c>
    </row>
    <row r="1887" ht="14.25" customHeight="1">
      <c r="A1887" t="s">
        <v>1954</v>
      </c>
      <c r="B1887" t="s">
        <v>1923</v>
      </c>
      <c r="C1887" t="s">
        <v>75</v>
      </c>
      <c r="D1887" t="s">
        <v>63</v>
      </c>
      <c r="E1887">
        <v>10.5</v>
      </c>
      <c r="F1887">
        <v>13.0</v>
      </c>
      <c r="G1887" s="2" t="s">
        <v>64</v>
      </c>
      <c r="H1887" s="2">
        <v>0.0</v>
      </c>
      <c r="I1887" s="2">
        <v>0.0</v>
      </c>
      <c r="J1887" s="37">
        <v>0.0</v>
      </c>
      <c r="K1887" s="2">
        <v>0.0</v>
      </c>
      <c r="L1887" s="2">
        <v>0.0</v>
      </c>
      <c r="M1887" s="37">
        <v>0.0</v>
      </c>
    </row>
    <row r="1888" ht="14.25" customHeight="1">
      <c r="A1888" t="s">
        <v>1955</v>
      </c>
      <c r="B1888" t="s">
        <v>1923</v>
      </c>
      <c r="C1888" t="s">
        <v>75</v>
      </c>
      <c r="D1888" t="s">
        <v>63</v>
      </c>
      <c r="E1888">
        <v>12.5</v>
      </c>
      <c r="F1888">
        <v>15.0</v>
      </c>
      <c r="G1888" s="2" t="s">
        <v>64</v>
      </c>
      <c r="H1888" s="2">
        <v>0.0</v>
      </c>
      <c r="I1888" s="2">
        <v>0.0</v>
      </c>
      <c r="J1888" s="37">
        <v>0.0</v>
      </c>
      <c r="K1888" s="2">
        <v>0.0</v>
      </c>
      <c r="L1888" s="2">
        <v>0.0</v>
      </c>
      <c r="M1888" s="37">
        <v>0.0</v>
      </c>
    </row>
    <row r="1889" ht="14.25" customHeight="1">
      <c r="A1889" t="s">
        <v>1956</v>
      </c>
      <c r="B1889" t="s">
        <v>1923</v>
      </c>
      <c r="C1889" t="s">
        <v>75</v>
      </c>
      <c r="D1889" t="s">
        <v>63</v>
      </c>
      <c r="E1889">
        <v>15.0</v>
      </c>
      <c r="F1889">
        <v>17.0</v>
      </c>
      <c r="G1889" s="2" t="s">
        <v>64</v>
      </c>
      <c r="H1889" s="2">
        <v>0.0</v>
      </c>
      <c r="I1889" s="2">
        <v>0.0</v>
      </c>
      <c r="J1889" s="37">
        <v>0.0</v>
      </c>
      <c r="K1889" s="2">
        <v>0.0</v>
      </c>
      <c r="L1889" s="2">
        <v>0.0</v>
      </c>
      <c r="M1889" s="37">
        <v>0.0</v>
      </c>
    </row>
    <row r="1890" ht="14.25" customHeight="1">
      <c r="A1890" t="s">
        <v>1957</v>
      </c>
      <c r="B1890" t="s">
        <v>1923</v>
      </c>
      <c r="C1890" t="s">
        <v>75</v>
      </c>
      <c r="D1890" t="s">
        <v>63</v>
      </c>
      <c r="E1890">
        <v>12.5</v>
      </c>
      <c r="F1890">
        <v>15.0</v>
      </c>
      <c r="G1890" s="2" t="s">
        <v>64</v>
      </c>
      <c r="H1890" s="2">
        <v>0.0</v>
      </c>
      <c r="I1890" s="2">
        <v>0.0</v>
      </c>
      <c r="J1890" s="37">
        <v>0.0</v>
      </c>
      <c r="K1890" s="2">
        <v>0.0</v>
      </c>
      <c r="L1890" s="2">
        <v>0.0</v>
      </c>
      <c r="M1890" s="37">
        <v>0.0</v>
      </c>
    </row>
    <row r="1891" ht="14.25" customHeight="1">
      <c r="A1891" t="s">
        <v>1958</v>
      </c>
      <c r="B1891" t="s">
        <v>1923</v>
      </c>
      <c r="C1891" t="s">
        <v>75</v>
      </c>
      <c r="D1891" t="s">
        <v>63</v>
      </c>
      <c r="E1891">
        <v>12.5</v>
      </c>
      <c r="F1891">
        <v>15.0</v>
      </c>
      <c r="G1891" s="2" t="s">
        <v>64</v>
      </c>
      <c r="H1891" s="2">
        <v>0.0</v>
      </c>
      <c r="I1891" s="2">
        <v>0.0</v>
      </c>
      <c r="J1891" s="37">
        <v>0.0</v>
      </c>
      <c r="K1891" s="2">
        <v>0.0</v>
      </c>
      <c r="L1891" s="2">
        <v>0.0</v>
      </c>
      <c r="M1891" s="37">
        <v>0.0</v>
      </c>
    </row>
    <row r="1892" ht="14.25" customHeight="1">
      <c r="A1892" t="s">
        <v>1959</v>
      </c>
      <c r="B1892" t="s">
        <v>1923</v>
      </c>
      <c r="C1892" t="s">
        <v>62</v>
      </c>
      <c r="D1892" t="s">
        <v>63</v>
      </c>
      <c r="E1892">
        <v>8.0</v>
      </c>
      <c r="F1892">
        <v>8.9</v>
      </c>
      <c r="G1892" s="2" t="s">
        <v>64</v>
      </c>
      <c r="H1892" s="2">
        <v>0.0</v>
      </c>
      <c r="I1892" s="2">
        <v>0.0</v>
      </c>
      <c r="J1892" s="37">
        <v>0.0</v>
      </c>
      <c r="K1892" s="2">
        <v>0.0</v>
      </c>
      <c r="L1892" s="2">
        <v>0.0</v>
      </c>
      <c r="M1892" s="37">
        <v>0.0</v>
      </c>
    </row>
    <row r="1893" ht="14.25" customHeight="1">
      <c r="A1893" t="s">
        <v>1960</v>
      </c>
      <c r="B1893" t="s">
        <v>1923</v>
      </c>
      <c r="C1893" t="s">
        <v>62</v>
      </c>
      <c r="D1893" t="s">
        <v>63</v>
      </c>
      <c r="E1893">
        <v>9.5</v>
      </c>
      <c r="F1893">
        <v>10.8</v>
      </c>
      <c r="G1893" s="2" t="s">
        <v>67</v>
      </c>
      <c r="H1893" s="2">
        <v>29.0</v>
      </c>
      <c r="I1893" s="2">
        <v>204.0</v>
      </c>
      <c r="J1893" s="37">
        <v>916.54</v>
      </c>
      <c r="K1893" s="2">
        <v>34.0</v>
      </c>
      <c r="L1893" s="2">
        <v>291.0</v>
      </c>
      <c r="M1893" s="37">
        <v>1141.94</v>
      </c>
    </row>
    <row r="1894" ht="14.25" customHeight="1">
      <c r="A1894" t="s">
        <v>1961</v>
      </c>
      <c r="B1894" t="s">
        <v>1923</v>
      </c>
      <c r="C1894" t="s">
        <v>62</v>
      </c>
      <c r="D1894" t="s">
        <v>63</v>
      </c>
      <c r="E1894">
        <v>12.3</v>
      </c>
      <c r="F1894">
        <v>13.5</v>
      </c>
      <c r="G1894" s="2" t="s">
        <v>64</v>
      </c>
      <c r="H1894" s="2">
        <v>0.0</v>
      </c>
      <c r="I1894" s="2">
        <v>0.0</v>
      </c>
      <c r="J1894" s="37">
        <v>0.0</v>
      </c>
      <c r="K1894" s="2">
        <v>0.0</v>
      </c>
      <c r="L1894" s="2">
        <v>0.0</v>
      </c>
      <c r="M1894" s="37">
        <v>0.0</v>
      </c>
    </row>
    <row r="1895" ht="14.25" customHeight="1">
      <c r="A1895" t="s">
        <v>1962</v>
      </c>
      <c r="B1895" t="s">
        <v>1923</v>
      </c>
      <c r="C1895" t="s">
        <v>62</v>
      </c>
      <c r="D1895" t="s">
        <v>63</v>
      </c>
      <c r="E1895">
        <v>13.6</v>
      </c>
      <c r="F1895">
        <v>15.5</v>
      </c>
      <c r="G1895" s="2" t="s">
        <v>64</v>
      </c>
      <c r="H1895" s="2">
        <v>0.0</v>
      </c>
      <c r="I1895" s="2">
        <v>0.0</v>
      </c>
      <c r="J1895" s="37">
        <v>0.0</v>
      </c>
      <c r="K1895" s="2">
        <v>0.0</v>
      </c>
      <c r="L1895" s="2">
        <v>0.0</v>
      </c>
      <c r="M1895" s="37">
        <v>0.0</v>
      </c>
    </row>
    <row r="1896" ht="14.25" customHeight="1">
      <c r="A1896" t="s">
        <v>1963</v>
      </c>
      <c r="B1896" t="s">
        <v>1923</v>
      </c>
      <c r="C1896" t="s">
        <v>75</v>
      </c>
      <c r="D1896" t="s">
        <v>63</v>
      </c>
      <c r="E1896">
        <v>8.5</v>
      </c>
      <c r="F1896">
        <v>10.0</v>
      </c>
      <c r="G1896" s="2" t="s">
        <v>64</v>
      </c>
      <c r="H1896" s="2">
        <v>0.0</v>
      </c>
      <c r="I1896" s="2">
        <v>0.0</v>
      </c>
      <c r="J1896" s="37">
        <v>0.0</v>
      </c>
      <c r="K1896" s="2">
        <v>0.0</v>
      </c>
      <c r="L1896" s="2">
        <v>0.0</v>
      </c>
      <c r="M1896" s="37">
        <v>0.0</v>
      </c>
    </row>
    <row r="1897" ht="14.25" customHeight="1">
      <c r="A1897" t="s">
        <v>1948</v>
      </c>
      <c r="B1897" t="s">
        <v>1923</v>
      </c>
      <c r="C1897" t="s">
        <v>75</v>
      </c>
      <c r="D1897" t="s">
        <v>63</v>
      </c>
      <c r="E1897">
        <v>14.0</v>
      </c>
      <c r="F1897">
        <v>16.5</v>
      </c>
      <c r="G1897" s="2" t="s">
        <v>64</v>
      </c>
      <c r="H1897" s="2">
        <v>40.0</v>
      </c>
      <c r="I1897" s="2">
        <v>64.0</v>
      </c>
      <c r="J1897" s="37">
        <v>981.6000000000001</v>
      </c>
      <c r="K1897" s="2">
        <v>48.0</v>
      </c>
      <c r="L1897" s="2">
        <v>207.0</v>
      </c>
      <c r="M1897" s="37">
        <v>1347.1799999999998</v>
      </c>
    </row>
    <row r="1898" ht="14.25" customHeight="1">
      <c r="A1898" t="s">
        <v>1964</v>
      </c>
      <c r="B1898" t="s">
        <v>1923</v>
      </c>
      <c r="C1898" t="s">
        <v>75</v>
      </c>
      <c r="D1898" t="s">
        <v>63</v>
      </c>
      <c r="E1898">
        <v>15.2</v>
      </c>
      <c r="F1898">
        <v>18.0</v>
      </c>
      <c r="G1898" s="2" t="s">
        <v>64</v>
      </c>
      <c r="H1898" s="2">
        <v>0.0</v>
      </c>
      <c r="I1898" s="2">
        <v>0.0</v>
      </c>
      <c r="J1898" s="37">
        <v>0.0</v>
      </c>
      <c r="K1898" s="2">
        <v>0.0</v>
      </c>
      <c r="L1898" s="2">
        <v>0.0</v>
      </c>
      <c r="M1898" s="37">
        <v>0.0</v>
      </c>
    </row>
    <row r="1899" ht="14.25" customHeight="1">
      <c r="A1899" t="s">
        <v>1965</v>
      </c>
      <c r="B1899" t="s">
        <v>1923</v>
      </c>
      <c r="C1899" t="s">
        <v>75</v>
      </c>
      <c r="D1899" t="s">
        <v>63</v>
      </c>
      <c r="E1899">
        <v>14.0</v>
      </c>
      <c r="F1899">
        <v>16.5</v>
      </c>
      <c r="G1899" s="2" t="s">
        <v>64</v>
      </c>
      <c r="H1899" s="2">
        <v>0.0</v>
      </c>
      <c r="I1899" s="2">
        <v>0.0</v>
      </c>
      <c r="J1899" s="37">
        <v>0.0</v>
      </c>
      <c r="K1899" s="2">
        <v>0.0</v>
      </c>
      <c r="L1899" s="2">
        <v>0.0</v>
      </c>
      <c r="M1899" s="37">
        <v>0.0</v>
      </c>
    </row>
    <row r="1900" ht="14.25" customHeight="1">
      <c r="A1900" t="s">
        <v>1966</v>
      </c>
      <c r="B1900" t="s">
        <v>1923</v>
      </c>
      <c r="C1900" t="s">
        <v>75</v>
      </c>
      <c r="D1900" t="s">
        <v>63</v>
      </c>
      <c r="E1900">
        <v>15.2</v>
      </c>
      <c r="F1900">
        <v>18.0</v>
      </c>
      <c r="G1900" s="2" t="s">
        <v>64</v>
      </c>
      <c r="H1900" s="2">
        <v>0.0</v>
      </c>
      <c r="I1900" s="2">
        <v>0.0</v>
      </c>
      <c r="J1900" s="37">
        <v>0.0</v>
      </c>
      <c r="K1900" s="2">
        <v>0.0</v>
      </c>
      <c r="L1900" s="2">
        <v>0.0</v>
      </c>
      <c r="M1900" s="37">
        <v>0.0</v>
      </c>
    </row>
    <row r="1901" ht="14.25" customHeight="1">
      <c r="A1901" t="s">
        <v>1967</v>
      </c>
      <c r="B1901" t="s">
        <v>1923</v>
      </c>
      <c r="C1901" t="s">
        <v>75</v>
      </c>
      <c r="D1901" t="s">
        <v>63</v>
      </c>
      <c r="E1901">
        <v>10.5</v>
      </c>
      <c r="F1901">
        <v>13.0</v>
      </c>
      <c r="G1901" s="2" t="s">
        <v>64</v>
      </c>
      <c r="H1901" s="2">
        <v>0.0</v>
      </c>
      <c r="I1901" s="2">
        <v>0.0</v>
      </c>
      <c r="J1901" s="37">
        <v>0.0</v>
      </c>
      <c r="K1901" s="2">
        <v>0.0</v>
      </c>
      <c r="L1901" s="2">
        <v>0.0</v>
      </c>
      <c r="M1901" s="37">
        <v>0.0</v>
      </c>
    </row>
    <row r="1902" ht="14.25" customHeight="1">
      <c r="A1902" t="s">
        <v>1968</v>
      </c>
      <c r="B1902" t="s">
        <v>1923</v>
      </c>
      <c r="C1902" t="s">
        <v>75</v>
      </c>
      <c r="D1902" t="s">
        <v>63</v>
      </c>
      <c r="E1902">
        <v>10.5</v>
      </c>
      <c r="F1902">
        <v>13.0</v>
      </c>
      <c r="G1902" s="2" t="s">
        <v>64</v>
      </c>
      <c r="H1902" s="2">
        <v>0.0</v>
      </c>
      <c r="I1902" s="2">
        <v>0.0</v>
      </c>
      <c r="J1902" s="37">
        <v>0.0</v>
      </c>
      <c r="K1902" s="2">
        <v>0.0</v>
      </c>
      <c r="L1902" s="2">
        <v>0.0</v>
      </c>
      <c r="M1902" s="37">
        <v>0.0</v>
      </c>
    </row>
    <row r="1903" ht="14.25" customHeight="1">
      <c r="A1903" t="s">
        <v>1969</v>
      </c>
      <c r="B1903" t="s">
        <v>1923</v>
      </c>
      <c r="C1903" t="s">
        <v>75</v>
      </c>
      <c r="D1903" t="s">
        <v>63</v>
      </c>
      <c r="E1903">
        <v>10.5</v>
      </c>
      <c r="F1903">
        <v>13.0</v>
      </c>
      <c r="G1903" s="2" t="s">
        <v>67</v>
      </c>
      <c r="H1903" s="2">
        <v>37.0</v>
      </c>
      <c r="I1903" s="2">
        <v>263.0</v>
      </c>
      <c r="J1903" s="37">
        <v>1172.92</v>
      </c>
      <c r="K1903" s="2">
        <v>43.0</v>
      </c>
      <c r="L1903" s="2">
        <v>370.0</v>
      </c>
      <c r="M1903" s="37">
        <v>1446.7800000000002</v>
      </c>
    </row>
    <row r="1904" ht="14.25" customHeight="1">
      <c r="A1904" t="s">
        <v>1970</v>
      </c>
      <c r="B1904" t="s">
        <v>1923</v>
      </c>
      <c r="C1904" t="s">
        <v>62</v>
      </c>
      <c r="D1904" t="s">
        <v>63</v>
      </c>
      <c r="E1904">
        <v>5.0</v>
      </c>
      <c r="F1904">
        <v>6.0</v>
      </c>
      <c r="G1904" s="2" t="s">
        <v>67</v>
      </c>
      <c r="H1904" s="2">
        <v>17.0</v>
      </c>
      <c r="I1904" s="2">
        <v>98.0</v>
      </c>
      <c r="J1904" s="37">
        <v>509.22</v>
      </c>
      <c r="K1904" s="2">
        <v>20.0</v>
      </c>
      <c r="L1904" s="2">
        <v>144.0</v>
      </c>
      <c r="M1904" s="37">
        <v>636.4000000000001</v>
      </c>
    </row>
    <row r="1905" ht="14.25" customHeight="1">
      <c r="A1905" t="s">
        <v>1971</v>
      </c>
      <c r="B1905" t="s">
        <v>1923</v>
      </c>
      <c r="C1905" t="s">
        <v>62</v>
      </c>
      <c r="D1905" t="s">
        <v>63</v>
      </c>
      <c r="E1905">
        <v>2.6</v>
      </c>
      <c r="F1905">
        <v>3.2</v>
      </c>
      <c r="G1905" s="2" t="s">
        <v>67</v>
      </c>
      <c r="H1905" s="2">
        <v>7.0</v>
      </c>
      <c r="I1905" s="2">
        <v>32.0</v>
      </c>
      <c r="J1905" s="37">
        <v>198.82</v>
      </c>
      <c r="K1905" s="2">
        <v>8.0</v>
      </c>
      <c r="L1905" s="2">
        <v>53.0</v>
      </c>
      <c r="M1905" s="37">
        <v>248.58</v>
      </c>
    </row>
    <row r="1906" ht="14.25" customHeight="1">
      <c r="A1906" t="s">
        <v>1972</v>
      </c>
      <c r="B1906" t="s">
        <v>1923</v>
      </c>
      <c r="C1906" t="s">
        <v>62</v>
      </c>
      <c r="D1906" t="s">
        <v>63</v>
      </c>
      <c r="E1906">
        <v>3.4</v>
      </c>
      <c r="F1906">
        <v>4.0</v>
      </c>
      <c r="G1906" s="2" t="s">
        <v>64</v>
      </c>
      <c r="H1906" s="2">
        <v>0.0</v>
      </c>
      <c r="I1906" s="2">
        <v>0.0</v>
      </c>
      <c r="J1906" s="37">
        <v>0.0</v>
      </c>
      <c r="K1906" s="2">
        <v>0.0</v>
      </c>
      <c r="L1906" s="2">
        <v>0.0</v>
      </c>
      <c r="M1906" s="37">
        <v>0.0</v>
      </c>
    </row>
    <row r="1907" ht="14.25" customHeight="1">
      <c r="A1907" t="s">
        <v>1973</v>
      </c>
      <c r="B1907" t="s">
        <v>1923</v>
      </c>
      <c r="C1907" t="s">
        <v>62</v>
      </c>
      <c r="D1907" t="s">
        <v>63</v>
      </c>
      <c r="E1907">
        <v>6.3</v>
      </c>
      <c r="F1907">
        <v>7.3</v>
      </c>
      <c r="G1907" s="2" t="s">
        <v>64</v>
      </c>
      <c r="H1907" s="2">
        <v>0.0</v>
      </c>
      <c r="I1907" s="2">
        <v>0.0</v>
      </c>
      <c r="J1907" s="37">
        <v>0.0</v>
      </c>
      <c r="K1907" s="2">
        <v>0.0</v>
      </c>
      <c r="L1907" s="2">
        <v>0.0</v>
      </c>
      <c r="M1907" s="37">
        <v>0.0</v>
      </c>
    </row>
    <row r="1908" ht="14.25" customHeight="1">
      <c r="A1908" t="s">
        <v>1974</v>
      </c>
      <c r="B1908" t="s">
        <v>1923</v>
      </c>
      <c r="C1908" t="s">
        <v>62</v>
      </c>
      <c r="D1908" t="s">
        <v>63</v>
      </c>
      <c r="E1908">
        <v>4.8</v>
      </c>
      <c r="F1908">
        <v>5.9</v>
      </c>
      <c r="G1908" s="2" t="s">
        <v>64</v>
      </c>
      <c r="H1908" s="2">
        <v>0.0</v>
      </c>
      <c r="I1908" s="2">
        <v>0.0</v>
      </c>
      <c r="J1908" s="37">
        <v>0.0</v>
      </c>
      <c r="K1908" s="2">
        <v>0.0</v>
      </c>
      <c r="L1908" s="2">
        <v>0.0</v>
      </c>
      <c r="M1908" s="37">
        <v>0.0</v>
      </c>
    </row>
    <row r="1909" ht="14.25" customHeight="1">
      <c r="A1909" t="s">
        <v>1975</v>
      </c>
      <c r="B1909" t="s">
        <v>1923</v>
      </c>
      <c r="C1909" t="s">
        <v>75</v>
      </c>
      <c r="D1909" t="s">
        <v>63</v>
      </c>
      <c r="E1909">
        <v>20.0</v>
      </c>
      <c r="F1909">
        <v>22.6</v>
      </c>
      <c r="G1909" s="2" t="s">
        <v>64</v>
      </c>
      <c r="H1909" s="2">
        <v>0.0</v>
      </c>
      <c r="I1909" s="2">
        <v>0.0</v>
      </c>
      <c r="J1909" s="37">
        <v>0.0</v>
      </c>
      <c r="K1909" s="2">
        <v>0.0</v>
      </c>
      <c r="L1909" s="2">
        <v>0.0</v>
      </c>
      <c r="M1909" s="37">
        <v>0.0</v>
      </c>
    </row>
    <row r="1910" ht="14.25" customHeight="1">
      <c r="A1910" t="s">
        <v>1976</v>
      </c>
      <c r="B1910" t="s">
        <v>1923</v>
      </c>
      <c r="C1910" t="s">
        <v>75</v>
      </c>
      <c r="D1910" t="s">
        <v>63</v>
      </c>
      <c r="E1910">
        <v>18.0</v>
      </c>
      <c r="F1910">
        <v>20.6</v>
      </c>
      <c r="G1910" s="2" t="s">
        <v>64</v>
      </c>
      <c r="H1910" s="2">
        <v>0.0</v>
      </c>
      <c r="I1910" s="2">
        <v>0.0</v>
      </c>
      <c r="J1910" s="37">
        <v>0.0</v>
      </c>
      <c r="K1910" s="2">
        <v>0.0</v>
      </c>
      <c r="L1910" s="2">
        <v>0.0</v>
      </c>
      <c r="M1910" s="37">
        <v>0.0</v>
      </c>
    </row>
    <row r="1911" ht="14.25" customHeight="1">
      <c r="A1911" t="s">
        <v>1977</v>
      </c>
      <c r="B1911" t="s">
        <v>1923</v>
      </c>
      <c r="C1911" t="s">
        <v>62</v>
      </c>
      <c r="D1911" t="s">
        <v>63</v>
      </c>
      <c r="E1911">
        <v>2.5</v>
      </c>
      <c r="F1911">
        <v>3.2</v>
      </c>
      <c r="G1911" s="2" t="s">
        <v>67</v>
      </c>
      <c r="H1911" s="2">
        <v>8.0</v>
      </c>
      <c r="I1911" s="2">
        <v>37.0</v>
      </c>
      <c r="J1911" s="37">
        <v>227.78</v>
      </c>
      <c r="K1911" s="2">
        <v>9.0</v>
      </c>
      <c r="L1911" s="2">
        <v>58.0</v>
      </c>
      <c r="M1911" s="37">
        <v>277.54</v>
      </c>
    </row>
    <row r="1912" ht="14.25" customHeight="1">
      <c r="A1912" t="s">
        <v>1978</v>
      </c>
      <c r="B1912" t="s">
        <v>1923</v>
      </c>
      <c r="C1912" t="s">
        <v>62</v>
      </c>
      <c r="D1912" t="s">
        <v>63</v>
      </c>
      <c r="E1912">
        <v>2.5</v>
      </c>
      <c r="F1912">
        <v>3.0</v>
      </c>
      <c r="G1912" s="2" t="s">
        <v>64</v>
      </c>
      <c r="H1912" s="2">
        <v>0.0</v>
      </c>
      <c r="I1912" s="2">
        <v>0.0</v>
      </c>
      <c r="J1912" s="37">
        <v>0.0</v>
      </c>
      <c r="K1912" s="2">
        <v>0.0</v>
      </c>
      <c r="L1912" s="2">
        <v>0.0</v>
      </c>
      <c r="M1912" s="37">
        <v>0.0</v>
      </c>
    </row>
    <row r="1913" ht="14.25" customHeight="1">
      <c r="A1913" t="s">
        <v>1979</v>
      </c>
      <c r="B1913" t="s">
        <v>1923</v>
      </c>
      <c r="C1913" t="s">
        <v>62</v>
      </c>
      <c r="D1913" t="s">
        <v>63</v>
      </c>
      <c r="E1913">
        <v>3.5</v>
      </c>
      <c r="F1913">
        <v>3.7</v>
      </c>
      <c r="G1913" s="2" t="s">
        <v>64</v>
      </c>
      <c r="H1913" s="2">
        <v>0.0</v>
      </c>
      <c r="I1913" s="2">
        <v>0.0</v>
      </c>
      <c r="J1913" s="37">
        <v>0.0</v>
      </c>
      <c r="K1913" s="2">
        <v>0.0</v>
      </c>
      <c r="L1913" s="2">
        <v>0.0</v>
      </c>
      <c r="M1913" s="37">
        <v>0.0</v>
      </c>
    </row>
    <row r="1914" ht="14.25" customHeight="1">
      <c r="A1914" t="s">
        <v>1980</v>
      </c>
      <c r="B1914" t="s">
        <v>1923</v>
      </c>
      <c r="C1914" t="s">
        <v>62</v>
      </c>
      <c r="D1914" t="s">
        <v>63</v>
      </c>
      <c r="E1914">
        <v>5.0</v>
      </c>
      <c r="F1914">
        <v>6.0</v>
      </c>
      <c r="G1914" s="2" t="s">
        <v>67</v>
      </c>
      <c r="H1914" s="2">
        <v>17.0</v>
      </c>
      <c r="I1914" s="2">
        <v>86.0</v>
      </c>
      <c r="J1914" s="37">
        <v>493.62</v>
      </c>
      <c r="K1914" s="2">
        <v>20.0</v>
      </c>
      <c r="L1914" s="2">
        <v>132.0</v>
      </c>
      <c r="M1914" s="37">
        <v>620.8000000000001</v>
      </c>
    </row>
    <row r="1915" ht="14.25" customHeight="1">
      <c r="A1915" t="s">
        <v>1981</v>
      </c>
      <c r="B1915" t="s">
        <v>1923</v>
      </c>
      <c r="C1915" t="s">
        <v>62</v>
      </c>
      <c r="D1915" t="s">
        <v>63</v>
      </c>
      <c r="E1915">
        <v>4.8</v>
      </c>
      <c r="F1915">
        <v>5.2</v>
      </c>
      <c r="G1915" s="2" t="s">
        <v>67</v>
      </c>
      <c r="H1915" s="2">
        <v>14.0</v>
      </c>
      <c r="I1915" s="2">
        <v>1.0</v>
      </c>
      <c r="J1915" s="37">
        <v>315.74</v>
      </c>
      <c r="K1915" s="2">
        <v>16.0</v>
      </c>
      <c r="L1915" s="2">
        <v>45.0</v>
      </c>
      <c r="M1915" s="37">
        <v>417.86</v>
      </c>
    </row>
    <row r="1916" ht="14.25" customHeight="1">
      <c r="A1916" t="s">
        <v>1982</v>
      </c>
      <c r="B1916" t="s">
        <v>1923</v>
      </c>
      <c r="C1916" t="s">
        <v>62</v>
      </c>
      <c r="D1916" t="s">
        <v>63</v>
      </c>
      <c r="E1916">
        <v>7.1</v>
      </c>
      <c r="F1916">
        <v>7.8</v>
      </c>
      <c r="G1916" s="2" t="s">
        <v>67</v>
      </c>
      <c r="H1916" s="2">
        <v>22.0</v>
      </c>
      <c r="I1916" s="2">
        <v>31.0</v>
      </c>
      <c r="J1916" s="37">
        <v>534.42</v>
      </c>
      <c r="K1916" s="2">
        <v>26.0</v>
      </c>
      <c r="L1916" s="2">
        <v>95.0</v>
      </c>
      <c r="M1916" s="37">
        <v>707.46</v>
      </c>
    </row>
    <row r="1917" ht="14.25" customHeight="1">
      <c r="A1917" t="s">
        <v>1983</v>
      </c>
      <c r="B1917" t="s">
        <v>1923</v>
      </c>
      <c r="C1917" t="s">
        <v>62</v>
      </c>
      <c r="D1917" t="s">
        <v>63</v>
      </c>
      <c r="E1917">
        <v>7.1</v>
      </c>
      <c r="F1917">
        <v>7.7</v>
      </c>
      <c r="G1917" s="2" t="s">
        <v>64</v>
      </c>
      <c r="H1917" s="2">
        <v>0.0</v>
      </c>
      <c r="I1917" s="2">
        <v>0.0</v>
      </c>
      <c r="J1917" s="37">
        <v>0.0</v>
      </c>
      <c r="K1917" s="2">
        <v>0.0</v>
      </c>
      <c r="L1917" s="2">
        <v>0.0</v>
      </c>
      <c r="M1917" s="37">
        <v>0.0</v>
      </c>
    </row>
    <row r="1918" ht="14.25" customHeight="1">
      <c r="A1918" t="s">
        <v>1984</v>
      </c>
      <c r="B1918" t="s">
        <v>1923</v>
      </c>
      <c r="C1918" t="s">
        <v>62</v>
      </c>
      <c r="D1918" t="s">
        <v>63</v>
      </c>
      <c r="E1918">
        <v>3.5</v>
      </c>
      <c r="F1918">
        <v>3.7</v>
      </c>
      <c r="G1918" s="2" t="s">
        <v>67</v>
      </c>
      <c r="H1918" s="2">
        <v>10.0</v>
      </c>
      <c r="I1918" s="2">
        <v>21.0</v>
      </c>
      <c r="J1918" s="37">
        <v>251.90000000000003</v>
      </c>
      <c r="K1918" s="2">
        <v>11.0</v>
      </c>
      <c r="L1918" s="2">
        <v>49.0</v>
      </c>
      <c r="M1918" s="37">
        <v>310.76</v>
      </c>
    </row>
    <row r="1919" ht="14.25" customHeight="1">
      <c r="A1919" t="s">
        <v>1985</v>
      </c>
      <c r="B1919" t="s">
        <v>1986</v>
      </c>
      <c r="C1919" t="s">
        <v>75</v>
      </c>
      <c r="D1919" t="s">
        <v>82</v>
      </c>
      <c r="E1919">
        <v>22.0</v>
      </c>
      <c r="F1919">
        <v>26.0</v>
      </c>
      <c r="G1919" s="2" t="s">
        <v>64</v>
      </c>
      <c r="H1919" s="2">
        <v>0.0</v>
      </c>
      <c r="I1919" s="2">
        <v>0.0</v>
      </c>
      <c r="J1919" s="37">
        <v>0.0</v>
      </c>
      <c r="K1919" s="2">
        <v>0.0</v>
      </c>
      <c r="L1919" s="2">
        <v>0.0</v>
      </c>
      <c r="M1919" s="37">
        <v>0.0</v>
      </c>
    </row>
    <row r="1920" ht="14.25" customHeight="1">
      <c r="A1920" t="s">
        <v>1987</v>
      </c>
      <c r="B1920" t="s">
        <v>1986</v>
      </c>
      <c r="C1920" t="s">
        <v>75</v>
      </c>
      <c r="D1920" t="s">
        <v>82</v>
      </c>
      <c r="E1920">
        <v>22.0</v>
      </c>
      <c r="F1920">
        <v>26.0</v>
      </c>
      <c r="G1920" s="2" t="s">
        <v>64</v>
      </c>
      <c r="H1920" s="2">
        <v>0.0</v>
      </c>
      <c r="I1920" s="2">
        <v>0.0</v>
      </c>
      <c r="J1920" s="37">
        <v>0.0</v>
      </c>
      <c r="K1920" s="2">
        <v>0.0</v>
      </c>
      <c r="L1920" s="2">
        <v>0.0</v>
      </c>
      <c r="M1920" s="37">
        <v>0.0</v>
      </c>
    </row>
    <row r="1921" ht="14.25" customHeight="1">
      <c r="A1921" t="s">
        <v>1988</v>
      </c>
      <c r="B1921" t="s">
        <v>1986</v>
      </c>
      <c r="C1921" t="s">
        <v>75</v>
      </c>
      <c r="D1921" t="s">
        <v>82</v>
      </c>
      <c r="E1921">
        <v>22.0</v>
      </c>
      <c r="F1921">
        <v>26.0</v>
      </c>
      <c r="G1921" s="2" t="s">
        <v>64</v>
      </c>
      <c r="H1921" s="2">
        <v>0.0</v>
      </c>
      <c r="I1921" s="2">
        <v>0.0</v>
      </c>
      <c r="J1921" s="37">
        <v>0.0</v>
      </c>
      <c r="K1921" s="2">
        <v>0.0</v>
      </c>
      <c r="L1921" s="2">
        <v>0.0</v>
      </c>
      <c r="M1921" s="37">
        <v>0.0</v>
      </c>
    </row>
    <row r="1922" ht="14.25" customHeight="1">
      <c r="A1922" t="s">
        <v>1989</v>
      </c>
      <c r="B1922" t="s">
        <v>1986</v>
      </c>
      <c r="C1922" t="s">
        <v>75</v>
      </c>
      <c r="D1922" t="s">
        <v>82</v>
      </c>
      <c r="E1922">
        <v>22.0</v>
      </c>
      <c r="F1922">
        <v>26.0</v>
      </c>
      <c r="G1922" s="2" t="s">
        <v>64</v>
      </c>
      <c r="H1922" s="2">
        <v>0.0</v>
      </c>
      <c r="I1922" s="2">
        <v>0.0</v>
      </c>
      <c r="J1922" s="37">
        <v>0.0</v>
      </c>
      <c r="K1922" s="2">
        <v>0.0</v>
      </c>
      <c r="L1922" s="2">
        <v>0.0</v>
      </c>
      <c r="M1922" s="37">
        <v>0.0</v>
      </c>
    </row>
    <row r="1923" ht="14.25" customHeight="1">
      <c r="A1923" t="s">
        <v>1990</v>
      </c>
      <c r="B1923" t="s">
        <v>1986</v>
      </c>
      <c r="C1923" t="s">
        <v>75</v>
      </c>
      <c r="D1923" t="s">
        <v>82</v>
      </c>
      <c r="E1923">
        <v>22.0</v>
      </c>
      <c r="F1923">
        <v>26.0</v>
      </c>
      <c r="G1923" s="2" t="s">
        <v>64</v>
      </c>
      <c r="H1923" s="2">
        <v>0.0</v>
      </c>
      <c r="I1923" s="2">
        <v>0.0</v>
      </c>
      <c r="J1923" s="37">
        <v>0.0</v>
      </c>
      <c r="K1923" s="2">
        <v>0.0</v>
      </c>
      <c r="L1923" s="2">
        <v>0.0</v>
      </c>
      <c r="M1923" s="37">
        <v>0.0</v>
      </c>
    </row>
    <row r="1924" ht="14.25" customHeight="1">
      <c r="A1924" t="s">
        <v>1991</v>
      </c>
      <c r="B1924" t="s">
        <v>1986</v>
      </c>
      <c r="C1924" t="s">
        <v>75</v>
      </c>
      <c r="D1924" t="s">
        <v>82</v>
      </c>
      <c r="E1924">
        <v>27.0</v>
      </c>
      <c r="F1924">
        <v>34.0</v>
      </c>
      <c r="G1924" s="2" t="s">
        <v>64</v>
      </c>
      <c r="H1924" s="2">
        <v>0.0</v>
      </c>
      <c r="I1924" s="2">
        <v>0.0</v>
      </c>
      <c r="J1924" s="37">
        <v>0.0</v>
      </c>
      <c r="K1924" s="2">
        <v>0.0</v>
      </c>
      <c r="L1924" s="2">
        <v>0.0</v>
      </c>
      <c r="M1924" s="37">
        <v>0.0</v>
      </c>
    </row>
    <row r="1925" ht="14.25" customHeight="1">
      <c r="A1925" t="s">
        <v>1992</v>
      </c>
      <c r="B1925" t="s">
        <v>1986</v>
      </c>
      <c r="C1925" t="s">
        <v>75</v>
      </c>
      <c r="D1925" t="s">
        <v>82</v>
      </c>
      <c r="E1925">
        <v>27.0</v>
      </c>
      <c r="F1925">
        <v>34.0</v>
      </c>
      <c r="G1925" s="2" t="s">
        <v>64</v>
      </c>
      <c r="H1925" s="2">
        <v>0.0</v>
      </c>
      <c r="I1925" s="2">
        <v>0.0</v>
      </c>
      <c r="J1925" s="37">
        <v>0.0</v>
      </c>
      <c r="K1925" s="2">
        <v>0.0</v>
      </c>
      <c r="L1925" s="2">
        <v>0.0</v>
      </c>
      <c r="M1925" s="37">
        <v>0.0</v>
      </c>
    </row>
    <row r="1926" ht="14.25" customHeight="1">
      <c r="A1926" t="s">
        <v>1993</v>
      </c>
      <c r="B1926" t="s">
        <v>1986</v>
      </c>
      <c r="C1926" t="s">
        <v>75</v>
      </c>
      <c r="D1926" t="s">
        <v>82</v>
      </c>
      <c r="E1926">
        <v>27.0</v>
      </c>
      <c r="F1926">
        <v>34.0</v>
      </c>
      <c r="G1926" s="2" t="s">
        <v>64</v>
      </c>
      <c r="H1926" s="2">
        <v>0.0</v>
      </c>
      <c r="I1926" s="2">
        <v>0.0</v>
      </c>
      <c r="J1926" s="37">
        <v>0.0</v>
      </c>
      <c r="K1926" s="2">
        <v>0.0</v>
      </c>
      <c r="L1926" s="2">
        <v>0.0</v>
      </c>
      <c r="M1926" s="37">
        <v>0.0</v>
      </c>
    </row>
    <row r="1927" ht="14.25" customHeight="1">
      <c r="A1927" t="s">
        <v>1994</v>
      </c>
      <c r="B1927" t="s">
        <v>1986</v>
      </c>
      <c r="C1927" t="s">
        <v>75</v>
      </c>
      <c r="D1927" t="s">
        <v>82</v>
      </c>
      <c r="E1927">
        <v>27.0</v>
      </c>
      <c r="F1927">
        <v>34.0</v>
      </c>
      <c r="G1927" s="2" t="s">
        <v>64</v>
      </c>
      <c r="H1927" s="2">
        <v>0.0</v>
      </c>
      <c r="I1927" s="2">
        <v>0.0</v>
      </c>
      <c r="J1927" s="37">
        <v>0.0</v>
      </c>
      <c r="K1927" s="2">
        <v>0.0</v>
      </c>
      <c r="L1927" s="2">
        <v>0.0</v>
      </c>
      <c r="M1927" s="37">
        <v>0.0</v>
      </c>
    </row>
    <row r="1928" ht="14.25" customHeight="1">
      <c r="A1928" t="s">
        <v>1995</v>
      </c>
      <c r="B1928" t="s">
        <v>1986</v>
      </c>
      <c r="C1928" t="s">
        <v>75</v>
      </c>
      <c r="D1928" t="s">
        <v>82</v>
      </c>
      <c r="E1928">
        <v>27.0</v>
      </c>
      <c r="F1928">
        <v>34.0</v>
      </c>
      <c r="G1928" s="2" t="s">
        <v>64</v>
      </c>
      <c r="H1928" s="2">
        <v>0.0</v>
      </c>
      <c r="I1928" s="2">
        <v>0.0</v>
      </c>
      <c r="J1928" s="37">
        <v>0.0</v>
      </c>
      <c r="K1928" s="2">
        <v>0.0</v>
      </c>
      <c r="L1928" s="2">
        <v>0.0</v>
      </c>
      <c r="M1928" s="37">
        <v>0.0</v>
      </c>
    </row>
    <row r="1929" ht="14.25" customHeight="1">
      <c r="A1929" t="s">
        <v>1996</v>
      </c>
      <c r="B1929" t="s">
        <v>1997</v>
      </c>
      <c r="C1929" t="s">
        <v>62</v>
      </c>
      <c r="D1929" t="s">
        <v>63</v>
      </c>
      <c r="E1929">
        <v>2.15</v>
      </c>
      <c r="F1929">
        <v>2.1</v>
      </c>
      <c r="G1929" s="2" t="s">
        <v>64</v>
      </c>
      <c r="H1929" s="2">
        <v>0.0</v>
      </c>
      <c r="I1929" s="2">
        <v>0.0</v>
      </c>
      <c r="J1929" s="37">
        <v>0.0</v>
      </c>
      <c r="K1929" s="2">
        <v>0.0</v>
      </c>
      <c r="L1929" s="2">
        <v>0.0</v>
      </c>
      <c r="M1929" s="37">
        <v>0.0</v>
      </c>
    </row>
    <row r="1930" ht="14.25" customHeight="1">
      <c r="A1930" t="s">
        <v>1998</v>
      </c>
      <c r="B1930" t="s">
        <v>1997</v>
      </c>
      <c r="C1930" t="s">
        <v>62</v>
      </c>
      <c r="D1930" t="s">
        <v>63</v>
      </c>
      <c r="E1930">
        <v>2.64</v>
      </c>
      <c r="F1930">
        <v>3.3</v>
      </c>
      <c r="G1930" s="2" t="s">
        <v>67</v>
      </c>
      <c r="H1930" s="2">
        <v>6.0</v>
      </c>
      <c r="I1930" s="2">
        <v>50.0</v>
      </c>
      <c r="J1930" s="37">
        <v>199.76</v>
      </c>
      <c r="K1930" s="2">
        <v>7.0</v>
      </c>
      <c r="L1930" s="2">
        <v>71.0</v>
      </c>
      <c r="M1930" s="37">
        <v>249.51999999999998</v>
      </c>
    </row>
    <row r="1931" ht="14.25" customHeight="1">
      <c r="A1931" t="s">
        <v>1999</v>
      </c>
      <c r="B1931" t="s">
        <v>1997</v>
      </c>
      <c r="C1931" t="s">
        <v>62</v>
      </c>
      <c r="D1931" t="s">
        <v>63</v>
      </c>
      <c r="E1931">
        <v>3.53</v>
      </c>
      <c r="F1931">
        <v>3.65</v>
      </c>
      <c r="G1931" s="2" t="s">
        <v>67</v>
      </c>
      <c r="H1931" s="2">
        <v>7.0</v>
      </c>
      <c r="I1931" s="2">
        <v>28.0</v>
      </c>
      <c r="J1931" s="37">
        <v>193.62</v>
      </c>
      <c r="K1931" s="2">
        <v>8.0</v>
      </c>
      <c r="L1931" s="2">
        <v>56.0</v>
      </c>
      <c r="M1931" s="37">
        <v>252.48000000000002</v>
      </c>
    </row>
    <row r="1932" ht="14.25" customHeight="1">
      <c r="A1932" t="s">
        <v>2000</v>
      </c>
      <c r="B1932" t="s">
        <v>1997</v>
      </c>
      <c r="C1932" t="s">
        <v>62</v>
      </c>
      <c r="D1932" t="s">
        <v>63</v>
      </c>
      <c r="E1932">
        <v>5.3</v>
      </c>
      <c r="F1932">
        <v>5.3</v>
      </c>
      <c r="G1932" s="2" t="s">
        <v>67</v>
      </c>
      <c r="H1932" s="2">
        <v>16.0</v>
      </c>
      <c r="I1932" s="2">
        <v>102.0</v>
      </c>
      <c r="J1932" s="37">
        <v>491.96000000000004</v>
      </c>
      <c r="K1932" s="2">
        <v>19.0</v>
      </c>
      <c r="L1932" s="2">
        <v>150.0</v>
      </c>
      <c r="M1932" s="37">
        <v>621.74</v>
      </c>
    </row>
    <row r="1933" ht="14.25" customHeight="1">
      <c r="A1933" t="s">
        <v>2001</v>
      </c>
      <c r="B1933" t="s">
        <v>1997</v>
      </c>
      <c r="C1933" t="s">
        <v>62</v>
      </c>
      <c r="D1933" t="s">
        <v>63</v>
      </c>
      <c r="E1933">
        <v>7.2</v>
      </c>
      <c r="F1933">
        <v>7.3</v>
      </c>
      <c r="G1933" s="2" t="s">
        <v>67</v>
      </c>
      <c r="H1933" s="2">
        <v>21.0</v>
      </c>
      <c r="I1933" s="2">
        <v>43.0</v>
      </c>
      <c r="J1933" s="37">
        <v>527.5600000000001</v>
      </c>
      <c r="K1933" s="2">
        <v>24.0</v>
      </c>
      <c r="L1933" s="2">
        <v>108.0</v>
      </c>
      <c r="M1933" s="37">
        <v>679.4399999999999</v>
      </c>
    </row>
    <row r="1934" ht="14.25" customHeight="1">
      <c r="A1934" t="s">
        <v>2002</v>
      </c>
      <c r="B1934" t="s">
        <v>1997</v>
      </c>
      <c r="C1934" t="s">
        <v>62</v>
      </c>
      <c r="D1934" t="s">
        <v>63</v>
      </c>
      <c r="E1934">
        <v>8.2</v>
      </c>
      <c r="F1934">
        <v>8.4</v>
      </c>
      <c r="G1934" s="2" t="s">
        <v>67</v>
      </c>
      <c r="H1934" s="2">
        <v>21.0</v>
      </c>
      <c r="I1934" s="2">
        <v>47.0</v>
      </c>
      <c r="J1934" s="37">
        <v>532.76</v>
      </c>
      <c r="K1934" s="2">
        <v>25.0</v>
      </c>
      <c r="L1934" s="2">
        <v>122.0</v>
      </c>
      <c r="M1934" s="37">
        <v>720.1</v>
      </c>
    </row>
    <row r="1935" ht="14.25" customHeight="1">
      <c r="A1935" t="s">
        <v>2003</v>
      </c>
      <c r="B1935" t="s">
        <v>1997</v>
      </c>
      <c r="C1935" t="s">
        <v>62</v>
      </c>
      <c r="D1935" t="s">
        <v>63</v>
      </c>
      <c r="E1935">
        <v>8.8</v>
      </c>
      <c r="F1935">
        <v>8.8</v>
      </c>
      <c r="G1935" s="2" t="s">
        <v>67</v>
      </c>
      <c r="H1935" s="2">
        <v>22.0</v>
      </c>
      <c r="I1935" s="2">
        <v>69.0</v>
      </c>
      <c r="J1935" s="37">
        <v>583.82</v>
      </c>
      <c r="K1935" s="2">
        <v>26.0</v>
      </c>
      <c r="L1935" s="2">
        <v>149.0</v>
      </c>
      <c r="M1935" s="37">
        <v>777.6600000000001</v>
      </c>
    </row>
    <row r="1936" ht="14.25" customHeight="1">
      <c r="A1936" t="s">
        <v>2004</v>
      </c>
      <c r="B1936" t="s">
        <v>2005</v>
      </c>
      <c r="C1936" t="s">
        <v>62</v>
      </c>
      <c r="D1936" t="s">
        <v>63</v>
      </c>
      <c r="E1936">
        <v>2.5</v>
      </c>
      <c r="F1936">
        <v>3.2</v>
      </c>
      <c r="G1936" s="2" t="s">
        <v>67</v>
      </c>
      <c r="H1936" s="2">
        <v>8.0</v>
      </c>
      <c r="I1936" s="2">
        <v>48.0</v>
      </c>
      <c r="J1936" s="37">
        <v>242.08</v>
      </c>
      <c r="K1936" s="2">
        <v>9.0</v>
      </c>
      <c r="L1936" s="2">
        <v>68.0</v>
      </c>
      <c r="M1936" s="37">
        <v>290.54</v>
      </c>
    </row>
    <row r="1937" ht="14.25" customHeight="1">
      <c r="A1937" t="s">
        <v>2006</v>
      </c>
      <c r="B1937" t="s">
        <v>2005</v>
      </c>
      <c r="C1937" t="s">
        <v>62</v>
      </c>
      <c r="D1937" t="s">
        <v>63</v>
      </c>
      <c r="E1937">
        <v>3.5</v>
      </c>
      <c r="F1937">
        <v>4.0</v>
      </c>
      <c r="G1937" s="2" t="s">
        <v>67</v>
      </c>
      <c r="H1937" s="2">
        <v>10.0</v>
      </c>
      <c r="I1937" s="2">
        <v>40.0</v>
      </c>
      <c r="J1937" s="37">
        <v>276.6</v>
      </c>
      <c r="K1937" s="2">
        <v>12.0</v>
      </c>
      <c r="L1937" s="2">
        <v>68.0</v>
      </c>
      <c r="M1937" s="37">
        <v>357.91999999999996</v>
      </c>
    </row>
    <row r="1938" ht="14.25" customHeight="1">
      <c r="A1938" t="s">
        <v>2007</v>
      </c>
      <c r="B1938" t="s">
        <v>2005</v>
      </c>
      <c r="C1938" t="s">
        <v>62</v>
      </c>
      <c r="D1938" t="s">
        <v>63</v>
      </c>
      <c r="E1938">
        <v>5.0</v>
      </c>
      <c r="F1938">
        <v>6.0</v>
      </c>
      <c r="G1938" s="2" t="s">
        <v>67</v>
      </c>
      <c r="H1938" s="2">
        <v>17.0</v>
      </c>
      <c r="I1938" s="2">
        <v>92.0</v>
      </c>
      <c r="J1938" s="37">
        <v>501.42</v>
      </c>
      <c r="K1938" s="2">
        <v>20.0</v>
      </c>
      <c r="L1938" s="2">
        <v>138.0</v>
      </c>
      <c r="M1938" s="37">
        <v>628.6</v>
      </c>
    </row>
    <row r="1939" ht="14.25" customHeight="1">
      <c r="A1939" t="s">
        <v>2008</v>
      </c>
      <c r="B1939" t="s">
        <v>2005</v>
      </c>
      <c r="C1939" t="s">
        <v>62</v>
      </c>
      <c r="D1939" t="s">
        <v>63</v>
      </c>
      <c r="E1939">
        <v>7.1</v>
      </c>
      <c r="F1939">
        <v>8.0</v>
      </c>
      <c r="G1939" s="2" t="s">
        <v>67</v>
      </c>
      <c r="H1939" s="2">
        <v>22.0</v>
      </c>
      <c r="I1939" s="2">
        <v>54.0</v>
      </c>
      <c r="J1939" s="37">
        <v>564.32</v>
      </c>
      <c r="K1939" s="2">
        <v>25.0</v>
      </c>
      <c r="L1939" s="2">
        <v>119.0</v>
      </c>
      <c r="M1939" s="37">
        <v>716.2</v>
      </c>
    </row>
    <row r="1940" ht="14.25" customHeight="1">
      <c r="A1940" t="s">
        <v>2009</v>
      </c>
      <c r="B1940" t="s">
        <v>2005</v>
      </c>
      <c r="C1940" t="s">
        <v>62</v>
      </c>
      <c r="D1940" t="s">
        <v>63</v>
      </c>
      <c r="E1940">
        <v>9.0</v>
      </c>
      <c r="F1940">
        <v>10.0</v>
      </c>
      <c r="G1940" s="2" t="s">
        <v>67</v>
      </c>
      <c r="H1940" s="2">
        <v>28.0</v>
      </c>
      <c r="I1940" s="2">
        <v>66.0</v>
      </c>
      <c r="J1940" s="37">
        <v>714.68</v>
      </c>
      <c r="K1940" s="2">
        <v>32.0</v>
      </c>
      <c r="L1940" s="2">
        <v>148.0</v>
      </c>
      <c r="M1940" s="37">
        <v>911.12</v>
      </c>
    </row>
    <row r="1941" ht="14.25" customHeight="1">
      <c r="A1941" t="s">
        <v>2010</v>
      </c>
      <c r="B1941" t="s">
        <v>2005</v>
      </c>
      <c r="C1941" t="s">
        <v>62</v>
      </c>
      <c r="D1941" t="s">
        <v>63</v>
      </c>
      <c r="E1941">
        <v>10.5</v>
      </c>
      <c r="F1941">
        <v>11.0</v>
      </c>
      <c r="G1941" s="2" t="s">
        <v>67</v>
      </c>
      <c r="H1941" s="2">
        <v>35.0</v>
      </c>
      <c r="I1941" s="2">
        <v>224.0</v>
      </c>
      <c r="J1941" s="37">
        <v>1077.3</v>
      </c>
      <c r="K1941" s="2">
        <v>41.0</v>
      </c>
      <c r="L1941" s="2">
        <v>332.0</v>
      </c>
      <c r="M1941" s="37">
        <v>1352.46</v>
      </c>
    </row>
    <row r="1942" ht="14.25" customHeight="1">
      <c r="A1942" t="s">
        <v>2011</v>
      </c>
      <c r="B1942" t="s">
        <v>2005</v>
      </c>
      <c r="C1942" t="s">
        <v>62</v>
      </c>
      <c r="D1942" t="s">
        <v>63</v>
      </c>
      <c r="E1942">
        <v>12.5</v>
      </c>
      <c r="F1942">
        <v>13.0</v>
      </c>
      <c r="G1942" s="2" t="s">
        <v>67</v>
      </c>
      <c r="H1942" s="2">
        <v>41.0</v>
      </c>
      <c r="I1942" s="2">
        <v>190.0</v>
      </c>
      <c r="J1942" s="37">
        <v>1167.8600000000001</v>
      </c>
      <c r="K1942" s="2">
        <v>47.0</v>
      </c>
      <c r="L1942" s="2">
        <v>318.0</v>
      </c>
      <c r="M1942" s="37">
        <v>1469.0200000000002</v>
      </c>
    </row>
    <row r="1943" ht="14.25" customHeight="1">
      <c r="A1943" t="s">
        <v>2012</v>
      </c>
      <c r="B1943" t="s">
        <v>2005</v>
      </c>
      <c r="C1943" t="s">
        <v>62</v>
      </c>
      <c r="D1943" t="s">
        <v>63</v>
      </c>
      <c r="E1943">
        <v>14.0</v>
      </c>
      <c r="F1943">
        <v>14.5</v>
      </c>
      <c r="G1943" s="2" t="s">
        <v>67</v>
      </c>
      <c r="H1943" s="2">
        <v>45.0</v>
      </c>
      <c r="I1943" s="2">
        <v>78.0</v>
      </c>
      <c r="J1943" s="37">
        <v>1112.1000000000001</v>
      </c>
      <c r="K1943" s="2">
        <v>52.0</v>
      </c>
      <c r="L1943" s="2">
        <v>222.0</v>
      </c>
      <c r="M1943" s="37">
        <v>1456.52</v>
      </c>
    </row>
    <row r="1944" ht="14.25" customHeight="1">
      <c r="A1944" t="s">
        <v>2013</v>
      </c>
      <c r="B1944" t="s">
        <v>2005</v>
      </c>
      <c r="C1944" t="s">
        <v>75</v>
      </c>
      <c r="D1944" t="s">
        <v>63</v>
      </c>
      <c r="E1944">
        <v>7.4</v>
      </c>
      <c r="F1944">
        <v>7.5</v>
      </c>
      <c r="G1944" s="2" t="s">
        <v>67</v>
      </c>
      <c r="H1944" s="2">
        <v>24.0</v>
      </c>
      <c r="I1944" s="2">
        <v>76.0</v>
      </c>
      <c r="J1944" s="37">
        <v>637.8399999999999</v>
      </c>
      <c r="K1944" s="2">
        <v>28.0</v>
      </c>
      <c r="L1944" s="2">
        <v>152.0</v>
      </c>
      <c r="M1944" s="37">
        <v>826.48</v>
      </c>
    </row>
    <row r="1945" ht="14.25" customHeight="1">
      <c r="A1945" t="s">
        <v>2014</v>
      </c>
      <c r="B1945" t="s">
        <v>2005</v>
      </c>
      <c r="C1945" t="s">
        <v>75</v>
      </c>
      <c r="D1945" t="s">
        <v>63</v>
      </c>
      <c r="E1945">
        <v>10.5</v>
      </c>
      <c r="F1945">
        <v>11.0</v>
      </c>
      <c r="G1945" s="2" t="s">
        <v>67</v>
      </c>
      <c r="H1945" s="2">
        <v>35.0</v>
      </c>
      <c r="I1945" s="2">
        <v>55.0</v>
      </c>
      <c r="J1945" s="37">
        <v>857.6</v>
      </c>
      <c r="K1945" s="2">
        <v>41.0</v>
      </c>
      <c r="L1945" s="2">
        <v>163.0</v>
      </c>
      <c r="M1945" s="37">
        <v>1132.76</v>
      </c>
    </row>
    <row r="1946" ht="14.25" customHeight="1">
      <c r="A1946" t="s">
        <v>2015</v>
      </c>
      <c r="B1946" t="s">
        <v>2005</v>
      </c>
      <c r="C1946" t="s">
        <v>75</v>
      </c>
      <c r="D1946" t="s">
        <v>63</v>
      </c>
      <c r="E1946">
        <v>10.5</v>
      </c>
      <c r="F1946">
        <v>11.0</v>
      </c>
      <c r="G1946" s="2" t="s">
        <v>67</v>
      </c>
      <c r="H1946" s="2">
        <v>35.0</v>
      </c>
      <c r="I1946" s="2">
        <v>85.0</v>
      </c>
      <c r="J1946" s="37">
        <v>896.6</v>
      </c>
      <c r="K1946" s="2">
        <v>41.0</v>
      </c>
      <c r="L1946" s="2">
        <v>192.0</v>
      </c>
      <c r="M1946" s="37">
        <v>1170.46</v>
      </c>
    </row>
    <row r="1947" ht="14.25" customHeight="1">
      <c r="A1947" t="s">
        <v>2016</v>
      </c>
      <c r="B1947" t="s">
        <v>2005</v>
      </c>
      <c r="C1947" t="s">
        <v>75</v>
      </c>
      <c r="D1947" t="s">
        <v>63</v>
      </c>
      <c r="E1947">
        <v>12.5</v>
      </c>
      <c r="F1947">
        <v>13.5</v>
      </c>
      <c r="G1947" s="2" t="s">
        <v>67</v>
      </c>
      <c r="H1947" s="2">
        <v>42.0</v>
      </c>
      <c r="I1947" s="2">
        <v>98.0</v>
      </c>
      <c r="J1947" s="37">
        <v>1070.72</v>
      </c>
      <c r="K1947" s="2">
        <v>48.0</v>
      </c>
      <c r="L1947" s="2">
        <v>226.0</v>
      </c>
      <c r="M1947" s="37">
        <v>1371.8799999999999</v>
      </c>
    </row>
    <row r="1948" ht="14.25" customHeight="1">
      <c r="A1948" t="s">
        <v>2017</v>
      </c>
      <c r="B1948" t="s">
        <v>2005</v>
      </c>
      <c r="C1948" t="s">
        <v>75</v>
      </c>
      <c r="D1948" t="s">
        <v>63</v>
      </c>
      <c r="E1948">
        <v>12.5</v>
      </c>
      <c r="F1948">
        <v>13.5</v>
      </c>
      <c r="G1948" s="2" t="s">
        <v>67</v>
      </c>
      <c r="H1948" s="2">
        <v>42.0</v>
      </c>
      <c r="I1948" s="2">
        <v>128.0</v>
      </c>
      <c r="J1948" s="37">
        <v>1109.72</v>
      </c>
      <c r="K1948" s="2">
        <v>48.0</v>
      </c>
      <c r="L1948" s="2">
        <v>256.0</v>
      </c>
      <c r="M1948" s="37">
        <v>1410.8799999999999</v>
      </c>
    </row>
    <row r="1949" ht="14.25" customHeight="1">
      <c r="A1949" t="s">
        <v>2018</v>
      </c>
      <c r="B1949" t="s">
        <v>2005</v>
      </c>
      <c r="C1949" t="s">
        <v>75</v>
      </c>
      <c r="D1949" t="s">
        <v>63</v>
      </c>
      <c r="E1949">
        <v>14.0</v>
      </c>
      <c r="F1949">
        <v>14.5</v>
      </c>
      <c r="G1949" s="2" t="s">
        <v>67</v>
      </c>
      <c r="H1949" s="2">
        <v>45.0</v>
      </c>
      <c r="I1949" s="2">
        <v>93.0</v>
      </c>
      <c r="J1949" s="37">
        <v>1131.6000000000001</v>
      </c>
      <c r="K1949" s="2">
        <v>52.0</v>
      </c>
      <c r="L1949" s="2">
        <v>237.0</v>
      </c>
      <c r="M1949" s="37">
        <v>1476.02</v>
      </c>
    </row>
    <row r="1950" ht="14.25" customHeight="1">
      <c r="A1950" t="s">
        <v>2019</v>
      </c>
      <c r="B1950" t="s">
        <v>2005</v>
      </c>
      <c r="C1950" t="s">
        <v>75</v>
      </c>
      <c r="D1950" t="s">
        <v>63</v>
      </c>
      <c r="E1950">
        <v>14.0</v>
      </c>
      <c r="F1950">
        <v>14.5</v>
      </c>
      <c r="G1950" s="2" t="s">
        <v>67</v>
      </c>
      <c r="H1950" s="2">
        <v>44.0</v>
      </c>
      <c r="I1950" s="2">
        <v>93.0</v>
      </c>
      <c r="J1950" s="37">
        <v>1109.14</v>
      </c>
      <c r="K1950" s="2">
        <v>51.0</v>
      </c>
      <c r="L1950" s="2">
        <v>237.0</v>
      </c>
      <c r="M1950" s="37">
        <v>1453.56</v>
      </c>
    </row>
    <row r="1951" ht="14.25" customHeight="1">
      <c r="A1951" t="s">
        <v>2020</v>
      </c>
      <c r="B1951" t="s">
        <v>2005</v>
      </c>
      <c r="C1951" t="s">
        <v>75</v>
      </c>
      <c r="D1951" t="s">
        <v>63</v>
      </c>
      <c r="E1951">
        <v>17.0</v>
      </c>
      <c r="F1951">
        <v>17.5</v>
      </c>
      <c r="G1951" s="2" t="s">
        <v>67</v>
      </c>
      <c r="H1951" s="2">
        <v>53.0</v>
      </c>
      <c r="I1951" s="2">
        <v>69.0</v>
      </c>
      <c r="J1951" s="37">
        <v>1280.0800000000002</v>
      </c>
      <c r="K1951" s="2">
        <v>61.0</v>
      </c>
      <c r="L1951" s="2">
        <v>243.0</v>
      </c>
      <c r="M1951" s="37">
        <v>1685.96</v>
      </c>
    </row>
    <row r="1952" ht="14.25" customHeight="1">
      <c r="A1952" t="s">
        <v>2021</v>
      </c>
      <c r="B1952" t="s">
        <v>2005</v>
      </c>
      <c r="C1952" t="s">
        <v>62</v>
      </c>
      <c r="D1952" t="s">
        <v>63</v>
      </c>
      <c r="E1952">
        <v>10.5</v>
      </c>
      <c r="F1952">
        <v>11.0</v>
      </c>
      <c r="G1952" s="2" t="s">
        <v>67</v>
      </c>
      <c r="H1952" s="2">
        <v>33.0</v>
      </c>
      <c r="I1952" s="2">
        <v>155.0</v>
      </c>
      <c r="J1952" s="37">
        <v>942.6800000000001</v>
      </c>
      <c r="K1952" s="2">
        <v>39.0</v>
      </c>
      <c r="L1952" s="2">
        <v>262.0</v>
      </c>
      <c r="M1952" s="37">
        <v>1216.54</v>
      </c>
    </row>
    <row r="1953" ht="14.25" customHeight="1">
      <c r="A1953" t="s">
        <v>2022</v>
      </c>
      <c r="B1953" t="s">
        <v>2005</v>
      </c>
      <c r="C1953" t="s">
        <v>62</v>
      </c>
      <c r="D1953" t="s">
        <v>63</v>
      </c>
      <c r="E1953">
        <v>7.2</v>
      </c>
      <c r="F1953">
        <v>7.7</v>
      </c>
      <c r="G1953" s="2" t="s">
        <v>67</v>
      </c>
      <c r="H1953" s="2">
        <v>24.0</v>
      </c>
      <c r="I1953" s="2">
        <v>120.0</v>
      </c>
      <c r="J1953" s="37">
        <v>695.04</v>
      </c>
      <c r="K1953" s="2">
        <v>27.0</v>
      </c>
      <c r="L1953" s="2">
        <v>186.0</v>
      </c>
      <c r="M1953" s="37">
        <v>848.22</v>
      </c>
    </row>
    <row r="1954" ht="14.25" customHeight="1">
      <c r="A1954" t="s">
        <v>2023</v>
      </c>
      <c r="B1954" t="s">
        <v>2024</v>
      </c>
      <c r="C1954" t="s">
        <v>62</v>
      </c>
      <c r="D1954" t="s">
        <v>63</v>
      </c>
      <c r="E1954">
        <v>2.5</v>
      </c>
      <c r="F1954">
        <v>3.2</v>
      </c>
      <c r="G1954" s="2" t="s">
        <v>67</v>
      </c>
      <c r="H1954" s="2">
        <v>6.0</v>
      </c>
      <c r="I1954" s="2">
        <v>48.0</v>
      </c>
      <c r="J1954" s="37">
        <v>197.16</v>
      </c>
      <c r="K1954" s="2">
        <v>7.0</v>
      </c>
      <c r="L1954" s="2">
        <v>68.0</v>
      </c>
      <c r="M1954" s="37">
        <v>245.62</v>
      </c>
    </row>
    <row r="1955" ht="14.25" customHeight="1">
      <c r="A1955" t="s">
        <v>2025</v>
      </c>
      <c r="B1955" t="s">
        <v>2024</v>
      </c>
      <c r="C1955" t="s">
        <v>62</v>
      </c>
      <c r="D1955" t="s">
        <v>63</v>
      </c>
      <c r="E1955">
        <v>2.5</v>
      </c>
      <c r="F1955">
        <v>3.2</v>
      </c>
      <c r="G1955" s="2" t="s">
        <v>67</v>
      </c>
      <c r="H1955" s="2">
        <v>6.0</v>
      </c>
      <c r="I1955" s="2">
        <v>48.0</v>
      </c>
      <c r="J1955" s="37">
        <v>197.16</v>
      </c>
      <c r="K1955" s="2">
        <v>7.0</v>
      </c>
      <c r="L1955" s="2">
        <v>68.0</v>
      </c>
      <c r="M1955" s="37">
        <v>245.62</v>
      </c>
    </row>
    <row r="1956" ht="14.25" customHeight="1">
      <c r="A1956" t="s">
        <v>2026</v>
      </c>
      <c r="B1956" t="s">
        <v>2024</v>
      </c>
      <c r="C1956" t="s">
        <v>62</v>
      </c>
      <c r="D1956" t="s">
        <v>63</v>
      </c>
      <c r="E1956">
        <v>2.5</v>
      </c>
      <c r="F1956">
        <v>3.2</v>
      </c>
      <c r="G1956" s="2" t="s">
        <v>67</v>
      </c>
      <c r="H1956" s="2">
        <v>6.0</v>
      </c>
      <c r="I1956" s="2">
        <v>48.0</v>
      </c>
      <c r="J1956" s="37">
        <v>197.16</v>
      </c>
      <c r="K1956" s="2">
        <v>7.0</v>
      </c>
      <c r="L1956" s="2">
        <v>68.0</v>
      </c>
      <c r="M1956" s="37">
        <v>245.62</v>
      </c>
    </row>
    <row r="1957" ht="14.25" customHeight="1">
      <c r="A1957" t="s">
        <v>2027</v>
      </c>
      <c r="B1957" t="s">
        <v>2024</v>
      </c>
      <c r="C1957" t="s">
        <v>62</v>
      </c>
      <c r="D1957" t="s">
        <v>63</v>
      </c>
      <c r="E1957">
        <v>5.0</v>
      </c>
      <c r="F1957">
        <v>6.0</v>
      </c>
      <c r="G1957" s="2" t="s">
        <v>67</v>
      </c>
      <c r="H1957" s="2">
        <v>12.0</v>
      </c>
      <c r="I1957" s="2">
        <v>92.0</v>
      </c>
      <c r="J1957" s="37">
        <v>389.12</v>
      </c>
      <c r="K1957" s="2">
        <v>15.0</v>
      </c>
      <c r="L1957" s="2">
        <v>138.0</v>
      </c>
      <c r="M1957" s="37">
        <v>516.3000000000001</v>
      </c>
    </row>
    <row r="1958" ht="14.25" customHeight="1">
      <c r="A1958" t="s">
        <v>2028</v>
      </c>
      <c r="B1958" t="s">
        <v>2024</v>
      </c>
      <c r="C1958" t="s">
        <v>62</v>
      </c>
      <c r="D1958" t="s">
        <v>63</v>
      </c>
      <c r="E1958">
        <v>5.0</v>
      </c>
      <c r="F1958">
        <v>6.0</v>
      </c>
      <c r="G1958" s="2" t="s">
        <v>67</v>
      </c>
      <c r="H1958" s="2">
        <v>12.0</v>
      </c>
      <c r="I1958" s="2">
        <v>92.0</v>
      </c>
      <c r="J1958" s="37">
        <v>389.12</v>
      </c>
      <c r="K1958" s="2">
        <v>15.0</v>
      </c>
      <c r="L1958" s="2">
        <v>138.0</v>
      </c>
      <c r="M1958" s="37">
        <v>516.3000000000001</v>
      </c>
    </row>
    <row r="1959" ht="14.25" customHeight="1">
      <c r="A1959" t="s">
        <v>2029</v>
      </c>
      <c r="B1959" t="s">
        <v>2024</v>
      </c>
      <c r="C1959" t="s">
        <v>62</v>
      </c>
      <c r="D1959" t="s">
        <v>63</v>
      </c>
      <c r="E1959">
        <v>5.0</v>
      </c>
      <c r="F1959">
        <v>6.0</v>
      </c>
      <c r="G1959" s="2" t="s">
        <v>67</v>
      </c>
      <c r="H1959" s="2">
        <v>12.0</v>
      </c>
      <c r="I1959" s="2">
        <v>92.0</v>
      </c>
      <c r="J1959" s="37">
        <v>389.12</v>
      </c>
      <c r="K1959" s="2">
        <v>15.0</v>
      </c>
      <c r="L1959" s="2">
        <v>138.0</v>
      </c>
      <c r="M1959" s="37">
        <v>516.3000000000001</v>
      </c>
    </row>
    <row r="1960" ht="14.25" customHeight="1">
      <c r="A1960" t="s">
        <v>2030</v>
      </c>
      <c r="B1960" t="s">
        <v>2024</v>
      </c>
      <c r="C1960" t="s">
        <v>62</v>
      </c>
      <c r="D1960" t="s">
        <v>63</v>
      </c>
      <c r="E1960">
        <v>7.0</v>
      </c>
      <c r="F1960">
        <v>8.0</v>
      </c>
      <c r="G1960" s="2" t="s">
        <v>64</v>
      </c>
      <c r="H1960" s="2">
        <v>0.0</v>
      </c>
      <c r="I1960" s="2">
        <v>0.0</v>
      </c>
      <c r="J1960" s="37">
        <v>0.0</v>
      </c>
      <c r="K1960" s="2">
        <v>0.0</v>
      </c>
      <c r="L1960" s="2">
        <v>0.0</v>
      </c>
      <c r="M1960" s="37">
        <v>0.0</v>
      </c>
    </row>
    <row r="1961" ht="14.25" customHeight="1">
      <c r="A1961" t="s">
        <v>2031</v>
      </c>
      <c r="B1961" t="s">
        <v>2024</v>
      </c>
      <c r="C1961" t="s">
        <v>62</v>
      </c>
      <c r="D1961" t="s">
        <v>63</v>
      </c>
      <c r="E1961">
        <v>7.0</v>
      </c>
      <c r="F1961">
        <v>8.0</v>
      </c>
      <c r="G1961" s="2" t="s">
        <v>64</v>
      </c>
      <c r="H1961" s="2">
        <v>0.0</v>
      </c>
      <c r="I1961" s="2">
        <v>0.0</v>
      </c>
      <c r="J1961" s="37">
        <v>0.0</v>
      </c>
      <c r="K1961" s="2">
        <v>0.0</v>
      </c>
      <c r="L1961" s="2">
        <v>0.0</v>
      </c>
      <c r="M1961" s="37">
        <v>0.0</v>
      </c>
    </row>
    <row r="1962" ht="14.25" customHeight="1">
      <c r="A1962" t="s">
        <v>2032</v>
      </c>
      <c r="B1962" t="s">
        <v>2024</v>
      </c>
      <c r="C1962" t="s">
        <v>62</v>
      </c>
      <c r="D1962" t="s">
        <v>63</v>
      </c>
      <c r="E1962">
        <v>7.0</v>
      </c>
      <c r="F1962">
        <v>8.0</v>
      </c>
      <c r="G1962" s="2" t="s">
        <v>64</v>
      </c>
      <c r="H1962" s="2">
        <v>0.0</v>
      </c>
      <c r="I1962" s="2">
        <v>0.0</v>
      </c>
      <c r="J1962" s="37">
        <v>0.0</v>
      </c>
      <c r="K1962" s="2">
        <v>0.0</v>
      </c>
      <c r="L1962" s="2">
        <v>0.0</v>
      </c>
      <c r="M1962" s="37">
        <v>0.0</v>
      </c>
    </row>
    <row r="1963" ht="14.25" customHeight="1">
      <c r="A1963" t="s">
        <v>2033</v>
      </c>
      <c r="B1963" t="s">
        <v>2024</v>
      </c>
      <c r="C1963" t="s">
        <v>62</v>
      </c>
      <c r="D1963" t="s">
        <v>63</v>
      </c>
      <c r="E1963">
        <v>3.5</v>
      </c>
      <c r="F1963">
        <v>4.0</v>
      </c>
      <c r="G1963" s="2" t="s">
        <v>64</v>
      </c>
      <c r="H1963" s="2">
        <v>0.0</v>
      </c>
      <c r="I1963" s="2">
        <v>0.0</v>
      </c>
      <c r="J1963" s="37">
        <v>0.0</v>
      </c>
      <c r="K1963" s="2">
        <v>0.0</v>
      </c>
      <c r="L1963" s="2">
        <v>0.0</v>
      </c>
      <c r="M1963" s="37">
        <v>0.0</v>
      </c>
    </row>
    <row r="1964" ht="14.25" customHeight="1">
      <c r="A1964" t="s">
        <v>2034</v>
      </c>
      <c r="B1964" t="s">
        <v>2024</v>
      </c>
      <c r="C1964" t="s">
        <v>62</v>
      </c>
      <c r="D1964" t="s">
        <v>63</v>
      </c>
      <c r="E1964">
        <v>3.5</v>
      </c>
      <c r="F1964">
        <v>4.0</v>
      </c>
      <c r="G1964" s="2" t="s">
        <v>64</v>
      </c>
      <c r="H1964" s="2">
        <v>0.0</v>
      </c>
      <c r="I1964" s="2">
        <v>0.0</v>
      </c>
      <c r="J1964" s="37">
        <v>0.0</v>
      </c>
      <c r="K1964" s="2">
        <v>0.0</v>
      </c>
      <c r="L1964" s="2">
        <v>0.0</v>
      </c>
      <c r="M1964" s="37">
        <v>0.0</v>
      </c>
    </row>
    <row r="1965" ht="14.25" customHeight="1">
      <c r="A1965" t="s">
        <v>2035</v>
      </c>
      <c r="B1965" t="s">
        <v>2024</v>
      </c>
      <c r="C1965" t="s">
        <v>62</v>
      </c>
      <c r="D1965" t="s">
        <v>63</v>
      </c>
      <c r="E1965">
        <v>3.5</v>
      </c>
      <c r="F1965">
        <v>4.0</v>
      </c>
      <c r="G1965" s="2" t="s">
        <v>64</v>
      </c>
      <c r="H1965" s="2">
        <v>0.0</v>
      </c>
      <c r="I1965" s="2">
        <v>0.0</v>
      </c>
      <c r="J1965" s="37">
        <v>0.0</v>
      </c>
      <c r="K1965" s="2">
        <v>0.0</v>
      </c>
      <c r="L1965" s="2">
        <v>0.0</v>
      </c>
      <c r="M1965" s="37">
        <v>0.0</v>
      </c>
    </row>
    <row r="1966" ht="14.25" customHeight="1">
      <c r="A1966" t="s">
        <v>2036</v>
      </c>
      <c r="B1966" t="s">
        <v>2037</v>
      </c>
      <c r="C1966" t="s">
        <v>62</v>
      </c>
      <c r="D1966" t="s">
        <v>63</v>
      </c>
      <c r="E1966">
        <v>3.5</v>
      </c>
      <c r="F1966">
        <v>3.65</v>
      </c>
      <c r="G1966" s="2" t="s">
        <v>67</v>
      </c>
      <c r="H1966" s="2">
        <v>9.0</v>
      </c>
      <c r="I1966" s="2">
        <v>10.0</v>
      </c>
      <c r="J1966" s="37">
        <v>215.14000000000001</v>
      </c>
      <c r="K1966" s="2">
        <v>11.0</v>
      </c>
      <c r="L1966" s="2">
        <v>38.0</v>
      </c>
      <c r="M1966" s="37">
        <v>296.46</v>
      </c>
    </row>
    <row r="1967" ht="14.25" customHeight="1">
      <c r="A1967" t="s">
        <v>2038</v>
      </c>
      <c r="B1967" t="s">
        <v>2037</v>
      </c>
      <c r="C1967" t="s">
        <v>62</v>
      </c>
      <c r="D1967" t="s">
        <v>268</v>
      </c>
      <c r="E1967">
        <v>2.7</v>
      </c>
      <c r="F1967">
        <v>0.0</v>
      </c>
      <c r="G1967" s="2" t="s">
        <v>64</v>
      </c>
      <c r="H1967" s="2">
        <v>0.0</v>
      </c>
      <c r="I1967" s="2">
        <v>0.0</v>
      </c>
      <c r="J1967" s="37">
        <v>0.0</v>
      </c>
      <c r="K1967" s="2">
        <v>0.0</v>
      </c>
      <c r="L1967" s="2">
        <v>0.0</v>
      </c>
      <c r="M1967" s="37">
        <v>0.0</v>
      </c>
    </row>
    <row r="1968" ht="14.25" customHeight="1">
      <c r="A1968" t="s">
        <v>2039</v>
      </c>
      <c r="B1968" t="s">
        <v>2037</v>
      </c>
      <c r="C1968" t="s">
        <v>62</v>
      </c>
      <c r="D1968" t="s">
        <v>268</v>
      </c>
      <c r="E1968">
        <v>3.0</v>
      </c>
      <c r="F1968">
        <v>0.0</v>
      </c>
      <c r="G1968" s="2" t="s">
        <v>64</v>
      </c>
      <c r="H1968" s="2">
        <v>0.0</v>
      </c>
      <c r="I1968" s="2">
        <v>0.0</v>
      </c>
      <c r="J1968" s="37">
        <v>0.0</v>
      </c>
      <c r="K1968" s="2">
        <v>0.0</v>
      </c>
      <c r="L1968" s="2">
        <v>0.0</v>
      </c>
      <c r="M1968" s="37">
        <v>0.0</v>
      </c>
    </row>
    <row r="1969" ht="14.25" customHeight="1">
      <c r="A1969" t="s">
        <v>2040</v>
      </c>
      <c r="B1969" t="s">
        <v>2037</v>
      </c>
      <c r="C1969" t="s">
        <v>62</v>
      </c>
      <c r="D1969" t="s">
        <v>63</v>
      </c>
      <c r="E1969">
        <v>2.0</v>
      </c>
      <c r="F1969">
        <v>2.25</v>
      </c>
      <c r="G1969" s="2" t="s">
        <v>67</v>
      </c>
      <c r="H1969" s="2">
        <v>6.0</v>
      </c>
      <c r="I1969" s="2">
        <v>34.0</v>
      </c>
      <c r="J1969" s="37">
        <v>178.95999999999998</v>
      </c>
      <c r="K1969" s="2">
        <v>7.0</v>
      </c>
      <c r="L1969" s="2">
        <v>50.0</v>
      </c>
      <c r="M1969" s="37">
        <v>222.22</v>
      </c>
    </row>
    <row r="1970" ht="14.25" customHeight="1">
      <c r="A1970" t="s">
        <v>2041</v>
      </c>
      <c r="B1970" t="s">
        <v>2037</v>
      </c>
      <c r="C1970" t="s">
        <v>62</v>
      </c>
      <c r="D1970" t="s">
        <v>63</v>
      </c>
      <c r="E1970">
        <v>2.65</v>
      </c>
      <c r="F1970">
        <v>2.7</v>
      </c>
      <c r="G1970" s="2" t="s">
        <v>67</v>
      </c>
      <c r="H1970" s="2">
        <v>8.0</v>
      </c>
      <c r="I1970" s="2">
        <v>57.0</v>
      </c>
      <c r="J1970" s="37">
        <v>253.78000000000003</v>
      </c>
      <c r="K1970" s="2">
        <v>9.0</v>
      </c>
      <c r="L1970" s="2">
        <v>78.0</v>
      </c>
      <c r="M1970" s="37">
        <v>303.54</v>
      </c>
    </row>
    <row r="1971" ht="14.25" customHeight="1">
      <c r="A1971" t="s">
        <v>2042</v>
      </c>
      <c r="B1971" t="s">
        <v>2037</v>
      </c>
      <c r="C1971" t="s">
        <v>62</v>
      </c>
      <c r="D1971" t="s">
        <v>63</v>
      </c>
      <c r="E1971">
        <v>3.55</v>
      </c>
      <c r="F1971">
        <v>4.0</v>
      </c>
      <c r="G1971" s="2" t="s">
        <v>67</v>
      </c>
      <c r="H1971" s="2">
        <v>10.0</v>
      </c>
      <c r="I1971" s="2">
        <v>44.0</v>
      </c>
      <c r="J1971" s="37">
        <v>281.8</v>
      </c>
      <c r="K1971" s="2">
        <v>12.0</v>
      </c>
      <c r="L1971" s="2">
        <v>72.0</v>
      </c>
      <c r="M1971" s="37">
        <v>363.12</v>
      </c>
    </row>
    <row r="1972" ht="14.25" customHeight="1">
      <c r="A1972" t="s">
        <v>2043</v>
      </c>
      <c r="B1972" t="s">
        <v>2037</v>
      </c>
      <c r="C1972" t="s">
        <v>62</v>
      </c>
      <c r="D1972" t="s">
        <v>63</v>
      </c>
      <c r="E1972">
        <v>5.0</v>
      </c>
      <c r="F1972">
        <v>5.2</v>
      </c>
      <c r="G1972" s="2" t="s">
        <v>67</v>
      </c>
      <c r="H1972" s="2">
        <v>15.0</v>
      </c>
      <c r="I1972" s="2">
        <v>74.0</v>
      </c>
      <c r="J1972" s="37">
        <v>433.1</v>
      </c>
      <c r="K1972" s="2">
        <v>17.0</v>
      </c>
      <c r="L1972" s="2">
        <v>120.0</v>
      </c>
      <c r="M1972" s="37">
        <v>537.8199999999999</v>
      </c>
    </row>
    <row r="1973" ht="14.25" customHeight="1">
      <c r="A1973" t="s">
        <v>2044</v>
      </c>
      <c r="B1973" t="s">
        <v>2037</v>
      </c>
      <c r="C1973" t="s">
        <v>62</v>
      </c>
      <c r="D1973" t="s">
        <v>63</v>
      </c>
      <c r="E1973">
        <v>6.0</v>
      </c>
      <c r="F1973">
        <v>6.2</v>
      </c>
      <c r="G1973" s="2" t="s">
        <v>64</v>
      </c>
      <c r="H1973" s="2">
        <v>0.0</v>
      </c>
      <c r="I1973" s="2">
        <v>0.0</v>
      </c>
      <c r="J1973" s="37">
        <v>0.0</v>
      </c>
      <c r="K1973" s="2">
        <v>0.0</v>
      </c>
      <c r="L1973" s="2">
        <v>0.0</v>
      </c>
      <c r="M1973" s="37">
        <v>0.0</v>
      </c>
    </row>
    <row r="1974" ht="14.25" customHeight="1">
      <c r="A1974" t="s">
        <v>2045</v>
      </c>
      <c r="B1974" t="s">
        <v>2037</v>
      </c>
      <c r="C1974" t="s">
        <v>62</v>
      </c>
      <c r="D1974" t="s">
        <v>63</v>
      </c>
      <c r="E1974">
        <v>7.0</v>
      </c>
      <c r="F1974">
        <v>7.5</v>
      </c>
      <c r="G1974" s="2" t="s">
        <v>67</v>
      </c>
      <c r="H1974" s="2">
        <v>21.0</v>
      </c>
      <c r="I1974" s="2">
        <v>66.0</v>
      </c>
      <c r="J1974" s="37">
        <v>557.46</v>
      </c>
      <c r="K1974" s="2">
        <v>24.0</v>
      </c>
      <c r="L1974" s="2">
        <v>130.0</v>
      </c>
      <c r="M1974" s="37">
        <v>708.04</v>
      </c>
    </row>
    <row r="1975" ht="14.25" customHeight="1">
      <c r="A1975" t="s">
        <v>2046</v>
      </c>
      <c r="B1975" t="s">
        <v>2037</v>
      </c>
      <c r="C1975" t="s">
        <v>62</v>
      </c>
      <c r="D1975" t="s">
        <v>63</v>
      </c>
      <c r="E1975">
        <v>8.0</v>
      </c>
      <c r="F1975">
        <v>8.5</v>
      </c>
      <c r="G1975" s="2" t="s">
        <v>64</v>
      </c>
      <c r="H1975" s="2">
        <v>0.0</v>
      </c>
      <c r="I1975" s="2">
        <v>0.0</v>
      </c>
      <c r="J1975" s="37">
        <v>0.0</v>
      </c>
      <c r="K1975" s="2">
        <v>0.0</v>
      </c>
      <c r="L1975" s="2">
        <v>0.0</v>
      </c>
      <c r="M1975" s="37">
        <v>0.0</v>
      </c>
    </row>
    <row r="1976" ht="14.25" customHeight="1">
      <c r="A1976" t="s">
        <v>2047</v>
      </c>
      <c r="B1976" t="s">
        <v>2037</v>
      </c>
      <c r="C1976" t="s">
        <v>62</v>
      </c>
      <c r="D1976" t="s">
        <v>63</v>
      </c>
      <c r="E1976">
        <v>9.0</v>
      </c>
      <c r="F1976">
        <v>10.0</v>
      </c>
      <c r="G1976" s="2" t="s">
        <v>67</v>
      </c>
      <c r="H1976" s="2">
        <v>28.0</v>
      </c>
      <c r="I1976" s="2">
        <v>66.0</v>
      </c>
      <c r="J1976" s="37">
        <v>714.68</v>
      </c>
      <c r="K1976" s="2">
        <v>32.0</v>
      </c>
      <c r="L1976" s="2">
        <v>148.0</v>
      </c>
      <c r="M1976" s="37">
        <v>911.12</v>
      </c>
    </row>
    <row r="1977" ht="14.25" customHeight="1">
      <c r="A1977" t="s">
        <v>2048</v>
      </c>
      <c r="B1977" t="s">
        <v>2024</v>
      </c>
      <c r="C1977" t="s">
        <v>62</v>
      </c>
      <c r="D1977" t="s">
        <v>63</v>
      </c>
      <c r="E1977">
        <v>2.6</v>
      </c>
      <c r="F1977">
        <v>2.7</v>
      </c>
      <c r="G1977" s="2" t="s">
        <v>67</v>
      </c>
      <c r="H1977" s="2">
        <v>7.0</v>
      </c>
      <c r="I1977" s="2">
        <v>35.0</v>
      </c>
      <c r="J1977" s="37">
        <v>202.72</v>
      </c>
      <c r="K1977" s="2">
        <v>8.0</v>
      </c>
      <c r="L1977" s="2">
        <v>56.0</v>
      </c>
      <c r="M1977" s="37">
        <v>252.48000000000002</v>
      </c>
    </row>
    <row r="1978" ht="14.25" customHeight="1">
      <c r="A1978" t="s">
        <v>2049</v>
      </c>
      <c r="B1978" t="s">
        <v>2024</v>
      </c>
      <c r="C1978" t="s">
        <v>62</v>
      </c>
      <c r="D1978" t="s">
        <v>63</v>
      </c>
      <c r="E1978">
        <v>3.55</v>
      </c>
      <c r="F1978">
        <v>4.0</v>
      </c>
      <c r="G1978" s="2" t="s">
        <v>67</v>
      </c>
      <c r="H1978" s="2">
        <v>10.0</v>
      </c>
      <c r="I1978" s="2">
        <v>44.0</v>
      </c>
      <c r="J1978" s="37">
        <v>281.8</v>
      </c>
      <c r="K1978" s="2">
        <v>12.0</v>
      </c>
      <c r="L1978" s="2">
        <v>72.0</v>
      </c>
      <c r="M1978" s="37">
        <v>363.12</v>
      </c>
    </row>
    <row r="1979" ht="14.25" customHeight="1">
      <c r="A1979" t="s">
        <v>2050</v>
      </c>
      <c r="B1979" t="s">
        <v>2024</v>
      </c>
      <c r="C1979" t="s">
        <v>62</v>
      </c>
      <c r="D1979" t="s">
        <v>63</v>
      </c>
      <c r="E1979">
        <v>2.0</v>
      </c>
      <c r="F1979">
        <v>2.25</v>
      </c>
      <c r="G1979" s="2" t="s">
        <v>67</v>
      </c>
      <c r="H1979" s="2">
        <v>6.0</v>
      </c>
      <c r="I1979" s="2">
        <v>34.0</v>
      </c>
      <c r="J1979" s="37">
        <v>178.95999999999998</v>
      </c>
      <c r="K1979" s="2">
        <v>7.0</v>
      </c>
      <c r="L1979" s="2">
        <v>50.0</v>
      </c>
      <c r="M1979" s="37">
        <v>222.22</v>
      </c>
    </row>
    <row r="1980" ht="14.25" customHeight="1">
      <c r="A1980" t="s">
        <v>2051</v>
      </c>
      <c r="B1980" t="s">
        <v>2024</v>
      </c>
      <c r="C1980" t="s">
        <v>62</v>
      </c>
      <c r="D1980" t="s">
        <v>63</v>
      </c>
      <c r="E1980">
        <v>5.0</v>
      </c>
      <c r="F1980">
        <v>5.2</v>
      </c>
      <c r="G1980" s="2" t="s">
        <v>67</v>
      </c>
      <c r="H1980" s="2">
        <v>15.0</v>
      </c>
      <c r="I1980" s="2">
        <v>74.0</v>
      </c>
      <c r="J1980" s="37">
        <v>433.1</v>
      </c>
      <c r="K1980" s="2">
        <v>17.0</v>
      </c>
      <c r="L1980" s="2">
        <v>120.0</v>
      </c>
      <c r="M1980" s="37">
        <v>537.8199999999999</v>
      </c>
    </row>
    <row r="1981" ht="14.25" customHeight="1">
      <c r="A1981" t="s">
        <v>2052</v>
      </c>
      <c r="B1981" t="s">
        <v>2024</v>
      </c>
      <c r="C1981" t="s">
        <v>62</v>
      </c>
      <c r="D1981" t="s">
        <v>63</v>
      </c>
      <c r="E1981">
        <v>6.0</v>
      </c>
      <c r="F1981">
        <v>6.2</v>
      </c>
      <c r="G1981" s="2" t="s">
        <v>64</v>
      </c>
      <c r="H1981" s="2">
        <v>0.0</v>
      </c>
      <c r="I1981" s="2">
        <v>0.0</v>
      </c>
      <c r="J1981" s="37">
        <v>0.0</v>
      </c>
      <c r="K1981" s="2">
        <v>0.0</v>
      </c>
      <c r="L1981" s="2">
        <v>0.0</v>
      </c>
      <c r="M1981" s="37">
        <v>0.0</v>
      </c>
    </row>
    <row r="1982" ht="14.25" customHeight="1">
      <c r="A1982" t="s">
        <v>2053</v>
      </c>
      <c r="B1982" t="s">
        <v>2024</v>
      </c>
      <c r="C1982" t="s">
        <v>62</v>
      </c>
      <c r="D1982" t="s">
        <v>63</v>
      </c>
      <c r="E1982">
        <v>7.0</v>
      </c>
      <c r="F1982">
        <v>7.5</v>
      </c>
      <c r="G1982" s="2" t="s">
        <v>67</v>
      </c>
      <c r="H1982" s="2">
        <v>21.0</v>
      </c>
      <c r="I1982" s="2">
        <v>66.0</v>
      </c>
      <c r="J1982" s="37">
        <v>557.46</v>
      </c>
      <c r="K1982" s="2">
        <v>24.0</v>
      </c>
      <c r="L1982" s="2">
        <v>130.0</v>
      </c>
      <c r="M1982" s="37">
        <v>708.04</v>
      </c>
    </row>
    <row r="1983" ht="14.25" customHeight="1">
      <c r="A1983" t="s">
        <v>2054</v>
      </c>
      <c r="B1983" t="s">
        <v>2024</v>
      </c>
      <c r="C1983" t="s">
        <v>62</v>
      </c>
      <c r="D1983" t="s">
        <v>63</v>
      </c>
      <c r="E1983">
        <v>8.0</v>
      </c>
      <c r="F1983">
        <v>8.5</v>
      </c>
      <c r="G1983" s="2" t="s">
        <v>64</v>
      </c>
      <c r="H1983" s="2">
        <v>0.0</v>
      </c>
      <c r="I1983" s="2">
        <v>0.0</v>
      </c>
      <c r="J1983" s="37">
        <v>0.0</v>
      </c>
      <c r="K1983" s="2">
        <v>0.0</v>
      </c>
      <c r="L1983" s="2">
        <v>0.0</v>
      </c>
      <c r="M1983" s="37">
        <v>0.0</v>
      </c>
    </row>
    <row r="1984" ht="14.25" customHeight="1">
      <c r="A1984" t="s">
        <v>2040</v>
      </c>
      <c r="B1984" t="s">
        <v>2037</v>
      </c>
      <c r="C1984" t="s">
        <v>62</v>
      </c>
      <c r="D1984" t="s">
        <v>63</v>
      </c>
      <c r="E1984">
        <v>2.0</v>
      </c>
      <c r="F1984">
        <v>2.25</v>
      </c>
      <c r="G1984" s="2" t="s">
        <v>67</v>
      </c>
      <c r="H1984" s="2">
        <v>6.0</v>
      </c>
      <c r="I1984" s="2">
        <v>34.0</v>
      </c>
      <c r="J1984" s="37">
        <v>178.95999999999998</v>
      </c>
      <c r="K1984" s="2">
        <v>7.0</v>
      </c>
      <c r="L1984" s="2">
        <v>50.0</v>
      </c>
      <c r="M1984" s="37">
        <v>222.22</v>
      </c>
    </row>
    <row r="1985" ht="14.25" customHeight="1">
      <c r="A1985" t="s">
        <v>2041</v>
      </c>
      <c r="B1985" t="s">
        <v>2037</v>
      </c>
      <c r="C1985" t="s">
        <v>62</v>
      </c>
      <c r="D1985" t="s">
        <v>63</v>
      </c>
      <c r="E1985">
        <v>2.65</v>
      </c>
      <c r="F1985">
        <v>2.7</v>
      </c>
      <c r="G1985" s="2" t="s">
        <v>67</v>
      </c>
      <c r="H1985" s="2">
        <v>8.0</v>
      </c>
      <c r="I1985" s="2">
        <v>57.0</v>
      </c>
      <c r="J1985" s="37">
        <v>253.78000000000003</v>
      </c>
      <c r="K1985" s="2">
        <v>9.0</v>
      </c>
      <c r="L1985" s="2">
        <v>78.0</v>
      </c>
      <c r="M1985" s="37">
        <v>303.54</v>
      </c>
    </row>
    <row r="1986" ht="14.25" customHeight="1">
      <c r="A1986" t="s">
        <v>2042</v>
      </c>
      <c r="B1986" t="s">
        <v>2037</v>
      </c>
      <c r="C1986" t="s">
        <v>62</v>
      </c>
      <c r="D1986" t="s">
        <v>63</v>
      </c>
      <c r="E1986">
        <v>3.55</v>
      </c>
      <c r="F1986">
        <v>4.0</v>
      </c>
      <c r="G1986" s="2" t="s">
        <v>67</v>
      </c>
      <c r="H1986" s="2">
        <v>10.0</v>
      </c>
      <c r="I1986" s="2">
        <v>44.0</v>
      </c>
      <c r="J1986" s="37">
        <v>281.8</v>
      </c>
      <c r="K1986" s="2">
        <v>12.0</v>
      </c>
      <c r="L1986" s="2">
        <v>72.0</v>
      </c>
      <c r="M1986" s="37">
        <v>363.12</v>
      </c>
    </row>
    <row r="1987" ht="14.25" customHeight="1">
      <c r="A1987" t="s">
        <v>2044</v>
      </c>
      <c r="B1987" t="s">
        <v>2037</v>
      </c>
      <c r="C1987" t="s">
        <v>62</v>
      </c>
      <c r="D1987" t="s">
        <v>63</v>
      </c>
      <c r="E1987">
        <v>6.0</v>
      </c>
      <c r="F1987">
        <v>6.2</v>
      </c>
      <c r="G1987" s="2" t="s">
        <v>64</v>
      </c>
      <c r="H1987" s="2">
        <v>0.0</v>
      </c>
      <c r="I1987" s="2">
        <v>0.0</v>
      </c>
      <c r="J1987" s="37">
        <v>0.0</v>
      </c>
      <c r="K1987" s="2">
        <v>0.0</v>
      </c>
      <c r="L1987" s="2">
        <v>0.0</v>
      </c>
      <c r="M1987" s="37">
        <v>0.0</v>
      </c>
    </row>
    <row r="1988" ht="14.25" customHeight="1">
      <c r="A1988" t="s">
        <v>2055</v>
      </c>
      <c r="B1988" t="s">
        <v>2037</v>
      </c>
      <c r="C1988" t="s">
        <v>62</v>
      </c>
      <c r="D1988" t="s">
        <v>63</v>
      </c>
      <c r="E1988">
        <v>2.5</v>
      </c>
      <c r="F1988">
        <v>3.2</v>
      </c>
      <c r="G1988" s="2" t="s">
        <v>67</v>
      </c>
      <c r="H1988" s="2">
        <v>8.0</v>
      </c>
      <c r="I1988" s="2">
        <v>48.0</v>
      </c>
      <c r="J1988" s="37">
        <v>242.08</v>
      </c>
      <c r="K1988" s="2">
        <v>9.0</v>
      </c>
      <c r="L1988" s="2">
        <v>68.0</v>
      </c>
      <c r="M1988" s="37">
        <v>290.54</v>
      </c>
    </row>
    <row r="1989" ht="14.25" customHeight="1">
      <c r="A1989" t="s">
        <v>2056</v>
      </c>
      <c r="B1989" t="s">
        <v>2037</v>
      </c>
      <c r="C1989" t="s">
        <v>62</v>
      </c>
      <c r="D1989" t="s">
        <v>63</v>
      </c>
      <c r="E1989">
        <v>3.5</v>
      </c>
      <c r="F1989">
        <v>4.0</v>
      </c>
      <c r="G1989" s="2" t="s">
        <v>67</v>
      </c>
      <c r="H1989" s="2">
        <v>10.0</v>
      </c>
      <c r="I1989" s="2">
        <v>40.0</v>
      </c>
      <c r="J1989" s="37">
        <v>276.6</v>
      </c>
      <c r="K1989" s="2">
        <v>12.0</v>
      </c>
      <c r="L1989" s="2">
        <v>68.0</v>
      </c>
      <c r="M1989" s="37">
        <v>357.91999999999996</v>
      </c>
    </row>
    <row r="1990" ht="14.25" customHeight="1">
      <c r="A1990" t="s">
        <v>2057</v>
      </c>
      <c r="B1990" t="s">
        <v>2037</v>
      </c>
      <c r="C1990" t="s">
        <v>62</v>
      </c>
      <c r="D1990" t="s">
        <v>63</v>
      </c>
      <c r="E1990">
        <v>5.0</v>
      </c>
      <c r="F1990">
        <v>6.0</v>
      </c>
      <c r="G1990" s="2" t="s">
        <v>67</v>
      </c>
      <c r="H1990" s="2">
        <v>17.0</v>
      </c>
      <c r="I1990" s="2">
        <v>92.0</v>
      </c>
      <c r="J1990" s="37">
        <v>501.42</v>
      </c>
      <c r="K1990" s="2">
        <v>20.0</v>
      </c>
      <c r="L1990" s="2">
        <v>138.0</v>
      </c>
      <c r="M1990" s="37">
        <v>628.6</v>
      </c>
    </row>
    <row r="1991" ht="14.25" customHeight="1">
      <c r="A1991" t="s">
        <v>2058</v>
      </c>
      <c r="B1991" t="s">
        <v>2037</v>
      </c>
      <c r="C1991" t="s">
        <v>62</v>
      </c>
      <c r="D1991" t="s">
        <v>63</v>
      </c>
      <c r="E1991">
        <v>7.1</v>
      </c>
      <c r="F1991">
        <v>8.0</v>
      </c>
      <c r="G1991" s="2" t="s">
        <v>67</v>
      </c>
      <c r="H1991" s="2">
        <v>22.0</v>
      </c>
      <c r="I1991" s="2">
        <v>54.0</v>
      </c>
      <c r="J1991" s="37">
        <v>564.32</v>
      </c>
      <c r="K1991" s="2">
        <v>25.0</v>
      </c>
      <c r="L1991" s="2">
        <v>119.0</v>
      </c>
      <c r="M1991" s="37">
        <v>716.2</v>
      </c>
    </row>
    <row r="1992" ht="14.25" customHeight="1">
      <c r="A1992" t="s">
        <v>2033</v>
      </c>
      <c r="B1992" t="s">
        <v>2024</v>
      </c>
      <c r="C1992" t="s">
        <v>62</v>
      </c>
      <c r="D1992" t="s">
        <v>63</v>
      </c>
      <c r="E1992">
        <v>3.5</v>
      </c>
      <c r="F1992">
        <v>4.0</v>
      </c>
      <c r="G1992" s="2" t="s">
        <v>67</v>
      </c>
      <c r="H1992" s="2">
        <v>0.0</v>
      </c>
      <c r="I1992" s="2">
        <v>0.0</v>
      </c>
      <c r="J1992" s="37">
        <v>0.0</v>
      </c>
      <c r="K1992" s="2">
        <v>0.0</v>
      </c>
      <c r="L1992" s="2">
        <v>0.0</v>
      </c>
      <c r="M1992" s="37">
        <v>0.0</v>
      </c>
    </row>
    <row r="1993" ht="14.25" customHeight="1">
      <c r="A1993" t="s">
        <v>2025</v>
      </c>
      <c r="B1993" t="s">
        <v>2024</v>
      </c>
      <c r="C1993" t="s">
        <v>62</v>
      </c>
      <c r="D1993" t="s">
        <v>63</v>
      </c>
      <c r="E1993">
        <v>2.5</v>
      </c>
      <c r="F1993">
        <v>3.2</v>
      </c>
      <c r="G1993" s="2" t="s">
        <v>67</v>
      </c>
      <c r="H1993" s="2">
        <v>6.0</v>
      </c>
      <c r="I1993" s="2">
        <v>48.0</v>
      </c>
      <c r="J1993" s="37">
        <v>197.16</v>
      </c>
      <c r="K1993" s="2">
        <v>7.0</v>
      </c>
      <c r="L1993" s="2">
        <v>68.0</v>
      </c>
      <c r="M1993" s="37">
        <v>245.62</v>
      </c>
    </row>
    <row r="1994" ht="14.25" customHeight="1">
      <c r="A1994" t="s">
        <v>2059</v>
      </c>
      <c r="B1994" t="s">
        <v>2024</v>
      </c>
      <c r="C1994" t="s">
        <v>62</v>
      </c>
      <c r="D1994" t="s">
        <v>63</v>
      </c>
      <c r="E1994">
        <v>5.0</v>
      </c>
      <c r="F1994">
        <v>6.0</v>
      </c>
      <c r="G1994" s="2" t="s">
        <v>67</v>
      </c>
      <c r="H1994" s="2">
        <v>17.0</v>
      </c>
      <c r="I1994" s="2">
        <v>92.0</v>
      </c>
      <c r="J1994" s="37">
        <v>501.42</v>
      </c>
      <c r="K1994" s="2">
        <v>20.0</v>
      </c>
      <c r="L1994" s="2">
        <v>138.0</v>
      </c>
      <c r="M1994" s="37">
        <v>628.6</v>
      </c>
    </row>
    <row r="1995" ht="14.25" customHeight="1">
      <c r="A1995" t="s">
        <v>2031</v>
      </c>
      <c r="B1995" t="s">
        <v>2024</v>
      </c>
      <c r="C1995" t="s">
        <v>62</v>
      </c>
      <c r="D1995" t="s">
        <v>63</v>
      </c>
      <c r="E1995">
        <v>7.1</v>
      </c>
      <c r="F1995">
        <v>8.0</v>
      </c>
      <c r="G1995" s="2" t="s">
        <v>67</v>
      </c>
      <c r="H1995" s="2">
        <v>0.0</v>
      </c>
      <c r="I1995" s="2">
        <v>0.0</v>
      </c>
      <c r="J1995" s="37">
        <v>0.0</v>
      </c>
      <c r="K1995" s="2">
        <v>0.0</v>
      </c>
      <c r="L1995" s="2">
        <v>0.0</v>
      </c>
      <c r="M1995" s="37">
        <v>0.0</v>
      </c>
    </row>
    <row r="1996" ht="14.25" customHeight="1">
      <c r="A1996" t="s">
        <v>2060</v>
      </c>
      <c r="B1996" t="s">
        <v>2037</v>
      </c>
      <c r="C1996" t="s">
        <v>62</v>
      </c>
      <c r="D1996" t="s">
        <v>63</v>
      </c>
      <c r="E1996">
        <v>2.0</v>
      </c>
      <c r="F1996">
        <v>2.25</v>
      </c>
      <c r="G1996" s="2" t="s">
        <v>67</v>
      </c>
      <c r="H1996" s="2">
        <v>6.0</v>
      </c>
      <c r="I1996" s="2">
        <v>34.0</v>
      </c>
      <c r="J1996" s="37">
        <v>178.95999999999998</v>
      </c>
      <c r="K1996" s="2">
        <v>7.0</v>
      </c>
      <c r="L1996" s="2">
        <v>50.0</v>
      </c>
      <c r="M1996" s="37">
        <v>222.22</v>
      </c>
    </row>
    <row r="1997" ht="14.25" customHeight="1">
      <c r="A1997" t="s">
        <v>2061</v>
      </c>
      <c r="B1997" t="s">
        <v>2037</v>
      </c>
      <c r="C1997" t="s">
        <v>62</v>
      </c>
      <c r="D1997" t="s">
        <v>63</v>
      </c>
      <c r="E1997">
        <v>2.65</v>
      </c>
      <c r="F1997">
        <v>2.7</v>
      </c>
      <c r="G1997" s="2" t="s">
        <v>67</v>
      </c>
      <c r="H1997" s="2">
        <v>8.0</v>
      </c>
      <c r="I1997" s="2">
        <v>57.0</v>
      </c>
      <c r="J1997" s="37">
        <v>253.78000000000003</v>
      </c>
      <c r="K1997" s="2">
        <v>9.0</v>
      </c>
      <c r="L1997" s="2">
        <v>78.0</v>
      </c>
      <c r="M1997" s="37">
        <v>303.54</v>
      </c>
    </row>
    <row r="1998" ht="14.25" customHeight="1">
      <c r="A1998" t="s">
        <v>2062</v>
      </c>
      <c r="B1998" t="s">
        <v>2037</v>
      </c>
      <c r="C1998" t="s">
        <v>62</v>
      </c>
      <c r="D1998" t="s">
        <v>63</v>
      </c>
      <c r="E1998">
        <v>3.55</v>
      </c>
      <c r="F1998">
        <v>4.0</v>
      </c>
      <c r="G1998" s="2" t="s">
        <v>67</v>
      </c>
      <c r="H1998" s="2">
        <v>10.0</v>
      </c>
      <c r="I1998" s="2">
        <v>44.0</v>
      </c>
      <c r="J1998" s="37">
        <v>281.8</v>
      </c>
      <c r="K1998" s="2">
        <v>12.0</v>
      </c>
      <c r="L1998" s="2">
        <v>72.0</v>
      </c>
      <c r="M1998" s="37">
        <v>363.12</v>
      </c>
    </row>
    <row r="1999" ht="14.25" customHeight="1">
      <c r="A1999" t="s">
        <v>2063</v>
      </c>
      <c r="B1999" t="s">
        <v>2037</v>
      </c>
      <c r="C1999" t="s">
        <v>62</v>
      </c>
      <c r="D1999" t="s">
        <v>63</v>
      </c>
      <c r="E1999">
        <v>5.0</v>
      </c>
      <c r="F1999">
        <v>5.2</v>
      </c>
      <c r="G1999" s="2" t="s">
        <v>67</v>
      </c>
      <c r="H1999" s="2">
        <v>15.0</v>
      </c>
      <c r="I1999" s="2">
        <v>74.0</v>
      </c>
      <c r="J1999" s="37">
        <v>433.1</v>
      </c>
      <c r="K1999" s="2">
        <v>17.0</v>
      </c>
      <c r="L1999" s="2">
        <v>120.0</v>
      </c>
      <c r="M1999" s="37">
        <v>537.8199999999999</v>
      </c>
    </row>
    <row r="2000" ht="14.25" customHeight="1">
      <c r="A2000" t="s">
        <v>2064</v>
      </c>
      <c r="B2000" t="s">
        <v>2037</v>
      </c>
      <c r="C2000" t="s">
        <v>62</v>
      </c>
      <c r="D2000" t="s">
        <v>63</v>
      </c>
      <c r="E2000">
        <v>6.0</v>
      </c>
      <c r="F2000">
        <v>6.2</v>
      </c>
      <c r="G2000" s="2" t="s">
        <v>64</v>
      </c>
      <c r="H2000" s="2">
        <v>0.0</v>
      </c>
      <c r="I2000" s="2">
        <v>0.0</v>
      </c>
      <c r="J2000" s="37">
        <v>0.0</v>
      </c>
      <c r="K2000" s="2">
        <v>0.0</v>
      </c>
      <c r="L2000" s="2">
        <v>0.0</v>
      </c>
      <c r="M2000" s="37">
        <v>0.0</v>
      </c>
    </row>
    <row r="2001" ht="14.25" customHeight="1">
      <c r="A2001" t="s">
        <v>2065</v>
      </c>
      <c r="B2001" t="s">
        <v>2037</v>
      </c>
      <c r="C2001" t="s">
        <v>62</v>
      </c>
      <c r="D2001" t="s">
        <v>63</v>
      </c>
      <c r="E2001">
        <v>7.0</v>
      </c>
      <c r="F2001">
        <v>7.5</v>
      </c>
      <c r="G2001" s="2" t="s">
        <v>67</v>
      </c>
      <c r="H2001" s="2">
        <v>21.0</v>
      </c>
      <c r="I2001" s="2">
        <v>66.0</v>
      </c>
      <c r="J2001" s="37">
        <v>557.46</v>
      </c>
      <c r="K2001" s="2">
        <v>24.0</v>
      </c>
      <c r="L2001" s="2">
        <v>130.0</v>
      </c>
      <c r="M2001" s="37">
        <v>708.04</v>
      </c>
    </row>
    <row r="2002" ht="14.25" customHeight="1">
      <c r="A2002" t="s">
        <v>2066</v>
      </c>
      <c r="B2002" t="s">
        <v>2037</v>
      </c>
      <c r="C2002" t="s">
        <v>62</v>
      </c>
      <c r="D2002" t="s">
        <v>63</v>
      </c>
      <c r="E2002">
        <v>8.0</v>
      </c>
      <c r="F2002">
        <v>8.5</v>
      </c>
      <c r="G2002" s="2" t="s">
        <v>64</v>
      </c>
      <c r="H2002" s="2">
        <v>0.0</v>
      </c>
      <c r="I2002" s="2">
        <v>0.0</v>
      </c>
      <c r="J2002" s="37">
        <v>0.0</v>
      </c>
      <c r="K2002" s="2">
        <v>0.0</v>
      </c>
      <c r="L2002" s="2">
        <v>0.0</v>
      </c>
      <c r="M2002" s="37">
        <v>0.0</v>
      </c>
    </row>
    <row r="2003" ht="14.25" customHeight="1">
      <c r="A2003" t="s">
        <v>2067</v>
      </c>
      <c r="B2003" t="s">
        <v>2024</v>
      </c>
      <c r="C2003" t="s">
        <v>62</v>
      </c>
      <c r="D2003" t="s">
        <v>467</v>
      </c>
      <c r="E2003">
        <v>2.6</v>
      </c>
      <c r="F2003">
        <v>2.35</v>
      </c>
      <c r="G2003" s="2" t="s">
        <v>64</v>
      </c>
      <c r="H2003" s="2">
        <v>0.0</v>
      </c>
      <c r="I2003" s="2">
        <v>0.0</v>
      </c>
      <c r="J2003" s="37">
        <v>0.0</v>
      </c>
      <c r="K2003" s="2">
        <v>0.0</v>
      </c>
      <c r="L2003" s="2">
        <v>0.0</v>
      </c>
      <c r="M2003" s="37">
        <v>0.0</v>
      </c>
    </row>
    <row r="2004" ht="14.25" customHeight="1">
      <c r="A2004" t="s">
        <v>2068</v>
      </c>
      <c r="B2004" t="s">
        <v>2024</v>
      </c>
      <c r="C2004" t="s">
        <v>75</v>
      </c>
      <c r="D2004" t="s">
        <v>63</v>
      </c>
      <c r="E2004">
        <v>7.3</v>
      </c>
      <c r="F2004">
        <v>7.5</v>
      </c>
      <c r="G2004" s="2" t="s">
        <v>67</v>
      </c>
      <c r="H2004" s="2">
        <v>23.0</v>
      </c>
      <c r="I2004" s="2">
        <v>75.0</v>
      </c>
      <c r="J2004" s="37">
        <v>614.08</v>
      </c>
      <c r="K2004" s="2">
        <v>27.0</v>
      </c>
      <c r="L2004" s="2">
        <v>150.0</v>
      </c>
      <c r="M2004" s="37">
        <v>801.4200000000001</v>
      </c>
    </row>
    <row r="2005" ht="14.25" customHeight="1">
      <c r="A2005" t="s">
        <v>2069</v>
      </c>
      <c r="B2005" t="s">
        <v>2024</v>
      </c>
      <c r="C2005" t="s">
        <v>75</v>
      </c>
      <c r="D2005" t="s">
        <v>63</v>
      </c>
      <c r="E2005">
        <v>9.0</v>
      </c>
      <c r="F2005">
        <v>10.0</v>
      </c>
      <c r="G2005" s="2" t="s">
        <v>67</v>
      </c>
      <c r="H2005" s="2">
        <v>32.0</v>
      </c>
      <c r="I2005" s="2">
        <v>104.0</v>
      </c>
      <c r="J2005" s="37">
        <v>853.9200000000001</v>
      </c>
      <c r="K2005" s="2">
        <v>36.0</v>
      </c>
      <c r="L2005" s="2">
        <v>196.0</v>
      </c>
      <c r="M2005" s="37">
        <v>1063.3600000000001</v>
      </c>
    </row>
    <row r="2006" ht="14.25" customHeight="1">
      <c r="A2006" t="s">
        <v>2070</v>
      </c>
      <c r="B2006" t="s">
        <v>2024</v>
      </c>
      <c r="C2006" t="s">
        <v>75</v>
      </c>
      <c r="D2006" t="s">
        <v>63</v>
      </c>
      <c r="E2006">
        <v>10.5</v>
      </c>
      <c r="F2006">
        <v>11.0</v>
      </c>
      <c r="G2006" s="2" t="s">
        <v>67</v>
      </c>
      <c r="H2006" s="2">
        <v>35.0</v>
      </c>
      <c r="I2006" s="2">
        <v>55.0</v>
      </c>
      <c r="J2006" s="37">
        <v>857.6</v>
      </c>
      <c r="K2006" s="2">
        <v>41.0</v>
      </c>
      <c r="L2006" s="2">
        <v>163.0</v>
      </c>
      <c r="M2006" s="37">
        <v>1132.76</v>
      </c>
    </row>
    <row r="2007" ht="14.25" customHeight="1">
      <c r="A2007" t="s">
        <v>2071</v>
      </c>
      <c r="B2007" t="s">
        <v>2024</v>
      </c>
      <c r="C2007" t="s">
        <v>75</v>
      </c>
      <c r="D2007" t="s">
        <v>63</v>
      </c>
      <c r="E2007">
        <v>10.5</v>
      </c>
      <c r="F2007">
        <v>11.0</v>
      </c>
      <c r="G2007" s="2" t="s">
        <v>67</v>
      </c>
      <c r="H2007" s="2">
        <v>35.0</v>
      </c>
      <c r="I2007" s="2">
        <v>85.0</v>
      </c>
      <c r="J2007" s="37">
        <v>896.6</v>
      </c>
      <c r="K2007" s="2">
        <v>41.0</v>
      </c>
      <c r="L2007" s="2">
        <v>192.0</v>
      </c>
      <c r="M2007" s="37">
        <v>1170.46</v>
      </c>
    </row>
    <row r="2008" ht="14.25" customHeight="1">
      <c r="A2008" t="s">
        <v>2072</v>
      </c>
      <c r="B2008" t="s">
        <v>2024</v>
      </c>
      <c r="C2008" t="s">
        <v>75</v>
      </c>
      <c r="D2008" t="s">
        <v>63</v>
      </c>
      <c r="E2008">
        <v>12.5</v>
      </c>
      <c r="F2008">
        <v>13.0</v>
      </c>
      <c r="G2008" s="2" t="s">
        <v>67</v>
      </c>
      <c r="H2008" s="2">
        <v>41.0</v>
      </c>
      <c r="I2008" s="2">
        <v>113.0</v>
      </c>
      <c r="J2008" s="37">
        <v>1067.76</v>
      </c>
      <c r="K2008" s="2">
        <v>47.0</v>
      </c>
      <c r="L2008" s="2">
        <v>241.0</v>
      </c>
      <c r="M2008" s="37">
        <v>1368.92</v>
      </c>
    </row>
    <row r="2009" ht="14.25" customHeight="1">
      <c r="A2009" t="s">
        <v>2073</v>
      </c>
      <c r="B2009" t="s">
        <v>2024</v>
      </c>
      <c r="C2009" t="s">
        <v>75</v>
      </c>
      <c r="D2009" t="s">
        <v>63</v>
      </c>
      <c r="E2009">
        <v>14.0</v>
      </c>
      <c r="F2009">
        <v>14.5</v>
      </c>
      <c r="G2009" s="2" t="s">
        <v>67</v>
      </c>
      <c r="H2009" s="2">
        <v>45.0</v>
      </c>
      <c r="I2009" s="2">
        <v>93.0</v>
      </c>
      <c r="J2009" s="37">
        <v>1131.6000000000001</v>
      </c>
      <c r="K2009" s="2">
        <v>53.0</v>
      </c>
      <c r="L2009" s="2">
        <v>237.0</v>
      </c>
      <c r="M2009" s="37">
        <v>1498.48</v>
      </c>
    </row>
    <row r="2010" ht="14.25" customHeight="1">
      <c r="A2010" t="s">
        <v>2074</v>
      </c>
      <c r="B2010" t="s">
        <v>2024</v>
      </c>
      <c r="C2010" t="s">
        <v>75</v>
      </c>
      <c r="D2010" t="s">
        <v>63</v>
      </c>
      <c r="E2010">
        <v>17.0</v>
      </c>
      <c r="F2010">
        <v>17.5</v>
      </c>
      <c r="G2010" s="2" t="s">
        <v>67</v>
      </c>
      <c r="H2010" s="2">
        <v>54.0</v>
      </c>
      <c r="I2010" s="2">
        <v>69.0</v>
      </c>
      <c r="J2010" s="37">
        <v>1302.5400000000002</v>
      </c>
      <c r="K2010" s="2">
        <v>63.0</v>
      </c>
      <c r="L2010" s="2">
        <v>243.0</v>
      </c>
      <c r="M2010" s="37">
        <v>1730.88</v>
      </c>
    </row>
    <row r="2011" ht="14.25" customHeight="1">
      <c r="A2011" t="s">
        <v>2075</v>
      </c>
      <c r="B2011" t="s">
        <v>2037</v>
      </c>
      <c r="C2011" t="s">
        <v>75</v>
      </c>
      <c r="D2011" t="s">
        <v>63</v>
      </c>
      <c r="E2011">
        <v>7.3</v>
      </c>
      <c r="F2011">
        <v>7.4</v>
      </c>
      <c r="G2011" s="2" t="s">
        <v>67</v>
      </c>
      <c r="H2011" s="2">
        <v>23.0</v>
      </c>
      <c r="I2011" s="2">
        <v>75.0</v>
      </c>
      <c r="J2011" s="37">
        <v>614.08</v>
      </c>
      <c r="K2011" s="2">
        <v>27.0</v>
      </c>
      <c r="L2011" s="2">
        <v>150.0</v>
      </c>
      <c r="M2011" s="37">
        <v>801.4200000000001</v>
      </c>
    </row>
    <row r="2012" ht="14.25" customHeight="1">
      <c r="A2012" t="s">
        <v>2069</v>
      </c>
      <c r="B2012" t="s">
        <v>2037</v>
      </c>
      <c r="C2012" t="s">
        <v>75</v>
      </c>
      <c r="D2012" t="s">
        <v>63</v>
      </c>
      <c r="E2012">
        <v>9.0</v>
      </c>
      <c r="F2012">
        <v>10.0</v>
      </c>
      <c r="G2012" s="2" t="s">
        <v>67</v>
      </c>
      <c r="H2012" s="2">
        <v>32.0</v>
      </c>
      <c r="I2012" s="2">
        <v>104.0</v>
      </c>
      <c r="J2012" s="37">
        <v>853.9200000000001</v>
      </c>
      <c r="K2012" s="2">
        <v>36.0</v>
      </c>
      <c r="L2012" s="2">
        <v>196.0</v>
      </c>
      <c r="M2012" s="37">
        <v>1063.3600000000001</v>
      </c>
    </row>
    <row r="2013" ht="14.25" customHeight="1">
      <c r="A2013" t="s">
        <v>2076</v>
      </c>
      <c r="B2013" t="s">
        <v>2037</v>
      </c>
      <c r="C2013" t="s">
        <v>75</v>
      </c>
      <c r="D2013" t="s">
        <v>63</v>
      </c>
      <c r="E2013">
        <v>10.5</v>
      </c>
      <c r="F2013">
        <v>11.0</v>
      </c>
      <c r="G2013" s="2" t="s">
        <v>67</v>
      </c>
      <c r="H2013" s="2">
        <v>35.0</v>
      </c>
      <c r="I2013" s="2">
        <v>55.0</v>
      </c>
      <c r="J2013" s="37">
        <v>857.6</v>
      </c>
      <c r="K2013" s="2">
        <v>41.0</v>
      </c>
      <c r="L2013" s="2">
        <v>163.0</v>
      </c>
      <c r="M2013" s="37">
        <v>1132.76</v>
      </c>
    </row>
    <row r="2014" ht="14.25" customHeight="1">
      <c r="A2014" t="s">
        <v>2077</v>
      </c>
      <c r="B2014" t="s">
        <v>2037</v>
      </c>
      <c r="C2014" t="s">
        <v>75</v>
      </c>
      <c r="D2014" t="s">
        <v>63</v>
      </c>
      <c r="E2014">
        <v>10.0</v>
      </c>
      <c r="F2014">
        <v>11.0</v>
      </c>
      <c r="G2014" s="2" t="s">
        <v>67</v>
      </c>
      <c r="H2014" s="2">
        <v>34.0</v>
      </c>
      <c r="I2014" s="2">
        <v>37.0</v>
      </c>
      <c r="J2014" s="37">
        <v>811.74</v>
      </c>
      <c r="K2014" s="2">
        <v>40.0</v>
      </c>
      <c r="L2014" s="2">
        <v>139.0</v>
      </c>
      <c r="M2014" s="37">
        <v>1079.1000000000001</v>
      </c>
    </row>
    <row r="2015" ht="14.25" customHeight="1">
      <c r="A2015" t="s">
        <v>2072</v>
      </c>
      <c r="B2015" t="s">
        <v>2037</v>
      </c>
      <c r="C2015" t="s">
        <v>75</v>
      </c>
      <c r="D2015" t="s">
        <v>63</v>
      </c>
      <c r="E2015">
        <v>12.5</v>
      </c>
      <c r="F2015">
        <v>13.0</v>
      </c>
      <c r="G2015" s="2" t="s">
        <v>67</v>
      </c>
      <c r="H2015" s="2">
        <v>41.0</v>
      </c>
      <c r="I2015" s="2">
        <v>128.0</v>
      </c>
      <c r="J2015" s="37">
        <v>1087.26</v>
      </c>
      <c r="K2015" s="2">
        <v>47.0</v>
      </c>
      <c r="L2015" s="2">
        <v>256.0</v>
      </c>
      <c r="M2015" s="37">
        <v>1388.42</v>
      </c>
    </row>
    <row r="2016" ht="14.25" customHeight="1">
      <c r="A2016" t="s">
        <v>2078</v>
      </c>
      <c r="B2016" t="s">
        <v>2037</v>
      </c>
      <c r="C2016" t="s">
        <v>75</v>
      </c>
      <c r="D2016" t="s">
        <v>63</v>
      </c>
      <c r="E2016">
        <v>14.0</v>
      </c>
      <c r="F2016">
        <v>14.5</v>
      </c>
      <c r="G2016" s="2" t="s">
        <v>67</v>
      </c>
      <c r="H2016" s="2">
        <v>45.0</v>
      </c>
      <c r="I2016" s="2">
        <v>93.0</v>
      </c>
      <c r="J2016" s="37">
        <v>1131.6000000000001</v>
      </c>
      <c r="K2016" s="2">
        <v>52.0</v>
      </c>
      <c r="L2016" s="2">
        <v>237.0</v>
      </c>
      <c r="M2016" s="37">
        <v>1476.02</v>
      </c>
    </row>
    <row r="2017" ht="14.25" customHeight="1">
      <c r="A2017" t="s">
        <v>2074</v>
      </c>
      <c r="B2017" t="s">
        <v>2037</v>
      </c>
      <c r="C2017" t="s">
        <v>75</v>
      </c>
      <c r="D2017" t="s">
        <v>63</v>
      </c>
      <c r="E2017">
        <v>17.0</v>
      </c>
      <c r="F2017">
        <v>17.5</v>
      </c>
      <c r="G2017" s="2" t="s">
        <v>67</v>
      </c>
      <c r="H2017" s="2">
        <v>54.0</v>
      </c>
      <c r="I2017" s="2">
        <v>69.0</v>
      </c>
      <c r="J2017" s="37">
        <v>1302.5400000000002</v>
      </c>
      <c r="K2017" s="2">
        <v>63.0</v>
      </c>
      <c r="L2017" s="2">
        <v>243.0</v>
      </c>
      <c r="M2017" s="37">
        <v>1730.88</v>
      </c>
    </row>
    <row r="2018" ht="14.25" customHeight="1">
      <c r="A2018" t="s">
        <v>2079</v>
      </c>
      <c r="B2018" t="s">
        <v>2037</v>
      </c>
      <c r="C2018" t="s">
        <v>62</v>
      </c>
      <c r="D2018" t="s">
        <v>268</v>
      </c>
      <c r="E2018">
        <v>3.378</v>
      </c>
      <c r="F2018">
        <v>2.81</v>
      </c>
      <c r="G2018" s="2" t="s">
        <v>64</v>
      </c>
      <c r="H2018" s="2">
        <v>0.0</v>
      </c>
      <c r="I2018" s="2">
        <v>0.0</v>
      </c>
      <c r="J2018" s="37">
        <v>0.0</v>
      </c>
      <c r="K2018" s="2">
        <v>0.0</v>
      </c>
      <c r="L2018" s="2">
        <v>0.0</v>
      </c>
      <c r="M2018" s="37">
        <v>0.0</v>
      </c>
    </row>
    <row r="2019" ht="14.25" customHeight="1">
      <c r="A2019" t="s">
        <v>2080</v>
      </c>
      <c r="B2019" t="s">
        <v>2024</v>
      </c>
      <c r="C2019" t="s">
        <v>62</v>
      </c>
      <c r="D2019" t="s">
        <v>63</v>
      </c>
      <c r="E2019">
        <v>10.5</v>
      </c>
      <c r="F2019">
        <v>11.0</v>
      </c>
      <c r="G2019" s="2" t="s">
        <v>67</v>
      </c>
      <c r="H2019" s="2">
        <v>35.0</v>
      </c>
      <c r="I2019" s="2">
        <v>224.0</v>
      </c>
      <c r="J2019" s="37">
        <v>1077.3</v>
      </c>
      <c r="K2019" s="2">
        <v>41.0</v>
      </c>
      <c r="L2019" s="2">
        <v>332.0</v>
      </c>
      <c r="M2019" s="37">
        <v>1352.46</v>
      </c>
    </row>
    <row r="2020" ht="14.25" customHeight="1">
      <c r="A2020" t="s">
        <v>2081</v>
      </c>
      <c r="B2020" t="s">
        <v>2024</v>
      </c>
      <c r="C2020" t="s">
        <v>62</v>
      </c>
      <c r="D2020" t="s">
        <v>63</v>
      </c>
      <c r="E2020">
        <v>12.5</v>
      </c>
      <c r="F2020">
        <v>13.0</v>
      </c>
      <c r="G2020" s="2" t="s">
        <v>67</v>
      </c>
      <c r="H2020" s="2">
        <v>41.0</v>
      </c>
      <c r="I2020" s="2">
        <v>190.0</v>
      </c>
      <c r="J2020" s="37">
        <v>1167.8600000000001</v>
      </c>
      <c r="K2020" s="2">
        <v>47.0</v>
      </c>
      <c r="L2020" s="2">
        <v>318.0</v>
      </c>
      <c r="M2020" s="37">
        <v>1469.0200000000002</v>
      </c>
    </row>
    <row r="2021" ht="14.25" customHeight="1">
      <c r="A2021" t="s">
        <v>2082</v>
      </c>
      <c r="B2021" t="s">
        <v>2024</v>
      </c>
      <c r="C2021" t="s">
        <v>62</v>
      </c>
      <c r="D2021" t="s">
        <v>63</v>
      </c>
      <c r="E2021">
        <v>14.0</v>
      </c>
      <c r="F2021">
        <v>14.5</v>
      </c>
      <c r="G2021" s="2" t="s">
        <v>67</v>
      </c>
      <c r="H2021" s="2">
        <v>45.0</v>
      </c>
      <c r="I2021" s="2">
        <v>78.0</v>
      </c>
      <c r="J2021" s="37">
        <v>1112.1000000000001</v>
      </c>
      <c r="K2021" s="2">
        <v>52.0</v>
      </c>
      <c r="L2021" s="2">
        <v>222.0</v>
      </c>
      <c r="M2021" s="37">
        <v>1456.52</v>
      </c>
    </row>
    <row r="2022" ht="14.25" customHeight="1">
      <c r="A2022" t="s">
        <v>2083</v>
      </c>
      <c r="B2022" t="s">
        <v>2024</v>
      </c>
      <c r="C2022" t="s">
        <v>62</v>
      </c>
      <c r="D2022" t="s">
        <v>63</v>
      </c>
      <c r="E2022">
        <v>2.0</v>
      </c>
      <c r="F2022">
        <v>2.25</v>
      </c>
      <c r="G2022" s="2" t="s">
        <v>67</v>
      </c>
      <c r="H2022" s="2">
        <v>6.0</v>
      </c>
      <c r="I2022" s="2">
        <v>34.0</v>
      </c>
      <c r="J2022" s="37">
        <v>178.95999999999998</v>
      </c>
      <c r="K2022" s="2">
        <v>7.0</v>
      </c>
      <c r="L2022" s="2">
        <v>50.0</v>
      </c>
      <c r="M2022" s="37">
        <v>222.22</v>
      </c>
    </row>
    <row r="2023" ht="14.25" customHeight="1">
      <c r="A2023" t="s">
        <v>2084</v>
      </c>
      <c r="B2023" t="s">
        <v>2024</v>
      </c>
      <c r="C2023" t="s">
        <v>62</v>
      </c>
      <c r="D2023" t="s">
        <v>63</v>
      </c>
      <c r="E2023">
        <v>2.6</v>
      </c>
      <c r="F2023">
        <v>2.7</v>
      </c>
      <c r="G2023" s="2" t="s">
        <v>67</v>
      </c>
      <c r="H2023" s="2">
        <v>7.0</v>
      </c>
      <c r="I2023" s="2">
        <v>35.0</v>
      </c>
      <c r="J2023" s="37">
        <v>202.72</v>
      </c>
      <c r="K2023" s="2">
        <v>8.0</v>
      </c>
      <c r="L2023" s="2">
        <v>56.0</v>
      </c>
      <c r="M2023" s="37">
        <v>252.48000000000002</v>
      </c>
    </row>
    <row r="2024" ht="14.25" customHeight="1">
      <c r="A2024" t="s">
        <v>2085</v>
      </c>
      <c r="B2024" t="s">
        <v>2024</v>
      </c>
      <c r="C2024" t="s">
        <v>62</v>
      </c>
      <c r="D2024" t="s">
        <v>63</v>
      </c>
      <c r="E2024">
        <v>5.0</v>
      </c>
      <c r="F2024">
        <v>5.2</v>
      </c>
      <c r="G2024" s="2" t="s">
        <v>67</v>
      </c>
      <c r="H2024" s="2">
        <v>15.0</v>
      </c>
      <c r="I2024" s="2">
        <v>74.0</v>
      </c>
      <c r="J2024" s="37">
        <v>433.1</v>
      </c>
      <c r="K2024" s="2">
        <v>17.0</v>
      </c>
      <c r="L2024" s="2">
        <v>120.0</v>
      </c>
      <c r="M2024" s="37">
        <v>537.8199999999999</v>
      </c>
    </row>
    <row r="2025" ht="14.25" customHeight="1">
      <c r="A2025" t="s">
        <v>2086</v>
      </c>
      <c r="B2025" t="s">
        <v>2024</v>
      </c>
      <c r="C2025" t="s">
        <v>62</v>
      </c>
      <c r="D2025" t="s">
        <v>63</v>
      </c>
      <c r="E2025">
        <v>3.55</v>
      </c>
      <c r="F2025">
        <v>4.0</v>
      </c>
      <c r="G2025" s="2" t="s">
        <v>67</v>
      </c>
      <c r="H2025" s="2">
        <v>10.0</v>
      </c>
      <c r="I2025" s="2">
        <v>44.0</v>
      </c>
      <c r="J2025" s="37">
        <v>281.8</v>
      </c>
      <c r="K2025" s="2">
        <v>12.0</v>
      </c>
      <c r="L2025" s="2">
        <v>72.0</v>
      </c>
      <c r="M2025" s="37">
        <v>363.12</v>
      </c>
    </row>
    <row r="2026" ht="14.25" customHeight="1">
      <c r="A2026" t="s">
        <v>2087</v>
      </c>
      <c r="B2026" t="s">
        <v>2024</v>
      </c>
      <c r="C2026" t="s">
        <v>62</v>
      </c>
      <c r="D2026" t="s">
        <v>63</v>
      </c>
      <c r="E2026">
        <v>7.0</v>
      </c>
      <c r="F2026">
        <v>7.5</v>
      </c>
      <c r="G2026" s="2" t="s">
        <v>67</v>
      </c>
      <c r="H2026" s="2">
        <v>21.0</v>
      </c>
      <c r="I2026" s="2">
        <v>66.0</v>
      </c>
      <c r="J2026" s="37">
        <v>557.46</v>
      </c>
      <c r="K2026" s="2">
        <v>25.0</v>
      </c>
      <c r="L2026" s="2">
        <v>130.0</v>
      </c>
      <c r="M2026" s="37">
        <v>730.5</v>
      </c>
    </row>
    <row r="2027" ht="14.25" customHeight="1">
      <c r="A2027" t="s">
        <v>2088</v>
      </c>
      <c r="B2027" t="s">
        <v>2024</v>
      </c>
      <c r="C2027" t="s">
        <v>62</v>
      </c>
      <c r="D2027" t="s">
        <v>63</v>
      </c>
      <c r="E2027">
        <v>7.0</v>
      </c>
      <c r="F2027">
        <v>7.5</v>
      </c>
      <c r="G2027" s="2" t="s">
        <v>67</v>
      </c>
      <c r="H2027" s="2">
        <v>21.0</v>
      </c>
      <c r="I2027" s="2">
        <v>66.0</v>
      </c>
      <c r="J2027" s="37">
        <v>557.46</v>
      </c>
      <c r="K2027" s="2">
        <v>25.0</v>
      </c>
      <c r="L2027" s="2">
        <v>130.0</v>
      </c>
      <c r="M2027" s="37">
        <v>730.5</v>
      </c>
    </row>
    <row r="2028" ht="14.25" customHeight="1">
      <c r="A2028" t="s">
        <v>2089</v>
      </c>
      <c r="B2028" t="s">
        <v>2024</v>
      </c>
      <c r="C2028" t="s">
        <v>62</v>
      </c>
      <c r="D2028" t="s">
        <v>63</v>
      </c>
      <c r="E2028">
        <v>7.0</v>
      </c>
      <c r="F2028">
        <v>7.5</v>
      </c>
      <c r="G2028" s="2" t="s">
        <v>67</v>
      </c>
      <c r="H2028" s="2">
        <v>21.0</v>
      </c>
      <c r="I2028" s="2">
        <v>66.0</v>
      </c>
      <c r="J2028" s="37">
        <v>557.46</v>
      </c>
      <c r="K2028" s="2">
        <v>25.0</v>
      </c>
      <c r="L2028" s="2">
        <v>130.0</v>
      </c>
      <c r="M2028" s="37">
        <v>730.5</v>
      </c>
    </row>
    <row r="2029" ht="14.25" customHeight="1">
      <c r="A2029" t="s">
        <v>2090</v>
      </c>
      <c r="B2029" t="s">
        <v>2024</v>
      </c>
      <c r="C2029" t="s">
        <v>62</v>
      </c>
      <c r="D2029" t="s">
        <v>63</v>
      </c>
      <c r="E2029">
        <v>7.0</v>
      </c>
      <c r="F2029">
        <v>7.5</v>
      </c>
      <c r="G2029" s="2" t="s">
        <v>67</v>
      </c>
      <c r="H2029" s="2">
        <v>21.0</v>
      </c>
      <c r="I2029" s="2">
        <v>66.0</v>
      </c>
      <c r="J2029" s="37">
        <v>557.46</v>
      </c>
      <c r="K2029" s="2">
        <v>25.0</v>
      </c>
      <c r="L2029" s="2">
        <v>130.0</v>
      </c>
      <c r="M2029" s="37">
        <v>730.5</v>
      </c>
    </row>
    <row r="2030" ht="14.25" customHeight="1">
      <c r="A2030" t="s">
        <v>2091</v>
      </c>
      <c r="B2030" t="s">
        <v>2024</v>
      </c>
      <c r="C2030" t="s">
        <v>62</v>
      </c>
      <c r="D2030" t="s">
        <v>63</v>
      </c>
      <c r="E2030">
        <v>6.0</v>
      </c>
      <c r="F2030">
        <v>6.2</v>
      </c>
      <c r="G2030" s="2" t="s">
        <v>64</v>
      </c>
      <c r="H2030" s="2">
        <v>0.0</v>
      </c>
      <c r="I2030" s="2">
        <v>0.0</v>
      </c>
      <c r="J2030" s="37">
        <v>0.0</v>
      </c>
      <c r="K2030" s="2">
        <v>0.0</v>
      </c>
      <c r="L2030" s="2">
        <v>0.0</v>
      </c>
      <c r="M2030" s="37">
        <v>0.0</v>
      </c>
    </row>
    <row r="2031" ht="14.25" customHeight="1">
      <c r="A2031" t="s">
        <v>2092</v>
      </c>
      <c r="B2031" t="s">
        <v>2024</v>
      </c>
      <c r="C2031" t="s">
        <v>62</v>
      </c>
      <c r="D2031" t="s">
        <v>63</v>
      </c>
      <c r="E2031">
        <v>8.0</v>
      </c>
      <c r="F2031">
        <v>8.5</v>
      </c>
      <c r="G2031" s="2" t="s">
        <v>67</v>
      </c>
      <c r="H2031" s="2">
        <v>24.0</v>
      </c>
      <c r="I2031" s="2">
        <v>25.0</v>
      </c>
      <c r="J2031" s="37">
        <v>571.54</v>
      </c>
      <c r="K2031" s="2">
        <v>27.0</v>
      </c>
      <c r="L2031" s="2">
        <v>97.0</v>
      </c>
      <c r="M2031" s="37">
        <v>732.5200000000001</v>
      </c>
    </row>
    <row r="2032" ht="14.25" customHeight="1">
      <c r="A2032" t="s">
        <v>2093</v>
      </c>
      <c r="B2032" t="s">
        <v>2024</v>
      </c>
      <c r="C2032" t="s">
        <v>62</v>
      </c>
      <c r="D2032" t="s">
        <v>63</v>
      </c>
      <c r="E2032">
        <v>8.0</v>
      </c>
      <c r="F2032">
        <v>8.5</v>
      </c>
      <c r="G2032" s="2" t="s">
        <v>67</v>
      </c>
      <c r="H2032" s="2">
        <v>24.0</v>
      </c>
      <c r="I2032" s="2">
        <v>25.0</v>
      </c>
      <c r="J2032" s="37">
        <v>571.54</v>
      </c>
      <c r="K2032" s="2">
        <v>27.0</v>
      </c>
      <c r="L2032" s="2">
        <v>97.0</v>
      </c>
      <c r="M2032" s="37">
        <v>732.5200000000001</v>
      </c>
    </row>
    <row r="2033" ht="14.25" customHeight="1">
      <c r="A2033" t="s">
        <v>2094</v>
      </c>
      <c r="B2033" t="s">
        <v>2024</v>
      </c>
      <c r="C2033" t="s">
        <v>62</v>
      </c>
      <c r="D2033" t="s">
        <v>63</v>
      </c>
      <c r="E2033">
        <v>8.0</v>
      </c>
      <c r="F2033">
        <v>8.5</v>
      </c>
      <c r="G2033" s="2" t="s">
        <v>67</v>
      </c>
      <c r="H2033" s="2">
        <v>24.0</v>
      </c>
      <c r="I2033" s="2">
        <v>25.0</v>
      </c>
      <c r="J2033" s="37">
        <v>571.54</v>
      </c>
      <c r="K2033" s="2">
        <v>27.0</v>
      </c>
      <c r="L2033" s="2">
        <v>97.0</v>
      </c>
      <c r="M2033" s="37">
        <v>732.5200000000001</v>
      </c>
    </row>
    <row r="2034" ht="14.25" customHeight="1">
      <c r="A2034" t="s">
        <v>2095</v>
      </c>
      <c r="B2034" t="s">
        <v>2024</v>
      </c>
      <c r="C2034" t="s">
        <v>62</v>
      </c>
      <c r="D2034" t="s">
        <v>63</v>
      </c>
      <c r="E2034">
        <v>8.0</v>
      </c>
      <c r="F2034">
        <v>8.5</v>
      </c>
      <c r="G2034" s="2" t="s">
        <v>67</v>
      </c>
      <c r="H2034" s="2">
        <v>24.0</v>
      </c>
      <c r="I2034" s="2">
        <v>25.0</v>
      </c>
      <c r="J2034" s="37">
        <v>571.54</v>
      </c>
      <c r="K2034" s="2">
        <v>27.0</v>
      </c>
      <c r="L2034" s="2">
        <v>97.0</v>
      </c>
      <c r="M2034" s="37">
        <v>732.5200000000001</v>
      </c>
    </row>
    <row r="2035" ht="14.25" customHeight="1">
      <c r="A2035" t="s">
        <v>2096</v>
      </c>
      <c r="B2035" t="s">
        <v>2037</v>
      </c>
      <c r="C2035" t="s">
        <v>62</v>
      </c>
      <c r="D2035" t="s">
        <v>63</v>
      </c>
      <c r="E2035">
        <v>2.6</v>
      </c>
      <c r="F2035">
        <v>2.65</v>
      </c>
      <c r="G2035" s="2" t="s">
        <v>67</v>
      </c>
      <c r="H2035" s="2">
        <v>7.0</v>
      </c>
      <c r="I2035" s="2">
        <v>56.0</v>
      </c>
      <c r="J2035" s="37">
        <v>230.01999999999998</v>
      </c>
      <c r="K2035" s="2">
        <v>8.0</v>
      </c>
      <c r="L2035" s="2">
        <v>77.0</v>
      </c>
      <c r="M2035" s="37">
        <v>279.78000000000003</v>
      </c>
    </row>
    <row r="2036" ht="14.25" customHeight="1">
      <c r="A2036" t="s">
        <v>2097</v>
      </c>
      <c r="B2036" t="s">
        <v>2037</v>
      </c>
      <c r="C2036" t="s">
        <v>62</v>
      </c>
      <c r="D2036" t="s">
        <v>63</v>
      </c>
      <c r="E2036">
        <v>3.55</v>
      </c>
      <c r="F2036">
        <v>3.6</v>
      </c>
      <c r="G2036" s="2" t="s">
        <v>67</v>
      </c>
      <c r="H2036" s="2">
        <v>10.0</v>
      </c>
      <c r="I2036" s="2">
        <v>50.0</v>
      </c>
      <c r="J2036" s="37">
        <v>289.6</v>
      </c>
      <c r="K2036" s="2">
        <v>11.0</v>
      </c>
      <c r="L2036" s="2">
        <v>78.0</v>
      </c>
      <c r="M2036" s="37">
        <v>348.46000000000004</v>
      </c>
    </row>
    <row r="2037" ht="14.25" customHeight="1">
      <c r="A2037" t="s">
        <v>2098</v>
      </c>
      <c r="B2037" t="s">
        <v>2037</v>
      </c>
      <c r="C2037" t="s">
        <v>62</v>
      </c>
      <c r="D2037" t="s">
        <v>63</v>
      </c>
      <c r="E2037">
        <v>5.2</v>
      </c>
      <c r="F2037">
        <v>5.2</v>
      </c>
      <c r="G2037" s="2" t="s">
        <v>67</v>
      </c>
      <c r="H2037" s="2">
        <v>16.0</v>
      </c>
      <c r="I2037" s="2">
        <v>75.0</v>
      </c>
      <c r="J2037" s="37">
        <v>456.86</v>
      </c>
      <c r="K2037" s="2">
        <v>18.0</v>
      </c>
      <c r="L2037" s="2">
        <v>122.0</v>
      </c>
      <c r="M2037" s="37">
        <v>562.88</v>
      </c>
    </row>
    <row r="2038" ht="14.25" customHeight="1">
      <c r="A2038" t="s">
        <v>2099</v>
      </c>
      <c r="B2038" t="s">
        <v>2037</v>
      </c>
      <c r="C2038" t="s">
        <v>62</v>
      </c>
      <c r="D2038" t="s">
        <v>63</v>
      </c>
      <c r="E2038">
        <v>7.0</v>
      </c>
      <c r="F2038">
        <v>8.05</v>
      </c>
      <c r="G2038" s="2" t="s">
        <v>67</v>
      </c>
      <c r="H2038" s="2">
        <v>22.0</v>
      </c>
      <c r="I2038" s="2">
        <v>33.0</v>
      </c>
      <c r="J2038" s="37">
        <v>537.02</v>
      </c>
      <c r="K2038" s="2">
        <v>26.0</v>
      </c>
      <c r="L2038" s="2">
        <v>97.0</v>
      </c>
      <c r="M2038" s="37">
        <v>710.0600000000001</v>
      </c>
    </row>
    <row r="2039" ht="14.25" customHeight="1">
      <c r="A2039" t="s">
        <v>2100</v>
      </c>
      <c r="B2039" t="s">
        <v>2037</v>
      </c>
      <c r="C2039" t="s">
        <v>62</v>
      </c>
      <c r="D2039" t="s">
        <v>63</v>
      </c>
      <c r="E2039">
        <v>2.6</v>
      </c>
      <c r="F2039">
        <v>2.7</v>
      </c>
      <c r="G2039" s="2" t="s">
        <v>67</v>
      </c>
      <c r="H2039" s="2">
        <v>8.0</v>
      </c>
      <c r="I2039" s="2">
        <v>65.0</v>
      </c>
      <c r="J2039" s="37">
        <v>264.18</v>
      </c>
      <c r="K2039" s="2">
        <v>9.0</v>
      </c>
      <c r="L2039" s="2">
        <v>86.0</v>
      </c>
      <c r="M2039" s="37">
        <v>313.94</v>
      </c>
    </row>
    <row r="2040" ht="14.25" customHeight="1">
      <c r="A2040" t="s">
        <v>2101</v>
      </c>
      <c r="B2040" t="s">
        <v>2037</v>
      </c>
      <c r="C2040" t="s">
        <v>62</v>
      </c>
      <c r="D2040" t="s">
        <v>63</v>
      </c>
      <c r="E2040">
        <v>3.5</v>
      </c>
      <c r="F2040">
        <v>3.65</v>
      </c>
      <c r="G2040" s="2" t="s">
        <v>67</v>
      </c>
      <c r="H2040" s="2">
        <v>10.0</v>
      </c>
      <c r="I2040" s="2">
        <v>58.0</v>
      </c>
      <c r="J2040" s="37">
        <v>300.0</v>
      </c>
      <c r="K2040" s="2">
        <v>12.0</v>
      </c>
      <c r="L2040" s="2">
        <v>86.0</v>
      </c>
      <c r="M2040" s="37">
        <v>381.32</v>
      </c>
    </row>
    <row r="2041" ht="14.25" customHeight="1">
      <c r="A2041" t="s">
        <v>2102</v>
      </c>
      <c r="B2041" t="s">
        <v>2037</v>
      </c>
      <c r="C2041" t="s">
        <v>62</v>
      </c>
      <c r="D2041" t="s">
        <v>63</v>
      </c>
      <c r="E2041">
        <v>5.0</v>
      </c>
      <c r="F2041">
        <v>5.3</v>
      </c>
      <c r="G2041" s="2" t="s">
        <v>67</v>
      </c>
      <c r="H2041" s="2">
        <v>16.0</v>
      </c>
      <c r="I2041" s="2">
        <v>89.0</v>
      </c>
      <c r="J2041" s="37">
        <v>475.06</v>
      </c>
      <c r="K2041" s="2">
        <v>18.0</v>
      </c>
      <c r="L2041" s="2">
        <v>135.0</v>
      </c>
      <c r="M2041" s="37">
        <v>579.78</v>
      </c>
    </row>
    <row r="2042" ht="14.25" customHeight="1">
      <c r="A2042" t="s">
        <v>2103</v>
      </c>
      <c r="B2042" t="s">
        <v>2037</v>
      </c>
      <c r="C2042" t="s">
        <v>62</v>
      </c>
      <c r="D2042" t="s">
        <v>63</v>
      </c>
      <c r="E2042">
        <v>7.0</v>
      </c>
      <c r="F2042">
        <v>8.8</v>
      </c>
      <c r="G2042" s="2" t="s">
        <v>67</v>
      </c>
      <c r="H2042" s="2">
        <v>25.0</v>
      </c>
      <c r="I2042" s="2">
        <v>83.0</v>
      </c>
      <c r="J2042" s="37">
        <v>669.4</v>
      </c>
      <c r="K2042" s="2">
        <v>29.0</v>
      </c>
      <c r="L2042" s="2">
        <v>147.0</v>
      </c>
      <c r="M2042" s="37">
        <v>842.44</v>
      </c>
    </row>
    <row r="2043" ht="14.25" customHeight="1">
      <c r="A2043" t="s">
        <v>2104</v>
      </c>
      <c r="B2043" t="s">
        <v>2037</v>
      </c>
      <c r="C2043" t="s">
        <v>62</v>
      </c>
      <c r="D2043" t="s">
        <v>63</v>
      </c>
      <c r="E2043">
        <v>8.0</v>
      </c>
      <c r="F2043">
        <v>9.0</v>
      </c>
      <c r="G2043" s="2" t="s">
        <v>67</v>
      </c>
      <c r="H2043" s="2">
        <v>26.0</v>
      </c>
      <c r="I2043" s="2">
        <v>56.0</v>
      </c>
      <c r="J2043" s="37">
        <v>656.76</v>
      </c>
      <c r="K2043" s="2">
        <v>30.0</v>
      </c>
      <c r="L2043" s="2">
        <v>129.0</v>
      </c>
      <c r="M2043" s="37">
        <v>841.5000000000001</v>
      </c>
    </row>
    <row r="2044" ht="14.25" customHeight="1">
      <c r="A2044" t="s">
        <v>2105</v>
      </c>
      <c r="B2044" t="s">
        <v>2037</v>
      </c>
      <c r="C2044" t="s">
        <v>62</v>
      </c>
      <c r="D2044" t="s">
        <v>63</v>
      </c>
      <c r="E2044">
        <v>5.0</v>
      </c>
      <c r="F2044">
        <v>5.3</v>
      </c>
      <c r="G2044" s="2" t="s">
        <v>67</v>
      </c>
      <c r="H2044" s="2">
        <v>16.0</v>
      </c>
      <c r="I2044" s="2">
        <v>89.0</v>
      </c>
      <c r="J2044" s="37">
        <v>475.06</v>
      </c>
      <c r="K2044" s="2">
        <v>18.0</v>
      </c>
      <c r="L2044" s="2">
        <v>135.0</v>
      </c>
      <c r="M2044" s="37">
        <v>579.78</v>
      </c>
    </row>
    <row r="2045" ht="14.25" customHeight="1">
      <c r="A2045" t="s">
        <v>2106</v>
      </c>
      <c r="B2045" t="s">
        <v>2037</v>
      </c>
      <c r="C2045" t="s">
        <v>62</v>
      </c>
      <c r="D2045" t="s">
        <v>63</v>
      </c>
      <c r="E2045">
        <v>3.55</v>
      </c>
      <c r="F2045">
        <v>3.8</v>
      </c>
      <c r="G2045" s="2" t="s">
        <v>67</v>
      </c>
      <c r="H2045" s="2">
        <v>10.0</v>
      </c>
      <c r="I2045" s="2">
        <v>50.0</v>
      </c>
      <c r="J2045" s="37">
        <v>289.6</v>
      </c>
      <c r="K2045" s="2">
        <v>12.0</v>
      </c>
      <c r="L2045" s="2">
        <v>78.0</v>
      </c>
      <c r="M2045" s="37">
        <v>370.91999999999996</v>
      </c>
    </row>
    <row r="2046" ht="14.25" customHeight="1">
      <c r="A2046" t="s">
        <v>2107</v>
      </c>
      <c r="B2046" t="s">
        <v>2037</v>
      </c>
      <c r="C2046" t="s">
        <v>62</v>
      </c>
      <c r="D2046" t="s">
        <v>63</v>
      </c>
      <c r="E2046">
        <v>5.0</v>
      </c>
      <c r="F2046">
        <v>5.52</v>
      </c>
      <c r="G2046" s="2" t="s">
        <v>67</v>
      </c>
      <c r="H2046" s="2">
        <v>16.0</v>
      </c>
      <c r="I2046" s="2">
        <v>80.0</v>
      </c>
      <c r="J2046" s="37">
        <v>463.36</v>
      </c>
      <c r="K2046" s="2">
        <v>19.0</v>
      </c>
      <c r="L2046" s="2">
        <v>126.0</v>
      </c>
      <c r="M2046" s="37">
        <v>590.54</v>
      </c>
    </row>
    <row r="2047" ht="14.25" customHeight="1">
      <c r="A2047" t="s">
        <v>2106</v>
      </c>
      <c r="B2047" t="s">
        <v>2037</v>
      </c>
      <c r="C2047" t="s">
        <v>62</v>
      </c>
      <c r="D2047" t="s">
        <v>63</v>
      </c>
      <c r="E2047">
        <v>3.55</v>
      </c>
      <c r="F2047">
        <v>3.8</v>
      </c>
      <c r="G2047" s="2" t="s">
        <v>67</v>
      </c>
      <c r="H2047" s="2">
        <v>10.0</v>
      </c>
      <c r="I2047" s="2">
        <v>50.0</v>
      </c>
      <c r="J2047" s="37">
        <v>289.6</v>
      </c>
      <c r="K2047" s="2">
        <v>12.0</v>
      </c>
      <c r="L2047" s="2">
        <v>78.0</v>
      </c>
      <c r="M2047" s="37">
        <v>370.91999999999996</v>
      </c>
    </row>
    <row r="2048" ht="14.25" customHeight="1">
      <c r="A2048" t="s">
        <v>2108</v>
      </c>
      <c r="B2048" t="s">
        <v>2037</v>
      </c>
      <c r="C2048" t="s">
        <v>75</v>
      </c>
      <c r="D2048" t="s">
        <v>63</v>
      </c>
      <c r="E2048">
        <v>17.0</v>
      </c>
      <c r="F2048">
        <v>17.5</v>
      </c>
      <c r="G2048" s="2" t="s">
        <v>67</v>
      </c>
      <c r="H2048" s="2">
        <v>53.0</v>
      </c>
      <c r="I2048" s="2">
        <v>137.0</v>
      </c>
      <c r="J2048" s="37">
        <v>1368.48</v>
      </c>
      <c r="K2048" s="2">
        <v>62.0</v>
      </c>
      <c r="L2048" s="2">
        <v>311.0</v>
      </c>
      <c r="M2048" s="37">
        <v>1796.82</v>
      </c>
    </row>
    <row r="2049" ht="14.25" customHeight="1">
      <c r="A2049" t="s">
        <v>2109</v>
      </c>
      <c r="B2049" t="s">
        <v>2037</v>
      </c>
      <c r="C2049" t="s">
        <v>62</v>
      </c>
      <c r="D2049" t="s">
        <v>63</v>
      </c>
      <c r="E2049">
        <v>10.5</v>
      </c>
      <c r="F2049">
        <v>11.5</v>
      </c>
      <c r="G2049" s="2" t="s">
        <v>67</v>
      </c>
      <c r="H2049" s="2">
        <v>35.0</v>
      </c>
      <c r="I2049" s="2">
        <v>156.0</v>
      </c>
      <c r="J2049" s="37">
        <v>988.9000000000001</v>
      </c>
      <c r="K2049" s="2">
        <v>40.0</v>
      </c>
      <c r="L2049" s="2">
        <v>263.0</v>
      </c>
      <c r="M2049" s="37">
        <v>1240.3000000000002</v>
      </c>
    </row>
    <row r="2050" ht="14.25" customHeight="1">
      <c r="A2050" t="s">
        <v>2110</v>
      </c>
      <c r="B2050" t="s">
        <v>2037</v>
      </c>
      <c r="C2050" t="s">
        <v>62</v>
      </c>
      <c r="D2050" t="s">
        <v>63</v>
      </c>
      <c r="E2050">
        <v>7.0</v>
      </c>
      <c r="F2050">
        <v>7.7</v>
      </c>
      <c r="G2050" s="2" t="s">
        <v>67</v>
      </c>
      <c r="H2050" s="2">
        <v>23.0</v>
      </c>
      <c r="I2050" s="2">
        <v>101.0</v>
      </c>
      <c r="J2050" s="37">
        <v>647.8800000000001</v>
      </c>
      <c r="K2050" s="2">
        <v>26.0</v>
      </c>
      <c r="L2050" s="2">
        <v>165.0</v>
      </c>
      <c r="M2050" s="37">
        <v>798.46</v>
      </c>
    </row>
    <row r="2051" ht="14.25" customHeight="1">
      <c r="A2051" t="s">
        <v>2111</v>
      </c>
      <c r="B2051" t="s">
        <v>2037</v>
      </c>
      <c r="C2051" t="s">
        <v>62</v>
      </c>
      <c r="D2051" t="s">
        <v>63</v>
      </c>
      <c r="E2051">
        <v>7.0</v>
      </c>
      <c r="F2051">
        <v>8.0</v>
      </c>
      <c r="G2051" s="2" t="s">
        <v>67</v>
      </c>
      <c r="H2051" s="2">
        <v>23.0</v>
      </c>
      <c r="I2051" s="2">
        <v>75.0</v>
      </c>
      <c r="J2051" s="37">
        <v>614.08</v>
      </c>
      <c r="K2051" s="2">
        <v>26.0</v>
      </c>
      <c r="L2051" s="2">
        <v>139.0</v>
      </c>
      <c r="M2051" s="37">
        <v>764.6600000000001</v>
      </c>
    </row>
    <row r="2052" ht="14.25" customHeight="1">
      <c r="A2052" t="s">
        <v>2112</v>
      </c>
      <c r="B2052" t="s">
        <v>2037</v>
      </c>
      <c r="C2052" t="s">
        <v>62</v>
      </c>
      <c r="D2052" t="s">
        <v>63</v>
      </c>
      <c r="E2052">
        <v>6.1</v>
      </c>
      <c r="F2052">
        <v>6.6</v>
      </c>
      <c r="G2052" s="2" t="s">
        <v>67</v>
      </c>
      <c r="H2052" s="2">
        <v>19.0</v>
      </c>
      <c r="I2052" s="2">
        <v>42.0</v>
      </c>
      <c r="J2052" s="37">
        <v>481.34000000000003</v>
      </c>
      <c r="K2052" s="2">
        <v>22.0</v>
      </c>
      <c r="L2052" s="2">
        <v>98.0</v>
      </c>
      <c r="M2052" s="37">
        <v>621.52</v>
      </c>
    </row>
    <row r="2053" ht="14.25" customHeight="1">
      <c r="A2053" t="s">
        <v>2113</v>
      </c>
      <c r="B2053" t="s">
        <v>2037</v>
      </c>
      <c r="C2053" t="s">
        <v>62</v>
      </c>
      <c r="D2053" t="s">
        <v>63</v>
      </c>
      <c r="E2053">
        <v>2.0</v>
      </c>
      <c r="F2053">
        <v>2.25</v>
      </c>
      <c r="G2053" s="2" t="s">
        <v>67</v>
      </c>
      <c r="H2053" s="2">
        <v>6.0</v>
      </c>
      <c r="I2053" s="2">
        <v>34.0</v>
      </c>
      <c r="J2053" s="37">
        <v>178.95999999999998</v>
      </c>
      <c r="K2053" s="2">
        <v>7.0</v>
      </c>
      <c r="L2053" s="2">
        <v>50.0</v>
      </c>
      <c r="M2053" s="37">
        <v>222.22</v>
      </c>
    </row>
    <row r="2054" ht="14.25" customHeight="1">
      <c r="A2054" t="s">
        <v>2114</v>
      </c>
      <c r="B2054" t="s">
        <v>2037</v>
      </c>
      <c r="C2054" t="s">
        <v>62</v>
      </c>
      <c r="D2054" t="s">
        <v>63</v>
      </c>
      <c r="E2054">
        <v>2.65</v>
      </c>
      <c r="F2054">
        <v>2.7</v>
      </c>
      <c r="G2054" s="2" t="s">
        <v>67</v>
      </c>
      <c r="H2054" s="2">
        <v>8.0</v>
      </c>
      <c r="I2054" s="2">
        <v>57.0</v>
      </c>
      <c r="J2054" s="37">
        <v>253.78000000000003</v>
      </c>
      <c r="K2054" s="2">
        <v>9.0</v>
      </c>
      <c r="L2054" s="2">
        <v>78.0</v>
      </c>
      <c r="M2054" s="37">
        <v>303.54</v>
      </c>
    </row>
    <row r="2055" ht="14.25" customHeight="1">
      <c r="A2055" t="s">
        <v>2115</v>
      </c>
      <c r="B2055" t="s">
        <v>2037</v>
      </c>
      <c r="C2055" t="s">
        <v>62</v>
      </c>
      <c r="D2055" t="s">
        <v>63</v>
      </c>
      <c r="E2055">
        <v>3.55</v>
      </c>
      <c r="F2055">
        <v>3.9</v>
      </c>
      <c r="G2055" s="2" t="s">
        <v>67</v>
      </c>
      <c r="H2055" s="2">
        <v>10.0</v>
      </c>
      <c r="I2055" s="2">
        <v>44.0</v>
      </c>
      <c r="J2055" s="37">
        <v>281.8</v>
      </c>
      <c r="K2055" s="2">
        <v>12.0</v>
      </c>
      <c r="L2055" s="2">
        <v>72.0</v>
      </c>
      <c r="M2055" s="37">
        <v>363.12</v>
      </c>
    </row>
    <row r="2056" ht="14.25" customHeight="1">
      <c r="A2056" t="s">
        <v>2116</v>
      </c>
      <c r="B2056" t="s">
        <v>2037</v>
      </c>
      <c r="C2056" t="s">
        <v>62</v>
      </c>
      <c r="D2056" t="s">
        <v>63</v>
      </c>
      <c r="E2056">
        <v>5.0</v>
      </c>
      <c r="F2056">
        <v>5.5</v>
      </c>
      <c r="G2056" s="2" t="s">
        <v>67</v>
      </c>
      <c r="H2056" s="2">
        <v>16.0</v>
      </c>
      <c r="I2056" s="2">
        <v>80.0</v>
      </c>
      <c r="J2056" s="37">
        <v>463.36</v>
      </c>
      <c r="K2056" s="2">
        <v>18.0</v>
      </c>
      <c r="L2056" s="2">
        <v>126.0</v>
      </c>
      <c r="M2056" s="37">
        <v>568.08</v>
      </c>
    </row>
    <row r="2057" ht="14.25" customHeight="1">
      <c r="A2057" t="s">
        <v>2117</v>
      </c>
      <c r="B2057" t="s">
        <v>2037</v>
      </c>
      <c r="C2057" t="s">
        <v>62</v>
      </c>
      <c r="D2057" t="s">
        <v>63</v>
      </c>
      <c r="E2057">
        <v>8.0</v>
      </c>
      <c r="F2057">
        <v>8.6</v>
      </c>
      <c r="G2057" s="2" t="s">
        <v>67</v>
      </c>
      <c r="H2057" s="2">
        <v>24.0</v>
      </c>
      <c r="I2057" s="2">
        <v>84.0</v>
      </c>
      <c r="J2057" s="37">
        <v>648.24</v>
      </c>
      <c r="K2057" s="2">
        <v>28.0</v>
      </c>
      <c r="L2057" s="2">
        <v>157.0</v>
      </c>
      <c r="M2057" s="37">
        <v>832.98</v>
      </c>
    </row>
    <row r="2058" ht="14.25" customHeight="1">
      <c r="A2058" t="s">
        <v>2118</v>
      </c>
      <c r="B2058" t="s">
        <v>2037</v>
      </c>
      <c r="C2058" t="s">
        <v>62</v>
      </c>
      <c r="D2058" t="s">
        <v>63</v>
      </c>
      <c r="E2058">
        <v>5.0</v>
      </c>
      <c r="F2058">
        <v>5.2</v>
      </c>
      <c r="G2058" s="2" t="s">
        <v>67</v>
      </c>
      <c r="H2058" s="2">
        <v>15.0</v>
      </c>
      <c r="I2058" s="2">
        <v>60.0</v>
      </c>
      <c r="J2058" s="37">
        <v>414.90000000000003</v>
      </c>
      <c r="K2058" s="2">
        <v>17.0</v>
      </c>
      <c r="L2058" s="2">
        <v>105.0</v>
      </c>
      <c r="M2058" s="37">
        <v>518.3199999999999</v>
      </c>
    </row>
    <row r="2059" ht="14.25" customHeight="1">
      <c r="A2059" t="s">
        <v>2119</v>
      </c>
      <c r="B2059" t="s">
        <v>2037</v>
      </c>
      <c r="C2059" t="s">
        <v>62</v>
      </c>
      <c r="D2059" t="s">
        <v>63</v>
      </c>
      <c r="E2059">
        <v>2.76</v>
      </c>
      <c r="F2059">
        <v>2.9</v>
      </c>
      <c r="G2059" s="2" t="s">
        <v>67</v>
      </c>
      <c r="H2059" s="2">
        <v>7.0</v>
      </c>
      <c r="I2059" s="2">
        <v>39.0</v>
      </c>
      <c r="J2059" s="37">
        <v>207.92000000000002</v>
      </c>
      <c r="K2059" s="2">
        <v>8.0</v>
      </c>
      <c r="L2059" s="2">
        <v>61.0</v>
      </c>
      <c r="M2059" s="37">
        <v>258.98</v>
      </c>
    </row>
    <row r="2060" ht="14.25" customHeight="1">
      <c r="A2060" t="s">
        <v>2120</v>
      </c>
      <c r="B2060" t="s">
        <v>2037</v>
      </c>
      <c r="C2060" t="s">
        <v>62</v>
      </c>
      <c r="D2060" t="s">
        <v>63</v>
      </c>
      <c r="E2060">
        <v>3.6</v>
      </c>
      <c r="F2060">
        <v>3.9</v>
      </c>
      <c r="G2060" s="2" t="s">
        <v>67</v>
      </c>
      <c r="H2060" s="2">
        <v>9.0</v>
      </c>
      <c r="I2060" s="2">
        <v>4.0</v>
      </c>
      <c r="J2060" s="37">
        <v>207.34</v>
      </c>
      <c r="K2060" s="2">
        <v>11.0</v>
      </c>
      <c r="L2060" s="2">
        <v>33.0</v>
      </c>
      <c r="M2060" s="37">
        <v>289.96</v>
      </c>
    </row>
    <row r="2061" ht="14.25" customHeight="1">
      <c r="A2061" t="s">
        <v>2121</v>
      </c>
      <c r="B2061" t="s">
        <v>2037</v>
      </c>
      <c r="C2061" t="s">
        <v>62</v>
      </c>
      <c r="D2061" t="s">
        <v>63</v>
      </c>
      <c r="E2061">
        <v>4.9</v>
      </c>
      <c r="F2061">
        <v>5.5</v>
      </c>
      <c r="G2061" s="2" t="s">
        <v>67</v>
      </c>
      <c r="H2061" s="2">
        <v>16.0</v>
      </c>
      <c r="I2061" s="2">
        <v>53.0</v>
      </c>
      <c r="J2061" s="37">
        <v>428.26</v>
      </c>
      <c r="K2061" s="2">
        <v>18.0</v>
      </c>
      <c r="L2061" s="2">
        <v>98.0</v>
      </c>
      <c r="M2061" s="37">
        <v>531.6800000000001</v>
      </c>
    </row>
    <row r="2062" ht="14.25" customHeight="1">
      <c r="A2062" t="s">
        <v>2122</v>
      </c>
      <c r="B2062" t="s">
        <v>2037</v>
      </c>
      <c r="C2062" t="s">
        <v>62</v>
      </c>
      <c r="D2062" t="s">
        <v>467</v>
      </c>
      <c r="E2062">
        <v>5.4</v>
      </c>
      <c r="F2062">
        <v>4.78</v>
      </c>
      <c r="G2062" s="2" t="s">
        <v>64</v>
      </c>
      <c r="H2062" s="2">
        <v>0.0</v>
      </c>
      <c r="I2062" s="2">
        <v>0.0</v>
      </c>
      <c r="J2062" s="37">
        <v>0.0</v>
      </c>
      <c r="K2062" s="2">
        <v>0.0</v>
      </c>
      <c r="L2062" s="2">
        <v>0.0</v>
      </c>
      <c r="M2062" s="37">
        <v>0.0</v>
      </c>
    </row>
    <row r="2063" ht="14.25" customHeight="1">
      <c r="A2063" t="s">
        <v>2123</v>
      </c>
      <c r="B2063" t="s">
        <v>2037</v>
      </c>
      <c r="C2063" t="s">
        <v>62</v>
      </c>
      <c r="D2063" t="s">
        <v>467</v>
      </c>
      <c r="E2063">
        <v>3.9</v>
      </c>
      <c r="F2063">
        <v>3.5</v>
      </c>
      <c r="G2063" s="2" t="s">
        <v>64</v>
      </c>
      <c r="H2063" s="2">
        <v>0.0</v>
      </c>
      <c r="I2063" s="2">
        <v>0.0</v>
      </c>
      <c r="J2063" s="37">
        <v>0.0</v>
      </c>
      <c r="K2063" s="2">
        <v>0.0</v>
      </c>
      <c r="L2063" s="2">
        <v>0.0</v>
      </c>
      <c r="M2063" s="37">
        <v>0.0</v>
      </c>
    </row>
    <row r="2064" ht="14.25" customHeight="1">
      <c r="A2064" t="s">
        <v>2124</v>
      </c>
      <c r="B2064" t="s">
        <v>2037</v>
      </c>
      <c r="C2064" t="s">
        <v>62</v>
      </c>
      <c r="D2064" t="s">
        <v>268</v>
      </c>
      <c r="E2064">
        <v>3.25</v>
      </c>
      <c r="F2064">
        <v>2.81</v>
      </c>
      <c r="G2064" s="2" t="s">
        <v>64</v>
      </c>
      <c r="H2064" s="2">
        <v>0.0</v>
      </c>
      <c r="I2064" s="2">
        <v>0.0</v>
      </c>
      <c r="J2064" s="37">
        <v>0.0</v>
      </c>
      <c r="K2064" s="2">
        <v>0.0</v>
      </c>
      <c r="L2064" s="2">
        <v>0.0</v>
      </c>
      <c r="M2064" s="37">
        <v>0.0</v>
      </c>
    </row>
    <row r="2065" ht="14.25" customHeight="1">
      <c r="A2065" t="s">
        <v>2125</v>
      </c>
      <c r="B2065" t="s">
        <v>2037</v>
      </c>
      <c r="C2065" t="s">
        <v>62</v>
      </c>
      <c r="D2065" t="s">
        <v>467</v>
      </c>
      <c r="E2065">
        <v>2.8</v>
      </c>
      <c r="F2065">
        <v>2.45</v>
      </c>
      <c r="G2065" s="2" t="s">
        <v>64</v>
      </c>
      <c r="H2065" s="2">
        <v>0.0</v>
      </c>
      <c r="I2065" s="2">
        <v>0.0</v>
      </c>
      <c r="J2065" s="37">
        <v>0.0</v>
      </c>
      <c r="K2065" s="2">
        <v>0.0</v>
      </c>
      <c r="L2065" s="2">
        <v>0.0</v>
      </c>
      <c r="M2065" s="37">
        <v>0.0</v>
      </c>
    </row>
    <row r="2066" ht="14.25" customHeight="1">
      <c r="A2066" t="s">
        <v>2126</v>
      </c>
      <c r="B2066" t="s">
        <v>2037</v>
      </c>
      <c r="C2066" t="s">
        <v>62</v>
      </c>
      <c r="D2066" t="s">
        <v>467</v>
      </c>
      <c r="E2066">
        <v>2.28</v>
      </c>
      <c r="F2066">
        <v>2.0</v>
      </c>
      <c r="G2066" s="2" t="s">
        <v>64</v>
      </c>
      <c r="H2066" s="2">
        <v>0.0</v>
      </c>
      <c r="I2066" s="2">
        <v>0.0</v>
      </c>
      <c r="J2066" s="37">
        <v>0.0</v>
      </c>
      <c r="K2066" s="2">
        <v>0.0</v>
      </c>
      <c r="L2066" s="2">
        <v>0.0</v>
      </c>
      <c r="M2066" s="37">
        <v>0.0</v>
      </c>
    </row>
    <row r="2067" ht="14.25" customHeight="1">
      <c r="A2067" t="s">
        <v>2127</v>
      </c>
      <c r="B2067" t="s">
        <v>2037</v>
      </c>
      <c r="C2067" t="s">
        <v>62</v>
      </c>
      <c r="D2067" t="s">
        <v>467</v>
      </c>
      <c r="E2067">
        <v>2.8</v>
      </c>
      <c r="F2067">
        <v>2.45</v>
      </c>
      <c r="G2067" s="2" t="s">
        <v>64</v>
      </c>
      <c r="H2067" s="2">
        <v>0.0</v>
      </c>
      <c r="I2067" s="2">
        <v>0.0</v>
      </c>
      <c r="J2067" s="37">
        <v>0.0</v>
      </c>
      <c r="K2067" s="2">
        <v>0.0</v>
      </c>
      <c r="L2067" s="2">
        <v>0.0</v>
      </c>
      <c r="M2067" s="37">
        <v>0.0</v>
      </c>
    </row>
    <row r="2068" ht="14.25" customHeight="1">
      <c r="A2068" t="s">
        <v>2128</v>
      </c>
      <c r="B2068" t="s">
        <v>2037</v>
      </c>
      <c r="C2068" t="s">
        <v>62</v>
      </c>
      <c r="D2068" t="s">
        <v>63</v>
      </c>
      <c r="E2068">
        <v>3.5</v>
      </c>
      <c r="F2068">
        <v>3.75</v>
      </c>
      <c r="G2068" s="2" t="s">
        <v>67</v>
      </c>
      <c r="H2068" s="2">
        <v>10.0</v>
      </c>
      <c r="I2068" s="2">
        <v>46.0</v>
      </c>
      <c r="J2068" s="37">
        <v>284.40000000000003</v>
      </c>
      <c r="K2068" s="2">
        <v>11.0</v>
      </c>
      <c r="L2068" s="2">
        <v>74.0</v>
      </c>
      <c r="M2068" s="37">
        <v>343.26</v>
      </c>
    </row>
    <row r="2069" ht="14.25" customHeight="1">
      <c r="A2069" t="s">
        <v>2129</v>
      </c>
      <c r="B2069" t="s">
        <v>2037</v>
      </c>
      <c r="C2069" t="s">
        <v>62</v>
      </c>
      <c r="D2069" t="s">
        <v>63</v>
      </c>
      <c r="E2069">
        <v>3.5</v>
      </c>
      <c r="F2069">
        <v>3.75</v>
      </c>
      <c r="G2069" s="2" t="s">
        <v>67</v>
      </c>
      <c r="H2069" s="2">
        <v>10.0</v>
      </c>
      <c r="I2069" s="2">
        <v>46.0</v>
      </c>
      <c r="J2069" s="37">
        <v>284.40000000000003</v>
      </c>
      <c r="K2069" s="2">
        <v>11.0</v>
      </c>
      <c r="L2069" s="2">
        <v>74.0</v>
      </c>
      <c r="M2069" s="37">
        <v>343.26</v>
      </c>
    </row>
    <row r="2070" ht="14.25" customHeight="1">
      <c r="A2070" t="s">
        <v>2130</v>
      </c>
      <c r="B2070" t="s">
        <v>2024</v>
      </c>
      <c r="C2070" t="s">
        <v>62</v>
      </c>
      <c r="D2070" t="s">
        <v>63</v>
      </c>
      <c r="E2070">
        <v>2.5</v>
      </c>
      <c r="F2070">
        <v>3.2</v>
      </c>
      <c r="G2070" s="2" t="s">
        <v>67</v>
      </c>
      <c r="H2070" s="2">
        <v>8.0</v>
      </c>
      <c r="I2070" s="2">
        <v>45.0</v>
      </c>
      <c r="J2070" s="37">
        <v>238.18</v>
      </c>
      <c r="K2070" s="2">
        <v>9.0</v>
      </c>
      <c r="L2070" s="2">
        <v>65.0</v>
      </c>
      <c r="M2070" s="37">
        <v>286.64</v>
      </c>
    </row>
    <row r="2071" ht="14.25" customHeight="1">
      <c r="A2071" t="s">
        <v>2131</v>
      </c>
      <c r="B2071" t="s">
        <v>2037</v>
      </c>
      <c r="C2071" t="s">
        <v>62</v>
      </c>
      <c r="D2071" t="s">
        <v>63</v>
      </c>
      <c r="E2071">
        <v>2.5</v>
      </c>
      <c r="F2071">
        <v>3.2</v>
      </c>
      <c r="G2071" s="2" t="s">
        <v>67</v>
      </c>
      <c r="H2071" s="2">
        <v>8.0</v>
      </c>
      <c r="I2071" s="2">
        <v>45.0</v>
      </c>
      <c r="J2071" s="37">
        <v>238.18</v>
      </c>
      <c r="K2071" s="2">
        <v>9.0</v>
      </c>
      <c r="L2071" s="2">
        <v>65.0</v>
      </c>
      <c r="M2071" s="37">
        <v>286.64</v>
      </c>
    </row>
    <row r="2072" ht="14.25" customHeight="1">
      <c r="A2072" t="s">
        <v>2132</v>
      </c>
      <c r="B2072" t="s">
        <v>2037</v>
      </c>
      <c r="C2072" t="s">
        <v>62</v>
      </c>
      <c r="D2072" t="s">
        <v>63</v>
      </c>
      <c r="E2072">
        <v>2.0</v>
      </c>
      <c r="F2072">
        <v>2.2</v>
      </c>
      <c r="G2072" s="2" t="s">
        <v>67</v>
      </c>
      <c r="H2072" s="2">
        <v>5.0</v>
      </c>
      <c r="I2072" s="2">
        <v>28.0</v>
      </c>
      <c r="J2072" s="37">
        <v>148.70000000000002</v>
      </c>
      <c r="K2072" s="2">
        <v>6.0</v>
      </c>
      <c r="L2072" s="2">
        <v>44.0</v>
      </c>
      <c r="M2072" s="37">
        <v>191.95999999999998</v>
      </c>
    </row>
    <row r="2073" ht="14.25" customHeight="1">
      <c r="A2073" t="s">
        <v>2133</v>
      </c>
      <c r="B2073" t="s">
        <v>2037</v>
      </c>
      <c r="C2073" t="s">
        <v>62</v>
      </c>
      <c r="D2073" t="s">
        <v>63</v>
      </c>
      <c r="E2073">
        <v>2.0</v>
      </c>
      <c r="F2073">
        <v>2.2</v>
      </c>
      <c r="G2073" s="2" t="s">
        <v>67</v>
      </c>
      <c r="H2073" s="2">
        <v>5.0</v>
      </c>
      <c r="I2073" s="2">
        <v>28.0</v>
      </c>
      <c r="J2073" s="37">
        <v>148.70000000000002</v>
      </c>
      <c r="K2073" s="2">
        <v>6.0</v>
      </c>
      <c r="L2073" s="2">
        <v>44.0</v>
      </c>
      <c r="M2073" s="37">
        <v>191.95999999999998</v>
      </c>
    </row>
    <row r="2074" ht="14.25" customHeight="1">
      <c r="A2074" t="s">
        <v>2134</v>
      </c>
      <c r="B2074" t="s">
        <v>2037</v>
      </c>
      <c r="C2074" t="s">
        <v>62</v>
      </c>
      <c r="D2074" t="s">
        <v>63</v>
      </c>
      <c r="E2074">
        <v>7.6</v>
      </c>
      <c r="F2074">
        <v>8.0</v>
      </c>
      <c r="G2074" s="2" t="s">
        <v>67</v>
      </c>
      <c r="H2074" s="2">
        <v>22.0</v>
      </c>
      <c r="I2074" s="2">
        <v>17.0</v>
      </c>
      <c r="J2074" s="37">
        <v>516.22</v>
      </c>
      <c r="K2074" s="2">
        <v>25.0</v>
      </c>
      <c r="L2074" s="2">
        <v>87.0</v>
      </c>
      <c r="M2074" s="37">
        <v>674.6</v>
      </c>
    </row>
    <row r="2075" ht="14.25" customHeight="1">
      <c r="A2075" t="s">
        <v>2135</v>
      </c>
      <c r="B2075" t="s">
        <v>2037</v>
      </c>
      <c r="C2075" t="s">
        <v>62</v>
      </c>
      <c r="D2075" t="s">
        <v>63</v>
      </c>
      <c r="E2075">
        <v>7.6</v>
      </c>
      <c r="F2075">
        <v>8.0</v>
      </c>
      <c r="G2075" s="2" t="s">
        <v>67</v>
      </c>
      <c r="H2075" s="2">
        <v>22.0</v>
      </c>
      <c r="I2075" s="2">
        <v>17.0</v>
      </c>
      <c r="J2075" s="37">
        <v>516.22</v>
      </c>
      <c r="K2075" s="2">
        <v>25.0</v>
      </c>
      <c r="L2075" s="2">
        <v>87.0</v>
      </c>
      <c r="M2075" s="37">
        <v>674.6</v>
      </c>
    </row>
    <row r="2076" ht="14.25" customHeight="1">
      <c r="A2076" t="s">
        <v>2136</v>
      </c>
      <c r="B2076" t="s">
        <v>2037</v>
      </c>
      <c r="C2076" t="s">
        <v>62</v>
      </c>
      <c r="D2076" t="s">
        <v>467</v>
      </c>
      <c r="E2076">
        <v>3.6</v>
      </c>
      <c r="F2076">
        <v>3.5</v>
      </c>
      <c r="G2076" s="2" t="s">
        <v>64</v>
      </c>
      <c r="H2076" s="2">
        <v>0.0</v>
      </c>
      <c r="I2076" s="2">
        <v>0.0</v>
      </c>
      <c r="J2076" s="37">
        <v>0.0</v>
      </c>
      <c r="K2076" s="2">
        <v>0.0</v>
      </c>
      <c r="L2076" s="2">
        <v>0.0</v>
      </c>
      <c r="M2076" s="37">
        <v>0.0</v>
      </c>
    </row>
    <row r="2077" ht="14.25" customHeight="1">
      <c r="A2077" t="s">
        <v>2137</v>
      </c>
      <c r="B2077" t="s">
        <v>2037</v>
      </c>
      <c r="C2077" t="s">
        <v>75</v>
      </c>
      <c r="D2077" t="s">
        <v>63</v>
      </c>
      <c r="E2077">
        <v>7.3</v>
      </c>
      <c r="F2077">
        <v>7.5</v>
      </c>
      <c r="G2077" s="2" t="s">
        <v>67</v>
      </c>
      <c r="H2077" s="2">
        <v>24.0</v>
      </c>
      <c r="I2077" s="2">
        <v>64.0</v>
      </c>
      <c r="J2077" s="37">
        <v>622.24</v>
      </c>
      <c r="K2077" s="2">
        <v>28.0</v>
      </c>
      <c r="L2077" s="2">
        <v>138.0</v>
      </c>
      <c r="M2077" s="37">
        <v>808.28</v>
      </c>
    </row>
    <row r="2078" ht="14.25" customHeight="1">
      <c r="A2078" t="s">
        <v>2138</v>
      </c>
      <c r="B2078" t="s">
        <v>2037</v>
      </c>
      <c r="C2078" t="s">
        <v>75</v>
      </c>
      <c r="D2078" t="s">
        <v>63</v>
      </c>
      <c r="E2078">
        <v>10.2</v>
      </c>
      <c r="F2078">
        <v>12.0</v>
      </c>
      <c r="G2078" s="2" t="s">
        <v>67</v>
      </c>
      <c r="H2078" s="2">
        <v>36.0</v>
      </c>
      <c r="I2078" s="2">
        <v>71.0</v>
      </c>
      <c r="J2078" s="37">
        <v>900.86</v>
      </c>
      <c r="K2078" s="2">
        <v>41.0</v>
      </c>
      <c r="L2078" s="2">
        <v>175.0</v>
      </c>
      <c r="M2078" s="37">
        <v>1148.3600000000001</v>
      </c>
    </row>
    <row r="2079" ht="14.25" customHeight="1">
      <c r="A2079" t="s">
        <v>2139</v>
      </c>
      <c r="B2079" t="s">
        <v>2037</v>
      </c>
      <c r="C2079" t="s">
        <v>75</v>
      </c>
      <c r="D2079" t="s">
        <v>63</v>
      </c>
      <c r="E2079">
        <v>10.5</v>
      </c>
      <c r="F2079">
        <v>12.5</v>
      </c>
      <c r="G2079" s="2" t="s">
        <v>67</v>
      </c>
      <c r="H2079" s="2">
        <v>38.0</v>
      </c>
      <c r="I2079" s="2">
        <v>71.0</v>
      </c>
      <c r="J2079" s="37">
        <v>945.78</v>
      </c>
      <c r="K2079" s="2">
        <v>44.0</v>
      </c>
      <c r="L2079" s="2">
        <v>179.0</v>
      </c>
      <c r="M2079" s="37">
        <v>1220.94</v>
      </c>
    </row>
    <row r="2080" ht="14.25" customHeight="1">
      <c r="A2080" t="s">
        <v>2140</v>
      </c>
      <c r="B2080" t="s">
        <v>2037</v>
      </c>
      <c r="C2080" t="s">
        <v>75</v>
      </c>
      <c r="D2080" t="s">
        <v>63</v>
      </c>
      <c r="E2080">
        <v>12.6</v>
      </c>
      <c r="F2080">
        <v>14.5</v>
      </c>
      <c r="G2080" s="2" t="s">
        <v>67</v>
      </c>
      <c r="H2080" s="2">
        <v>45.0</v>
      </c>
      <c r="I2080" s="2">
        <v>88.0</v>
      </c>
      <c r="J2080" s="37">
        <v>1125.1000000000001</v>
      </c>
      <c r="K2080" s="2">
        <v>52.0</v>
      </c>
      <c r="L2080" s="2">
        <v>217.0</v>
      </c>
      <c r="M2080" s="37">
        <v>1450.02</v>
      </c>
    </row>
    <row r="2081" ht="14.25" customHeight="1">
      <c r="A2081" t="s">
        <v>2141</v>
      </c>
      <c r="B2081" t="s">
        <v>2037</v>
      </c>
      <c r="C2081" t="s">
        <v>75</v>
      </c>
      <c r="D2081" t="s">
        <v>63</v>
      </c>
      <c r="E2081">
        <v>14.0</v>
      </c>
      <c r="F2081">
        <v>16.8</v>
      </c>
      <c r="G2081" s="2" t="s">
        <v>67</v>
      </c>
      <c r="H2081" s="2">
        <v>50.0</v>
      </c>
      <c r="I2081" s="2">
        <v>99.0</v>
      </c>
      <c r="J2081" s="37">
        <v>1251.7</v>
      </c>
      <c r="K2081" s="2">
        <v>58.0</v>
      </c>
      <c r="L2081" s="2">
        <v>243.0</v>
      </c>
      <c r="M2081" s="37">
        <v>1618.5800000000002</v>
      </c>
    </row>
    <row r="2082" ht="14.25" customHeight="1">
      <c r="A2082" t="s">
        <v>2142</v>
      </c>
      <c r="B2082" t="s">
        <v>2037</v>
      </c>
      <c r="C2082" t="s">
        <v>75</v>
      </c>
      <c r="D2082" t="s">
        <v>63</v>
      </c>
      <c r="E2082">
        <v>17.0</v>
      </c>
      <c r="F2082">
        <v>18.0</v>
      </c>
      <c r="G2082" s="2" t="s">
        <v>67</v>
      </c>
      <c r="H2082" s="2">
        <v>55.0</v>
      </c>
      <c r="I2082" s="2">
        <v>113.0</v>
      </c>
      <c r="J2082" s="37">
        <v>1382.2</v>
      </c>
      <c r="K2082" s="2">
        <v>64.0</v>
      </c>
      <c r="L2082" s="2">
        <v>288.0</v>
      </c>
      <c r="M2082" s="37">
        <v>1811.8400000000001</v>
      </c>
    </row>
    <row r="2083" ht="14.25" customHeight="1">
      <c r="A2083" t="s">
        <v>2143</v>
      </c>
      <c r="B2083" t="s">
        <v>2037</v>
      </c>
      <c r="C2083" t="s">
        <v>62</v>
      </c>
      <c r="D2083" t="s">
        <v>63</v>
      </c>
      <c r="E2083">
        <v>9.0</v>
      </c>
      <c r="F2083">
        <v>9.5</v>
      </c>
      <c r="G2083" s="2" t="s">
        <v>67</v>
      </c>
      <c r="H2083" s="2">
        <v>28.0</v>
      </c>
      <c r="I2083" s="2">
        <v>62.0</v>
      </c>
      <c r="J2083" s="37">
        <v>709.48</v>
      </c>
      <c r="K2083" s="2">
        <v>32.0</v>
      </c>
      <c r="L2083" s="2">
        <v>144.0</v>
      </c>
      <c r="M2083" s="37">
        <v>905.9200000000001</v>
      </c>
    </row>
    <row r="2084" ht="14.25" customHeight="1">
      <c r="A2084" t="s">
        <v>2144</v>
      </c>
      <c r="B2084" t="s">
        <v>2037</v>
      </c>
      <c r="C2084" t="s">
        <v>62</v>
      </c>
      <c r="D2084" t="s">
        <v>63</v>
      </c>
      <c r="E2084">
        <v>9.0</v>
      </c>
      <c r="F2084">
        <v>9.5</v>
      </c>
      <c r="G2084" s="2" t="s">
        <v>67</v>
      </c>
      <c r="H2084" s="2">
        <v>28.0</v>
      </c>
      <c r="I2084" s="2">
        <v>62.0</v>
      </c>
      <c r="J2084" s="37">
        <v>709.48</v>
      </c>
      <c r="K2084" s="2">
        <v>32.0</v>
      </c>
      <c r="L2084" s="2">
        <v>144.0</v>
      </c>
      <c r="M2084" s="37">
        <v>905.9200000000001</v>
      </c>
    </row>
    <row r="2085" ht="14.25" customHeight="1">
      <c r="A2085" t="s">
        <v>2145</v>
      </c>
      <c r="B2085" t="s">
        <v>2037</v>
      </c>
      <c r="C2085" t="s">
        <v>62</v>
      </c>
      <c r="D2085" t="s">
        <v>63</v>
      </c>
      <c r="E2085">
        <v>2.05</v>
      </c>
      <c r="F2085">
        <v>2.37</v>
      </c>
      <c r="G2085" s="2" t="s">
        <v>67</v>
      </c>
      <c r="H2085" s="2">
        <v>6.0</v>
      </c>
      <c r="I2085" s="2">
        <v>35.0</v>
      </c>
      <c r="J2085" s="37">
        <v>180.26</v>
      </c>
      <c r="K2085" s="2">
        <v>7.0</v>
      </c>
      <c r="L2085" s="2">
        <v>51.0</v>
      </c>
      <c r="M2085" s="37">
        <v>223.51999999999998</v>
      </c>
    </row>
    <row r="2086" ht="14.25" customHeight="1">
      <c r="A2086" t="s">
        <v>2146</v>
      </c>
      <c r="B2086" t="s">
        <v>2037</v>
      </c>
      <c r="C2086" t="s">
        <v>62</v>
      </c>
      <c r="D2086" t="s">
        <v>63</v>
      </c>
      <c r="E2086">
        <v>2.05</v>
      </c>
      <c r="F2086">
        <v>2.37</v>
      </c>
      <c r="G2086" s="2" t="s">
        <v>67</v>
      </c>
      <c r="H2086" s="2">
        <v>6.0</v>
      </c>
      <c r="I2086" s="2">
        <v>35.0</v>
      </c>
      <c r="J2086" s="37">
        <v>180.26</v>
      </c>
      <c r="K2086" s="2">
        <v>7.0</v>
      </c>
      <c r="L2086" s="2">
        <v>51.0</v>
      </c>
      <c r="M2086" s="37">
        <v>223.51999999999998</v>
      </c>
    </row>
    <row r="2087" ht="14.25" customHeight="1">
      <c r="A2087" t="s">
        <v>2147</v>
      </c>
      <c r="B2087" t="s">
        <v>2037</v>
      </c>
      <c r="C2087" t="s">
        <v>62</v>
      </c>
      <c r="D2087" t="s">
        <v>63</v>
      </c>
      <c r="E2087">
        <v>2.5</v>
      </c>
      <c r="F2087">
        <v>2.795</v>
      </c>
      <c r="G2087" s="2" t="s">
        <v>67</v>
      </c>
      <c r="H2087" s="2">
        <v>7.0</v>
      </c>
      <c r="I2087" s="2">
        <v>42.0</v>
      </c>
      <c r="J2087" s="37">
        <v>211.82</v>
      </c>
      <c r="K2087" s="2">
        <v>8.0</v>
      </c>
      <c r="L2087" s="2">
        <v>62.0</v>
      </c>
      <c r="M2087" s="37">
        <v>260.28000000000003</v>
      </c>
    </row>
    <row r="2088" ht="14.25" customHeight="1">
      <c r="A2088" t="s">
        <v>2148</v>
      </c>
      <c r="B2088" t="s">
        <v>2037</v>
      </c>
      <c r="C2088" t="s">
        <v>62</v>
      </c>
      <c r="D2088" t="s">
        <v>63</v>
      </c>
      <c r="E2088">
        <v>3.5</v>
      </c>
      <c r="F2088">
        <v>4.0</v>
      </c>
      <c r="G2088" s="2" t="s">
        <v>67</v>
      </c>
      <c r="H2088" s="2">
        <v>10.0</v>
      </c>
      <c r="I2088" s="2">
        <v>31.0</v>
      </c>
      <c r="J2088" s="37">
        <v>264.90000000000003</v>
      </c>
      <c r="K2088" s="2">
        <v>12.0</v>
      </c>
      <c r="L2088" s="2">
        <v>59.0</v>
      </c>
      <c r="M2088" s="37">
        <v>346.21999999999997</v>
      </c>
    </row>
    <row r="2089" ht="14.25" customHeight="1">
      <c r="A2089" t="s">
        <v>2149</v>
      </c>
      <c r="B2089" t="s">
        <v>2037</v>
      </c>
      <c r="C2089" t="s">
        <v>62</v>
      </c>
      <c r="D2089" t="s">
        <v>63</v>
      </c>
      <c r="E2089">
        <v>5.0</v>
      </c>
      <c r="F2089">
        <v>5.54</v>
      </c>
      <c r="G2089" s="2" t="s">
        <v>67</v>
      </c>
      <c r="H2089" s="2">
        <v>16.0</v>
      </c>
      <c r="I2089" s="2">
        <v>63.0</v>
      </c>
      <c r="J2089" s="37">
        <v>441.26</v>
      </c>
      <c r="K2089" s="2">
        <v>19.0</v>
      </c>
      <c r="L2089" s="2">
        <v>109.0</v>
      </c>
      <c r="M2089" s="37">
        <v>568.44</v>
      </c>
    </row>
    <row r="2090" ht="14.25" customHeight="1">
      <c r="A2090" t="s">
        <v>2150</v>
      </c>
      <c r="B2090" t="s">
        <v>2037</v>
      </c>
      <c r="C2090" t="s">
        <v>62</v>
      </c>
      <c r="D2090" t="s">
        <v>63</v>
      </c>
      <c r="E2090">
        <v>6.0</v>
      </c>
      <c r="F2090">
        <v>6.5</v>
      </c>
      <c r="G2090" s="2" t="s">
        <v>67</v>
      </c>
      <c r="H2090" s="2">
        <v>18.0</v>
      </c>
      <c r="I2090" s="2">
        <v>38.0</v>
      </c>
      <c r="J2090" s="37">
        <v>453.68</v>
      </c>
      <c r="K2090" s="2">
        <v>21.0</v>
      </c>
      <c r="L2090" s="2">
        <v>92.0</v>
      </c>
      <c r="M2090" s="37">
        <v>591.26</v>
      </c>
    </row>
    <row r="2091" ht="14.25" customHeight="1">
      <c r="A2091" t="s">
        <v>2151</v>
      </c>
      <c r="B2091" t="s">
        <v>2037</v>
      </c>
      <c r="C2091" t="s">
        <v>62</v>
      </c>
      <c r="D2091" t="s">
        <v>63</v>
      </c>
      <c r="E2091">
        <v>7.0</v>
      </c>
      <c r="F2091">
        <v>7.5</v>
      </c>
      <c r="G2091" s="2" t="s">
        <v>67</v>
      </c>
      <c r="H2091" s="2">
        <v>21.0</v>
      </c>
      <c r="I2091" s="2">
        <v>48.0</v>
      </c>
      <c r="J2091" s="37">
        <v>534.0600000000001</v>
      </c>
      <c r="K2091" s="2">
        <v>25.0</v>
      </c>
      <c r="L2091" s="2">
        <v>112.0</v>
      </c>
      <c r="M2091" s="37">
        <v>707.1</v>
      </c>
    </row>
    <row r="2092" ht="14.25" customHeight="1">
      <c r="A2092" t="s">
        <v>2152</v>
      </c>
      <c r="B2092" t="s">
        <v>2037</v>
      </c>
      <c r="C2092" t="s">
        <v>62</v>
      </c>
      <c r="D2092" t="s">
        <v>63</v>
      </c>
      <c r="E2092">
        <v>7.0</v>
      </c>
      <c r="F2092">
        <v>7.5</v>
      </c>
      <c r="G2092" s="2" t="s">
        <v>67</v>
      </c>
      <c r="H2092" s="2">
        <v>21.0</v>
      </c>
      <c r="I2092" s="2">
        <v>48.0</v>
      </c>
      <c r="J2092" s="37">
        <v>534.0600000000001</v>
      </c>
      <c r="K2092" s="2">
        <v>25.0</v>
      </c>
      <c r="L2092" s="2">
        <v>112.0</v>
      </c>
      <c r="M2092" s="37">
        <v>707.1</v>
      </c>
    </row>
    <row r="2093" ht="14.25" customHeight="1">
      <c r="A2093" t="s">
        <v>2153</v>
      </c>
      <c r="B2093" t="s">
        <v>2037</v>
      </c>
      <c r="C2093" t="s">
        <v>62</v>
      </c>
      <c r="D2093" t="s">
        <v>63</v>
      </c>
      <c r="E2093">
        <v>7.65</v>
      </c>
      <c r="F2093">
        <v>8.2</v>
      </c>
      <c r="G2093" s="2" t="s">
        <v>67</v>
      </c>
      <c r="H2093" s="2">
        <v>23.0</v>
      </c>
      <c r="I2093" s="2">
        <v>30.0</v>
      </c>
      <c r="J2093" s="37">
        <v>555.58</v>
      </c>
      <c r="K2093" s="2">
        <v>26.0</v>
      </c>
      <c r="L2093" s="2">
        <v>99.0</v>
      </c>
      <c r="M2093" s="37">
        <v>712.6600000000001</v>
      </c>
    </row>
    <row r="2094" ht="14.25" customHeight="1">
      <c r="A2094" t="s">
        <v>2154</v>
      </c>
      <c r="B2094" t="s">
        <v>2037</v>
      </c>
      <c r="C2094" t="s">
        <v>62</v>
      </c>
      <c r="D2094" t="s">
        <v>63</v>
      </c>
      <c r="E2094">
        <v>7.65</v>
      </c>
      <c r="F2094">
        <v>8.2</v>
      </c>
      <c r="G2094" s="2" t="s">
        <v>67</v>
      </c>
      <c r="H2094" s="2">
        <v>23.0</v>
      </c>
      <c r="I2094" s="2">
        <v>30.0</v>
      </c>
      <c r="J2094" s="37">
        <v>555.58</v>
      </c>
      <c r="K2094" s="2">
        <v>26.0</v>
      </c>
      <c r="L2094" s="2">
        <v>99.0</v>
      </c>
      <c r="M2094" s="37">
        <v>712.6600000000001</v>
      </c>
    </row>
    <row r="2095" ht="14.25" customHeight="1">
      <c r="A2095" t="s">
        <v>2155</v>
      </c>
      <c r="B2095" t="s">
        <v>2037</v>
      </c>
      <c r="C2095" t="s">
        <v>62</v>
      </c>
      <c r="D2095" t="s">
        <v>63</v>
      </c>
      <c r="E2095">
        <v>2.63</v>
      </c>
      <c r="F2095">
        <v>2.7</v>
      </c>
      <c r="G2095" s="2" t="s">
        <v>67</v>
      </c>
      <c r="H2095" s="2">
        <v>8.0</v>
      </c>
      <c r="I2095" s="2">
        <v>68.0</v>
      </c>
      <c r="J2095" s="37">
        <v>268.08000000000004</v>
      </c>
      <c r="K2095" s="2">
        <v>9.0</v>
      </c>
      <c r="L2095" s="2">
        <v>89.0</v>
      </c>
      <c r="M2095" s="37">
        <v>317.84000000000003</v>
      </c>
    </row>
    <row r="2096" ht="14.25" customHeight="1">
      <c r="A2096" t="s">
        <v>2156</v>
      </c>
      <c r="B2096" t="s">
        <v>2037</v>
      </c>
      <c r="C2096" t="s">
        <v>62</v>
      </c>
      <c r="D2096" t="s">
        <v>63</v>
      </c>
      <c r="E2096">
        <v>3.5</v>
      </c>
      <c r="F2096">
        <v>3.9</v>
      </c>
      <c r="G2096" s="2" t="s">
        <v>67</v>
      </c>
      <c r="H2096" s="2">
        <v>11.0</v>
      </c>
      <c r="I2096" s="2">
        <v>61.0</v>
      </c>
      <c r="J2096" s="37">
        <v>326.36</v>
      </c>
      <c r="K2096" s="2">
        <v>12.0</v>
      </c>
      <c r="L2096" s="2">
        <v>89.0</v>
      </c>
      <c r="M2096" s="37">
        <v>385.21999999999997</v>
      </c>
    </row>
    <row r="2097" ht="14.25" customHeight="1">
      <c r="A2097" t="s">
        <v>2157</v>
      </c>
      <c r="B2097" t="s">
        <v>2037</v>
      </c>
      <c r="C2097" t="s">
        <v>62</v>
      </c>
      <c r="D2097" t="s">
        <v>63</v>
      </c>
      <c r="E2097">
        <v>5.05</v>
      </c>
      <c r="F2097">
        <v>6.0</v>
      </c>
      <c r="G2097" s="2" t="s">
        <v>67</v>
      </c>
      <c r="H2097" s="2">
        <v>19.0</v>
      </c>
      <c r="I2097" s="2">
        <v>118.0</v>
      </c>
      <c r="J2097" s="37">
        <v>580.14</v>
      </c>
      <c r="K2097" s="2">
        <v>21.0</v>
      </c>
      <c r="L2097" s="2">
        <v>164.0</v>
      </c>
      <c r="M2097" s="37">
        <v>684.86</v>
      </c>
    </row>
    <row r="2098" ht="14.25" customHeight="1">
      <c r="A2098" t="s">
        <v>2158</v>
      </c>
      <c r="B2098" t="s">
        <v>2037</v>
      </c>
      <c r="C2098" t="s">
        <v>62</v>
      </c>
      <c r="D2098" t="s">
        <v>63</v>
      </c>
      <c r="E2098">
        <v>6.0</v>
      </c>
      <c r="F2098">
        <v>6.6</v>
      </c>
      <c r="G2098" s="2" t="s">
        <v>67</v>
      </c>
      <c r="H2098" s="2">
        <v>20.0</v>
      </c>
      <c r="I2098" s="2">
        <v>85.0</v>
      </c>
      <c r="J2098" s="37">
        <v>559.7</v>
      </c>
      <c r="K2098" s="2">
        <v>23.0</v>
      </c>
      <c r="L2098" s="2">
        <v>140.0</v>
      </c>
      <c r="M2098" s="37">
        <v>698.58</v>
      </c>
    </row>
    <row r="2099" ht="14.25" customHeight="1">
      <c r="A2099" t="s">
        <v>2159</v>
      </c>
      <c r="B2099" t="s">
        <v>2037</v>
      </c>
      <c r="C2099" t="s">
        <v>62</v>
      </c>
      <c r="D2099" t="s">
        <v>63</v>
      </c>
      <c r="E2099">
        <v>7.2</v>
      </c>
      <c r="F2099">
        <v>8.2</v>
      </c>
      <c r="G2099" s="2" t="s">
        <v>67</v>
      </c>
      <c r="H2099" s="2">
        <v>24.0</v>
      </c>
      <c r="I2099" s="2">
        <v>71.0</v>
      </c>
      <c r="J2099" s="37">
        <v>631.3399999999999</v>
      </c>
      <c r="K2099" s="2">
        <v>28.0</v>
      </c>
      <c r="L2099" s="2">
        <v>137.0</v>
      </c>
      <c r="M2099" s="37">
        <v>806.98</v>
      </c>
    </row>
    <row r="2100" ht="14.25" customHeight="1">
      <c r="A2100" t="s">
        <v>2160</v>
      </c>
      <c r="B2100" t="s">
        <v>2037</v>
      </c>
      <c r="C2100" t="s">
        <v>62</v>
      </c>
      <c r="D2100" t="s">
        <v>63</v>
      </c>
      <c r="E2100">
        <v>8.0</v>
      </c>
      <c r="F2100">
        <v>9.0</v>
      </c>
      <c r="G2100" s="2" t="s">
        <v>67</v>
      </c>
      <c r="H2100" s="2">
        <v>26.0</v>
      </c>
      <c r="I2100" s="2">
        <v>32.0</v>
      </c>
      <c r="J2100" s="37">
        <v>625.5600000000001</v>
      </c>
      <c r="K2100" s="2">
        <v>30.0</v>
      </c>
      <c r="L2100" s="2">
        <v>105.0</v>
      </c>
      <c r="M2100" s="37">
        <v>810.3000000000001</v>
      </c>
    </row>
    <row r="2101" ht="14.25" customHeight="1">
      <c r="A2101" t="s">
        <v>2161</v>
      </c>
      <c r="B2101" t="s">
        <v>2037</v>
      </c>
      <c r="C2101" t="s">
        <v>62</v>
      </c>
      <c r="D2101" t="s">
        <v>63</v>
      </c>
      <c r="E2101">
        <v>9.0</v>
      </c>
      <c r="F2101">
        <v>9.8</v>
      </c>
      <c r="G2101" s="2" t="s">
        <v>67</v>
      </c>
      <c r="H2101" s="2">
        <v>28.0</v>
      </c>
      <c r="I2101" s="2">
        <v>72.0</v>
      </c>
      <c r="J2101" s="37">
        <v>722.48</v>
      </c>
      <c r="K2101" s="2">
        <v>33.0</v>
      </c>
      <c r="L2101" s="2">
        <v>154.0</v>
      </c>
      <c r="M2101" s="37">
        <v>941.3800000000001</v>
      </c>
    </row>
    <row r="2102" ht="14.25" customHeight="1">
      <c r="A2102" t="s">
        <v>2162</v>
      </c>
      <c r="B2102" t="s">
        <v>2037</v>
      </c>
      <c r="C2102" t="s">
        <v>62</v>
      </c>
      <c r="D2102" t="s">
        <v>63</v>
      </c>
      <c r="E2102">
        <v>3.5</v>
      </c>
      <c r="F2102">
        <v>3.9</v>
      </c>
      <c r="G2102" s="2" t="s">
        <v>67</v>
      </c>
      <c r="H2102" s="2">
        <v>11.0</v>
      </c>
      <c r="I2102" s="2">
        <v>54.0</v>
      </c>
      <c r="J2102" s="37">
        <v>317.26</v>
      </c>
      <c r="K2102" s="2">
        <v>12.0</v>
      </c>
      <c r="L2102" s="2">
        <v>82.0</v>
      </c>
      <c r="M2102" s="37">
        <v>376.12</v>
      </c>
    </row>
    <row r="2103" ht="14.25" customHeight="1">
      <c r="A2103" t="s">
        <v>2163</v>
      </c>
      <c r="B2103" t="s">
        <v>2037</v>
      </c>
      <c r="C2103" t="s">
        <v>62</v>
      </c>
      <c r="D2103" t="s">
        <v>63</v>
      </c>
      <c r="E2103">
        <v>2.6</v>
      </c>
      <c r="F2103">
        <v>3.2</v>
      </c>
      <c r="G2103" s="2" t="s">
        <v>67</v>
      </c>
      <c r="H2103" s="2">
        <v>8.0</v>
      </c>
      <c r="I2103" s="2">
        <v>58.0</v>
      </c>
      <c r="J2103" s="37">
        <v>255.08</v>
      </c>
      <c r="K2103" s="2">
        <v>10.0</v>
      </c>
      <c r="L2103" s="2">
        <v>79.0</v>
      </c>
      <c r="M2103" s="37">
        <v>327.3</v>
      </c>
    </row>
    <row r="2104" ht="14.25" customHeight="1">
      <c r="A2104" t="s">
        <v>2164</v>
      </c>
      <c r="B2104" t="s">
        <v>2037</v>
      </c>
      <c r="C2104" t="s">
        <v>62</v>
      </c>
      <c r="D2104" t="s">
        <v>63</v>
      </c>
      <c r="E2104">
        <v>5.0</v>
      </c>
      <c r="F2104">
        <v>6.0</v>
      </c>
      <c r="G2104" s="2" t="s">
        <v>67</v>
      </c>
      <c r="H2104" s="2">
        <v>18.0</v>
      </c>
      <c r="I2104" s="2">
        <v>98.0</v>
      </c>
      <c r="J2104" s="37">
        <v>531.6800000000001</v>
      </c>
      <c r="K2104" s="2">
        <v>21.0</v>
      </c>
      <c r="L2104" s="2">
        <v>144.0</v>
      </c>
      <c r="M2104" s="37">
        <v>658.86</v>
      </c>
    </row>
    <row r="2105" ht="14.25" customHeight="1">
      <c r="A2105" t="s">
        <v>2165</v>
      </c>
      <c r="B2105" t="s">
        <v>2037</v>
      </c>
      <c r="C2105" t="s">
        <v>62</v>
      </c>
      <c r="D2105" t="s">
        <v>63</v>
      </c>
      <c r="E2105">
        <v>6.0</v>
      </c>
      <c r="F2105">
        <v>6.6</v>
      </c>
      <c r="G2105" s="2" t="s">
        <v>67</v>
      </c>
      <c r="H2105" s="2">
        <v>20.0</v>
      </c>
      <c r="I2105" s="2">
        <v>78.0</v>
      </c>
      <c r="J2105" s="37">
        <v>550.6</v>
      </c>
      <c r="K2105" s="2">
        <v>22.0</v>
      </c>
      <c r="L2105" s="2">
        <v>132.0</v>
      </c>
      <c r="M2105" s="37">
        <v>665.72</v>
      </c>
    </row>
    <row r="2106" ht="14.25" customHeight="1">
      <c r="A2106" t="s">
        <v>2166</v>
      </c>
      <c r="B2106" t="s">
        <v>2037</v>
      </c>
      <c r="C2106" t="s">
        <v>62</v>
      </c>
      <c r="D2106" t="s">
        <v>63</v>
      </c>
      <c r="E2106">
        <v>2.53</v>
      </c>
      <c r="F2106">
        <v>2.91</v>
      </c>
      <c r="G2106" s="2" t="s">
        <v>67</v>
      </c>
      <c r="H2106" s="2">
        <v>8.0</v>
      </c>
      <c r="I2106" s="2">
        <v>43.0</v>
      </c>
      <c r="J2106" s="37">
        <v>235.58</v>
      </c>
      <c r="K2106" s="2">
        <v>9.0</v>
      </c>
      <c r="L2106" s="2">
        <v>63.0</v>
      </c>
      <c r="M2106" s="37">
        <v>284.04</v>
      </c>
    </row>
    <row r="2107" ht="14.25" customHeight="1">
      <c r="A2107" t="s">
        <v>2167</v>
      </c>
      <c r="B2107" t="s">
        <v>2037</v>
      </c>
      <c r="C2107" t="s">
        <v>62</v>
      </c>
      <c r="D2107" t="s">
        <v>63</v>
      </c>
      <c r="E2107">
        <v>2.15</v>
      </c>
      <c r="F2107">
        <v>2.45</v>
      </c>
      <c r="G2107" s="2" t="s">
        <v>67</v>
      </c>
      <c r="H2107" s="2">
        <v>6.0</v>
      </c>
      <c r="I2107" s="2">
        <v>42.0</v>
      </c>
      <c r="J2107" s="37">
        <v>189.35999999999999</v>
      </c>
      <c r="K2107" s="2">
        <v>7.0</v>
      </c>
      <c r="L2107" s="2">
        <v>59.0</v>
      </c>
      <c r="M2107" s="37">
        <v>233.92000000000002</v>
      </c>
    </row>
    <row r="2108" ht="14.25" customHeight="1">
      <c r="A2108" t="s">
        <v>2168</v>
      </c>
      <c r="B2108" t="s">
        <v>2037</v>
      </c>
      <c r="C2108" t="s">
        <v>62</v>
      </c>
      <c r="D2108" t="s">
        <v>63</v>
      </c>
      <c r="E2108">
        <v>2.15</v>
      </c>
      <c r="F2108">
        <v>2.45</v>
      </c>
      <c r="G2108" s="2" t="s">
        <v>67</v>
      </c>
      <c r="H2108" s="2">
        <v>6.0</v>
      </c>
      <c r="I2108" s="2">
        <v>42.0</v>
      </c>
      <c r="J2108" s="37">
        <v>189.35999999999999</v>
      </c>
      <c r="K2108" s="2">
        <v>7.0</v>
      </c>
      <c r="L2108" s="2">
        <v>59.0</v>
      </c>
      <c r="M2108" s="37">
        <v>233.92000000000002</v>
      </c>
    </row>
    <row r="2109" ht="14.25" customHeight="1">
      <c r="A2109" t="s">
        <v>2169</v>
      </c>
      <c r="B2109" t="s">
        <v>2037</v>
      </c>
      <c r="C2109" t="s">
        <v>62</v>
      </c>
      <c r="D2109" t="s">
        <v>63</v>
      </c>
      <c r="E2109">
        <v>3.5</v>
      </c>
      <c r="F2109">
        <v>4.05</v>
      </c>
      <c r="G2109" s="2" t="s">
        <v>67</v>
      </c>
      <c r="H2109" s="2">
        <v>10.0</v>
      </c>
      <c r="I2109" s="2">
        <v>32.0</v>
      </c>
      <c r="J2109" s="37">
        <v>266.20000000000005</v>
      </c>
      <c r="K2109" s="2">
        <v>12.0</v>
      </c>
      <c r="L2109" s="2">
        <v>61.0</v>
      </c>
      <c r="M2109" s="37">
        <v>348.82</v>
      </c>
    </row>
    <row r="2110" ht="14.25" customHeight="1">
      <c r="A2110" t="s">
        <v>2170</v>
      </c>
      <c r="B2110" t="s">
        <v>2037</v>
      </c>
      <c r="C2110" t="s">
        <v>62</v>
      </c>
      <c r="D2110" t="s">
        <v>63</v>
      </c>
      <c r="E2110">
        <v>5.2</v>
      </c>
      <c r="F2110">
        <v>5.59</v>
      </c>
      <c r="G2110" s="2" t="s">
        <v>67</v>
      </c>
      <c r="H2110" s="2">
        <v>17.0</v>
      </c>
      <c r="I2110" s="2">
        <v>78.0</v>
      </c>
      <c r="J2110" s="37">
        <v>483.22</v>
      </c>
      <c r="K2110" s="2">
        <v>19.0</v>
      </c>
      <c r="L2110" s="2">
        <v>126.0</v>
      </c>
      <c r="M2110" s="37">
        <v>590.54</v>
      </c>
    </row>
    <row r="2111" ht="14.25" customHeight="1">
      <c r="A2111" t="s">
        <v>2171</v>
      </c>
      <c r="B2111" t="s">
        <v>2037</v>
      </c>
      <c r="C2111" t="s">
        <v>62</v>
      </c>
      <c r="D2111" t="s">
        <v>63</v>
      </c>
      <c r="E2111">
        <v>6.1</v>
      </c>
      <c r="F2111">
        <v>6.55</v>
      </c>
      <c r="G2111" s="2" t="s">
        <v>67</v>
      </c>
      <c r="H2111" s="2">
        <v>18.0</v>
      </c>
      <c r="I2111" s="2">
        <v>33.0</v>
      </c>
      <c r="J2111" s="37">
        <v>447.18</v>
      </c>
      <c r="K2111" s="2">
        <v>21.0</v>
      </c>
      <c r="L2111" s="2">
        <v>88.0</v>
      </c>
      <c r="M2111" s="37">
        <v>586.0600000000001</v>
      </c>
    </row>
    <row r="2112" ht="14.25" customHeight="1">
      <c r="A2112" t="s">
        <v>2172</v>
      </c>
      <c r="B2112" t="s">
        <v>2037</v>
      </c>
      <c r="C2112" t="s">
        <v>62</v>
      </c>
      <c r="D2112" t="s">
        <v>63</v>
      </c>
      <c r="E2112">
        <v>7.95</v>
      </c>
      <c r="F2112">
        <v>8.7</v>
      </c>
      <c r="G2112" s="2" t="s">
        <v>67</v>
      </c>
      <c r="H2112" s="2">
        <v>24.0</v>
      </c>
      <c r="I2112" s="2">
        <v>42.0</v>
      </c>
      <c r="J2112" s="37">
        <v>593.64</v>
      </c>
      <c r="K2112" s="2">
        <v>28.0</v>
      </c>
      <c r="L2112" s="2">
        <v>115.0</v>
      </c>
      <c r="M2112" s="37">
        <v>778.38</v>
      </c>
    </row>
    <row r="2113" ht="14.25" customHeight="1">
      <c r="A2113" t="s">
        <v>2173</v>
      </c>
      <c r="B2113" t="s">
        <v>2037</v>
      </c>
      <c r="C2113" t="s">
        <v>62</v>
      </c>
      <c r="D2113" t="s">
        <v>63</v>
      </c>
      <c r="E2113">
        <v>7.95</v>
      </c>
      <c r="F2113">
        <v>8.7</v>
      </c>
      <c r="G2113" s="2" t="s">
        <v>67</v>
      </c>
      <c r="H2113" s="2">
        <v>24.0</v>
      </c>
      <c r="I2113" s="2">
        <v>42.0</v>
      </c>
      <c r="J2113" s="37">
        <v>593.64</v>
      </c>
      <c r="K2113" s="2">
        <v>28.0</v>
      </c>
      <c r="L2113" s="2">
        <v>115.0</v>
      </c>
      <c r="M2113" s="37">
        <v>778.38</v>
      </c>
    </row>
    <row r="2114" ht="14.25" customHeight="1">
      <c r="A2114" t="s">
        <v>2174</v>
      </c>
      <c r="B2114" t="s">
        <v>2037</v>
      </c>
      <c r="C2114" t="s">
        <v>62</v>
      </c>
      <c r="D2114" t="s">
        <v>63</v>
      </c>
      <c r="E2114">
        <v>7.0</v>
      </c>
      <c r="F2114">
        <v>7.7</v>
      </c>
      <c r="G2114" s="2" t="s">
        <v>67</v>
      </c>
      <c r="H2114" s="2">
        <v>22.0</v>
      </c>
      <c r="I2114" s="2">
        <v>60.0</v>
      </c>
      <c r="J2114" s="37">
        <v>572.12</v>
      </c>
      <c r="K2114" s="2">
        <v>25.0</v>
      </c>
      <c r="L2114" s="2">
        <v>123.0</v>
      </c>
      <c r="M2114" s="37">
        <v>721.4</v>
      </c>
    </row>
    <row r="2115" ht="14.25" customHeight="1">
      <c r="A2115" t="s">
        <v>2175</v>
      </c>
      <c r="B2115" t="s">
        <v>2037</v>
      </c>
      <c r="C2115" t="s">
        <v>62</v>
      </c>
      <c r="D2115" t="s">
        <v>63</v>
      </c>
      <c r="E2115">
        <v>7.0</v>
      </c>
      <c r="F2115">
        <v>7.7</v>
      </c>
      <c r="G2115" s="2" t="s">
        <v>67</v>
      </c>
      <c r="H2115" s="2">
        <v>22.0</v>
      </c>
      <c r="I2115" s="2">
        <v>60.0</v>
      </c>
      <c r="J2115" s="37">
        <v>572.12</v>
      </c>
      <c r="K2115" s="2">
        <v>25.0</v>
      </c>
      <c r="L2115" s="2">
        <v>123.0</v>
      </c>
      <c r="M2115" s="37">
        <v>721.4</v>
      </c>
    </row>
    <row r="2116" ht="14.25" customHeight="1">
      <c r="A2116" t="s">
        <v>2176</v>
      </c>
      <c r="B2116" t="s">
        <v>2037</v>
      </c>
      <c r="C2116" t="s">
        <v>62</v>
      </c>
      <c r="D2116" t="s">
        <v>63</v>
      </c>
      <c r="E2116">
        <v>2.6</v>
      </c>
      <c r="F2116">
        <v>3.25</v>
      </c>
      <c r="G2116" s="2" t="s">
        <v>67</v>
      </c>
      <c r="H2116" s="2">
        <v>9.0</v>
      </c>
      <c r="I2116" s="2">
        <v>65.0</v>
      </c>
      <c r="J2116" s="37">
        <v>286.64</v>
      </c>
      <c r="K2116" s="2">
        <v>10.0</v>
      </c>
      <c r="L2116" s="2">
        <v>85.0</v>
      </c>
      <c r="M2116" s="37">
        <v>335.1</v>
      </c>
    </row>
    <row r="2117" ht="14.25" customHeight="1">
      <c r="A2117" t="s">
        <v>2177</v>
      </c>
      <c r="B2117" t="s">
        <v>2037</v>
      </c>
      <c r="C2117" t="s">
        <v>62</v>
      </c>
      <c r="D2117" t="s">
        <v>63</v>
      </c>
      <c r="E2117">
        <v>3.5</v>
      </c>
      <c r="F2117">
        <v>3.8</v>
      </c>
      <c r="G2117" s="2" t="s">
        <v>67</v>
      </c>
      <c r="H2117" s="2">
        <v>10.0</v>
      </c>
      <c r="I2117" s="2">
        <v>45.0</v>
      </c>
      <c r="J2117" s="37">
        <v>283.1</v>
      </c>
      <c r="K2117" s="2">
        <v>12.0</v>
      </c>
      <c r="L2117" s="2">
        <v>73.0</v>
      </c>
      <c r="M2117" s="37">
        <v>364.41999999999996</v>
      </c>
    </row>
    <row r="2118" ht="14.25" customHeight="1">
      <c r="A2118" t="s">
        <v>2178</v>
      </c>
      <c r="B2118" t="s">
        <v>2037</v>
      </c>
      <c r="C2118" t="s">
        <v>62</v>
      </c>
      <c r="D2118" t="s">
        <v>63</v>
      </c>
      <c r="E2118">
        <v>5.0</v>
      </c>
      <c r="F2118">
        <v>6.0</v>
      </c>
      <c r="G2118" s="2" t="s">
        <v>67</v>
      </c>
      <c r="H2118" s="2">
        <v>19.0</v>
      </c>
      <c r="I2118" s="2">
        <v>119.0</v>
      </c>
      <c r="J2118" s="37">
        <v>581.44</v>
      </c>
      <c r="K2118" s="2">
        <v>21.0</v>
      </c>
      <c r="L2118" s="2">
        <v>165.0</v>
      </c>
      <c r="M2118" s="37">
        <v>686.1600000000001</v>
      </c>
    </row>
    <row r="2119" ht="14.25" customHeight="1">
      <c r="A2119" t="s">
        <v>2179</v>
      </c>
      <c r="B2119" t="s">
        <v>2037</v>
      </c>
      <c r="C2119" t="s">
        <v>62</v>
      </c>
      <c r="D2119" t="s">
        <v>63</v>
      </c>
      <c r="E2119">
        <v>6.0</v>
      </c>
      <c r="F2119">
        <v>6.55</v>
      </c>
      <c r="G2119" s="2" t="s">
        <v>67</v>
      </c>
      <c r="H2119" s="2">
        <v>20.0</v>
      </c>
      <c r="I2119" s="2">
        <v>87.0</v>
      </c>
      <c r="J2119" s="37">
        <v>562.3000000000001</v>
      </c>
      <c r="K2119" s="2">
        <v>23.0</v>
      </c>
      <c r="L2119" s="2">
        <v>142.0</v>
      </c>
      <c r="M2119" s="37">
        <v>701.1800000000001</v>
      </c>
    </row>
    <row r="2120" ht="14.25" customHeight="1">
      <c r="A2120" t="s">
        <v>2180</v>
      </c>
      <c r="B2120" t="s">
        <v>2037</v>
      </c>
      <c r="C2120" t="s">
        <v>62</v>
      </c>
      <c r="D2120" t="s">
        <v>63</v>
      </c>
      <c r="E2120">
        <v>10.0</v>
      </c>
      <c r="F2120">
        <v>10.5</v>
      </c>
      <c r="G2120" s="2" t="s">
        <v>67</v>
      </c>
      <c r="H2120" s="2">
        <v>32.0</v>
      </c>
      <c r="I2120" s="2">
        <v>55.0</v>
      </c>
      <c r="J2120" s="37">
        <v>790.22</v>
      </c>
      <c r="K2120" s="2">
        <v>37.0</v>
      </c>
      <c r="L2120" s="2">
        <v>157.0</v>
      </c>
      <c r="M2120" s="37">
        <v>1035.12</v>
      </c>
    </row>
    <row r="2121" ht="14.25" customHeight="1">
      <c r="A2121" t="s">
        <v>2181</v>
      </c>
      <c r="B2121" t="s">
        <v>2037</v>
      </c>
      <c r="C2121" t="s">
        <v>62</v>
      </c>
      <c r="D2121" t="s">
        <v>63</v>
      </c>
      <c r="E2121">
        <v>12.9</v>
      </c>
      <c r="F2121">
        <v>13.3</v>
      </c>
      <c r="G2121" s="2" t="s">
        <v>67</v>
      </c>
      <c r="H2121" s="2">
        <v>42.0</v>
      </c>
      <c r="I2121" s="2">
        <v>133.0</v>
      </c>
      <c r="J2121" s="37">
        <v>1116.22</v>
      </c>
      <c r="K2121" s="2">
        <v>48.0</v>
      </c>
      <c r="L2121" s="2">
        <v>266.0</v>
      </c>
      <c r="M2121" s="37">
        <v>1423.8799999999999</v>
      </c>
    </row>
    <row r="2122" ht="14.25" customHeight="1">
      <c r="A2122" t="s">
        <v>2182</v>
      </c>
      <c r="B2122" t="s">
        <v>2037</v>
      </c>
      <c r="C2122" t="s">
        <v>62</v>
      </c>
      <c r="D2122" t="s">
        <v>63</v>
      </c>
      <c r="E2122">
        <v>14.1</v>
      </c>
      <c r="F2122">
        <v>14.5</v>
      </c>
      <c r="G2122" s="2" t="s">
        <v>67</v>
      </c>
      <c r="H2122" s="2">
        <v>45.0</v>
      </c>
      <c r="I2122" s="2">
        <v>79.0</v>
      </c>
      <c r="J2122" s="37">
        <v>1113.4</v>
      </c>
      <c r="K2122" s="2">
        <v>52.0</v>
      </c>
      <c r="L2122" s="2">
        <v>224.0</v>
      </c>
      <c r="M2122" s="37">
        <v>1459.1200000000001</v>
      </c>
    </row>
    <row r="2123" ht="14.25" customHeight="1">
      <c r="A2123" t="s">
        <v>2183</v>
      </c>
      <c r="B2123" t="s">
        <v>2024</v>
      </c>
      <c r="C2123" t="s">
        <v>75</v>
      </c>
      <c r="D2123" t="s">
        <v>63</v>
      </c>
      <c r="E2123">
        <v>20.5</v>
      </c>
      <c r="F2123">
        <v>23.0</v>
      </c>
      <c r="G2123" s="2" t="s">
        <v>64</v>
      </c>
      <c r="H2123" s="2">
        <v>0.0</v>
      </c>
      <c r="I2123" s="2">
        <v>0.0</v>
      </c>
      <c r="J2123" s="37">
        <v>0.0</v>
      </c>
      <c r="K2123" s="2">
        <v>0.0</v>
      </c>
      <c r="L2123" s="2">
        <v>0.0</v>
      </c>
      <c r="M2123" s="37">
        <v>0.0</v>
      </c>
    </row>
    <row r="2124" ht="14.25" customHeight="1">
      <c r="A2124" t="s">
        <v>2184</v>
      </c>
      <c r="B2124" t="s">
        <v>2024</v>
      </c>
      <c r="C2124" t="s">
        <v>75</v>
      </c>
      <c r="D2124" t="s">
        <v>63</v>
      </c>
      <c r="E2124">
        <v>22.0</v>
      </c>
      <c r="F2124">
        <v>24.5</v>
      </c>
      <c r="G2124" s="2" t="s">
        <v>64</v>
      </c>
      <c r="H2124" s="2">
        <v>0.0</v>
      </c>
      <c r="I2124" s="2">
        <v>0.0</v>
      </c>
      <c r="J2124" s="37">
        <v>0.0</v>
      </c>
      <c r="K2124" s="2">
        <v>0.0</v>
      </c>
      <c r="L2124" s="2">
        <v>0.0</v>
      </c>
      <c r="M2124" s="37">
        <v>0.0</v>
      </c>
    </row>
    <row r="2125" ht="14.25" customHeight="1">
      <c r="A2125" t="s">
        <v>2185</v>
      </c>
      <c r="B2125" t="s">
        <v>2024</v>
      </c>
      <c r="C2125" t="s">
        <v>75</v>
      </c>
      <c r="D2125" t="s">
        <v>63</v>
      </c>
      <c r="E2125">
        <v>20.5</v>
      </c>
      <c r="F2125">
        <v>23.0</v>
      </c>
      <c r="G2125" s="2" t="s">
        <v>64</v>
      </c>
      <c r="H2125" s="2">
        <v>0.0</v>
      </c>
      <c r="I2125" s="2">
        <v>0.0</v>
      </c>
      <c r="J2125" s="37">
        <v>0.0</v>
      </c>
      <c r="K2125" s="2">
        <v>0.0</v>
      </c>
      <c r="L2125" s="2">
        <v>0.0</v>
      </c>
      <c r="M2125" s="37">
        <v>0.0</v>
      </c>
    </row>
    <row r="2126" ht="14.25" customHeight="1">
      <c r="A2126" t="s">
        <v>2186</v>
      </c>
      <c r="B2126" t="s">
        <v>2024</v>
      </c>
      <c r="C2126" t="s">
        <v>75</v>
      </c>
      <c r="D2126" t="s">
        <v>63</v>
      </c>
      <c r="E2126">
        <v>22.0</v>
      </c>
      <c r="F2126">
        <v>24.5</v>
      </c>
      <c r="G2126" s="2" t="s">
        <v>64</v>
      </c>
      <c r="H2126" s="2">
        <v>0.0</v>
      </c>
      <c r="I2126" s="2">
        <v>0.0</v>
      </c>
      <c r="J2126" s="37">
        <v>0.0</v>
      </c>
      <c r="K2126" s="2">
        <v>0.0</v>
      </c>
      <c r="L2126" s="2">
        <v>0.0</v>
      </c>
      <c r="M2126" s="37">
        <v>0.0</v>
      </c>
    </row>
    <row r="2127" ht="14.25" customHeight="1">
      <c r="A2127" t="s">
        <v>2187</v>
      </c>
      <c r="B2127" t="s">
        <v>2188</v>
      </c>
      <c r="C2127" t="s">
        <v>62</v>
      </c>
      <c r="D2127" t="s">
        <v>63</v>
      </c>
      <c r="E2127">
        <v>3.5</v>
      </c>
      <c r="F2127">
        <v>4.5</v>
      </c>
      <c r="G2127" s="2" t="s">
        <v>64</v>
      </c>
      <c r="H2127" s="2">
        <v>0.0</v>
      </c>
      <c r="I2127" s="2">
        <v>0.0</v>
      </c>
      <c r="J2127" s="37">
        <v>0.0</v>
      </c>
      <c r="K2127" s="2">
        <v>0.0</v>
      </c>
      <c r="L2127" s="2">
        <v>0.0</v>
      </c>
      <c r="M2127" s="37">
        <v>0.0</v>
      </c>
    </row>
    <row r="2128" ht="14.25" customHeight="1">
      <c r="A2128" t="s">
        <v>2189</v>
      </c>
      <c r="B2128" t="s">
        <v>2188</v>
      </c>
      <c r="C2128" t="s">
        <v>62</v>
      </c>
      <c r="D2128" t="s">
        <v>63</v>
      </c>
      <c r="E2128">
        <v>2.64</v>
      </c>
      <c r="F2128">
        <v>4.05</v>
      </c>
      <c r="G2128" s="2" t="s">
        <v>64</v>
      </c>
      <c r="H2128" s="2">
        <v>0.0</v>
      </c>
      <c r="I2128" s="2">
        <v>0.0</v>
      </c>
      <c r="J2128" s="37">
        <v>0.0</v>
      </c>
      <c r="K2128" s="2">
        <v>0.0</v>
      </c>
      <c r="L2128" s="2">
        <v>0.0</v>
      </c>
      <c r="M2128" s="37">
        <v>0.0</v>
      </c>
    </row>
    <row r="2129" ht="14.25" customHeight="1">
      <c r="A2129" t="s">
        <v>2190</v>
      </c>
      <c r="B2129" t="s">
        <v>2191</v>
      </c>
      <c r="C2129" t="s">
        <v>62</v>
      </c>
      <c r="D2129" t="s">
        <v>63</v>
      </c>
      <c r="E2129">
        <v>4.995</v>
      </c>
      <c r="F2129">
        <v>5.8</v>
      </c>
      <c r="G2129" s="2" t="s">
        <v>64</v>
      </c>
      <c r="H2129" s="2">
        <v>0.0</v>
      </c>
      <c r="I2129" s="2">
        <v>0.0</v>
      </c>
      <c r="J2129" s="37">
        <v>0.0</v>
      </c>
      <c r="K2129" s="2">
        <v>0.0</v>
      </c>
      <c r="L2129" s="2">
        <v>0.0</v>
      </c>
      <c r="M2129" s="37">
        <v>0.0</v>
      </c>
    </row>
    <row r="2130" ht="14.25" customHeight="1">
      <c r="A2130" t="s">
        <v>2192</v>
      </c>
      <c r="B2130" t="s">
        <v>2193</v>
      </c>
      <c r="C2130" t="s">
        <v>62</v>
      </c>
      <c r="D2130" t="s">
        <v>63</v>
      </c>
      <c r="E2130">
        <v>6.036</v>
      </c>
      <c r="F2130">
        <v>6.8</v>
      </c>
      <c r="G2130" s="2" t="s">
        <v>64</v>
      </c>
      <c r="H2130" s="2">
        <v>0.0</v>
      </c>
      <c r="I2130" s="2">
        <v>0.0</v>
      </c>
      <c r="J2130" s="37">
        <v>0.0</v>
      </c>
      <c r="K2130" s="2">
        <v>0.0</v>
      </c>
      <c r="L2130" s="2">
        <v>0.0</v>
      </c>
      <c r="M2130" s="37">
        <v>0.0</v>
      </c>
    </row>
    <row r="2131" ht="14.25" customHeight="1">
      <c r="A2131" t="s">
        <v>2194</v>
      </c>
      <c r="B2131" t="s">
        <v>2193</v>
      </c>
      <c r="C2131" t="s">
        <v>62</v>
      </c>
      <c r="D2131" t="s">
        <v>63</v>
      </c>
      <c r="E2131">
        <v>6.114</v>
      </c>
      <c r="F2131">
        <v>6.8</v>
      </c>
      <c r="G2131" s="2" t="s">
        <v>64</v>
      </c>
      <c r="H2131" s="2">
        <v>0.0</v>
      </c>
      <c r="I2131" s="2">
        <v>0.0</v>
      </c>
      <c r="J2131" s="37">
        <v>0.0</v>
      </c>
      <c r="K2131" s="2">
        <v>0.0</v>
      </c>
      <c r="L2131" s="2">
        <v>0.0</v>
      </c>
      <c r="M2131" s="37">
        <v>0.0</v>
      </c>
    </row>
    <row r="2132" ht="14.25" customHeight="1">
      <c r="A2132" t="s">
        <v>2195</v>
      </c>
      <c r="B2132" t="s">
        <v>2193</v>
      </c>
      <c r="C2132" t="s">
        <v>62</v>
      </c>
      <c r="D2132" t="s">
        <v>63</v>
      </c>
      <c r="E2132">
        <v>2.5</v>
      </c>
      <c r="F2132">
        <v>3.2</v>
      </c>
      <c r="G2132" s="2" t="s">
        <v>67</v>
      </c>
      <c r="H2132" s="2">
        <v>7.0</v>
      </c>
      <c r="I2132" s="2">
        <v>51.0</v>
      </c>
      <c r="J2132" s="37">
        <v>223.51999999999998</v>
      </c>
      <c r="K2132" s="2">
        <v>8.0</v>
      </c>
      <c r="L2132" s="2">
        <v>71.0</v>
      </c>
      <c r="M2132" s="37">
        <v>271.98</v>
      </c>
    </row>
    <row r="2133" ht="14.25" customHeight="1">
      <c r="A2133" t="s">
        <v>2196</v>
      </c>
      <c r="B2133" t="s">
        <v>2193</v>
      </c>
      <c r="C2133" t="s">
        <v>62</v>
      </c>
      <c r="D2133" t="s">
        <v>63</v>
      </c>
      <c r="E2133">
        <v>2.5</v>
      </c>
      <c r="F2133">
        <v>3.2</v>
      </c>
      <c r="G2133" s="2" t="s">
        <v>67</v>
      </c>
      <c r="H2133" s="2">
        <v>7.0</v>
      </c>
      <c r="I2133" s="2">
        <v>51.0</v>
      </c>
      <c r="J2133" s="37">
        <v>223.51999999999998</v>
      </c>
      <c r="K2133" s="2">
        <v>8.0</v>
      </c>
      <c r="L2133" s="2">
        <v>71.0</v>
      </c>
      <c r="M2133" s="37">
        <v>271.98</v>
      </c>
    </row>
    <row r="2134" ht="14.25" customHeight="1">
      <c r="A2134" t="s">
        <v>2197</v>
      </c>
      <c r="B2134" t="s">
        <v>2193</v>
      </c>
      <c r="C2134" t="s">
        <v>62</v>
      </c>
      <c r="D2134" t="s">
        <v>63</v>
      </c>
      <c r="E2134">
        <v>3.5</v>
      </c>
      <c r="F2134">
        <v>4.0</v>
      </c>
      <c r="G2134" s="2" t="s">
        <v>64</v>
      </c>
      <c r="H2134" s="2">
        <v>0.0</v>
      </c>
      <c r="I2134" s="2">
        <v>0.0</v>
      </c>
      <c r="J2134" s="37">
        <v>0.0</v>
      </c>
      <c r="K2134" s="2">
        <v>0.0</v>
      </c>
      <c r="L2134" s="2">
        <v>0.0</v>
      </c>
      <c r="M2134" s="37">
        <v>0.0</v>
      </c>
    </row>
    <row r="2135" ht="14.25" customHeight="1">
      <c r="A2135" t="s">
        <v>2198</v>
      </c>
      <c r="B2135" t="s">
        <v>2193</v>
      </c>
      <c r="C2135" t="s">
        <v>62</v>
      </c>
      <c r="D2135" t="s">
        <v>63</v>
      </c>
      <c r="E2135">
        <v>5.0</v>
      </c>
      <c r="F2135">
        <v>6.0</v>
      </c>
      <c r="G2135" s="2" t="s">
        <v>67</v>
      </c>
      <c r="H2135" s="2">
        <v>12.0</v>
      </c>
      <c r="I2135" s="2">
        <v>51.0</v>
      </c>
      <c r="J2135" s="37">
        <v>335.82</v>
      </c>
      <c r="K2135" s="2">
        <v>14.0</v>
      </c>
      <c r="L2135" s="2">
        <v>96.0</v>
      </c>
      <c r="M2135" s="37">
        <v>439.24</v>
      </c>
    </row>
    <row r="2136" ht="14.25" customHeight="1">
      <c r="A2136" t="s">
        <v>2199</v>
      </c>
      <c r="B2136" t="s">
        <v>2193</v>
      </c>
      <c r="C2136" t="s">
        <v>62</v>
      </c>
      <c r="D2136" t="s">
        <v>63</v>
      </c>
      <c r="E2136">
        <v>5.0</v>
      </c>
      <c r="F2136">
        <v>6.0</v>
      </c>
      <c r="G2136" s="2" t="s">
        <v>67</v>
      </c>
      <c r="H2136" s="2">
        <v>12.0</v>
      </c>
      <c r="I2136" s="2">
        <v>51.0</v>
      </c>
      <c r="J2136" s="37">
        <v>335.82</v>
      </c>
      <c r="K2136" s="2">
        <v>14.0</v>
      </c>
      <c r="L2136" s="2">
        <v>96.0</v>
      </c>
      <c r="M2136" s="37">
        <v>439.24</v>
      </c>
    </row>
    <row r="2137" ht="14.25" customHeight="1">
      <c r="A2137" t="s">
        <v>2200</v>
      </c>
      <c r="B2137" t="s">
        <v>2191</v>
      </c>
      <c r="C2137" t="s">
        <v>62</v>
      </c>
      <c r="D2137" t="s">
        <v>63</v>
      </c>
      <c r="E2137">
        <v>3.5</v>
      </c>
      <c r="F2137">
        <v>4.0</v>
      </c>
      <c r="G2137" s="2" t="s">
        <v>64</v>
      </c>
      <c r="H2137" s="2">
        <v>0.0</v>
      </c>
      <c r="I2137" s="2">
        <v>0.0</v>
      </c>
      <c r="J2137" s="37">
        <v>0.0</v>
      </c>
      <c r="K2137" s="2">
        <v>0.0</v>
      </c>
      <c r="L2137" s="2">
        <v>0.0</v>
      </c>
      <c r="M2137" s="37">
        <v>0.0</v>
      </c>
    </row>
    <row r="2138" ht="14.25" customHeight="1">
      <c r="A2138" t="s">
        <v>2201</v>
      </c>
      <c r="B2138" t="s">
        <v>2191</v>
      </c>
      <c r="C2138" t="s">
        <v>62</v>
      </c>
      <c r="D2138" t="s">
        <v>63</v>
      </c>
      <c r="E2138">
        <v>4.2</v>
      </c>
      <c r="F2138">
        <v>5.0</v>
      </c>
      <c r="G2138" s="2" t="s">
        <v>64</v>
      </c>
      <c r="H2138" s="2">
        <v>0.0</v>
      </c>
      <c r="I2138" s="2">
        <v>0.0</v>
      </c>
      <c r="J2138" s="37">
        <v>0.0</v>
      </c>
      <c r="K2138" s="2">
        <v>0.0</v>
      </c>
      <c r="L2138" s="2">
        <v>0.0</v>
      </c>
      <c r="M2138" s="37">
        <v>0.0</v>
      </c>
    </row>
    <row r="2139" ht="14.25" customHeight="1">
      <c r="A2139" t="s">
        <v>2202</v>
      </c>
      <c r="B2139" t="s">
        <v>2191</v>
      </c>
      <c r="C2139" t="s">
        <v>62</v>
      </c>
      <c r="D2139" t="s">
        <v>63</v>
      </c>
      <c r="E2139">
        <v>4.8</v>
      </c>
      <c r="F2139">
        <v>5.8</v>
      </c>
      <c r="G2139" s="2" t="s">
        <v>64</v>
      </c>
      <c r="H2139" s="2">
        <v>0.0</v>
      </c>
      <c r="I2139" s="2">
        <v>0.0</v>
      </c>
      <c r="J2139" s="37">
        <v>0.0</v>
      </c>
      <c r="K2139" s="2">
        <v>0.0</v>
      </c>
      <c r="L2139" s="2">
        <v>0.0</v>
      </c>
      <c r="M2139" s="37">
        <v>0.0</v>
      </c>
    </row>
    <row r="2140" ht="14.25" customHeight="1">
      <c r="A2140" t="s">
        <v>2203</v>
      </c>
      <c r="B2140" t="s">
        <v>2193</v>
      </c>
      <c r="C2140" t="s">
        <v>62</v>
      </c>
      <c r="D2140" t="s">
        <v>63</v>
      </c>
      <c r="E2140">
        <v>3.5</v>
      </c>
      <c r="F2140">
        <v>4.0</v>
      </c>
      <c r="G2140" s="2" t="s">
        <v>64</v>
      </c>
      <c r="H2140" s="2">
        <v>0.0</v>
      </c>
      <c r="I2140" s="2">
        <v>0.0</v>
      </c>
      <c r="J2140" s="37">
        <v>0.0</v>
      </c>
      <c r="K2140" s="2">
        <v>0.0</v>
      </c>
      <c r="L2140" s="2">
        <v>0.0</v>
      </c>
      <c r="M2140" s="37">
        <v>0.0</v>
      </c>
    </row>
    <row r="2141" ht="14.25" customHeight="1">
      <c r="A2141" t="s">
        <v>2204</v>
      </c>
      <c r="B2141" t="s">
        <v>2191</v>
      </c>
      <c r="C2141" t="s">
        <v>62</v>
      </c>
      <c r="D2141" t="s">
        <v>63</v>
      </c>
      <c r="E2141">
        <v>3.5</v>
      </c>
      <c r="F2141">
        <v>4.0</v>
      </c>
      <c r="G2141" s="2" t="s">
        <v>64</v>
      </c>
      <c r="H2141" s="2">
        <v>0.0</v>
      </c>
      <c r="I2141" s="2">
        <v>0.0</v>
      </c>
      <c r="J2141" s="37">
        <v>0.0</v>
      </c>
      <c r="K2141" s="2">
        <v>0.0</v>
      </c>
      <c r="L2141" s="2">
        <v>0.0</v>
      </c>
      <c r="M2141" s="37">
        <v>0.0</v>
      </c>
    </row>
    <row r="2142" ht="14.25" customHeight="1">
      <c r="A2142" t="s">
        <v>2205</v>
      </c>
      <c r="B2142" t="s">
        <v>2191</v>
      </c>
      <c r="C2142" t="s">
        <v>62</v>
      </c>
      <c r="D2142" t="s">
        <v>63</v>
      </c>
      <c r="E2142">
        <v>5.0</v>
      </c>
      <c r="F2142">
        <v>5.8</v>
      </c>
      <c r="G2142" s="2" t="s">
        <v>64</v>
      </c>
      <c r="H2142" s="2">
        <v>0.0</v>
      </c>
      <c r="I2142" s="2">
        <v>0.0</v>
      </c>
      <c r="J2142" s="37">
        <v>0.0</v>
      </c>
      <c r="K2142" s="2">
        <v>0.0</v>
      </c>
      <c r="L2142" s="2">
        <v>0.0</v>
      </c>
      <c r="M2142" s="37">
        <v>0.0</v>
      </c>
    </row>
    <row r="2143" ht="14.25" customHeight="1">
      <c r="A2143" t="s">
        <v>2206</v>
      </c>
      <c r="B2143" t="s">
        <v>2191</v>
      </c>
      <c r="C2143" t="s">
        <v>62</v>
      </c>
      <c r="D2143" t="s">
        <v>63</v>
      </c>
      <c r="E2143">
        <v>5.0</v>
      </c>
      <c r="F2143">
        <v>5.8</v>
      </c>
      <c r="G2143" s="2" t="s">
        <v>64</v>
      </c>
      <c r="H2143" s="2">
        <v>0.0</v>
      </c>
      <c r="I2143" s="2">
        <v>0.0</v>
      </c>
      <c r="J2143" s="37">
        <v>0.0</v>
      </c>
      <c r="K2143" s="2">
        <v>0.0</v>
      </c>
      <c r="L2143" s="2">
        <v>0.0</v>
      </c>
      <c r="M2143" s="37">
        <v>0.0</v>
      </c>
    </row>
    <row r="2144" ht="14.25" customHeight="1">
      <c r="A2144" t="s">
        <v>2207</v>
      </c>
      <c r="B2144" t="s">
        <v>2191</v>
      </c>
      <c r="C2144" t="s">
        <v>62</v>
      </c>
      <c r="D2144" t="s">
        <v>63</v>
      </c>
      <c r="E2144">
        <v>2.5</v>
      </c>
      <c r="F2144">
        <v>3.2</v>
      </c>
      <c r="G2144" s="2" t="s">
        <v>67</v>
      </c>
      <c r="H2144" s="2">
        <v>6.0</v>
      </c>
      <c r="I2144" s="2">
        <v>39.0</v>
      </c>
      <c r="J2144" s="37">
        <v>185.45999999999998</v>
      </c>
      <c r="K2144" s="2">
        <v>7.0</v>
      </c>
      <c r="L2144" s="2">
        <v>59.0</v>
      </c>
      <c r="M2144" s="37">
        <v>233.92000000000002</v>
      </c>
    </row>
    <row r="2145" ht="14.25" customHeight="1">
      <c r="A2145" t="s">
        <v>2208</v>
      </c>
      <c r="B2145" t="s">
        <v>2191</v>
      </c>
      <c r="C2145" t="s">
        <v>62</v>
      </c>
      <c r="D2145" t="s">
        <v>63</v>
      </c>
      <c r="E2145">
        <v>2.5</v>
      </c>
      <c r="F2145">
        <v>3.2</v>
      </c>
      <c r="G2145" s="2" t="s">
        <v>67</v>
      </c>
      <c r="H2145" s="2">
        <v>6.0</v>
      </c>
      <c r="I2145" s="2">
        <v>39.0</v>
      </c>
      <c r="J2145" s="37">
        <v>185.45999999999998</v>
      </c>
      <c r="K2145" s="2">
        <v>7.0</v>
      </c>
      <c r="L2145" s="2">
        <v>59.0</v>
      </c>
      <c r="M2145" s="37">
        <v>233.92000000000002</v>
      </c>
    </row>
    <row r="2146" ht="14.25" customHeight="1">
      <c r="A2146" t="s">
        <v>2209</v>
      </c>
      <c r="B2146" t="s">
        <v>2191</v>
      </c>
      <c r="C2146" t="s">
        <v>62</v>
      </c>
      <c r="D2146" t="s">
        <v>63</v>
      </c>
      <c r="E2146">
        <v>4.2</v>
      </c>
      <c r="F2146">
        <v>5.4</v>
      </c>
      <c r="G2146" s="2" t="s">
        <v>64</v>
      </c>
      <c r="H2146" s="2">
        <v>0.0</v>
      </c>
      <c r="I2146" s="2">
        <v>0.0</v>
      </c>
      <c r="J2146" s="37">
        <v>0.0</v>
      </c>
      <c r="K2146" s="2">
        <v>0.0</v>
      </c>
      <c r="L2146" s="2">
        <v>0.0</v>
      </c>
      <c r="M2146" s="37">
        <v>0.0</v>
      </c>
    </row>
    <row r="2147" ht="14.25" customHeight="1">
      <c r="A2147" t="s">
        <v>2210</v>
      </c>
      <c r="B2147" t="s">
        <v>2191</v>
      </c>
      <c r="C2147" t="s">
        <v>62</v>
      </c>
      <c r="D2147" t="s">
        <v>63</v>
      </c>
      <c r="E2147">
        <v>4.2</v>
      </c>
      <c r="F2147">
        <v>5.4</v>
      </c>
      <c r="G2147" s="2" t="s">
        <v>64</v>
      </c>
      <c r="H2147" s="2">
        <v>0.0</v>
      </c>
      <c r="I2147" s="2">
        <v>0.0</v>
      </c>
      <c r="J2147" s="37">
        <v>0.0</v>
      </c>
      <c r="K2147" s="2">
        <v>0.0</v>
      </c>
      <c r="L2147" s="2">
        <v>0.0</v>
      </c>
      <c r="M2147" s="37">
        <v>0.0</v>
      </c>
    </row>
    <row r="2148" ht="14.25" customHeight="1">
      <c r="A2148" t="s">
        <v>2211</v>
      </c>
      <c r="B2148" t="s">
        <v>2191</v>
      </c>
      <c r="C2148" t="s">
        <v>62</v>
      </c>
      <c r="D2148" t="s">
        <v>63</v>
      </c>
      <c r="E2148">
        <v>2.538</v>
      </c>
      <c r="F2148">
        <v>3.4</v>
      </c>
      <c r="G2148" s="2" t="s">
        <v>67</v>
      </c>
      <c r="H2148" s="2">
        <v>6.0</v>
      </c>
      <c r="I2148" s="2">
        <v>45.0</v>
      </c>
      <c r="J2148" s="37">
        <v>193.26</v>
      </c>
      <c r="K2148" s="2">
        <v>7.0</v>
      </c>
      <c r="L2148" s="2">
        <v>65.0</v>
      </c>
      <c r="M2148" s="37">
        <v>241.72</v>
      </c>
    </row>
    <row r="2149" ht="14.25" customHeight="1">
      <c r="A2149" t="s">
        <v>2212</v>
      </c>
      <c r="B2149" t="s">
        <v>2193</v>
      </c>
      <c r="C2149" t="s">
        <v>62</v>
      </c>
      <c r="D2149" t="s">
        <v>63</v>
      </c>
      <c r="E2149">
        <v>2.5</v>
      </c>
      <c r="F2149">
        <v>3.2</v>
      </c>
      <c r="G2149" s="2" t="s">
        <v>67</v>
      </c>
      <c r="H2149" s="2">
        <v>6.0</v>
      </c>
      <c r="I2149" s="2">
        <v>57.0</v>
      </c>
      <c r="J2149" s="37">
        <v>208.86</v>
      </c>
      <c r="K2149" s="2">
        <v>8.0</v>
      </c>
      <c r="L2149" s="2">
        <v>77.0</v>
      </c>
      <c r="M2149" s="37">
        <v>279.78000000000003</v>
      </c>
    </row>
    <row r="2150" ht="14.25" customHeight="1">
      <c r="A2150" t="s">
        <v>2213</v>
      </c>
      <c r="B2150" t="s">
        <v>2193</v>
      </c>
      <c r="C2150" t="s">
        <v>62</v>
      </c>
      <c r="D2150" t="s">
        <v>63</v>
      </c>
      <c r="E2150">
        <v>3.5</v>
      </c>
      <c r="F2150">
        <v>3.7</v>
      </c>
      <c r="G2150" s="2" t="s">
        <v>64</v>
      </c>
      <c r="H2150" s="2">
        <v>0.0</v>
      </c>
      <c r="I2150" s="2">
        <v>0.0</v>
      </c>
      <c r="J2150" s="37">
        <v>0.0</v>
      </c>
      <c r="K2150" s="2">
        <v>0.0</v>
      </c>
      <c r="L2150" s="2">
        <v>0.0</v>
      </c>
      <c r="M2150" s="37">
        <v>0.0</v>
      </c>
    </row>
    <row r="2151" ht="14.25" customHeight="1">
      <c r="A2151" t="s">
        <v>2214</v>
      </c>
      <c r="B2151" t="s">
        <v>2193</v>
      </c>
      <c r="C2151" t="s">
        <v>62</v>
      </c>
      <c r="D2151" t="s">
        <v>63</v>
      </c>
      <c r="E2151">
        <v>4.2</v>
      </c>
      <c r="F2151">
        <v>5.4</v>
      </c>
      <c r="G2151" s="2" t="s">
        <v>64</v>
      </c>
      <c r="H2151" s="2">
        <v>0.0</v>
      </c>
      <c r="I2151" s="2">
        <v>0.0</v>
      </c>
      <c r="J2151" s="37">
        <v>0.0</v>
      </c>
      <c r="K2151" s="2">
        <v>0.0</v>
      </c>
      <c r="L2151" s="2">
        <v>0.0</v>
      </c>
      <c r="M2151" s="37">
        <v>0.0</v>
      </c>
    </row>
    <row r="2152" ht="14.25" customHeight="1">
      <c r="A2152" t="s">
        <v>2215</v>
      </c>
      <c r="B2152" t="s">
        <v>2193</v>
      </c>
      <c r="C2152" t="s">
        <v>62</v>
      </c>
      <c r="D2152" t="s">
        <v>63</v>
      </c>
      <c r="E2152">
        <v>4.8</v>
      </c>
      <c r="F2152">
        <v>5.8</v>
      </c>
      <c r="G2152" s="2" t="s">
        <v>67</v>
      </c>
      <c r="H2152" s="2">
        <v>13.0</v>
      </c>
      <c r="I2152" s="2">
        <v>95.0</v>
      </c>
      <c r="J2152" s="37">
        <v>415.48</v>
      </c>
      <c r="K2152" s="2">
        <v>15.0</v>
      </c>
      <c r="L2152" s="2">
        <v>138.0</v>
      </c>
      <c r="M2152" s="37">
        <v>516.3000000000001</v>
      </c>
    </row>
    <row r="2153" ht="14.25" customHeight="1">
      <c r="A2153" t="s">
        <v>2216</v>
      </c>
      <c r="B2153" t="s">
        <v>2193</v>
      </c>
      <c r="C2153" t="s">
        <v>62</v>
      </c>
      <c r="D2153" t="s">
        <v>63</v>
      </c>
      <c r="E2153">
        <v>6.0</v>
      </c>
      <c r="F2153">
        <v>6.8</v>
      </c>
      <c r="G2153" s="2" t="s">
        <v>67</v>
      </c>
      <c r="H2153" s="2">
        <v>14.0</v>
      </c>
      <c r="I2153" s="2">
        <v>81.0</v>
      </c>
      <c r="J2153" s="37">
        <v>419.74</v>
      </c>
      <c r="K2153" s="2">
        <v>17.0</v>
      </c>
      <c r="L2153" s="2">
        <v>135.0</v>
      </c>
      <c r="M2153" s="37">
        <v>557.3199999999999</v>
      </c>
    </row>
    <row r="2154" ht="14.25" customHeight="1">
      <c r="A2154" t="s">
        <v>2217</v>
      </c>
      <c r="B2154" t="s">
        <v>2193</v>
      </c>
      <c r="C2154" t="s">
        <v>62</v>
      </c>
      <c r="D2154" t="s">
        <v>63</v>
      </c>
      <c r="E2154">
        <v>7.1</v>
      </c>
      <c r="F2154">
        <v>8.0</v>
      </c>
      <c r="G2154" s="2" t="s">
        <v>67</v>
      </c>
      <c r="H2154" s="2">
        <v>15.0</v>
      </c>
      <c r="I2154" s="2">
        <v>57.0</v>
      </c>
      <c r="J2154" s="37">
        <v>411.00000000000006</v>
      </c>
      <c r="K2154" s="2">
        <v>18.0</v>
      </c>
      <c r="L2154" s="2">
        <v>122.0</v>
      </c>
      <c r="M2154" s="37">
        <v>562.88</v>
      </c>
    </row>
    <row r="2155" ht="14.25" customHeight="1">
      <c r="A2155" t="s">
        <v>2218</v>
      </c>
      <c r="B2155" t="s">
        <v>2193</v>
      </c>
      <c r="C2155" t="s">
        <v>62</v>
      </c>
      <c r="D2155" t="s">
        <v>63</v>
      </c>
      <c r="E2155">
        <v>7.8</v>
      </c>
      <c r="F2155">
        <v>9.0</v>
      </c>
      <c r="G2155" s="2" t="s">
        <v>64</v>
      </c>
      <c r="H2155" s="2">
        <v>0.0</v>
      </c>
      <c r="I2155" s="2">
        <v>0.0</v>
      </c>
      <c r="J2155" s="37">
        <v>0.0</v>
      </c>
      <c r="K2155" s="2">
        <v>0.0</v>
      </c>
      <c r="L2155" s="2">
        <v>0.0</v>
      </c>
      <c r="M2155" s="37">
        <v>0.0</v>
      </c>
    </row>
    <row r="2156" ht="14.25" customHeight="1">
      <c r="A2156" t="s">
        <v>2219</v>
      </c>
      <c r="B2156" t="s">
        <v>2193</v>
      </c>
      <c r="C2156" t="s">
        <v>62</v>
      </c>
      <c r="D2156" t="s">
        <v>63</v>
      </c>
      <c r="E2156">
        <v>9.0</v>
      </c>
      <c r="F2156">
        <v>10.3</v>
      </c>
      <c r="G2156" s="2" t="s">
        <v>67</v>
      </c>
      <c r="H2156" s="2">
        <v>27.0</v>
      </c>
      <c r="I2156" s="2">
        <v>4.0</v>
      </c>
      <c r="J2156" s="37">
        <v>611.6200000000001</v>
      </c>
      <c r="K2156" s="2">
        <v>32.0</v>
      </c>
      <c r="L2156" s="2">
        <v>86.0</v>
      </c>
      <c r="M2156" s="37">
        <v>830.52</v>
      </c>
    </row>
    <row r="2157" ht="14.25" customHeight="1">
      <c r="A2157" t="s">
        <v>2220</v>
      </c>
      <c r="B2157" t="s">
        <v>2193</v>
      </c>
      <c r="C2157" t="s">
        <v>62</v>
      </c>
      <c r="D2157" t="s">
        <v>63</v>
      </c>
      <c r="E2157">
        <v>2.5</v>
      </c>
      <c r="F2157">
        <v>3.1</v>
      </c>
      <c r="G2157" s="2" t="s">
        <v>64</v>
      </c>
      <c r="H2157" s="2">
        <v>0.0</v>
      </c>
      <c r="I2157" s="2">
        <v>0.0</v>
      </c>
      <c r="J2157" s="37">
        <v>0.0</v>
      </c>
      <c r="K2157" s="2">
        <v>0.0</v>
      </c>
      <c r="L2157" s="2">
        <v>0.0</v>
      </c>
      <c r="M2157" s="37">
        <v>0.0</v>
      </c>
    </row>
    <row r="2158" ht="14.25" customHeight="1">
      <c r="A2158" t="s">
        <v>2221</v>
      </c>
      <c r="B2158" t="s">
        <v>2193</v>
      </c>
      <c r="C2158" t="s">
        <v>62</v>
      </c>
      <c r="D2158" t="s">
        <v>63</v>
      </c>
      <c r="E2158">
        <v>3.5</v>
      </c>
      <c r="F2158">
        <v>3.7</v>
      </c>
      <c r="G2158" s="2" t="s">
        <v>64</v>
      </c>
      <c r="H2158" s="2">
        <v>0.0</v>
      </c>
      <c r="I2158" s="2">
        <v>0.0</v>
      </c>
      <c r="J2158" s="37">
        <v>0.0</v>
      </c>
      <c r="K2158" s="2">
        <v>0.0</v>
      </c>
      <c r="L2158" s="2">
        <v>0.0</v>
      </c>
      <c r="M2158" s="37">
        <v>0.0</v>
      </c>
    </row>
    <row r="2159" ht="14.25" customHeight="1">
      <c r="A2159" t="s">
        <v>2222</v>
      </c>
      <c r="B2159" t="s">
        <v>2193</v>
      </c>
      <c r="C2159" t="s">
        <v>62</v>
      </c>
      <c r="D2159" t="s">
        <v>63</v>
      </c>
      <c r="E2159">
        <v>5.0</v>
      </c>
      <c r="F2159">
        <v>5.5</v>
      </c>
      <c r="G2159" s="2" t="s">
        <v>64</v>
      </c>
      <c r="H2159" s="2">
        <v>0.0</v>
      </c>
      <c r="I2159" s="2">
        <v>0.0</v>
      </c>
      <c r="J2159" s="37">
        <v>0.0</v>
      </c>
      <c r="K2159" s="2">
        <v>0.0</v>
      </c>
      <c r="L2159" s="2">
        <v>0.0</v>
      </c>
      <c r="M2159" s="37">
        <v>0.0</v>
      </c>
    </row>
    <row r="2160" ht="14.25" customHeight="1">
      <c r="A2160" t="s">
        <v>2223</v>
      </c>
      <c r="B2160" t="s">
        <v>2193</v>
      </c>
      <c r="C2160" t="s">
        <v>62</v>
      </c>
      <c r="D2160" t="s">
        <v>63</v>
      </c>
      <c r="E2160">
        <v>6.0</v>
      </c>
      <c r="F2160">
        <v>6.6</v>
      </c>
      <c r="G2160" s="2" t="s">
        <v>67</v>
      </c>
      <c r="H2160" s="2">
        <v>18.0</v>
      </c>
      <c r="I2160" s="2">
        <v>60.0</v>
      </c>
      <c r="J2160" s="37">
        <v>482.28000000000003</v>
      </c>
      <c r="K2160" s="2">
        <v>21.0</v>
      </c>
      <c r="L2160" s="2">
        <v>114.0</v>
      </c>
      <c r="M2160" s="37">
        <v>619.86</v>
      </c>
    </row>
    <row r="2161" ht="14.25" customHeight="1">
      <c r="A2161" t="s">
        <v>2224</v>
      </c>
      <c r="B2161" t="s">
        <v>2193</v>
      </c>
      <c r="C2161" t="s">
        <v>62</v>
      </c>
      <c r="D2161" t="s">
        <v>63</v>
      </c>
      <c r="E2161">
        <v>7.1</v>
      </c>
      <c r="F2161">
        <v>8.0</v>
      </c>
      <c r="G2161" s="2" t="s">
        <v>64</v>
      </c>
      <c r="H2161" s="2">
        <v>0.0</v>
      </c>
      <c r="I2161" s="2">
        <v>0.0</v>
      </c>
      <c r="J2161" s="37">
        <v>0.0</v>
      </c>
      <c r="K2161" s="2">
        <v>0.0</v>
      </c>
      <c r="L2161" s="2">
        <v>0.0</v>
      </c>
      <c r="M2161" s="37">
        <v>0.0</v>
      </c>
    </row>
    <row r="2162" ht="14.25" customHeight="1">
      <c r="A2162" t="s">
        <v>2225</v>
      </c>
      <c r="B2162" t="s">
        <v>2193</v>
      </c>
      <c r="C2162" t="s">
        <v>62</v>
      </c>
      <c r="D2162" t="s">
        <v>63</v>
      </c>
      <c r="E2162">
        <v>7.8</v>
      </c>
      <c r="F2162">
        <v>9.0</v>
      </c>
      <c r="G2162" s="2" t="s">
        <v>64</v>
      </c>
      <c r="H2162" s="2">
        <v>0.0</v>
      </c>
      <c r="I2162" s="2">
        <v>0.0</v>
      </c>
      <c r="J2162" s="37">
        <v>0.0</v>
      </c>
      <c r="K2162" s="2">
        <v>0.0</v>
      </c>
      <c r="L2162" s="2">
        <v>0.0</v>
      </c>
      <c r="M2162" s="37">
        <v>0.0</v>
      </c>
    </row>
    <row r="2163" ht="14.25" customHeight="1">
      <c r="A2163" t="s">
        <v>2226</v>
      </c>
      <c r="B2163" t="s">
        <v>2193</v>
      </c>
      <c r="C2163" t="s">
        <v>75</v>
      </c>
      <c r="D2163" t="s">
        <v>63</v>
      </c>
      <c r="E2163">
        <v>14.0</v>
      </c>
      <c r="F2163">
        <v>16.0</v>
      </c>
      <c r="G2163" s="2" t="s">
        <v>64</v>
      </c>
      <c r="H2163" s="2">
        <v>0.0</v>
      </c>
      <c r="I2163" s="2">
        <v>0.0</v>
      </c>
      <c r="J2163" s="37">
        <v>0.0</v>
      </c>
      <c r="K2163" s="2">
        <v>0.0</v>
      </c>
      <c r="L2163" s="2">
        <v>0.0</v>
      </c>
      <c r="M2163" s="37">
        <v>0.0</v>
      </c>
    </row>
    <row r="2164" ht="14.25" customHeight="1">
      <c r="A2164" t="s">
        <v>2227</v>
      </c>
      <c r="B2164" t="s">
        <v>2193</v>
      </c>
      <c r="C2164" t="s">
        <v>75</v>
      </c>
      <c r="D2164" t="s">
        <v>63</v>
      </c>
      <c r="E2164">
        <v>10.0</v>
      </c>
      <c r="F2164">
        <v>12.5</v>
      </c>
      <c r="G2164" s="2" t="s">
        <v>64</v>
      </c>
      <c r="H2164" s="2">
        <v>0.0</v>
      </c>
      <c r="I2164" s="2">
        <v>0.0</v>
      </c>
      <c r="J2164" s="37">
        <v>0.0</v>
      </c>
      <c r="K2164" s="2">
        <v>0.0</v>
      </c>
      <c r="L2164" s="2">
        <v>0.0</v>
      </c>
      <c r="M2164" s="37">
        <v>0.0</v>
      </c>
    </row>
    <row r="2165" ht="14.25" customHeight="1">
      <c r="A2165" t="s">
        <v>2228</v>
      </c>
      <c r="B2165" t="s">
        <v>2193</v>
      </c>
      <c r="C2165" t="s">
        <v>75</v>
      </c>
      <c r="D2165" t="s">
        <v>63</v>
      </c>
      <c r="E2165">
        <v>12.0</v>
      </c>
      <c r="F2165">
        <v>14.0</v>
      </c>
      <c r="G2165" s="2" t="s">
        <v>64</v>
      </c>
      <c r="H2165" s="2">
        <v>0.0</v>
      </c>
      <c r="I2165" s="2">
        <v>0.0</v>
      </c>
      <c r="J2165" s="37">
        <v>0.0</v>
      </c>
      <c r="K2165" s="2">
        <v>0.0</v>
      </c>
      <c r="L2165" s="2">
        <v>0.0</v>
      </c>
      <c r="M2165" s="37">
        <v>0.0</v>
      </c>
    </row>
    <row r="2166" ht="14.25" customHeight="1">
      <c r="A2166" t="s">
        <v>2229</v>
      </c>
      <c r="B2166" t="s">
        <v>2193</v>
      </c>
      <c r="C2166" t="s">
        <v>75</v>
      </c>
      <c r="D2166" t="s">
        <v>63</v>
      </c>
      <c r="E2166">
        <v>12.0</v>
      </c>
      <c r="F2166">
        <v>14.0</v>
      </c>
      <c r="G2166" s="2" t="s">
        <v>64</v>
      </c>
      <c r="H2166" s="2">
        <v>0.0</v>
      </c>
      <c r="I2166" s="2">
        <v>0.0</v>
      </c>
      <c r="J2166" s="37">
        <v>0.0</v>
      </c>
      <c r="K2166" s="2">
        <v>0.0</v>
      </c>
      <c r="L2166" s="2">
        <v>0.0</v>
      </c>
      <c r="M2166" s="37">
        <v>0.0</v>
      </c>
    </row>
    <row r="2167" ht="14.25" customHeight="1">
      <c r="A2167" t="s">
        <v>2230</v>
      </c>
      <c r="B2167" t="s">
        <v>2193</v>
      </c>
      <c r="C2167" t="s">
        <v>75</v>
      </c>
      <c r="D2167" t="s">
        <v>63</v>
      </c>
      <c r="E2167">
        <v>12.0</v>
      </c>
      <c r="F2167">
        <v>14.0</v>
      </c>
      <c r="G2167" s="2" t="s">
        <v>64</v>
      </c>
      <c r="H2167" s="2">
        <v>0.0</v>
      </c>
      <c r="I2167" s="2">
        <v>0.0</v>
      </c>
      <c r="J2167" s="37">
        <v>0.0</v>
      </c>
      <c r="K2167" s="2">
        <v>0.0</v>
      </c>
      <c r="L2167" s="2">
        <v>0.0</v>
      </c>
      <c r="M2167" s="37">
        <v>0.0</v>
      </c>
    </row>
    <row r="2168" ht="14.25" customHeight="1">
      <c r="A2168" t="s">
        <v>2231</v>
      </c>
      <c r="B2168" t="s">
        <v>2193</v>
      </c>
      <c r="C2168" t="s">
        <v>75</v>
      </c>
      <c r="D2168" t="s">
        <v>63</v>
      </c>
      <c r="E2168">
        <v>14.0</v>
      </c>
      <c r="F2168">
        <v>16.0</v>
      </c>
      <c r="G2168" s="2" t="s">
        <v>64</v>
      </c>
      <c r="H2168" s="2">
        <v>0.0</v>
      </c>
      <c r="I2168" s="2">
        <v>0.0</v>
      </c>
      <c r="J2168" s="37">
        <v>0.0</v>
      </c>
      <c r="K2168" s="2">
        <v>0.0</v>
      </c>
      <c r="L2168" s="2">
        <v>0.0</v>
      </c>
      <c r="M2168" s="37">
        <v>0.0</v>
      </c>
    </row>
    <row r="2169" ht="14.25" customHeight="1">
      <c r="A2169" t="s">
        <v>2232</v>
      </c>
      <c r="B2169" t="s">
        <v>2193</v>
      </c>
      <c r="C2169" t="s">
        <v>75</v>
      </c>
      <c r="D2169" t="s">
        <v>63</v>
      </c>
      <c r="E2169">
        <v>14.0</v>
      </c>
      <c r="F2169">
        <v>16.0</v>
      </c>
      <c r="G2169" s="2" t="s">
        <v>64</v>
      </c>
      <c r="H2169" s="2">
        <v>0.0</v>
      </c>
      <c r="I2169" s="2">
        <v>0.0</v>
      </c>
      <c r="J2169" s="37">
        <v>0.0</v>
      </c>
      <c r="K2169" s="2">
        <v>0.0</v>
      </c>
      <c r="L2169" s="2">
        <v>0.0</v>
      </c>
      <c r="M2169" s="37">
        <v>0.0</v>
      </c>
    </row>
    <row r="2170" ht="14.25" customHeight="1">
      <c r="A2170" t="s">
        <v>2233</v>
      </c>
      <c r="B2170" t="s">
        <v>2193</v>
      </c>
      <c r="C2170" t="s">
        <v>75</v>
      </c>
      <c r="D2170" t="s">
        <v>63</v>
      </c>
      <c r="E2170">
        <v>14.0</v>
      </c>
      <c r="F2170">
        <v>16.0</v>
      </c>
      <c r="G2170" s="2" t="s">
        <v>64</v>
      </c>
      <c r="H2170" s="2">
        <v>0.0</v>
      </c>
      <c r="I2170" s="2">
        <v>0.0</v>
      </c>
      <c r="J2170" s="37">
        <v>0.0</v>
      </c>
      <c r="K2170" s="2">
        <v>0.0</v>
      </c>
      <c r="L2170" s="2">
        <v>0.0</v>
      </c>
      <c r="M2170" s="37">
        <v>0.0</v>
      </c>
    </row>
    <row r="2171" ht="14.25" customHeight="1">
      <c r="A2171" t="s">
        <v>2234</v>
      </c>
      <c r="B2171" t="s">
        <v>2193</v>
      </c>
      <c r="C2171" t="s">
        <v>75</v>
      </c>
      <c r="D2171" t="s">
        <v>63</v>
      </c>
      <c r="E2171">
        <v>14.0</v>
      </c>
      <c r="F2171">
        <v>16.0</v>
      </c>
      <c r="G2171" s="2" t="s">
        <v>64</v>
      </c>
      <c r="H2171" s="2">
        <v>0.0</v>
      </c>
      <c r="I2171" s="2">
        <v>0.0</v>
      </c>
      <c r="J2171" s="37">
        <v>0.0</v>
      </c>
      <c r="K2171" s="2">
        <v>0.0</v>
      </c>
      <c r="L2171" s="2">
        <v>0.0</v>
      </c>
      <c r="M2171" s="37">
        <v>0.0</v>
      </c>
    </row>
    <row r="2172" ht="14.25" customHeight="1">
      <c r="A2172" t="s">
        <v>2235</v>
      </c>
      <c r="B2172" t="s">
        <v>2193</v>
      </c>
      <c r="C2172" t="s">
        <v>75</v>
      </c>
      <c r="D2172" t="s">
        <v>63</v>
      </c>
      <c r="E2172">
        <v>14.0</v>
      </c>
      <c r="F2172">
        <v>16.0</v>
      </c>
      <c r="G2172" s="2" t="s">
        <v>64</v>
      </c>
      <c r="H2172" s="2">
        <v>0.0</v>
      </c>
      <c r="I2172" s="2">
        <v>0.0</v>
      </c>
      <c r="J2172" s="37">
        <v>0.0</v>
      </c>
      <c r="K2172" s="2">
        <v>0.0</v>
      </c>
      <c r="L2172" s="2">
        <v>0.0</v>
      </c>
      <c r="M2172" s="37">
        <v>0.0</v>
      </c>
    </row>
    <row r="2173" ht="14.25" customHeight="1">
      <c r="A2173" t="s">
        <v>2236</v>
      </c>
      <c r="B2173" t="s">
        <v>2193</v>
      </c>
      <c r="C2173" t="s">
        <v>75</v>
      </c>
      <c r="D2173" t="s">
        <v>63</v>
      </c>
      <c r="E2173">
        <v>10.0</v>
      </c>
      <c r="F2173">
        <v>12.5</v>
      </c>
      <c r="G2173" s="2" t="s">
        <v>64</v>
      </c>
      <c r="H2173" s="2">
        <v>0.0</v>
      </c>
      <c r="I2173" s="2">
        <v>0.0</v>
      </c>
      <c r="J2173" s="37">
        <v>0.0</v>
      </c>
      <c r="K2173" s="2">
        <v>0.0</v>
      </c>
      <c r="L2173" s="2">
        <v>0.0</v>
      </c>
      <c r="M2173" s="37">
        <v>0.0</v>
      </c>
    </row>
    <row r="2174" ht="14.25" customHeight="1">
      <c r="A2174" t="s">
        <v>2237</v>
      </c>
      <c r="B2174" t="s">
        <v>2193</v>
      </c>
      <c r="C2174" t="s">
        <v>75</v>
      </c>
      <c r="D2174" t="s">
        <v>63</v>
      </c>
      <c r="E2174">
        <v>12.0</v>
      </c>
      <c r="F2174">
        <v>14.0</v>
      </c>
      <c r="G2174" s="2" t="s">
        <v>64</v>
      </c>
      <c r="H2174" s="2">
        <v>0.0</v>
      </c>
      <c r="I2174" s="2">
        <v>0.0</v>
      </c>
      <c r="J2174" s="37">
        <v>0.0</v>
      </c>
      <c r="K2174" s="2">
        <v>0.0</v>
      </c>
      <c r="L2174" s="2">
        <v>0.0</v>
      </c>
      <c r="M2174" s="37">
        <v>0.0</v>
      </c>
    </row>
    <row r="2175" ht="14.25" customHeight="1">
      <c r="A2175" t="s">
        <v>2238</v>
      </c>
      <c r="B2175" t="s">
        <v>2193</v>
      </c>
      <c r="C2175" t="s">
        <v>75</v>
      </c>
      <c r="D2175" t="s">
        <v>63</v>
      </c>
      <c r="E2175">
        <v>14.0</v>
      </c>
      <c r="F2175">
        <v>16.0</v>
      </c>
      <c r="G2175" s="2" t="s">
        <v>64</v>
      </c>
      <c r="H2175" s="2">
        <v>0.0</v>
      </c>
      <c r="I2175" s="2">
        <v>0.0</v>
      </c>
      <c r="J2175" s="37">
        <v>0.0</v>
      </c>
      <c r="K2175" s="2">
        <v>0.0</v>
      </c>
      <c r="L2175" s="2">
        <v>0.0</v>
      </c>
      <c r="M2175" s="37">
        <v>0.0</v>
      </c>
    </row>
    <row r="2176" ht="14.25" customHeight="1">
      <c r="A2176" t="s">
        <v>2239</v>
      </c>
      <c r="B2176" t="s">
        <v>2193</v>
      </c>
      <c r="C2176" t="s">
        <v>62</v>
      </c>
      <c r="D2176" t="s">
        <v>63</v>
      </c>
      <c r="E2176">
        <v>2.5</v>
      </c>
      <c r="F2176">
        <v>3.0</v>
      </c>
      <c r="G2176" s="2" t="s">
        <v>64</v>
      </c>
      <c r="H2176" s="2">
        <v>0.0</v>
      </c>
      <c r="I2176" s="2">
        <v>0.0</v>
      </c>
      <c r="J2176" s="37">
        <v>0.0</v>
      </c>
      <c r="K2176" s="2">
        <v>0.0</v>
      </c>
      <c r="L2176" s="2">
        <v>0.0</v>
      </c>
      <c r="M2176" s="37">
        <v>0.0</v>
      </c>
    </row>
    <row r="2177" ht="14.25" customHeight="1">
      <c r="A2177" t="s">
        <v>2240</v>
      </c>
      <c r="B2177" t="s">
        <v>2193</v>
      </c>
      <c r="C2177" t="s">
        <v>62</v>
      </c>
      <c r="D2177" t="s">
        <v>63</v>
      </c>
      <c r="E2177">
        <v>5.6</v>
      </c>
      <c r="F2177">
        <v>6.0</v>
      </c>
      <c r="G2177" s="2" t="s">
        <v>64</v>
      </c>
      <c r="H2177" s="2">
        <v>0.0</v>
      </c>
      <c r="I2177" s="2">
        <v>0.0</v>
      </c>
      <c r="J2177" s="37">
        <v>0.0</v>
      </c>
      <c r="K2177" s="2">
        <v>0.0</v>
      </c>
      <c r="L2177" s="2">
        <v>0.0</v>
      </c>
      <c r="M2177" s="37">
        <v>0.0</v>
      </c>
    </row>
    <row r="2178" ht="14.25" customHeight="1">
      <c r="A2178" t="s">
        <v>2241</v>
      </c>
      <c r="B2178" t="s">
        <v>2193</v>
      </c>
      <c r="C2178" t="s">
        <v>75</v>
      </c>
      <c r="D2178" t="s">
        <v>63</v>
      </c>
      <c r="E2178">
        <v>2.5</v>
      </c>
      <c r="F2178">
        <v>3.0</v>
      </c>
      <c r="G2178" s="2" t="s">
        <v>64</v>
      </c>
      <c r="H2178" s="2">
        <v>0.0</v>
      </c>
      <c r="I2178" s="2">
        <v>0.0</v>
      </c>
      <c r="J2178" s="37">
        <v>0.0</v>
      </c>
      <c r="K2178" s="2">
        <v>0.0</v>
      </c>
      <c r="L2178" s="2">
        <v>0.0</v>
      </c>
      <c r="M2178" s="37">
        <v>0.0</v>
      </c>
    </row>
    <row r="2179" ht="14.25" customHeight="1">
      <c r="A2179" t="s">
        <v>2242</v>
      </c>
      <c r="B2179" t="s">
        <v>2193</v>
      </c>
      <c r="C2179" t="s">
        <v>75</v>
      </c>
      <c r="D2179" t="s">
        <v>63</v>
      </c>
      <c r="E2179">
        <v>2.5</v>
      </c>
      <c r="F2179">
        <v>3.0</v>
      </c>
      <c r="G2179" s="2" t="s">
        <v>64</v>
      </c>
      <c r="H2179" s="2">
        <v>0.0</v>
      </c>
      <c r="I2179" s="2">
        <v>0.0</v>
      </c>
      <c r="J2179" s="37">
        <v>0.0</v>
      </c>
      <c r="K2179" s="2">
        <v>0.0</v>
      </c>
      <c r="L2179" s="2">
        <v>0.0</v>
      </c>
      <c r="M2179" s="37">
        <v>0.0</v>
      </c>
    </row>
    <row r="2180" ht="14.25" customHeight="1">
      <c r="A2180" t="s">
        <v>2243</v>
      </c>
      <c r="B2180" t="s">
        <v>2193</v>
      </c>
      <c r="C2180" t="s">
        <v>75</v>
      </c>
      <c r="D2180" t="s">
        <v>63</v>
      </c>
      <c r="E2180">
        <v>2.5</v>
      </c>
      <c r="F2180">
        <v>3.0</v>
      </c>
      <c r="G2180" s="2" t="s">
        <v>64</v>
      </c>
      <c r="H2180" s="2">
        <v>0.0</v>
      </c>
      <c r="I2180" s="2">
        <v>0.0</v>
      </c>
      <c r="J2180" s="37">
        <v>0.0</v>
      </c>
      <c r="K2180" s="2">
        <v>0.0</v>
      </c>
      <c r="L2180" s="2">
        <v>0.0</v>
      </c>
      <c r="M2180" s="37">
        <v>0.0</v>
      </c>
    </row>
    <row r="2181" ht="14.25" customHeight="1">
      <c r="A2181" t="s">
        <v>2244</v>
      </c>
      <c r="B2181" t="s">
        <v>2193</v>
      </c>
      <c r="C2181" t="s">
        <v>75</v>
      </c>
      <c r="D2181" t="s">
        <v>63</v>
      </c>
      <c r="E2181">
        <v>3.5</v>
      </c>
      <c r="F2181">
        <v>4.0</v>
      </c>
      <c r="G2181" s="2" t="s">
        <v>67</v>
      </c>
      <c r="H2181" s="2">
        <v>11.0</v>
      </c>
      <c r="I2181" s="2">
        <v>35.0</v>
      </c>
      <c r="J2181" s="37">
        <v>292.56</v>
      </c>
      <c r="K2181" s="2">
        <v>13.0</v>
      </c>
      <c r="L2181" s="2">
        <v>71.0</v>
      </c>
      <c r="M2181" s="37">
        <v>384.28000000000003</v>
      </c>
    </row>
    <row r="2182" ht="14.25" customHeight="1">
      <c r="A2182" t="s">
        <v>2245</v>
      </c>
      <c r="B2182" t="s">
        <v>2193</v>
      </c>
      <c r="C2182" t="s">
        <v>75</v>
      </c>
      <c r="D2182" t="s">
        <v>63</v>
      </c>
      <c r="E2182">
        <v>3.5</v>
      </c>
      <c r="F2182">
        <v>4.0</v>
      </c>
      <c r="G2182" s="2" t="s">
        <v>67</v>
      </c>
      <c r="H2182" s="2">
        <v>11.0</v>
      </c>
      <c r="I2182" s="2">
        <v>35.0</v>
      </c>
      <c r="J2182" s="37">
        <v>292.56</v>
      </c>
      <c r="K2182" s="2">
        <v>13.0</v>
      </c>
      <c r="L2182" s="2">
        <v>71.0</v>
      </c>
      <c r="M2182" s="37">
        <v>384.28000000000003</v>
      </c>
    </row>
    <row r="2183" ht="14.25" customHeight="1">
      <c r="A2183" t="s">
        <v>2246</v>
      </c>
      <c r="B2183" t="s">
        <v>2193</v>
      </c>
      <c r="C2183" t="s">
        <v>75</v>
      </c>
      <c r="D2183" t="s">
        <v>63</v>
      </c>
      <c r="E2183">
        <v>3.5</v>
      </c>
      <c r="F2183">
        <v>4.0</v>
      </c>
      <c r="G2183" s="2" t="s">
        <v>67</v>
      </c>
      <c r="H2183" s="2">
        <v>11.0</v>
      </c>
      <c r="I2183" s="2">
        <v>35.0</v>
      </c>
      <c r="J2183" s="37">
        <v>292.56</v>
      </c>
      <c r="K2183" s="2">
        <v>13.0</v>
      </c>
      <c r="L2183" s="2">
        <v>71.0</v>
      </c>
      <c r="M2183" s="37">
        <v>384.28000000000003</v>
      </c>
    </row>
    <row r="2184" ht="14.25" customHeight="1">
      <c r="A2184" t="s">
        <v>2247</v>
      </c>
      <c r="B2184" t="s">
        <v>2193</v>
      </c>
      <c r="C2184" t="s">
        <v>75</v>
      </c>
      <c r="D2184" t="s">
        <v>63</v>
      </c>
      <c r="E2184">
        <v>5.0</v>
      </c>
      <c r="F2184">
        <v>6.0</v>
      </c>
      <c r="G2184" s="2" t="s">
        <v>67</v>
      </c>
      <c r="H2184" s="2">
        <v>16.0</v>
      </c>
      <c r="I2184" s="2">
        <v>63.0</v>
      </c>
      <c r="J2184" s="37">
        <v>441.26</v>
      </c>
      <c r="K2184" s="2">
        <v>19.0</v>
      </c>
      <c r="L2184" s="2">
        <v>114.0</v>
      </c>
      <c r="M2184" s="37">
        <v>574.94</v>
      </c>
    </row>
    <row r="2185" ht="14.25" customHeight="1">
      <c r="A2185" t="s">
        <v>2248</v>
      </c>
      <c r="B2185" t="s">
        <v>2193</v>
      </c>
      <c r="C2185" t="s">
        <v>75</v>
      </c>
      <c r="D2185" t="s">
        <v>63</v>
      </c>
      <c r="E2185">
        <v>5.0</v>
      </c>
      <c r="F2185">
        <v>6.0</v>
      </c>
      <c r="G2185" s="2" t="s">
        <v>67</v>
      </c>
      <c r="H2185" s="2">
        <v>16.0</v>
      </c>
      <c r="I2185" s="2">
        <v>63.0</v>
      </c>
      <c r="J2185" s="37">
        <v>441.26</v>
      </c>
      <c r="K2185" s="2">
        <v>19.0</v>
      </c>
      <c r="L2185" s="2">
        <v>114.0</v>
      </c>
      <c r="M2185" s="37">
        <v>574.94</v>
      </c>
    </row>
    <row r="2186" ht="14.25" customHeight="1">
      <c r="A2186" t="s">
        <v>2249</v>
      </c>
      <c r="B2186" t="s">
        <v>2193</v>
      </c>
      <c r="C2186" t="s">
        <v>75</v>
      </c>
      <c r="D2186" t="s">
        <v>63</v>
      </c>
      <c r="E2186">
        <v>5.0</v>
      </c>
      <c r="F2186">
        <v>6.0</v>
      </c>
      <c r="G2186" s="2" t="s">
        <v>67</v>
      </c>
      <c r="H2186" s="2">
        <v>16.0</v>
      </c>
      <c r="I2186" s="2">
        <v>63.0</v>
      </c>
      <c r="J2186" s="37">
        <v>441.26</v>
      </c>
      <c r="K2186" s="2">
        <v>19.0</v>
      </c>
      <c r="L2186" s="2">
        <v>114.0</v>
      </c>
      <c r="M2186" s="37">
        <v>574.94</v>
      </c>
    </row>
    <row r="2187" ht="14.25" customHeight="1">
      <c r="A2187" t="s">
        <v>2250</v>
      </c>
      <c r="B2187" t="s">
        <v>2193</v>
      </c>
      <c r="C2187" t="s">
        <v>75</v>
      </c>
      <c r="D2187" t="s">
        <v>63</v>
      </c>
      <c r="E2187">
        <v>6.0</v>
      </c>
      <c r="F2187">
        <v>7.0</v>
      </c>
      <c r="G2187" s="2" t="s">
        <v>64</v>
      </c>
      <c r="H2187" s="2">
        <v>0.0</v>
      </c>
      <c r="I2187" s="2">
        <v>0.0</v>
      </c>
      <c r="J2187" s="37">
        <v>0.0</v>
      </c>
      <c r="K2187" s="2">
        <v>0.0</v>
      </c>
      <c r="L2187" s="2">
        <v>0.0</v>
      </c>
      <c r="M2187" s="37">
        <v>0.0</v>
      </c>
    </row>
    <row r="2188" ht="14.25" customHeight="1">
      <c r="A2188" t="s">
        <v>2251</v>
      </c>
      <c r="B2188" t="s">
        <v>2193</v>
      </c>
      <c r="C2188" t="s">
        <v>75</v>
      </c>
      <c r="D2188" t="s">
        <v>63</v>
      </c>
      <c r="E2188">
        <v>6.0</v>
      </c>
      <c r="F2188">
        <v>7.0</v>
      </c>
      <c r="G2188" s="2" t="s">
        <v>64</v>
      </c>
      <c r="H2188" s="2">
        <v>0.0</v>
      </c>
      <c r="I2188" s="2">
        <v>0.0</v>
      </c>
      <c r="J2188" s="37">
        <v>0.0</v>
      </c>
      <c r="K2188" s="2">
        <v>0.0</v>
      </c>
      <c r="L2188" s="2">
        <v>0.0</v>
      </c>
      <c r="M2188" s="37">
        <v>0.0</v>
      </c>
    </row>
    <row r="2189" ht="14.25" customHeight="1">
      <c r="A2189" t="s">
        <v>2252</v>
      </c>
      <c r="B2189" t="s">
        <v>2193</v>
      </c>
      <c r="C2189" t="s">
        <v>75</v>
      </c>
      <c r="D2189" t="s">
        <v>63</v>
      </c>
      <c r="E2189">
        <v>7.1</v>
      </c>
      <c r="F2189">
        <v>8.0</v>
      </c>
      <c r="G2189" s="2" t="s">
        <v>67</v>
      </c>
      <c r="H2189" s="2">
        <v>21.0</v>
      </c>
      <c r="I2189" s="2">
        <v>44.0</v>
      </c>
      <c r="J2189" s="37">
        <v>528.86</v>
      </c>
      <c r="K2189" s="2">
        <v>25.0</v>
      </c>
      <c r="L2189" s="2">
        <v>117.0</v>
      </c>
      <c r="M2189" s="37">
        <v>713.6</v>
      </c>
    </row>
    <row r="2190" ht="14.25" customHeight="1">
      <c r="A2190" t="s">
        <v>2253</v>
      </c>
      <c r="B2190" t="s">
        <v>2193</v>
      </c>
      <c r="C2190" t="s">
        <v>75</v>
      </c>
      <c r="D2190" t="s">
        <v>63</v>
      </c>
      <c r="E2190">
        <v>7.1</v>
      </c>
      <c r="F2190">
        <v>8.0</v>
      </c>
      <c r="G2190" s="2" t="s">
        <v>67</v>
      </c>
      <c r="H2190" s="2">
        <v>21.0</v>
      </c>
      <c r="I2190" s="2">
        <v>44.0</v>
      </c>
      <c r="J2190" s="37">
        <v>528.86</v>
      </c>
      <c r="K2190" s="2">
        <v>25.0</v>
      </c>
      <c r="L2190" s="2">
        <v>117.0</v>
      </c>
      <c r="M2190" s="37">
        <v>713.6</v>
      </c>
    </row>
    <row r="2191" ht="14.25" customHeight="1">
      <c r="A2191" t="s">
        <v>2254</v>
      </c>
      <c r="B2191" t="s">
        <v>2193</v>
      </c>
      <c r="C2191" t="s">
        <v>75</v>
      </c>
      <c r="D2191" t="s">
        <v>63</v>
      </c>
      <c r="E2191">
        <v>10.0</v>
      </c>
      <c r="F2191">
        <v>12.5</v>
      </c>
      <c r="G2191" s="2" t="s">
        <v>64</v>
      </c>
      <c r="H2191" s="2">
        <v>0.0</v>
      </c>
      <c r="I2191" s="2">
        <v>0.0</v>
      </c>
      <c r="J2191" s="37">
        <v>0.0</v>
      </c>
      <c r="K2191" s="2">
        <v>0.0</v>
      </c>
      <c r="L2191" s="2">
        <v>0.0</v>
      </c>
      <c r="M2191" s="37">
        <v>0.0</v>
      </c>
    </row>
    <row r="2192" ht="14.25" customHeight="1">
      <c r="A2192" t="s">
        <v>2255</v>
      </c>
      <c r="B2192" t="s">
        <v>2193</v>
      </c>
      <c r="C2192" t="s">
        <v>75</v>
      </c>
      <c r="D2192" t="s">
        <v>63</v>
      </c>
      <c r="E2192">
        <v>10.0</v>
      </c>
      <c r="F2192">
        <v>12.5</v>
      </c>
      <c r="G2192" s="2" t="s">
        <v>64</v>
      </c>
      <c r="H2192" s="2">
        <v>0.0</v>
      </c>
      <c r="I2192" s="2">
        <v>0.0</v>
      </c>
      <c r="J2192" s="37">
        <v>0.0</v>
      </c>
      <c r="K2192" s="2">
        <v>0.0</v>
      </c>
      <c r="L2192" s="2">
        <v>0.0</v>
      </c>
      <c r="M2192" s="37">
        <v>0.0</v>
      </c>
    </row>
    <row r="2193" ht="14.25" customHeight="1">
      <c r="A2193" t="s">
        <v>2256</v>
      </c>
      <c r="B2193" t="s">
        <v>2193</v>
      </c>
      <c r="C2193" t="s">
        <v>75</v>
      </c>
      <c r="D2193" t="s">
        <v>63</v>
      </c>
      <c r="E2193">
        <v>6.0</v>
      </c>
      <c r="F2193">
        <v>7.0</v>
      </c>
      <c r="G2193" s="2" t="s">
        <v>64</v>
      </c>
      <c r="H2193" s="2">
        <v>0.0</v>
      </c>
      <c r="I2193" s="2">
        <v>0.0</v>
      </c>
      <c r="J2193" s="37">
        <v>0.0</v>
      </c>
      <c r="K2193" s="2">
        <v>0.0</v>
      </c>
      <c r="L2193" s="2">
        <v>0.0</v>
      </c>
      <c r="M2193" s="37">
        <v>0.0</v>
      </c>
    </row>
    <row r="2194" ht="14.25" customHeight="1">
      <c r="A2194" t="s">
        <v>2257</v>
      </c>
      <c r="B2194" t="s">
        <v>2193</v>
      </c>
      <c r="C2194" t="s">
        <v>62</v>
      </c>
      <c r="D2194" t="s">
        <v>63</v>
      </c>
      <c r="E2194">
        <v>7.1</v>
      </c>
      <c r="F2194">
        <v>8.0</v>
      </c>
      <c r="G2194" s="2" t="s">
        <v>67</v>
      </c>
      <c r="H2194" s="2">
        <v>22.0</v>
      </c>
      <c r="I2194" s="2">
        <v>57.0</v>
      </c>
      <c r="J2194" s="37">
        <v>568.22</v>
      </c>
      <c r="K2194" s="2">
        <v>25.0</v>
      </c>
      <c r="L2194" s="2">
        <v>122.0</v>
      </c>
      <c r="M2194" s="37">
        <v>720.1</v>
      </c>
    </row>
    <row r="2195" ht="14.25" customHeight="1">
      <c r="A2195" t="s">
        <v>2258</v>
      </c>
      <c r="B2195" t="s">
        <v>2193</v>
      </c>
      <c r="C2195" t="s">
        <v>62</v>
      </c>
      <c r="D2195" t="s">
        <v>63</v>
      </c>
      <c r="E2195">
        <v>7.1</v>
      </c>
      <c r="F2195">
        <v>8.0</v>
      </c>
      <c r="G2195" s="2" t="s">
        <v>67</v>
      </c>
      <c r="H2195" s="2">
        <v>22.0</v>
      </c>
      <c r="I2195" s="2">
        <v>57.0</v>
      </c>
      <c r="J2195" s="37">
        <v>568.22</v>
      </c>
      <c r="K2195" s="2">
        <v>25.0</v>
      </c>
      <c r="L2195" s="2">
        <v>122.0</v>
      </c>
      <c r="M2195" s="37">
        <v>720.1</v>
      </c>
    </row>
    <row r="2196" ht="14.25" customHeight="1">
      <c r="A2196" t="s">
        <v>2259</v>
      </c>
      <c r="B2196" t="s">
        <v>2193</v>
      </c>
      <c r="C2196" t="s">
        <v>62</v>
      </c>
      <c r="D2196" t="s">
        <v>63</v>
      </c>
      <c r="E2196">
        <v>7.1</v>
      </c>
      <c r="F2196">
        <v>8.0</v>
      </c>
      <c r="G2196" s="2" t="s">
        <v>67</v>
      </c>
      <c r="H2196" s="2">
        <v>22.0</v>
      </c>
      <c r="I2196" s="2">
        <v>57.0</v>
      </c>
      <c r="J2196" s="37">
        <v>568.22</v>
      </c>
      <c r="K2196" s="2">
        <v>25.0</v>
      </c>
      <c r="L2196" s="2">
        <v>122.0</v>
      </c>
      <c r="M2196" s="37">
        <v>720.1</v>
      </c>
    </row>
    <row r="2197" ht="14.25" customHeight="1">
      <c r="A2197" t="s">
        <v>2260</v>
      </c>
      <c r="B2197" t="s">
        <v>2193</v>
      </c>
      <c r="C2197" t="s">
        <v>62</v>
      </c>
      <c r="D2197" t="s">
        <v>63</v>
      </c>
      <c r="E2197">
        <v>7.1</v>
      </c>
      <c r="F2197">
        <v>8.0</v>
      </c>
      <c r="G2197" s="2" t="s">
        <v>67</v>
      </c>
      <c r="H2197" s="2">
        <v>22.0</v>
      </c>
      <c r="I2197" s="2">
        <v>57.0</v>
      </c>
      <c r="J2197" s="37">
        <v>568.22</v>
      </c>
      <c r="K2197" s="2">
        <v>25.0</v>
      </c>
      <c r="L2197" s="2">
        <v>122.0</v>
      </c>
      <c r="M2197" s="37">
        <v>720.1</v>
      </c>
    </row>
    <row r="2198" ht="14.25" customHeight="1">
      <c r="A2198" t="s">
        <v>2261</v>
      </c>
      <c r="B2198" t="s">
        <v>2193</v>
      </c>
      <c r="C2198" t="s">
        <v>62</v>
      </c>
      <c r="D2198" t="s">
        <v>63</v>
      </c>
      <c r="E2198">
        <v>7.1</v>
      </c>
      <c r="F2198">
        <v>8.0</v>
      </c>
      <c r="G2198" s="2" t="s">
        <v>67</v>
      </c>
      <c r="H2198" s="2">
        <v>22.0</v>
      </c>
      <c r="I2198" s="2">
        <v>57.0</v>
      </c>
      <c r="J2198" s="37">
        <v>568.22</v>
      </c>
      <c r="K2198" s="2">
        <v>25.0</v>
      </c>
      <c r="L2198" s="2">
        <v>122.0</v>
      </c>
      <c r="M2198" s="37">
        <v>720.1</v>
      </c>
    </row>
    <row r="2199" ht="14.25" customHeight="1">
      <c r="A2199" t="s">
        <v>2262</v>
      </c>
      <c r="B2199" t="s">
        <v>2193</v>
      </c>
      <c r="C2199" t="s">
        <v>62</v>
      </c>
      <c r="D2199" t="s">
        <v>63</v>
      </c>
      <c r="E2199">
        <v>7.1</v>
      </c>
      <c r="F2199">
        <v>8.0</v>
      </c>
      <c r="G2199" s="2" t="s">
        <v>67</v>
      </c>
      <c r="H2199" s="2">
        <v>22.0</v>
      </c>
      <c r="I2199" s="2">
        <v>57.0</v>
      </c>
      <c r="J2199" s="37">
        <v>568.22</v>
      </c>
      <c r="K2199" s="2">
        <v>25.0</v>
      </c>
      <c r="L2199" s="2">
        <v>122.0</v>
      </c>
      <c r="M2199" s="37">
        <v>720.1</v>
      </c>
    </row>
    <row r="2200" ht="14.25" customHeight="1">
      <c r="A2200" t="s">
        <v>2263</v>
      </c>
      <c r="B2200" t="s">
        <v>2193</v>
      </c>
      <c r="C2200" t="s">
        <v>62</v>
      </c>
      <c r="D2200" t="s">
        <v>63</v>
      </c>
      <c r="E2200">
        <v>7.1</v>
      </c>
      <c r="F2200">
        <v>8.0</v>
      </c>
      <c r="G2200" s="2" t="s">
        <v>67</v>
      </c>
      <c r="H2200" s="2">
        <v>22.0</v>
      </c>
      <c r="I2200" s="2">
        <v>57.0</v>
      </c>
      <c r="J2200" s="37">
        <v>568.22</v>
      </c>
      <c r="K2200" s="2">
        <v>25.0</v>
      </c>
      <c r="L2200" s="2">
        <v>122.0</v>
      </c>
      <c r="M2200" s="37">
        <v>720.1</v>
      </c>
    </row>
    <row r="2201" ht="14.25" customHeight="1">
      <c r="A2201" t="s">
        <v>2264</v>
      </c>
      <c r="B2201" t="s">
        <v>2193</v>
      </c>
      <c r="C2201" t="s">
        <v>62</v>
      </c>
      <c r="D2201" t="s">
        <v>63</v>
      </c>
      <c r="E2201">
        <v>7.1</v>
      </c>
      <c r="F2201">
        <v>8.0</v>
      </c>
      <c r="G2201" s="2" t="s">
        <v>67</v>
      </c>
      <c r="H2201" s="2">
        <v>22.0</v>
      </c>
      <c r="I2201" s="2">
        <v>57.0</v>
      </c>
      <c r="J2201" s="37">
        <v>568.22</v>
      </c>
      <c r="K2201" s="2">
        <v>25.0</v>
      </c>
      <c r="L2201" s="2">
        <v>122.0</v>
      </c>
      <c r="M2201" s="37">
        <v>720.1</v>
      </c>
    </row>
    <row r="2202" ht="14.25" customHeight="1">
      <c r="A2202" t="s">
        <v>2265</v>
      </c>
      <c r="B2202" t="s">
        <v>2193</v>
      </c>
      <c r="C2202" t="s">
        <v>62</v>
      </c>
      <c r="D2202" t="s">
        <v>63</v>
      </c>
      <c r="E2202">
        <v>7.1</v>
      </c>
      <c r="F2202">
        <v>8.0</v>
      </c>
      <c r="G2202" s="2" t="s">
        <v>67</v>
      </c>
      <c r="H2202" s="2">
        <v>22.0</v>
      </c>
      <c r="I2202" s="2">
        <v>57.0</v>
      </c>
      <c r="J2202" s="37">
        <v>568.22</v>
      </c>
      <c r="K2202" s="2">
        <v>25.0</v>
      </c>
      <c r="L2202" s="2">
        <v>122.0</v>
      </c>
      <c r="M2202" s="37">
        <v>720.1</v>
      </c>
    </row>
    <row r="2203" ht="14.25" customHeight="1">
      <c r="A2203" t="s">
        <v>2266</v>
      </c>
      <c r="B2203" t="s">
        <v>2193</v>
      </c>
      <c r="C2203" t="s">
        <v>62</v>
      </c>
      <c r="D2203" t="s">
        <v>63</v>
      </c>
      <c r="E2203">
        <v>7.8</v>
      </c>
      <c r="F2203">
        <v>9.0</v>
      </c>
      <c r="G2203" s="2" t="s">
        <v>67</v>
      </c>
      <c r="H2203" s="2">
        <v>24.0</v>
      </c>
      <c r="I2203" s="2">
        <v>18.0</v>
      </c>
      <c r="J2203" s="37">
        <v>562.4399999999999</v>
      </c>
      <c r="K2203" s="2">
        <v>28.0</v>
      </c>
      <c r="L2203" s="2">
        <v>89.0</v>
      </c>
      <c r="M2203" s="37">
        <v>744.58</v>
      </c>
    </row>
    <row r="2204" ht="14.25" customHeight="1">
      <c r="A2204" t="s">
        <v>2267</v>
      </c>
      <c r="B2204" t="s">
        <v>2193</v>
      </c>
      <c r="C2204" t="s">
        <v>62</v>
      </c>
      <c r="D2204" t="s">
        <v>63</v>
      </c>
      <c r="E2204">
        <v>7.8</v>
      </c>
      <c r="F2204">
        <v>9.0</v>
      </c>
      <c r="G2204" s="2" t="s">
        <v>67</v>
      </c>
      <c r="H2204" s="2">
        <v>24.0</v>
      </c>
      <c r="I2204" s="2">
        <v>18.0</v>
      </c>
      <c r="J2204" s="37">
        <v>562.4399999999999</v>
      </c>
      <c r="K2204" s="2">
        <v>28.0</v>
      </c>
      <c r="L2204" s="2">
        <v>89.0</v>
      </c>
      <c r="M2204" s="37">
        <v>744.58</v>
      </c>
    </row>
    <row r="2205" ht="14.25" customHeight="1">
      <c r="A2205" t="s">
        <v>2268</v>
      </c>
      <c r="B2205" t="s">
        <v>2193</v>
      </c>
      <c r="C2205" t="s">
        <v>62</v>
      </c>
      <c r="D2205" t="s">
        <v>63</v>
      </c>
      <c r="E2205">
        <v>7.8</v>
      </c>
      <c r="F2205">
        <v>9.0</v>
      </c>
      <c r="G2205" s="2" t="s">
        <v>67</v>
      </c>
      <c r="H2205" s="2">
        <v>24.0</v>
      </c>
      <c r="I2205" s="2">
        <v>18.0</v>
      </c>
      <c r="J2205" s="37">
        <v>562.4399999999999</v>
      </c>
      <c r="K2205" s="2">
        <v>28.0</v>
      </c>
      <c r="L2205" s="2">
        <v>89.0</v>
      </c>
      <c r="M2205" s="37">
        <v>744.58</v>
      </c>
    </row>
    <row r="2206" ht="14.25" customHeight="1">
      <c r="A2206" t="s">
        <v>2269</v>
      </c>
      <c r="B2206" t="s">
        <v>2193</v>
      </c>
      <c r="C2206" t="s">
        <v>62</v>
      </c>
      <c r="D2206" t="s">
        <v>63</v>
      </c>
      <c r="E2206">
        <v>7.8</v>
      </c>
      <c r="F2206">
        <v>9.0</v>
      </c>
      <c r="G2206" s="2" t="s">
        <v>67</v>
      </c>
      <c r="H2206" s="2">
        <v>24.0</v>
      </c>
      <c r="I2206" s="2">
        <v>18.0</v>
      </c>
      <c r="J2206" s="37">
        <v>562.4399999999999</v>
      </c>
      <c r="K2206" s="2">
        <v>28.0</v>
      </c>
      <c r="L2206" s="2">
        <v>89.0</v>
      </c>
      <c r="M2206" s="37">
        <v>744.58</v>
      </c>
    </row>
    <row r="2207" ht="14.25" customHeight="1">
      <c r="A2207" t="s">
        <v>2270</v>
      </c>
      <c r="B2207" t="s">
        <v>2193</v>
      </c>
      <c r="C2207" t="s">
        <v>62</v>
      </c>
      <c r="D2207" t="s">
        <v>63</v>
      </c>
      <c r="E2207">
        <v>7.8</v>
      </c>
      <c r="F2207">
        <v>9.0</v>
      </c>
      <c r="G2207" s="2" t="s">
        <v>67</v>
      </c>
      <c r="H2207" s="2">
        <v>24.0</v>
      </c>
      <c r="I2207" s="2">
        <v>18.0</v>
      </c>
      <c r="J2207" s="37">
        <v>562.4399999999999</v>
      </c>
      <c r="K2207" s="2">
        <v>28.0</v>
      </c>
      <c r="L2207" s="2">
        <v>89.0</v>
      </c>
      <c r="M2207" s="37">
        <v>744.58</v>
      </c>
    </row>
    <row r="2208" ht="14.25" customHeight="1">
      <c r="A2208" t="s">
        <v>2271</v>
      </c>
      <c r="B2208" t="s">
        <v>2193</v>
      </c>
      <c r="C2208" t="s">
        <v>62</v>
      </c>
      <c r="D2208" t="s">
        <v>63</v>
      </c>
      <c r="E2208">
        <v>7.8</v>
      </c>
      <c r="F2208">
        <v>9.0</v>
      </c>
      <c r="G2208" s="2" t="s">
        <v>67</v>
      </c>
      <c r="H2208" s="2">
        <v>24.0</v>
      </c>
      <c r="I2208" s="2">
        <v>18.0</v>
      </c>
      <c r="J2208" s="37">
        <v>562.4399999999999</v>
      </c>
      <c r="K2208" s="2">
        <v>28.0</v>
      </c>
      <c r="L2208" s="2">
        <v>89.0</v>
      </c>
      <c r="M2208" s="37">
        <v>744.58</v>
      </c>
    </row>
    <row r="2209" ht="14.25" customHeight="1">
      <c r="A2209" t="s">
        <v>2272</v>
      </c>
      <c r="B2209" t="s">
        <v>2193</v>
      </c>
      <c r="C2209" t="s">
        <v>62</v>
      </c>
      <c r="D2209" t="s">
        <v>63</v>
      </c>
      <c r="E2209">
        <v>7.8</v>
      </c>
      <c r="F2209">
        <v>9.0</v>
      </c>
      <c r="G2209" s="2" t="s">
        <v>67</v>
      </c>
      <c r="H2209" s="2">
        <v>24.0</v>
      </c>
      <c r="I2209" s="2">
        <v>18.0</v>
      </c>
      <c r="J2209" s="37">
        <v>562.4399999999999</v>
      </c>
      <c r="K2209" s="2">
        <v>28.0</v>
      </c>
      <c r="L2209" s="2">
        <v>89.0</v>
      </c>
      <c r="M2209" s="37">
        <v>744.58</v>
      </c>
    </row>
    <row r="2210" ht="14.25" customHeight="1">
      <c r="A2210" t="s">
        <v>2273</v>
      </c>
      <c r="B2210" t="s">
        <v>2193</v>
      </c>
      <c r="C2210" t="s">
        <v>62</v>
      </c>
      <c r="D2210" t="s">
        <v>63</v>
      </c>
      <c r="E2210">
        <v>7.8</v>
      </c>
      <c r="F2210">
        <v>9.0</v>
      </c>
      <c r="G2210" s="2" t="s">
        <v>67</v>
      </c>
      <c r="H2210" s="2">
        <v>24.0</v>
      </c>
      <c r="I2210" s="2">
        <v>18.0</v>
      </c>
      <c r="J2210" s="37">
        <v>562.4399999999999</v>
      </c>
      <c r="K2210" s="2">
        <v>28.0</v>
      </c>
      <c r="L2210" s="2">
        <v>89.0</v>
      </c>
      <c r="M2210" s="37">
        <v>744.58</v>
      </c>
    </row>
    <row r="2211" ht="14.25" customHeight="1">
      <c r="A2211" t="s">
        <v>2274</v>
      </c>
      <c r="B2211" t="s">
        <v>2193</v>
      </c>
      <c r="C2211" t="s">
        <v>62</v>
      </c>
      <c r="D2211" t="s">
        <v>63</v>
      </c>
      <c r="E2211">
        <v>7.8</v>
      </c>
      <c r="F2211">
        <v>9.0</v>
      </c>
      <c r="G2211" s="2" t="s">
        <v>67</v>
      </c>
      <c r="H2211" s="2">
        <v>24.0</v>
      </c>
      <c r="I2211" s="2">
        <v>18.0</v>
      </c>
      <c r="J2211" s="37">
        <v>562.4399999999999</v>
      </c>
      <c r="K2211" s="2">
        <v>28.0</v>
      </c>
      <c r="L2211" s="2">
        <v>89.0</v>
      </c>
      <c r="M2211" s="37">
        <v>744.58</v>
      </c>
    </row>
    <row r="2212" ht="14.25" customHeight="1">
      <c r="A2212" t="s">
        <v>2275</v>
      </c>
      <c r="B2212" t="s">
        <v>2193</v>
      </c>
      <c r="C2212" t="s">
        <v>75</v>
      </c>
      <c r="D2212" t="s">
        <v>63</v>
      </c>
      <c r="E2212">
        <v>24.5</v>
      </c>
      <c r="F2212">
        <v>28.0</v>
      </c>
      <c r="G2212" s="2" t="s">
        <v>64</v>
      </c>
      <c r="H2212" s="2">
        <v>0.0</v>
      </c>
      <c r="I2212" s="2">
        <v>0.0</v>
      </c>
      <c r="J2212" s="37">
        <v>0.0</v>
      </c>
      <c r="K2212" s="2">
        <v>0.0</v>
      </c>
      <c r="L2212" s="2">
        <v>0.0</v>
      </c>
      <c r="M2212" s="37">
        <v>0.0</v>
      </c>
    </row>
    <row r="2213" ht="14.25" customHeight="1">
      <c r="A2213" t="s">
        <v>2276</v>
      </c>
      <c r="B2213" t="s">
        <v>2193</v>
      </c>
      <c r="C2213" t="s">
        <v>75</v>
      </c>
      <c r="D2213" t="s">
        <v>63</v>
      </c>
      <c r="E2213">
        <v>20.0</v>
      </c>
      <c r="F2213">
        <v>22.4</v>
      </c>
      <c r="G2213" s="2" t="s">
        <v>67</v>
      </c>
      <c r="H2213" s="2">
        <v>58.0</v>
      </c>
      <c r="I2213" s="2">
        <v>15.0</v>
      </c>
      <c r="J2213" s="37">
        <v>1322.18</v>
      </c>
      <c r="K2213" s="2">
        <v>69.0</v>
      </c>
      <c r="L2213" s="2">
        <v>220.0</v>
      </c>
      <c r="M2213" s="37">
        <v>1835.74</v>
      </c>
    </row>
    <row r="2214" ht="14.25" customHeight="1">
      <c r="A2214" t="s">
        <v>2277</v>
      </c>
      <c r="B2214" t="s">
        <v>2193</v>
      </c>
      <c r="C2214" t="s">
        <v>62</v>
      </c>
      <c r="D2214" t="s">
        <v>63</v>
      </c>
      <c r="E2214">
        <v>5.0</v>
      </c>
      <c r="F2214">
        <v>6.0</v>
      </c>
      <c r="G2214" s="2" t="s">
        <v>67</v>
      </c>
      <c r="H2214" s="2">
        <v>17.0</v>
      </c>
      <c r="I2214" s="2">
        <v>51.0</v>
      </c>
      <c r="J2214" s="37">
        <v>448.12</v>
      </c>
      <c r="K2214" s="2">
        <v>19.0</v>
      </c>
      <c r="L2214" s="2">
        <v>96.0</v>
      </c>
      <c r="M2214" s="37">
        <v>551.54</v>
      </c>
    </row>
    <row r="2215" ht="14.25" customHeight="1">
      <c r="A2215" t="s">
        <v>2278</v>
      </c>
      <c r="B2215" t="s">
        <v>2193</v>
      </c>
      <c r="C2215" t="s">
        <v>62</v>
      </c>
      <c r="D2215" t="s">
        <v>63</v>
      </c>
      <c r="E2215">
        <v>5.0</v>
      </c>
      <c r="F2215">
        <v>6.0</v>
      </c>
      <c r="G2215" s="2" t="s">
        <v>67</v>
      </c>
      <c r="H2215" s="2">
        <v>17.0</v>
      </c>
      <c r="I2215" s="2">
        <v>51.0</v>
      </c>
      <c r="J2215" s="37">
        <v>448.12</v>
      </c>
      <c r="K2215" s="2">
        <v>19.0</v>
      </c>
      <c r="L2215" s="2">
        <v>96.0</v>
      </c>
      <c r="M2215" s="37">
        <v>551.54</v>
      </c>
    </row>
    <row r="2216" ht="14.25" customHeight="1">
      <c r="A2216" t="s">
        <v>2279</v>
      </c>
      <c r="B2216" t="s">
        <v>2193</v>
      </c>
      <c r="C2216" t="s">
        <v>62</v>
      </c>
      <c r="D2216" t="s">
        <v>63</v>
      </c>
      <c r="E2216">
        <v>5.0</v>
      </c>
      <c r="F2216">
        <v>6.0</v>
      </c>
      <c r="G2216" s="2" t="s">
        <v>67</v>
      </c>
      <c r="H2216" s="2">
        <v>17.0</v>
      </c>
      <c r="I2216" s="2">
        <v>51.0</v>
      </c>
      <c r="J2216" s="37">
        <v>448.12</v>
      </c>
      <c r="K2216" s="2">
        <v>19.0</v>
      </c>
      <c r="L2216" s="2">
        <v>96.0</v>
      </c>
      <c r="M2216" s="37">
        <v>551.54</v>
      </c>
    </row>
    <row r="2217" ht="14.25" customHeight="1">
      <c r="A2217" t="s">
        <v>2280</v>
      </c>
      <c r="B2217" t="s">
        <v>2193</v>
      </c>
      <c r="C2217" t="s">
        <v>62</v>
      </c>
      <c r="D2217" t="s">
        <v>63</v>
      </c>
      <c r="E2217">
        <v>6.1</v>
      </c>
      <c r="F2217">
        <v>6.8</v>
      </c>
      <c r="G2217" s="2" t="s">
        <v>67</v>
      </c>
      <c r="H2217" s="2">
        <v>18.0</v>
      </c>
      <c r="I2217" s="2">
        <v>48.0</v>
      </c>
      <c r="J2217" s="37">
        <v>466.68000000000006</v>
      </c>
      <c r="K2217" s="2">
        <v>21.0</v>
      </c>
      <c r="L2217" s="2">
        <v>104.0</v>
      </c>
      <c r="M2217" s="37">
        <v>606.86</v>
      </c>
    </row>
    <row r="2218" ht="14.25" customHeight="1">
      <c r="A2218" t="s">
        <v>2281</v>
      </c>
      <c r="B2218" t="s">
        <v>2193</v>
      </c>
      <c r="C2218" t="s">
        <v>62</v>
      </c>
      <c r="D2218" t="s">
        <v>63</v>
      </c>
      <c r="E2218">
        <v>6.1</v>
      </c>
      <c r="F2218">
        <v>6.8</v>
      </c>
      <c r="G2218" s="2" t="s">
        <v>67</v>
      </c>
      <c r="H2218" s="2">
        <v>18.0</v>
      </c>
      <c r="I2218" s="2">
        <v>48.0</v>
      </c>
      <c r="J2218" s="37">
        <v>466.68000000000006</v>
      </c>
      <c r="K2218" s="2">
        <v>21.0</v>
      </c>
      <c r="L2218" s="2">
        <v>104.0</v>
      </c>
      <c r="M2218" s="37">
        <v>606.86</v>
      </c>
    </row>
    <row r="2219" ht="14.25" customHeight="1">
      <c r="A2219" t="s">
        <v>2282</v>
      </c>
      <c r="B2219" t="s">
        <v>2193</v>
      </c>
      <c r="C2219" t="s">
        <v>62</v>
      </c>
      <c r="D2219" t="s">
        <v>63</v>
      </c>
      <c r="E2219">
        <v>6.1</v>
      </c>
      <c r="F2219">
        <v>6.8</v>
      </c>
      <c r="G2219" s="2" t="s">
        <v>67</v>
      </c>
      <c r="H2219" s="2">
        <v>18.0</v>
      </c>
      <c r="I2219" s="2">
        <v>48.0</v>
      </c>
      <c r="J2219" s="37">
        <v>466.68000000000006</v>
      </c>
      <c r="K2219" s="2">
        <v>21.0</v>
      </c>
      <c r="L2219" s="2">
        <v>104.0</v>
      </c>
      <c r="M2219" s="37">
        <v>606.86</v>
      </c>
    </row>
    <row r="2220" ht="14.25" customHeight="1">
      <c r="A2220" t="s">
        <v>2283</v>
      </c>
      <c r="B2220" t="s">
        <v>2193</v>
      </c>
      <c r="C2220" t="s">
        <v>62</v>
      </c>
      <c r="D2220" t="s">
        <v>63</v>
      </c>
      <c r="E2220">
        <v>6.1</v>
      </c>
      <c r="F2220">
        <v>6.8</v>
      </c>
      <c r="G2220" s="2" t="s">
        <v>67</v>
      </c>
      <c r="H2220" s="2">
        <v>18.0</v>
      </c>
      <c r="I2220" s="2">
        <v>48.0</v>
      </c>
      <c r="J2220" s="37">
        <v>466.68000000000006</v>
      </c>
      <c r="K2220" s="2">
        <v>21.0</v>
      </c>
      <c r="L2220" s="2">
        <v>104.0</v>
      </c>
      <c r="M2220" s="37">
        <v>606.86</v>
      </c>
    </row>
    <row r="2221" ht="14.25" customHeight="1">
      <c r="A2221" t="s">
        <v>2284</v>
      </c>
      <c r="B2221" t="s">
        <v>2193</v>
      </c>
      <c r="C2221" t="s">
        <v>62</v>
      </c>
      <c r="D2221" t="s">
        <v>63</v>
      </c>
      <c r="E2221">
        <v>5.0</v>
      </c>
      <c r="F2221">
        <v>6.0</v>
      </c>
      <c r="G2221" s="2" t="s">
        <v>67</v>
      </c>
      <c r="H2221" s="2">
        <v>17.0</v>
      </c>
      <c r="I2221" s="2">
        <v>51.0</v>
      </c>
      <c r="J2221" s="37">
        <v>448.12</v>
      </c>
      <c r="K2221" s="2">
        <v>19.0</v>
      </c>
      <c r="L2221" s="2">
        <v>96.0</v>
      </c>
      <c r="M2221" s="37">
        <v>551.54</v>
      </c>
    </row>
    <row r="2222" ht="14.25" customHeight="1">
      <c r="A2222" t="s">
        <v>2285</v>
      </c>
      <c r="B2222" t="s">
        <v>2193</v>
      </c>
      <c r="C2222" t="s">
        <v>75</v>
      </c>
      <c r="D2222" t="s">
        <v>63</v>
      </c>
      <c r="E2222">
        <v>16.0</v>
      </c>
      <c r="F2222">
        <v>18.0</v>
      </c>
      <c r="G2222" s="2" t="s">
        <v>67</v>
      </c>
      <c r="H2222" s="2">
        <v>51.0</v>
      </c>
      <c r="I2222" s="2">
        <v>62.0</v>
      </c>
      <c r="J2222" s="37">
        <v>1226.06</v>
      </c>
      <c r="K2222" s="2">
        <v>60.0</v>
      </c>
      <c r="L2222" s="2">
        <v>226.0</v>
      </c>
      <c r="M2222" s="37">
        <v>1641.4</v>
      </c>
    </row>
    <row r="2223" ht="14.25" customHeight="1">
      <c r="A2223" t="s">
        <v>2286</v>
      </c>
      <c r="B2223" t="s">
        <v>2193</v>
      </c>
      <c r="C2223" t="s">
        <v>75</v>
      </c>
      <c r="D2223" t="s">
        <v>63</v>
      </c>
      <c r="E2223">
        <v>16.0</v>
      </c>
      <c r="F2223">
        <v>18.0</v>
      </c>
      <c r="G2223" s="2" t="s">
        <v>67</v>
      </c>
      <c r="H2223" s="2">
        <v>51.0</v>
      </c>
      <c r="I2223" s="2">
        <v>62.0</v>
      </c>
      <c r="J2223" s="37">
        <v>1226.06</v>
      </c>
      <c r="K2223" s="2">
        <v>60.0</v>
      </c>
      <c r="L2223" s="2">
        <v>226.0</v>
      </c>
      <c r="M2223" s="37">
        <v>1641.4</v>
      </c>
    </row>
    <row r="2224" ht="14.25" customHeight="1">
      <c r="A2224" t="s">
        <v>2287</v>
      </c>
      <c r="B2224" t="s">
        <v>2193</v>
      </c>
      <c r="C2224" t="s">
        <v>75</v>
      </c>
      <c r="D2224" t="s">
        <v>63</v>
      </c>
      <c r="E2224">
        <v>18.0</v>
      </c>
      <c r="F2224">
        <v>20.0</v>
      </c>
      <c r="G2224" s="2" t="s">
        <v>67</v>
      </c>
      <c r="H2224" s="2">
        <v>55.0</v>
      </c>
      <c r="I2224" s="2">
        <v>84.0</v>
      </c>
      <c r="J2224" s="37">
        <v>1344.5</v>
      </c>
      <c r="K2224" s="2">
        <v>65.0</v>
      </c>
      <c r="L2224" s="2">
        <v>269.0</v>
      </c>
      <c r="M2224" s="37">
        <v>1809.6000000000001</v>
      </c>
    </row>
    <row r="2225" ht="14.25" customHeight="1">
      <c r="A2225" t="s">
        <v>2288</v>
      </c>
      <c r="B2225" t="s">
        <v>2193</v>
      </c>
      <c r="C2225" t="s">
        <v>75</v>
      </c>
      <c r="D2225" t="s">
        <v>63</v>
      </c>
      <c r="E2225">
        <v>18.0</v>
      </c>
      <c r="F2225">
        <v>20.0</v>
      </c>
      <c r="G2225" s="2" t="s">
        <v>67</v>
      </c>
      <c r="H2225" s="2">
        <v>55.0</v>
      </c>
      <c r="I2225" s="2">
        <v>84.0</v>
      </c>
      <c r="J2225" s="37">
        <v>1344.5</v>
      </c>
      <c r="K2225" s="2">
        <v>65.0</v>
      </c>
      <c r="L2225" s="2">
        <v>269.0</v>
      </c>
      <c r="M2225" s="37">
        <v>1809.6000000000001</v>
      </c>
    </row>
    <row r="2226" ht="14.25" customHeight="1">
      <c r="A2226" t="s">
        <v>2289</v>
      </c>
      <c r="B2226" t="s">
        <v>2193</v>
      </c>
      <c r="C2226" t="s">
        <v>75</v>
      </c>
      <c r="D2226" t="s">
        <v>63</v>
      </c>
      <c r="E2226">
        <v>7.1</v>
      </c>
      <c r="F2226">
        <v>8.0</v>
      </c>
      <c r="G2226" s="2" t="s">
        <v>67</v>
      </c>
      <c r="H2226" s="2">
        <v>22.0</v>
      </c>
      <c r="I2226" s="2">
        <v>130.0</v>
      </c>
      <c r="J2226" s="37">
        <v>663.12</v>
      </c>
      <c r="K2226" s="2">
        <v>26.0</v>
      </c>
      <c r="L2226" s="2">
        <v>203.0</v>
      </c>
      <c r="M2226" s="37">
        <v>847.8600000000001</v>
      </c>
    </row>
    <row r="2227" ht="14.25" customHeight="1">
      <c r="A2227" t="s">
        <v>2290</v>
      </c>
      <c r="B2227" t="s">
        <v>2193</v>
      </c>
      <c r="C2227" t="s">
        <v>75</v>
      </c>
      <c r="D2227" t="s">
        <v>63</v>
      </c>
      <c r="E2227">
        <v>7.1</v>
      </c>
      <c r="F2227">
        <v>8.0</v>
      </c>
      <c r="G2227" s="2" t="s">
        <v>67</v>
      </c>
      <c r="H2227" s="2">
        <v>22.0</v>
      </c>
      <c r="I2227" s="2">
        <v>130.0</v>
      </c>
      <c r="J2227" s="37">
        <v>663.12</v>
      </c>
      <c r="K2227" s="2">
        <v>26.0</v>
      </c>
      <c r="L2227" s="2">
        <v>203.0</v>
      </c>
      <c r="M2227" s="37">
        <v>847.8600000000001</v>
      </c>
    </row>
    <row r="2228" ht="14.25" customHeight="1">
      <c r="A2228" t="s">
        <v>2291</v>
      </c>
      <c r="B2228" t="s">
        <v>2193</v>
      </c>
      <c r="C2228" t="s">
        <v>75</v>
      </c>
      <c r="D2228" t="s">
        <v>63</v>
      </c>
      <c r="E2228">
        <v>7.1</v>
      </c>
      <c r="F2228">
        <v>8.0</v>
      </c>
      <c r="G2228" s="2" t="s">
        <v>67</v>
      </c>
      <c r="H2228" s="2">
        <v>22.0</v>
      </c>
      <c r="I2228" s="2">
        <v>130.0</v>
      </c>
      <c r="J2228" s="37">
        <v>663.12</v>
      </c>
      <c r="K2228" s="2">
        <v>26.0</v>
      </c>
      <c r="L2228" s="2">
        <v>203.0</v>
      </c>
      <c r="M2228" s="37">
        <v>847.8600000000001</v>
      </c>
    </row>
    <row r="2229" ht="14.25" customHeight="1">
      <c r="A2229" t="s">
        <v>2292</v>
      </c>
      <c r="B2229" t="s">
        <v>2193</v>
      </c>
      <c r="C2229" t="s">
        <v>75</v>
      </c>
      <c r="D2229" t="s">
        <v>63</v>
      </c>
      <c r="E2229">
        <v>7.1</v>
      </c>
      <c r="F2229">
        <v>8.0</v>
      </c>
      <c r="G2229" s="2" t="s">
        <v>67</v>
      </c>
      <c r="H2229" s="2">
        <v>22.0</v>
      </c>
      <c r="I2229" s="2">
        <v>130.0</v>
      </c>
      <c r="J2229" s="37">
        <v>663.12</v>
      </c>
      <c r="K2229" s="2">
        <v>26.0</v>
      </c>
      <c r="L2229" s="2">
        <v>203.0</v>
      </c>
      <c r="M2229" s="37">
        <v>847.8600000000001</v>
      </c>
    </row>
    <row r="2230" ht="14.25" customHeight="1">
      <c r="A2230" t="s">
        <v>2293</v>
      </c>
      <c r="B2230" t="s">
        <v>2193</v>
      </c>
      <c r="C2230" t="s">
        <v>75</v>
      </c>
      <c r="D2230" t="s">
        <v>63</v>
      </c>
      <c r="E2230">
        <v>7.1</v>
      </c>
      <c r="F2230">
        <v>8.0</v>
      </c>
      <c r="G2230" s="2" t="s">
        <v>67</v>
      </c>
      <c r="H2230" s="2">
        <v>22.0</v>
      </c>
      <c r="I2230" s="2">
        <v>130.0</v>
      </c>
      <c r="J2230" s="37">
        <v>663.12</v>
      </c>
      <c r="K2230" s="2">
        <v>26.0</v>
      </c>
      <c r="L2230" s="2">
        <v>203.0</v>
      </c>
      <c r="M2230" s="37">
        <v>847.8600000000001</v>
      </c>
    </row>
    <row r="2231" ht="14.25" customHeight="1">
      <c r="A2231" t="s">
        <v>2294</v>
      </c>
      <c r="B2231" t="s">
        <v>2193</v>
      </c>
      <c r="C2231" t="s">
        <v>62</v>
      </c>
      <c r="D2231" t="s">
        <v>63</v>
      </c>
      <c r="E2231">
        <v>7.1</v>
      </c>
      <c r="F2231">
        <v>8.0</v>
      </c>
      <c r="G2231" s="2" t="s">
        <v>64</v>
      </c>
      <c r="H2231" s="2">
        <v>0.0</v>
      </c>
      <c r="I2231" s="2">
        <v>0.0</v>
      </c>
      <c r="J2231" s="37">
        <v>0.0</v>
      </c>
      <c r="K2231" s="2">
        <v>0.0</v>
      </c>
      <c r="L2231" s="2">
        <v>0.0</v>
      </c>
      <c r="M2231" s="37">
        <v>0.0</v>
      </c>
    </row>
    <row r="2232" ht="14.25" customHeight="1">
      <c r="A2232" t="s">
        <v>2295</v>
      </c>
      <c r="B2232" t="s">
        <v>2193</v>
      </c>
      <c r="C2232" t="s">
        <v>62</v>
      </c>
      <c r="D2232" t="s">
        <v>63</v>
      </c>
      <c r="E2232">
        <v>7.1</v>
      </c>
      <c r="F2232">
        <v>8.0</v>
      </c>
      <c r="G2232" s="2" t="s">
        <v>64</v>
      </c>
      <c r="H2232" s="2">
        <v>0.0</v>
      </c>
      <c r="I2232" s="2">
        <v>0.0</v>
      </c>
      <c r="J2232" s="37">
        <v>0.0</v>
      </c>
      <c r="K2232" s="2">
        <v>0.0</v>
      </c>
      <c r="L2232" s="2">
        <v>0.0</v>
      </c>
      <c r="M2232" s="37">
        <v>0.0</v>
      </c>
    </row>
    <row r="2233" ht="14.25" customHeight="1">
      <c r="A2233" t="s">
        <v>2296</v>
      </c>
      <c r="B2233" t="s">
        <v>2193</v>
      </c>
      <c r="C2233" t="s">
        <v>62</v>
      </c>
      <c r="D2233" t="s">
        <v>63</v>
      </c>
      <c r="E2233">
        <v>7.1</v>
      </c>
      <c r="F2233">
        <v>8.0</v>
      </c>
      <c r="G2233" s="2" t="s">
        <v>64</v>
      </c>
      <c r="H2233" s="2">
        <v>0.0</v>
      </c>
      <c r="I2233" s="2">
        <v>0.0</v>
      </c>
      <c r="J2233" s="37">
        <v>0.0</v>
      </c>
      <c r="K2233" s="2">
        <v>0.0</v>
      </c>
      <c r="L2233" s="2">
        <v>0.0</v>
      </c>
      <c r="M2233" s="37">
        <v>0.0</v>
      </c>
    </row>
    <row r="2234" ht="14.25" customHeight="1">
      <c r="A2234" t="s">
        <v>2297</v>
      </c>
      <c r="B2234" t="s">
        <v>2193</v>
      </c>
      <c r="C2234" t="s">
        <v>62</v>
      </c>
      <c r="D2234" t="s">
        <v>63</v>
      </c>
      <c r="E2234">
        <v>7.1</v>
      </c>
      <c r="F2234">
        <v>8.0</v>
      </c>
      <c r="G2234" s="2" t="s">
        <v>64</v>
      </c>
      <c r="H2234" s="2">
        <v>0.0</v>
      </c>
      <c r="I2234" s="2">
        <v>0.0</v>
      </c>
      <c r="J2234" s="37">
        <v>0.0</v>
      </c>
      <c r="K2234" s="2">
        <v>0.0</v>
      </c>
      <c r="L2234" s="2">
        <v>0.0</v>
      </c>
      <c r="M2234" s="37">
        <v>0.0</v>
      </c>
    </row>
    <row r="2235" ht="14.25" customHeight="1">
      <c r="A2235" t="s">
        <v>2298</v>
      </c>
      <c r="B2235" t="s">
        <v>2193</v>
      </c>
      <c r="C2235" t="s">
        <v>62</v>
      </c>
      <c r="D2235" t="s">
        <v>63</v>
      </c>
      <c r="E2235">
        <v>7.1</v>
      </c>
      <c r="F2235">
        <v>8.0</v>
      </c>
      <c r="G2235" s="2" t="s">
        <v>64</v>
      </c>
      <c r="H2235" s="2">
        <v>0.0</v>
      </c>
      <c r="I2235" s="2">
        <v>0.0</v>
      </c>
      <c r="J2235" s="37">
        <v>0.0</v>
      </c>
      <c r="K2235" s="2">
        <v>0.0</v>
      </c>
      <c r="L2235" s="2">
        <v>0.0</v>
      </c>
      <c r="M2235" s="37">
        <v>0.0</v>
      </c>
    </row>
    <row r="2236" ht="14.25" customHeight="1">
      <c r="A2236" t="s">
        <v>2299</v>
      </c>
      <c r="B2236" t="s">
        <v>2193</v>
      </c>
      <c r="C2236" t="s">
        <v>75</v>
      </c>
      <c r="D2236" t="s">
        <v>63</v>
      </c>
      <c r="E2236">
        <v>10.0</v>
      </c>
      <c r="F2236">
        <v>11.2</v>
      </c>
      <c r="G2236" s="2" t="s">
        <v>64</v>
      </c>
      <c r="H2236" s="2">
        <v>0.0</v>
      </c>
      <c r="I2236" s="2">
        <v>0.0</v>
      </c>
      <c r="J2236" s="37">
        <v>0.0</v>
      </c>
      <c r="K2236" s="2">
        <v>0.0</v>
      </c>
      <c r="L2236" s="2">
        <v>0.0</v>
      </c>
      <c r="M2236" s="37">
        <v>0.0</v>
      </c>
    </row>
    <row r="2237" ht="14.25" customHeight="1">
      <c r="A2237" t="s">
        <v>2300</v>
      </c>
      <c r="B2237" t="s">
        <v>2193</v>
      </c>
      <c r="C2237" t="s">
        <v>62</v>
      </c>
      <c r="D2237" t="s">
        <v>63</v>
      </c>
      <c r="E2237">
        <v>10.0</v>
      </c>
      <c r="F2237">
        <v>11.2</v>
      </c>
      <c r="G2237" s="2" t="s">
        <v>67</v>
      </c>
      <c r="H2237" s="2">
        <v>31.0</v>
      </c>
      <c r="I2237" s="2">
        <v>235.0</v>
      </c>
      <c r="J2237" s="37">
        <v>1001.76</v>
      </c>
      <c r="K2237" s="2">
        <v>36.0</v>
      </c>
      <c r="L2237" s="2">
        <v>338.0</v>
      </c>
      <c r="M2237" s="37">
        <v>1247.96</v>
      </c>
    </row>
    <row r="2238" ht="14.25" customHeight="1">
      <c r="A2238" t="s">
        <v>2301</v>
      </c>
      <c r="B2238" t="s">
        <v>2193</v>
      </c>
      <c r="C2238" t="s">
        <v>62</v>
      </c>
      <c r="D2238" t="s">
        <v>63</v>
      </c>
      <c r="E2238">
        <v>10.0</v>
      </c>
      <c r="F2238">
        <v>11.2</v>
      </c>
      <c r="G2238" s="2" t="s">
        <v>67</v>
      </c>
      <c r="H2238" s="2">
        <v>31.0</v>
      </c>
      <c r="I2238" s="2">
        <v>235.0</v>
      </c>
      <c r="J2238" s="37">
        <v>1001.76</v>
      </c>
      <c r="K2238" s="2">
        <v>36.0</v>
      </c>
      <c r="L2238" s="2">
        <v>338.0</v>
      </c>
      <c r="M2238" s="37">
        <v>1247.96</v>
      </c>
    </row>
    <row r="2239" ht="14.25" customHeight="1">
      <c r="A2239" t="s">
        <v>2302</v>
      </c>
      <c r="B2239" t="s">
        <v>2193</v>
      </c>
      <c r="C2239" t="s">
        <v>62</v>
      </c>
      <c r="D2239" t="s">
        <v>63</v>
      </c>
      <c r="E2239">
        <v>10.0</v>
      </c>
      <c r="F2239">
        <v>11.2</v>
      </c>
      <c r="G2239" s="2" t="s">
        <v>67</v>
      </c>
      <c r="H2239" s="2">
        <v>31.0</v>
      </c>
      <c r="I2239" s="2">
        <v>235.0</v>
      </c>
      <c r="J2239" s="37">
        <v>1001.76</v>
      </c>
      <c r="K2239" s="2">
        <v>36.0</v>
      </c>
      <c r="L2239" s="2">
        <v>338.0</v>
      </c>
      <c r="M2239" s="37">
        <v>1247.96</v>
      </c>
    </row>
    <row r="2240" ht="14.25" customHeight="1">
      <c r="A2240" t="s">
        <v>2303</v>
      </c>
      <c r="B2240" t="s">
        <v>2193</v>
      </c>
      <c r="C2240" t="s">
        <v>62</v>
      </c>
      <c r="D2240" t="s">
        <v>63</v>
      </c>
      <c r="E2240">
        <v>10.0</v>
      </c>
      <c r="F2240">
        <v>11.2</v>
      </c>
      <c r="G2240" s="2" t="s">
        <v>67</v>
      </c>
      <c r="H2240" s="2">
        <v>31.0</v>
      </c>
      <c r="I2240" s="2">
        <v>235.0</v>
      </c>
      <c r="J2240" s="37">
        <v>1001.76</v>
      </c>
      <c r="K2240" s="2">
        <v>36.0</v>
      </c>
      <c r="L2240" s="2">
        <v>338.0</v>
      </c>
      <c r="M2240" s="37">
        <v>1247.96</v>
      </c>
    </row>
    <row r="2241" ht="14.25" customHeight="1">
      <c r="A2241" t="s">
        <v>2304</v>
      </c>
      <c r="B2241" t="s">
        <v>2193</v>
      </c>
      <c r="C2241" t="s">
        <v>62</v>
      </c>
      <c r="D2241" t="s">
        <v>63</v>
      </c>
      <c r="E2241">
        <v>10.0</v>
      </c>
      <c r="F2241">
        <v>11.2</v>
      </c>
      <c r="G2241" s="2" t="s">
        <v>67</v>
      </c>
      <c r="H2241" s="2">
        <v>31.0</v>
      </c>
      <c r="I2241" s="2">
        <v>235.0</v>
      </c>
      <c r="J2241" s="37">
        <v>1001.76</v>
      </c>
      <c r="K2241" s="2">
        <v>36.0</v>
      </c>
      <c r="L2241" s="2">
        <v>338.0</v>
      </c>
      <c r="M2241" s="37">
        <v>1247.96</v>
      </c>
    </row>
    <row r="2242" ht="14.25" customHeight="1">
      <c r="A2242" t="s">
        <v>2305</v>
      </c>
      <c r="B2242" t="s">
        <v>2193</v>
      </c>
      <c r="C2242" t="s">
        <v>75</v>
      </c>
      <c r="D2242" t="s">
        <v>63</v>
      </c>
      <c r="E2242">
        <v>10.0</v>
      </c>
      <c r="F2242">
        <v>11.2</v>
      </c>
      <c r="G2242" s="2" t="s">
        <v>64</v>
      </c>
      <c r="H2242" s="2">
        <v>0.0</v>
      </c>
      <c r="I2242" s="2">
        <v>0.0</v>
      </c>
      <c r="J2242" s="37">
        <v>0.0</v>
      </c>
      <c r="K2242" s="2">
        <v>0.0</v>
      </c>
      <c r="L2242" s="2">
        <v>0.0</v>
      </c>
      <c r="M2242" s="37">
        <v>0.0</v>
      </c>
    </row>
    <row r="2243" ht="14.25" customHeight="1">
      <c r="A2243" t="s">
        <v>2306</v>
      </c>
      <c r="B2243" t="s">
        <v>2193</v>
      </c>
      <c r="C2243" t="s">
        <v>75</v>
      </c>
      <c r="D2243" t="s">
        <v>63</v>
      </c>
      <c r="E2243">
        <v>10.0</v>
      </c>
      <c r="F2243">
        <v>11.2</v>
      </c>
      <c r="G2243" s="2" t="s">
        <v>64</v>
      </c>
      <c r="H2243" s="2">
        <v>0.0</v>
      </c>
      <c r="I2243" s="2">
        <v>0.0</v>
      </c>
      <c r="J2243" s="37">
        <v>0.0</v>
      </c>
      <c r="K2243" s="2">
        <v>0.0</v>
      </c>
      <c r="L2243" s="2">
        <v>0.0</v>
      </c>
      <c r="M2243" s="37">
        <v>0.0</v>
      </c>
    </row>
    <row r="2244" ht="14.25" customHeight="1">
      <c r="A2244" t="s">
        <v>2307</v>
      </c>
      <c r="B2244" t="s">
        <v>2193</v>
      </c>
      <c r="C2244" t="s">
        <v>75</v>
      </c>
      <c r="D2244" t="s">
        <v>63</v>
      </c>
      <c r="E2244">
        <v>10.0</v>
      </c>
      <c r="F2244">
        <v>11.2</v>
      </c>
      <c r="G2244" s="2" t="s">
        <v>64</v>
      </c>
      <c r="H2244" s="2">
        <v>0.0</v>
      </c>
      <c r="I2244" s="2">
        <v>0.0</v>
      </c>
      <c r="J2244" s="37">
        <v>0.0</v>
      </c>
      <c r="K2244" s="2">
        <v>0.0</v>
      </c>
      <c r="L2244" s="2">
        <v>0.0</v>
      </c>
      <c r="M2244" s="37">
        <v>0.0</v>
      </c>
    </row>
    <row r="2245" ht="14.25" customHeight="1">
      <c r="A2245" t="s">
        <v>2308</v>
      </c>
      <c r="B2245" t="s">
        <v>2193</v>
      </c>
      <c r="C2245" t="s">
        <v>75</v>
      </c>
      <c r="D2245" t="s">
        <v>63</v>
      </c>
      <c r="E2245">
        <v>10.0</v>
      </c>
      <c r="F2245">
        <v>11.2</v>
      </c>
      <c r="G2245" s="2" t="s">
        <v>64</v>
      </c>
      <c r="H2245" s="2">
        <v>0.0</v>
      </c>
      <c r="I2245" s="2">
        <v>0.0</v>
      </c>
      <c r="J2245" s="37">
        <v>0.0</v>
      </c>
      <c r="K2245" s="2">
        <v>0.0</v>
      </c>
      <c r="L2245" s="2">
        <v>0.0</v>
      </c>
      <c r="M2245" s="37">
        <v>0.0</v>
      </c>
    </row>
    <row r="2246" ht="14.25" customHeight="1">
      <c r="A2246" t="s">
        <v>2309</v>
      </c>
      <c r="B2246" t="s">
        <v>2193</v>
      </c>
      <c r="C2246" t="s">
        <v>62</v>
      </c>
      <c r="D2246" t="s">
        <v>63</v>
      </c>
      <c r="E2246">
        <v>12.5</v>
      </c>
      <c r="F2246">
        <v>14.0</v>
      </c>
      <c r="G2246" s="2" t="s">
        <v>67</v>
      </c>
      <c r="H2246" s="2">
        <v>39.0</v>
      </c>
      <c r="I2246" s="2">
        <v>143.0</v>
      </c>
      <c r="J2246" s="37">
        <v>1061.8400000000001</v>
      </c>
      <c r="K2246" s="2">
        <v>45.0</v>
      </c>
      <c r="L2246" s="2">
        <v>271.0</v>
      </c>
      <c r="M2246" s="37">
        <v>1363.0</v>
      </c>
    </row>
    <row r="2247" ht="14.25" customHeight="1">
      <c r="A2247" t="s">
        <v>2310</v>
      </c>
      <c r="B2247" t="s">
        <v>2193</v>
      </c>
      <c r="C2247" t="s">
        <v>62</v>
      </c>
      <c r="D2247" t="s">
        <v>63</v>
      </c>
      <c r="E2247">
        <v>12.5</v>
      </c>
      <c r="F2247">
        <v>14.0</v>
      </c>
      <c r="G2247" s="2" t="s">
        <v>67</v>
      </c>
      <c r="H2247" s="2">
        <v>39.0</v>
      </c>
      <c r="I2247" s="2">
        <v>143.0</v>
      </c>
      <c r="J2247" s="37">
        <v>1061.8400000000001</v>
      </c>
      <c r="K2247" s="2">
        <v>45.0</v>
      </c>
      <c r="L2247" s="2">
        <v>271.0</v>
      </c>
      <c r="M2247" s="37">
        <v>1363.0</v>
      </c>
    </row>
    <row r="2248" ht="14.25" customHeight="1">
      <c r="A2248" t="s">
        <v>2311</v>
      </c>
      <c r="B2248" t="s">
        <v>2193</v>
      </c>
      <c r="C2248" t="s">
        <v>62</v>
      </c>
      <c r="D2248" t="s">
        <v>63</v>
      </c>
      <c r="E2248">
        <v>12.5</v>
      </c>
      <c r="F2248">
        <v>14.0</v>
      </c>
      <c r="G2248" s="2" t="s">
        <v>67</v>
      </c>
      <c r="H2248" s="2">
        <v>39.0</v>
      </c>
      <c r="I2248" s="2">
        <v>143.0</v>
      </c>
      <c r="J2248" s="37">
        <v>1061.8400000000001</v>
      </c>
      <c r="K2248" s="2">
        <v>45.0</v>
      </c>
      <c r="L2248" s="2">
        <v>271.0</v>
      </c>
      <c r="M2248" s="37">
        <v>1363.0</v>
      </c>
    </row>
    <row r="2249" ht="14.25" customHeight="1">
      <c r="A2249" t="s">
        <v>2312</v>
      </c>
      <c r="B2249" t="s">
        <v>2193</v>
      </c>
      <c r="C2249" t="s">
        <v>62</v>
      </c>
      <c r="D2249" t="s">
        <v>63</v>
      </c>
      <c r="E2249">
        <v>12.5</v>
      </c>
      <c r="F2249">
        <v>14.0</v>
      </c>
      <c r="G2249" s="2" t="s">
        <v>67</v>
      </c>
      <c r="H2249" s="2">
        <v>39.0</v>
      </c>
      <c r="I2249" s="2">
        <v>143.0</v>
      </c>
      <c r="J2249" s="37">
        <v>1061.8400000000001</v>
      </c>
      <c r="K2249" s="2">
        <v>45.0</v>
      </c>
      <c r="L2249" s="2">
        <v>271.0</v>
      </c>
      <c r="M2249" s="37">
        <v>1363.0</v>
      </c>
    </row>
    <row r="2250" ht="14.25" customHeight="1">
      <c r="A2250" t="s">
        <v>2313</v>
      </c>
      <c r="B2250" t="s">
        <v>2193</v>
      </c>
      <c r="C2250" t="s">
        <v>62</v>
      </c>
      <c r="D2250" t="s">
        <v>63</v>
      </c>
      <c r="E2250">
        <v>12.5</v>
      </c>
      <c r="F2250">
        <v>14.0</v>
      </c>
      <c r="G2250" s="2" t="s">
        <v>67</v>
      </c>
      <c r="H2250" s="2">
        <v>39.0</v>
      </c>
      <c r="I2250" s="2">
        <v>143.0</v>
      </c>
      <c r="J2250" s="37">
        <v>1061.8400000000001</v>
      </c>
      <c r="K2250" s="2">
        <v>45.0</v>
      </c>
      <c r="L2250" s="2">
        <v>271.0</v>
      </c>
      <c r="M2250" s="37">
        <v>1363.0</v>
      </c>
    </row>
    <row r="2251" ht="14.25" customHeight="1">
      <c r="A2251" t="s">
        <v>2314</v>
      </c>
      <c r="B2251" t="s">
        <v>2193</v>
      </c>
      <c r="C2251" t="s">
        <v>62</v>
      </c>
      <c r="D2251" t="s">
        <v>63</v>
      </c>
      <c r="E2251">
        <v>10.0</v>
      </c>
      <c r="F2251">
        <v>11.2</v>
      </c>
      <c r="G2251" s="2" t="s">
        <v>67</v>
      </c>
      <c r="H2251" s="2">
        <v>31.0</v>
      </c>
      <c r="I2251" s="2">
        <v>235.0</v>
      </c>
      <c r="J2251" s="37">
        <v>1001.76</v>
      </c>
      <c r="K2251" s="2">
        <v>37.0</v>
      </c>
      <c r="L2251" s="2">
        <v>338.0</v>
      </c>
      <c r="M2251" s="37">
        <v>1270.42</v>
      </c>
    </row>
    <row r="2252" ht="14.25" customHeight="1">
      <c r="A2252" t="s">
        <v>2315</v>
      </c>
      <c r="B2252" t="s">
        <v>2193</v>
      </c>
      <c r="C2252" t="s">
        <v>62</v>
      </c>
      <c r="D2252" t="s">
        <v>63</v>
      </c>
      <c r="E2252">
        <v>10.0</v>
      </c>
      <c r="F2252">
        <v>11.2</v>
      </c>
      <c r="G2252" s="2" t="s">
        <v>67</v>
      </c>
      <c r="H2252" s="2">
        <v>31.0</v>
      </c>
      <c r="I2252" s="2">
        <v>235.0</v>
      </c>
      <c r="J2252" s="37">
        <v>1001.76</v>
      </c>
      <c r="K2252" s="2">
        <v>37.0</v>
      </c>
      <c r="L2252" s="2">
        <v>338.0</v>
      </c>
      <c r="M2252" s="37">
        <v>1270.42</v>
      </c>
    </row>
    <row r="2253" ht="14.25" customHeight="1">
      <c r="A2253" t="s">
        <v>2316</v>
      </c>
      <c r="B2253" t="s">
        <v>2193</v>
      </c>
      <c r="C2253" t="s">
        <v>62</v>
      </c>
      <c r="D2253" t="s">
        <v>63</v>
      </c>
      <c r="E2253">
        <v>10.0</v>
      </c>
      <c r="F2253">
        <v>11.2</v>
      </c>
      <c r="G2253" s="2" t="s">
        <v>67</v>
      </c>
      <c r="H2253" s="2">
        <v>31.0</v>
      </c>
      <c r="I2253" s="2">
        <v>235.0</v>
      </c>
      <c r="J2253" s="37">
        <v>1001.76</v>
      </c>
      <c r="K2253" s="2">
        <v>37.0</v>
      </c>
      <c r="L2253" s="2">
        <v>338.0</v>
      </c>
      <c r="M2253" s="37">
        <v>1270.42</v>
      </c>
    </row>
    <row r="2254" ht="14.25" customHeight="1">
      <c r="A2254" t="s">
        <v>2317</v>
      </c>
      <c r="B2254" t="s">
        <v>2193</v>
      </c>
      <c r="C2254" t="s">
        <v>62</v>
      </c>
      <c r="D2254" t="s">
        <v>63</v>
      </c>
      <c r="E2254">
        <v>10.0</v>
      </c>
      <c r="F2254">
        <v>11.2</v>
      </c>
      <c r="G2254" s="2" t="s">
        <v>67</v>
      </c>
      <c r="H2254" s="2">
        <v>31.0</v>
      </c>
      <c r="I2254" s="2">
        <v>235.0</v>
      </c>
      <c r="J2254" s="37">
        <v>1001.76</v>
      </c>
      <c r="K2254" s="2">
        <v>37.0</v>
      </c>
      <c r="L2254" s="2">
        <v>338.0</v>
      </c>
      <c r="M2254" s="37">
        <v>1270.42</v>
      </c>
    </row>
    <row r="2255" ht="14.25" customHeight="1">
      <c r="A2255" t="s">
        <v>2318</v>
      </c>
      <c r="B2255" t="s">
        <v>2193</v>
      </c>
      <c r="C2255" t="s">
        <v>62</v>
      </c>
      <c r="D2255" t="s">
        <v>63</v>
      </c>
      <c r="E2255">
        <v>10.0</v>
      </c>
      <c r="F2255">
        <v>11.2</v>
      </c>
      <c r="G2255" s="2" t="s">
        <v>67</v>
      </c>
      <c r="H2255" s="2">
        <v>31.0</v>
      </c>
      <c r="I2255" s="2">
        <v>235.0</v>
      </c>
      <c r="J2255" s="37">
        <v>1001.76</v>
      </c>
      <c r="K2255" s="2">
        <v>37.0</v>
      </c>
      <c r="L2255" s="2">
        <v>338.0</v>
      </c>
      <c r="M2255" s="37">
        <v>1270.42</v>
      </c>
    </row>
    <row r="2256" ht="14.25" customHeight="1">
      <c r="A2256" t="s">
        <v>2319</v>
      </c>
      <c r="B2256" t="s">
        <v>2193</v>
      </c>
      <c r="C2256" t="s">
        <v>75</v>
      </c>
      <c r="D2256" t="s">
        <v>63</v>
      </c>
      <c r="E2256">
        <v>12.5</v>
      </c>
      <c r="F2256">
        <v>14.0</v>
      </c>
      <c r="G2256" s="2" t="s">
        <v>64</v>
      </c>
      <c r="H2256" s="2">
        <v>0.0</v>
      </c>
      <c r="I2256" s="2">
        <v>0.0</v>
      </c>
      <c r="J2256" s="37">
        <v>0.0</v>
      </c>
      <c r="K2256" s="2">
        <v>0.0</v>
      </c>
      <c r="L2256" s="2">
        <v>0.0</v>
      </c>
      <c r="M2256" s="37">
        <v>0.0</v>
      </c>
    </row>
    <row r="2257" ht="14.25" customHeight="1">
      <c r="A2257" t="s">
        <v>2320</v>
      </c>
      <c r="B2257" t="s">
        <v>2193</v>
      </c>
      <c r="C2257" t="s">
        <v>75</v>
      </c>
      <c r="D2257" t="s">
        <v>63</v>
      </c>
      <c r="E2257">
        <v>12.5</v>
      </c>
      <c r="F2257">
        <v>14.0</v>
      </c>
      <c r="G2257" s="2" t="s">
        <v>64</v>
      </c>
      <c r="H2257" s="2">
        <v>0.0</v>
      </c>
      <c r="I2257" s="2">
        <v>0.0</v>
      </c>
      <c r="J2257" s="37">
        <v>0.0</v>
      </c>
      <c r="K2257" s="2">
        <v>0.0</v>
      </c>
      <c r="L2257" s="2">
        <v>0.0</v>
      </c>
      <c r="M2257" s="37">
        <v>0.0</v>
      </c>
    </row>
    <row r="2258" ht="14.25" customHeight="1">
      <c r="A2258" t="s">
        <v>2321</v>
      </c>
      <c r="B2258" t="s">
        <v>2193</v>
      </c>
      <c r="C2258" t="s">
        <v>75</v>
      </c>
      <c r="D2258" t="s">
        <v>63</v>
      </c>
      <c r="E2258">
        <v>12.5</v>
      </c>
      <c r="F2258">
        <v>14.0</v>
      </c>
      <c r="G2258" s="2" t="s">
        <v>64</v>
      </c>
      <c r="H2258" s="2">
        <v>0.0</v>
      </c>
      <c r="I2258" s="2">
        <v>0.0</v>
      </c>
      <c r="J2258" s="37">
        <v>0.0</v>
      </c>
      <c r="K2258" s="2">
        <v>0.0</v>
      </c>
      <c r="L2258" s="2">
        <v>0.0</v>
      </c>
      <c r="M2258" s="37">
        <v>0.0</v>
      </c>
    </row>
    <row r="2259" ht="14.25" customHeight="1">
      <c r="A2259" t="s">
        <v>2322</v>
      </c>
      <c r="B2259" t="s">
        <v>2193</v>
      </c>
      <c r="C2259" t="s">
        <v>75</v>
      </c>
      <c r="D2259" t="s">
        <v>63</v>
      </c>
      <c r="E2259">
        <v>12.5</v>
      </c>
      <c r="F2259">
        <v>14.0</v>
      </c>
      <c r="G2259" s="2" t="s">
        <v>64</v>
      </c>
      <c r="H2259" s="2">
        <v>0.0</v>
      </c>
      <c r="I2259" s="2">
        <v>0.0</v>
      </c>
      <c r="J2259" s="37">
        <v>0.0</v>
      </c>
      <c r="K2259" s="2">
        <v>0.0</v>
      </c>
      <c r="L2259" s="2">
        <v>0.0</v>
      </c>
      <c r="M2259" s="37">
        <v>0.0</v>
      </c>
    </row>
    <row r="2260" ht="14.25" customHeight="1">
      <c r="A2260" t="s">
        <v>2323</v>
      </c>
      <c r="B2260" t="s">
        <v>2193</v>
      </c>
      <c r="C2260" t="s">
        <v>62</v>
      </c>
      <c r="D2260" t="s">
        <v>63</v>
      </c>
      <c r="E2260">
        <v>12.5</v>
      </c>
      <c r="F2260">
        <v>14.0</v>
      </c>
      <c r="G2260" s="2" t="s">
        <v>64</v>
      </c>
      <c r="H2260" s="2">
        <v>0.0</v>
      </c>
      <c r="I2260" s="2">
        <v>0.0</v>
      </c>
      <c r="J2260" s="37">
        <v>0.0</v>
      </c>
      <c r="K2260" s="2">
        <v>0.0</v>
      </c>
      <c r="L2260" s="2">
        <v>0.0</v>
      </c>
      <c r="M2260" s="37">
        <v>0.0</v>
      </c>
    </row>
    <row r="2261" ht="14.25" customHeight="1">
      <c r="A2261" t="s">
        <v>2324</v>
      </c>
      <c r="B2261" t="s">
        <v>2193</v>
      </c>
      <c r="C2261" t="s">
        <v>62</v>
      </c>
      <c r="D2261" t="s">
        <v>63</v>
      </c>
      <c r="E2261">
        <v>12.5</v>
      </c>
      <c r="F2261">
        <v>14.0</v>
      </c>
      <c r="G2261" s="2" t="s">
        <v>64</v>
      </c>
      <c r="H2261" s="2">
        <v>0.0</v>
      </c>
      <c r="I2261" s="2">
        <v>0.0</v>
      </c>
      <c r="J2261" s="37">
        <v>0.0</v>
      </c>
      <c r="K2261" s="2">
        <v>0.0</v>
      </c>
      <c r="L2261" s="2">
        <v>0.0</v>
      </c>
      <c r="M2261" s="37">
        <v>0.0</v>
      </c>
    </row>
    <row r="2262" ht="14.25" customHeight="1">
      <c r="A2262" t="s">
        <v>2325</v>
      </c>
      <c r="B2262" t="s">
        <v>2193</v>
      </c>
      <c r="C2262" t="s">
        <v>62</v>
      </c>
      <c r="D2262" t="s">
        <v>63</v>
      </c>
      <c r="E2262">
        <v>12.5</v>
      </c>
      <c r="F2262">
        <v>14.0</v>
      </c>
      <c r="G2262" s="2" t="s">
        <v>64</v>
      </c>
      <c r="H2262" s="2">
        <v>0.0</v>
      </c>
      <c r="I2262" s="2">
        <v>0.0</v>
      </c>
      <c r="J2262" s="37">
        <v>0.0</v>
      </c>
      <c r="K2262" s="2">
        <v>0.0</v>
      </c>
      <c r="L2262" s="2">
        <v>0.0</v>
      </c>
      <c r="M2262" s="37">
        <v>0.0</v>
      </c>
    </row>
    <row r="2263" ht="14.25" customHeight="1">
      <c r="A2263" t="s">
        <v>2326</v>
      </c>
      <c r="B2263" t="s">
        <v>2193</v>
      </c>
      <c r="C2263" t="s">
        <v>62</v>
      </c>
      <c r="D2263" t="s">
        <v>63</v>
      </c>
      <c r="E2263">
        <v>12.5</v>
      </c>
      <c r="F2263">
        <v>14.0</v>
      </c>
      <c r="G2263" s="2" t="s">
        <v>64</v>
      </c>
      <c r="H2263" s="2">
        <v>0.0</v>
      </c>
      <c r="I2263" s="2">
        <v>0.0</v>
      </c>
      <c r="J2263" s="37">
        <v>0.0</v>
      </c>
      <c r="K2263" s="2">
        <v>0.0</v>
      </c>
      <c r="L2263" s="2">
        <v>0.0</v>
      </c>
      <c r="M2263" s="37">
        <v>0.0</v>
      </c>
    </row>
    <row r="2264" ht="14.25" customHeight="1">
      <c r="A2264" t="s">
        <v>2327</v>
      </c>
      <c r="B2264" t="s">
        <v>2193</v>
      </c>
      <c r="C2264" t="s">
        <v>62</v>
      </c>
      <c r="D2264" t="s">
        <v>63</v>
      </c>
      <c r="E2264">
        <v>12.5</v>
      </c>
      <c r="F2264">
        <v>14.0</v>
      </c>
      <c r="G2264" s="2" t="s">
        <v>64</v>
      </c>
      <c r="H2264" s="2">
        <v>0.0</v>
      </c>
      <c r="I2264" s="2">
        <v>0.0</v>
      </c>
      <c r="J2264" s="37">
        <v>0.0</v>
      </c>
      <c r="K2264" s="2">
        <v>0.0</v>
      </c>
      <c r="L2264" s="2">
        <v>0.0</v>
      </c>
      <c r="M2264" s="37">
        <v>0.0</v>
      </c>
    </row>
    <row r="2265" ht="14.25" customHeight="1">
      <c r="A2265" t="s">
        <v>2328</v>
      </c>
      <c r="B2265" t="s">
        <v>2193</v>
      </c>
      <c r="C2265" t="s">
        <v>75</v>
      </c>
      <c r="D2265" t="s">
        <v>63</v>
      </c>
      <c r="E2265">
        <v>14.0</v>
      </c>
      <c r="F2265">
        <v>16.0</v>
      </c>
      <c r="G2265" s="2" t="s">
        <v>64</v>
      </c>
      <c r="H2265" s="2">
        <v>0.0</v>
      </c>
      <c r="I2265" s="2">
        <v>0.0</v>
      </c>
      <c r="J2265" s="37">
        <v>0.0</v>
      </c>
      <c r="K2265" s="2">
        <v>0.0</v>
      </c>
      <c r="L2265" s="2">
        <v>0.0</v>
      </c>
      <c r="M2265" s="37">
        <v>0.0</v>
      </c>
    </row>
    <row r="2266" ht="14.25" customHeight="1">
      <c r="A2266" t="s">
        <v>2329</v>
      </c>
      <c r="B2266" t="s">
        <v>2193</v>
      </c>
      <c r="C2266" t="s">
        <v>75</v>
      </c>
      <c r="D2266" t="s">
        <v>63</v>
      </c>
      <c r="E2266">
        <v>14.0</v>
      </c>
      <c r="F2266">
        <v>16.0</v>
      </c>
      <c r="G2266" s="2" t="s">
        <v>64</v>
      </c>
      <c r="H2266" s="2">
        <v>0.0</v>
      </c>
      <c r="I2266" s="2">
        <v>0.0</v>
      </c>
      <c r="J2266" s="37">
        <v>0.0</v>
      </c>
      <c r="K2266" s="2">
        <v>0.0</v>
      </c>
      <c r="L2266" s="2">
        <v>0.0</v>
      </c>
      <c r="M2266" s="37">
        <v>0.0</v>
      </c>
    </row>
    <row r="2267" ht="14.25" customHeight="1">
      <c r="A2267" t="s">
        <v>2330</v>
      </c>
      <c r="B2267" t="s">
        <v>2193</v>
      </c>
      <c r="C2267" t="s">
        <v>75</v>
      </c>
      <c r="D2267" t="s">
        <v>63</v>
      </c>
      <c r="E2267">
        <v>14.0</v>
      </c>
      <c r="F2267">
        <v>16.0</v>
      </c>
      <c r="G2267" s="2" t="s">
        <v>64</v>
      </c>
      <c r="H2267" s="2">
        <v>0.0</v>
      </c>
      <c r="I2267" s="2">
        <v>0.0</v>
      </c>
      <c r="J2267" s="37">
        <v>0.0</v>
      </c>
      <c r="K2267" s="2">
        <v>0.0</v>
      </c>
      <c r="L2267" s="2">
        <v>0.0</v>
      </c>
      <c r="M2267" s="37">
        <v>0.0</v>
      </c>
    </row>
    <row r="2268" ht="14.25" customHeight="1">
      <c r="A2268" t="s">
        <v>2331</v>
      </c>
      <c r="B2268" t="s">
        <v>2193</v>
      </c>
      <c r="C2268" t="s">
        <v>75</v>
      </c>
      <c r="D2268" t="s">
        <v>63</v>
      </c>
      <c r="E2268">
        <v>14.0</v>
      </c>
      <c r="F2268">
        <v>16.0</v>
      </c>
      <c r="G2268" s="2" t="s">
        <v>64</v>
      </c>
      <c r="H2268" s="2">
        <v>0.0</v>
      </c>
      <c r="I2268" s="2">
        <v>0.0</v>
      </c>
      <c r="J2268" s="37">
        <v>0.0</v>
      </c>
      <c r="K2268" s="2">
        <v>0.0</v>
      </c>
      <c r="L2268" s="2">
        <v>0.0</v>
      </c>
      <c r="M2268" s="37">
        <v>0.0</v>
      </c>
    </row>
    <row r="2269" ht="14.25" customHeight="1">
      <c r="A2269" t="s">
        <v>2332</v>
      </c>
      <c r="B2269" t="s">
        <v>2193</v>
      </c>
      <c r="C2269" t="s">
        <v>75</v>
      </c>
      <c r="D2269" t="s">
        <v>63</v>
      </c>
      <c r="E2269">
        <v>14.0</v>
      </c>
      <c r="F2269">
        <v>16.0</v>
      </c>
      <c r="G2269" s="2" t="s">
        <v>64</v>
      </c>
      <c r="H2269" s="2">
        <v>0.0</v>
      </c>
      <c r="I2269" s="2">
        <v>0.0</v>
      </c>
      <c r="J2269" s="37">
        <v>0.0</v>
      </c>
      <c r="K2269" s="2">
        <v>0.0</v>
      </c>
      <c r="L2269" s="2">
        <v>0.0</v>
      </c>
      <c r="M2269" s="37">
        <v>0.0</v>
      </c>
    </row>
    <row r="2270" ht="14.25" customHeight="1">
      <c r="A2270" t="s">
        <v>2333</v>
      </c>
      <c r="B2270" t="s">
        <v>2193</v>
      </c>
      <c r="C2270" t="s">
        <v>62</v>
      </c>
      <c r="D2270" t="s">
        <v>63</v>
      </c>
      <c r="E2270">
        <v>13.5</v>
      </c>
      <c r="F2270">
        <v>16.0</v>
      </c>
      <c r="G2270" s="2" t="s">
        <v>67</v>
      </c>
      <c r="H2270" s="2">
        <v>42.0</v>
      </c>
      <c r="I2270" s="2">
        <v>125.0</v>
      </c>
      <c r="J2270" s="37">
        <v>1105.8200000000002</v>
      </c>
      <c r="K2270" s="2">
        <v>50.0</v>
      </c>
      <c r="L2270" s="2">
        <v>264.0</v>
      </c>
      <c r="M2270" s="37">
        <v>1466.2</v>
      </c>
    </row>
    <row r="2271" ht="14.25" customHeight="1">
      <c r="A2271" t="s">
        <v>2334</v>
      </c>
      <c r="B2271" t="s">
        <v>2193</v>
      </c>
      <c r="C2271" t="s">
        <v>62</v>
      </c>
      <c r="D2271" t="s">
        <v>63</v>
      </c>
      <c r="E2271">
        <v>13.5</v>
      </c>
      <c r="F2271">
        <v>16.0</v>
      </c>
      <c r="G2271" s="2" t="s">
        <v>67</v>
      </c>
      <c r="H2271" s="2">
        <v>42.0</v>
      </c>
      <c r="I2271" s="2">
        <v>125.0</v>
      </c>
      <c r="J2271" s="37">
        <v>1105.8200000000002</v>
      </c>
      <c r="K2271" s="2">
        <v>50.0</v>
      </c>
      <c r="L2271" s="2">
        <v>264.0</v>
      </c>
      <c r="M2271" s="37">
        <v>1466.2</v>
      </c>
    </row>
    <row r="2272" ht="14.25" customHeight="1">
      <c r="A2272" t="s">
        <v>2335</v>
      </c>
      <c r="B2272" t="s">
        <v>2193</v>
      </c>
      <c r="C2272" t="s">
        <v>62</v>
      </c>
      <c r="D2272" t="s">
        <v>63</v>
      </c>
      <c r="E2272">
        <v>13.5</v>
      </c>
      <c r="F2272">
        <v>16.0</v>
      </c>
      <c r="G2272" s="2" t="s">
        <v>67</v>
      </c>
      <c r="H2272" s="2">
        <v>42.0</v>
      </c>
      <c r="I2272" s="2">
        <v>125.0</v>
      </c>
      <c r="J2272" s="37">
        <v>1105.8200000000002</v>
      </c>
      <c r="K2272" s="2">
        <v>50.0</v>
      </c>
      <c r="L2272" s="2">
        <v>264.0</v>
      </c>
      <c r="M2272" s="37">
        <v>1466.2</v>
      </c>
    </row>
    <row r="2273" ht="14.25" customHeight="1">
      <c r="A2273" t="s">
        <v>2336</v>
      </c>
      <c r="B2273" t="s">
        <v>2193</v>
      </c>
      <c r="C2273" t="s">
        <v>62</v>
      </c>
      <c r="D2273" t="s">
        <v>63</v>
      </c>
      <c r="E2273">
        <v>13.5</v>
      </c>
      <c r="F2273">
        <v>16.0</v>
      </c>
      <c r="G2273" s="2" t="s">
        <v>67</v>
      </c>
      <c r="H2273" s="2">
        <v>42.0</v>
      </c>
      <c r="I2273" s="2">
        <v>125.0</v>
      </c>
      <c r="J2273" s="37">
        <v>1105.8200000000002</v>
      </c>
      <c r="K2273" s="2">
        <v>50.0</v>
      </c>
      <c r="L2273" s="2">
        <v>264.0</v>
      </c>
      <c r="M2273" s="37">
        <v>1466.2</v>
      </c>
    </row>
    <row r="2274" ht="14.25" customHeight="1">
      <c r="A2274" t="s">
        <v>2337</v>
      </c>
      <c r="B2274" t="s">
        <v>2193</v>
      </c>
      <c r="C2274" t="s">
        <v>62</v>
      </c>
      <c r="D2274" t="s">
        <v>63</v>
      </c>
      <c r="E2274">
        <v>13.5</v>
      </c>
      <c r="F2274">
        <v>16.0</v>
      </c>
      <c r="G2274" s="2" t="s">
        <v>67</v>
      </c>
      <c r="H2274" s="2">
        <v>42.0</v>
      </c>
      <c r="I2274" s="2">
        <v>125.0</v>
      </c>
      <c r="J2274" s="37">
        <v>1105.8200000000002</v>
      </c>
      <c r="K2274" s="2">
        <v>50.0</v>
      </c>
      <c r="L2274" s="2">
        <v>264.0</v>
      </c>
      <c r="M2274" s="37">
        <v>1466.2</v>
      </c>
    </row>
    <row r="2275" ht="14.25" customHeight="1">
      <c r="A2275" t="s">
        <v>2338</v>
      </c>
      <c r="B2275" t="s">
        <v>2193</v>
      </c>
      <c r="C2275" t="s">
        <v>75</v>
      </c>
      <c r="D2275" t="s">
        <v>63</v>
      </c>
      <c r="E2275">
        <v>12.5</v>
      </c>
      <c r="F2275">
        <v>14.0</v>
      </c>
      <c r="G2275" s="2" t="s">
        <v>64</v>
      </c>
      <c r="H2275" s="2">
        <v>0.0</v>
      </c>
      <c r="I2275" s="2">
        <v>0.0</v>
      </c>
      <c r="J2275" s="37">
        <v>0.0</v>
      </c>
      <c r="K2275" s="2">
        <v>0.0</v>
      </c>
      <c r="L2275" s="2">
        <v>0.0</v>
      </c>
      <c r="M2275" s="37">
        <v>0.0</v>
      </c>
    </row>
    <row r="2276" ht="14.25" customHeight="1">
      <c r="A2276" t="s">
        <v>2339</v>
      </c>
      <c r="B2276" t="s">
        <v>2193</v>
      </c>
      <c r="C2276" t="s">
        <v>62</v>
      </c>
      <c r="D2276" t="s">
        <v>63</v>
      </c>
      <c r="E2276">
        <v>13.5</v>
      </c>
      <c r="F2276">
        <v>16.0</v>
      </c>
      <c r="G2276" s="2" t="s">
        <v>67</v>
      </c>
      <c r="H2276" s="2">
        <v>42.0</v>
      </c>
      <c r="I2276" s="2">
        <v>125.0</v>
      </c>
      <c r="J2276" s="37">
        <v>1105.8200000000002</v>
      </c>
      <c r="K2276" s="2">
        <v>50.0</v>
      </c>
      <c r="L2276" s="2">
        <v>264.0</v>
      </c>
      <c r="M2276" s="37">
        <v>1466.2</v>
      </c>
    </row>
    <row r="2277" ht="14.25" customHeight="1">
      <c r="A2277" t="s">
        <v>2340</v>
      </c>
      <c r="B2277" t="s">
        <v>2193</v>
      </c>
      <c r="C2277" t="s">
        <v>62</v>
      </c>
      <c r="D2277" t="s">
        <v>63</v>
      </c>
      <c r="E2277">
        <v>13.5</v>
      </c>
      <c r="F2277">
        <v>16.0</v>
      </c>
      <c r="G2277" s="2" t="s">
        <v>67</v>
      </c>
      <c r="H2277" s="2">
        <v>42.0</v>
      </c>
      <c r="I2277" s="2">
        <v>125.0</v>
      </c>
      <c r="J2277" s="37">
        <v>1105.8200000000002</v>
      </c>
      <c r="K2277" s="2">
        <v>50.0</v>
      </c>
      <c r="L2277" s="2">
        <v>264.0</v>
      </c>
      <c r="M2277" s="37">
        <v>1466.2</v>
      </c>
    </row>
    <row r="2278" ht="14.25" customHeight="1">
      <c r="A2278" t="s">
        <v>2341</v>
      </c>
      <c r="B2278" t="s">
        <v>2193</v>
      </c>
      <c r="C2278" t="s">
        <v>62</v>
      </c>
      <c r="D2278" t="s">
        <v>63</v>
      </c>
      <c r="E2278">
        <v>13.5</v>
      </c>
      <c r="F2278">
        <v>16.0</v>
      </c>
      <c r="G2278" s="2" t="s">
        <v>67</v>
      </c>
      <c r="H2278" s="2">
        <v>42.0</v>
      </c>
      <c r="I2278" s="2">
        <v>125.0</v>
      </c>
      <c r="J2278" s="37">
        <v>1105.8200000000002</v>
      </c>
      <c r="K2278" s="2">
        <v>50.0</v>
      </c>
      <c r="L2278" s="2">
        <v>264.0</v>
      </c>
      <c r="M2278" s="37">
        <v>1466.2</v>
      </c>
    </row>
    <row r="2279" ht="14.25" customHeight="1">
      <c r="A2279" t="s">
        <v>2342</v>
      </c>
      <c r="B2279" t="s">
        <v>2193</v>
      </c>
      <c r="C2279" t="s">
        <v>62</v>
      </c>
      <c r="D2279" t="s">
        <v>63</v>
      </c>
      <c r="E2279">
        <v>13.5</v>
      </c>
      <c r="F2279">
        <v>16.0</v>
      </c>
      <c r="G2279" s="2" t="s">
        <v>67</v>
      </c>
      <c r="H2279" s="2">
        <v>42.0</v>
      </c>
      <c r="I2279" s="2">
        <v>125.0</v>
      </c>
      <c r="J2279" s="37">
        <v>1105.8200000000002</v>
      </c>
      <c r="K2279" s="2">
        <v>50.0</v>
      </c>
      <c r="L2279" s="2">
        <v>264.0</v>
      </c>
      <c r="M2279" s="37">
        <v>1466.2</v>
      </c>
    </row>
    <row r="2280" ht="14.25" customHeight="1">
      <c r="A2280" t="s">
        <v>2343</v>
      </c>
      <c r="B2280" t="s">
        <v>2193</v>
      </c>
      <c r="C2280" t="s">
        <v>62</v>
      </c>
      <c r="D2280" t="s">
        <v>63</v>
      </c>
      <c r="E2280">
        <v>13.5</v>
      </c>
      <c r="F2280">
        <v>16.0</v>
      </c>
      <c r="G2280" s="2" t="s">
        <v>67</v>
      </c>
      <c r="H2280" s="2">
        <v>42.0</v>
      </c>
      <c r="I2280" s="2">
        <v>125.0</v>
      </c>
      <c r="J2280" s="37">
        <v>1105.8200000000002</v>
      </c>
      <c r="K2280" s="2">
        <v>50.0</v>
      </c>
      <c r="L2280" s="2">
        <v>264.0</v>
      </c>
      <c r="M2280" s="37">
        <v>1466.2</v>
      </c>
    </row>
    <row r="2281" ht="14.25" customHeight="1">
      <c r="A2281" t="s">
        <v>2344</v>
      </c>
      <c r="B2281" t="s">
        <v>2193</v>
      </c>
      <c r="C2281" t="s">
        <v>62</v>
      </c>
      <c r="D2281" t="s">
        <v>63</v>
      </c>
      <c r="E2281">
        <v>7.1</v>
      </c>
      <c r="F2281">
        <v>8.0</v>
      </c>
      <c r="G2281" s="2" t="s">
        <v>67</v>
      </c>
      <c r="H2281" s="2">
        <v>22.0</v>
      </c>
      <c r="I2281" s="2">
        <v>99.0</v>
      </c>
      <c r="J2281" s="37">
        <v>622.82</v>
      </c>
      <c r="K2281" s="2">
        <v>25.0</v>
      </c>
      <c r="L2281" s="2">
        <v>164.0</v>
      </c>
      <c r="M2281" s="37">
        <v>774.7</v>
      </c>
    </row>
    <row r="2282" ht="14.25" customHeight="1">
      <c r="A2282" t="s">
        <v>2345</v>
      </c>
      <c r="B2282" t="s">
        <v>2193</v>
      </c>
      <c r="C2282" t="s">
        <v>62</v>
      </c>
      <c r="D2282" t="s">
        <v>63</v>
      </c>
      <c r="E2282">
        <v>7.1</v>
      </c>
      <c r="F2282">
        <v>8.0</v>
      </c>
      <c r="G2282" s="2" t="s">
        <v>67</v>
      </c>
      <c r="H2282" s="2">
        <v>22.0</v>
      </c>
      <c r="I2282" s="2">
        <v>99.0</v>
      </c>
      <c r="J2282" s="37">
        <v>622.82</v>
      </c>
      <c r="K2282" s="2">
        <v>25.0</v>
      </c>
      <c r="L2282" s="2">
        <v>164.0</v>
      </c>
      <c r="M2282" s="37">
        <v>774.7</v>
      </c>
    </row>
    <row r="2283" ht="14.25" customHeight="1">
      <c r="A2283" t="s">
        <v>2346</v>
      </c>
      <c r="B2283" t="s">
        <v>2193</v>
      </c>
      <c r="C2283" t="s">
        <v>62</v>
      </c>
      <c r="D2283" t="s">
        <v>63</v>
      </c>
      <c r="E2283">
        <v>7.1</v>
      </c>
      <c r="F2283">
        <v>8.0</v>
      </c>
      <c r="G2283" s="2" t="s">
        <v>67</v>
      </c>
      <c r="H2283" s="2">
        <v>22.0</v>
      </c>
      <c r="I2283" s="2">
        <v>99.0</v>
      </c>
      <c r="J2283" s="37">
        <v>622.82</v>
      </c>
      <c r="K2283" s="2">
        <v>25.0</v>
      </c>
      <c r="L2283" s="2">
        <v>164.0</v>
      </c>
      <c r="M2283" s="37">
        <v>774.7</v>
      </c>
    </row>
    <row r="2284" ht="14.25" customHeight="1">
      <c r="A2284" t="s">
        <v>2347</v>
      </c>
      <c r="B2284" t="s">
        <v>2193</v>
      </c>
      <c r="C2284" t="s">
        <v>62</v>
      </c>
      <c r="D2284" t="s">
        <v>63</v>
      </c>
      <c r="E2284">
        <v>6.0</v>
      </c>
      <c r="F2284">
        <v>7.0</v>
      </c>
      <c r="G2284" s="2" t="s">
        <v>67</v>
      </c>
      <c r="H2284" s="2">
        <v>19.0</v>
      </c>
      <c r="I2284" s="2">
        <v>78.0</v>
      </c>
      <c r="J2284" s="37">
        <v>528.14</v>
      </c>
      <c r="K2284" s="2">
        <v>22.0</v>
      </c>
      <c r="L2284" s="2">
        <v>132.0</v>
      </c>
      <c r="M2284" s="37">
        <v>665.72</v>
      </c>
    </row>
    <row r="2285" ht="14.25" customHeight="1">
      <c r="A2285" t="s">
        <v>2348</v>
      </c>
      <c r="B2285" t="s">
        <v>2193</v>
      </c>
      <c r="C2285" t="s">
        <v>62</v>
      </c>
      <c r="D2285" t="s">
        <v>63</v>
      </c>
      <c r="E2285">
        <v>6.0</v>
      </c>
      <c r="F2285">
        <v>7.0</v>
      </c>
      <c r="G2285" s="2" t="s">
        <v>67</v>
      </c>
      <c r="H2285" s="2">
        <v>19.0</v>
      </c>
      <c r="I2285" s="2">
        <v>78.0</v>
      </c>
      <c r="J2285" s="37">
        <v>528.14</v>
      </c>
      <c r="K2285" s="2">
        <v>22.0</v>
      </c>
      <c r="L2285" s="2">
        <v>132.0</v>
      </c>
      <c r="M2285" s="37">
        <v>665.72</v>
      </c>
    </row>
    <row r="2286" ht="14.25" customHeight="1">
      <c r="A2286" t="s">
        <v>2349</v>
      </c>
      <c r="B2286" t="s">
        <v>2193</v>
      </c>
      <c r="C2286" t="s">
        <v>62</v>
      </c>
      <c r="D2286" t="s">
        <v>63</v>
      </c>
      <c r="E2286">
        <v>6.0</v>
      </c>
      <c r="F2286">
        <v>7.0</v>
      </c>
      <c r="G2286" s="2" t="s">
        <v>67</v>
      </c>
      <c r="H2286" s="2">
        <v>19.0</v>
      </c>
      <c r="I2286" s="2">
        <v>78.0</v>
      </c>
      <c r="J2286" s="37">
        <v>528.14</v>
      </c>
      <c r="K2286" s="2">
        <v>22.0</v>
      </c>
      <c r="L2286" s="2">
        <v>132.0</v>
      </c>
      <c r="M2286" s="37">
        <v>665.72</v>
      </c>
    </row>
    <row r="2287" ht="14.25" customHeight="1">
      <c r="A2287" t="s">
        <v>2350</v>
      </c>
      <c r="B2287" t="s">
        <v>2193</v>
      </c>
      <c r="C2287" t="s">
        <v>62</v>
      </c>
      <c r="D2287" t="s">
        <v>63</v>
      </c>
      <c r="E2287">
        <v>5.0</v>
      </c>
      <c r="F2287">
        <v>6.0</v>
      </c>
      <c r="G2287" s="2" t="s">
        <v>64</v>
      </c>
      <c r="H2287" s="2">
        <v>0.0</v>
      </c>
      <c r="I2287" s="2">
        <v>0.0</v>
      </c>
      <c r="J2287" s="37">
        <v>0.0</v>
      </c>
      <c r="K2287" s="2">
        <v>0.0</v>
      </c>
      <c r="L2287" s="2">
        <v>0.0</v>
      </c>
      <c r="M2287" s="37">
        <v>0.0</v>
      </c>
    </row>
    <row r="2288" ht="14.25" customHeight="1">
      <c r="A2288" t="s">
        <v>2351</v>
      </c>
      <c r="B2288" t="s">
        <v>2193</v>
      </c>
      <c r="C2288" t="s">
        <v>62</v>
      </c>
      <c r="D2288" t="s">
        <v>63</v>
      </c>
      <c r="E2288">
        <v>5.0</v>
      </c>
      <c r="F2288">
        <v>6.0</v>
      </c>
      <c r="G2288" s="2" t="s">
        <v>64</v>
      </c>
      <c r="H2288" s="2">
        <v>0.0</v>
      </c>
      <c r="I2288" s="2">
        <v>0.0</v>
      </c>
      <c r="J2288" s="37">
        <v>0.0</v>
      </c>
      <c r="K2288" s="2">
        <v>0.0</v>
      </c>
      <c r="L2288" s="2">
        <v>0.0</v>
      </c>
      <c r="M2288" s="37">
        <v>0.0</v>
      </c>
    </row>
    <row r="2289" ht="14.25" customHeight="1">
      <c r="A2289" t="s">
        <v>2352</v>
      </c>
      <c r="B2289" t="s">
        <v>2193</v>
      </c>
      <c r="C2289" t="s">
        <v>62</v>
      </c>
      <c r="D2289" t="s">
        <v>63</v>
      </c>
      <c r="E2289">
        <v>5.0</v>
      </c>
      <c r="F2289">
        <v>6.0</v>
      </c>
      <c r="G2289" s="2" t="s">
        <v>64</v>
      </c>
      <c r="H2289" s="2">
        <v>0.0</v>
      </c>
      <c r="I2289" s="2">
        <v>0.0</v>
      </c>
      <c r="J2289" s="37">
        <v>0.0</v>
      </c>
      <c r="K2289" s="2">
        <v>0.0</v>
      </c>
      <c r="L2289" s="2">
        <v>0.0</v>
      </c>
      <c r="M2289" s="37">
        <v>0.0</v>
      </c>
    </row>
    <row r="2290" ht="14.25" customHeight="1">
      <c r="A2290" t="s">
        <v>2353</v>
      </c>
      <c r="B2290" t="s">
        <v>2193</v>
      </c>
      <c r="C2290" t="s">
        <v>62</v>
      </c>
      <c r="D2290" t="s">
        <v>63</v>
      </c>
      <c r="E2290">
        <v>7.1</v>
      </c>
      <c r="F2290">
        <v>8.0</v>
      </c>
      <c r="G2290" s="2" t="s">
        <v>64</v>
      </c>
      <c r="H2290" s="2">
        <v>0.0</v>
      </c>
      <c r="I2290" s="2">
        <v>0.0</v>
      </c>
      <c r="J2290" s="37">
        <v>0.0</v>
      </c>
      <c r="K2290" s="2">
        <v>0.0</v>
      </c>
      <c r="L2290" s="2">
        <v>0.0</v>
      </c>
      <c r="M2290" s="37">
        <v>0.0</v>
      </c>
    </row>
    <row r="2291" ht="14.25" customHeight="1">
      <c r="A2291" t="s">
        <v>2354</v>
      </c>
      <c r="B2291" t="s">
        <v>2193</v>
      </c>
      <c r="C2291" t="s">
        <v>62</v>
      </c>
      <c r="D2291" t="s">
        <v>63</v>
      </c>
      <c r="E2291">
        <v>7.1</v>
      </c>
      <c r="F2291">
        <v>8.0</v>
      </c>
      <c r="G2291" s="2" t="s">
        <v>64</v>
      </c>
      <c r="H2291" s="2">
        <v>0.0</v>
      </c>
      <c r="I2291" s="2">
        <v>0.0</v>
      </c>
      <c r="J2291" s="37">
        <v>0.0</v>
      </c>
      <c r="K2291" s="2">
        <v>0.0</v>
      </c>
      <c r="L2291" s="2">
        <v>0.0</v>
      </c>
      <c r="M2291" s="37">
        <v>0.0</v>
      </c>
    </row>
    <row r="2292" ht="14.25" customHeight="1">
      <c r="A2292" t="s">
        <v>2355</v>
      </c>
      <c r="B2292" t="s">
        <v>2193</v>
      </c>
      <c r="C2292" t="s">
        <v>62</v>
      </c>
      <c r="D2292" t="s">
        <v>63</v>
      </c>
      <c r="E2292">
        <v>7.1</v>
      </c>
      <c r="F2292">
        <v>8.0</v>
      </c>
      <c r="G2292" s="2" t="s">
        <v>64</v>
      </c>
      <c r="H2292" s="2">
        <v>0.0</v>
      </c>
      <c r="I2292" s="2">
        <v>0.0</v>
      </c>
      <c r="J2292" s="37">
        <v>0.0</v>
      </c>
      <c r="K2292" s="2">
        <v>0.0</v>
      </c>
      <c r="L2292" s="2">
        <v>0.0</v>
      </c>
      <c r="M2292" s="37">
        <v>0.0</v>
      </c>
    </row>
    <row r="2293" ht="14.25" customHeight="1">
      <c r="A2293" t="s">
        <v>2356</v>
      </c>
      <c r="B2293" t="s">
        <v>2193</v>
      </c>
      <c r="C2293" t="s">
        <v>62</v>
      </c>
      <c r="D2293" t="s">
        <v>63</v>
      </c>
      <c r="E2293">
        <v>2.5</v>
      </c>
      <c r="F2293">
        <v>3.2</v>
      </c>
      <c r="G2293" s="2" t="s">
        <v>64</v>
      </c>
      <c r="H2293" s="2">
        <v>0.0</v>
      </c>
      <c r="I2293" s="2">
        <v>0.0</v>
      </c>
      <c r="J2293" s="37">
        <v>0.0</v>
      </c>
      <c r="K2293" s="2">
        <v>0.0</v>
      </c>
      <c r="L2293" s="2">
        <v>0.0</v>
      </c>
      <c r="M2293" s="37">
        <v>0.0</v>
      </c>
    </row>
    <row r="2294" ht="14.25" customHeight="1">
      <c r="A2294" t="s">
        <v>2357</v>
      </c>
      <c r="B2294" t="s">
        <v>2193</v>
      </c>
      <c r="C2294" t="s">
        <v>62</v>
      </c>
      <c r="D2294" t="s">
        <v>63</v>
      </c>
      <c r="E2294">
        <v>2.5</v>
      </c>
      <c r="F2294">
        <v>3.2</v>
      </c>
      <c r="G2294" s="2" t="s">
        <v>64</v>
      </c>
      <c r="H2294" s="2">
        <v>0.0</v>
      </c>
      <c r="I2294" s="2">
        <v>0.0</v>
      </c>
      <c r="J2294" s="37">
        <v>0.0</v>
      </c>
      <c r="K2294" s="2">
        <v>0.0</v>
      </c>
      <c r="L2294" s="2">
        <v>0.0</v>
      </c>
      <c r="M2294" s="37">
        <v>0.0</v>
      </c>
    </row>
    <row r="2295" ht="14.25" customHeight="1">
      <c r="A2295" t="s">
        <v>2358</v>
      </c>
      <c r="B2295" t="s">
        <v>2193</v>
      </c>
      <c r="C2295" t="s">
        <v>62</v>
      </c>
      <c r="D2295" t="s">
        <v>63</v>
      </c>
      <c r="E2295">
        <v>2.5</v>
      </c>
      <c r="F2295">
        <v>3.2</v>
      </c>
      <c r="G2295" s="2" t="s">
        <v>64</v>
      </c>
      <c r="H2295" s="2">
        <v>0.0</v>
      </c>
      <c r="I2295" s="2">
        <v>0.0</v>
      </c>
      <c r="J2295" s="37">
        <v>0.0</v>
      </c>
      <c r="K2295" s="2">
        <v>0.0</v>
      </c>
      <c r="L2295" s="2">
        <v>0.0</v>
      </c>
      <c r="M2295" s="37">
        <v>0.0</v>
      </c>
    </row>
    <row r="2296" ht="14.25" customHeight="1">
      <c r="A2296" t="s">
        <v>2359</v>
      </c>
      <c r="B2296" t="s">
        <v>2193</v>
      </c>
      <c r="C2296" t="s">
        <v>62</v>
      </c>
      <c r="D2296" t="s">
        <v>63</v>
      </c>
      <c r="E2296">
        <v>2.5</v>
      </c>
      <c r="F2296">
        <v>3.2</v>
      </c>
      <c r="G2296" s="2" t="s">
        <v>67</v>
      </c>
      <c r="H2296" s="2">
        <v>8.0</v>
      </c>
      <c r="I2296" s="2">
        <v>54.0</v>
      </c>
      <c r="J2296" s="37">
        <v>249.88</v>
      </c>
      <c r="K2296" s="2">
        <v>9.0</v>
      </c>
      <c r="L2296" s="2">
        <v>74.0</v>
      </c>
      <c r="M2296" s="37">
        <v>298.34000000000003</v>
      </c>
    </row>
    <row r="2297" ht="14.25" customHeight="1">
      <c r="A2297" t="s">
        <v>2360</v>
      </c>
      <c r="B2297" t="s">
        <v>2193</v>
      </c>
      <c r="C2297" t="s">
        <v>62</v>
      </c>
      <c r="D2297" t="s">
        <v>63</v>
      </c>
      <c r="E2297">
        <v>2.5</v>
      </c>
      <c r="F2297">
        <v>3.2</v>
      </c>
      <c r="G2297" s="2" t="s">
        <v>67</v>
      </c>
      <c r="H2297" s="2">
        <v>8.0</v>
      </c>
      <c r="I2297" s="2">
        <v>54.0</v>
      </c>
      <c r="J2297" s="37">
        <v>249.88</v>
      </c>
      <c r="K2297" s="2">
        <v>9.0</v>
      </c>
      <c r="L2297" s="2">
        <v>74.0</v>
      </c>
      <c r="M2297" s="37">
        <v>298.34000000000003</v>
      </c>
    </row>
    <row r="2298" ht="14.25" customHeight="1">
      <c r="A2298" t="s">
        <v>2361</v>
      </c>
      <c r="B2298" t="s">
        <v>2193</v>
      </c>
      <c r="C2298" t="s">
        <v>62</v>
      </c>
      <c r="D2298" t="s">
        <v>63</v>
      </c>
      <c r="E2298">
        <v>2.5</v>
      </c>
      <c r="F2298">
        <v>3.2</v>
      </c>
      <c r="G2298" s="2" t="s">
        <v>67</v>
      </c>
      <c r="H2298" s="2">
        <v>8.0</v>
      </c>
      <c r="I2298" s="2">
        <v>54.0</v>
      </c>
      <c r="J2298" s="37">
        <v>249.88</v>
      </c>
      <c r="K2298" s="2">
        <v>9.0</v>
      </c>
      <c r="L2298" s="2">
        <v>74.0</v>
      </c>
      <c r="M2298" s="37">
        <v>298.34000000000003</v>
      </c>
    </row>
    <row r="2299" ht="14.25" customHeight="1">
      <c r="A2299" t="s">
        <v>2362</v>
      </c>
      <c r="B2299" t="s">
        <v>2193</v>
      </c>
      <c r="C2299" t="s">
        <v>62</v>
      </c>
      <c r="D2299" t="s">
        <v>63</v>
      </c>
      <c r="E2299">
        <v>2.5</v>
      </c>
      <c r="F2299">
        <v>3.2</v>
      </c>
      <c r="G2299" s="2" t="s">
        <v>67</v>
      </c>
      <c r="H2299" s="2">
        <v>8.0</v>
      </c>
      <c r="I2299" s="2">
        <v>54.0</v>
      </c>
      <c r="J2299" s="37">
        <v>249.88</v>
      </c>
      <c r="K2299" s="2">
        <v>9.0</v>
      </c>
      <c r="L2299" s="2">
        <v>74.0</v>
      </c>
      <c r="M2299" s="37">
        <v>298.34000000000003</v>
      </c>
    </row>
    <row r="2300" ht="14.25" customHeight="1">
      <c r="A2300" t="s">
        <v>2363</v>
      </c>
      <c r="B2300" t="s">
        <v>2193</v>
      </c>
      <c r="C2300" t="s">
        <v>62</v>
      </c>
      <c r="D2300" t="s">
        <v>63</v>
      </c>
      <c r="E2300">
        <v>2.5</v>
      </c>
      <c r="F2300">
        <v>3.2</v>
      </c>
      <c r="G2300" s="2" t="s">
        <v>67</v>
      </c>
      <c r="H2300" s="2">
        <v>8.0</v>
      </c>
      <c r="I2300" s="2">
        <v>54.0</v>
      </c>
      <c r="J2300" s="37">
        <v>249.88</v>
      </c>
      <c r="K2300" s="2">
        <v>9.0</v>
      </c>
      <c r="L2300" s="2">
        <v>74.0</v>
      </c>
      <c r="M2300" s="37">
        <v>298.34000000000003</v>
      </c>
    </row>
    <row r="2301" ht="14.25" customHeight="1">
      <c r="A2301" t="s">
        <v>2364</v>
      </c>
      <c r="B2301" t="s">
        <v>2193</v>
      </c>
      <c r="C2301" t="s">
        <v>62</v>
      </c>
      <c r="D2301" t="s">
        <v>63</v>
      </c>
      <c r="E2301">
        <v>2.5</v>
      </c>
      <c r="F2301">
        <v>3.2</v>
      </c>
      <c r="G2301" s="2" t="s">
        <v>67</v>
      </c>
      <c r="H2301" s="2">
        <v>8.0</v>
      </c>
      <c r="I2301" s="2">
        <v>54.0</v>
      </c>
      <c r="J2301" s="37">
        <v>249.88</v>
      </c>
      <c r="K2301" s="2">
        <v>9.0</v>
      </c>
      <c r="L2301" s="2">
        <v>74.0</v>
      </c>
      <c r="M2301" s="37">
        <v>298.34000000000003</v>
      </c>
    </row>
    <row r="2302" ht="14.25" customHeight="1">
      <c r="A2302" t="s">
        <v>2365</v>
      </c>
      <c r="B2302" t="s">
        <v>2193</v>
      </c>
      <c r="C2302" t="s">
        <v>62</v>
      </c>
      <c r="D2302" t="s">
        <v>63</v>
      </c>
      <c r="E2302">
        <v>2.5</v>
      </c>
      <c r="F2302">
        <v>3.2</v>
      </c>
      <c r="G2302" s="2" t="s">
        <v>67</v>
      </c>
      <c r="H2302" s="2">
        <v>8.0</v>
      </c>
      <c r="I2302" s="2">
        <v>54.0</v>
      </c>
      <c r="J2302" s="37">
        <v>249.88</v>
      </c>
      <c r="K2302" s="2">
        <v>9.0</v>
      </c>
      <c r="L2302" s="2">
        <v>74.0</v>
      </c>
      <c r="M2302" s="37">
        <v>298.34000000000003</v>
      </c>
    </row>
    <row r="2303" ht="14.25" customHeight="1">
      <c r="A2303" t="s">
        <v>2366</v>
      </c>
      <c r="B2303" t="s">
        <v>2193</v>
      </c>
      <c r="C2303" t="s">
        <v>62</v>
      </c>
      <c r="D2303" t="s">
        <v>63</v>
      </c>
      <c r="E2303">
        <v>4.2</v>
      </c>
      <c r="F2303">
        <v>5.4</v>
      </c>
      <c r="G2303" s="2" t="s">
        <v>67</v>
      </c>
      <c r="H2303" s="2">
        <v>14.0</v>
      </c>
      <c r="I2303" s="2">
        <v>33.0</v>
      </c>
      <c r="J2303" s="37">
        <v>357.34</v>
      </c>
      <c r="K2303" s="2">
        <v>17.0</v>
      </c>
      <c r="L2303" s="2">
        <v>72.0</v>
      </c>
      <c r="M2303" s="37">
        <v>475.42</v>
      </c>
    </row>
    <row r="2304" ht="14.25" customHeight="1">
      <c r="A2304" t="s">
        <v>2367</v>
      </c>
      <c r="B2304" t="s">
        <v>2193</v>
      </c>
      <c r="C2304" t="s">
        <v>62</v>
      </c>
      <c r="D2304" t="s">
        <v>63</v>
      </c>
      <c r="E2304">
        <v>4.2</v>
      </c>
      <c r="F2304">
        <v>5.4</v>
      </c>
      <c r="G2304" s="2" t="s">
        <v>67</v>
      </c>
      <c r="H2304" s="2">
        <v>14.0</v>
      </c>
      <c r="I2304" s="2">
        <v>33.0</v>
      </c>
      <c r="J2304" s="37">
        <v>357.34</v>
      </c>
      <c r="K2304" s="2">
        <v>17.0</v>
      </c>
      <c r="L2304" s="2">
        <v>72.0</v>
      </c>
      <c r="M2304" s="37">
        <v>475.42</v>
      </c>
    </row>
    <row r="2305" ht="14.25" customHeight="1">
      <c r="A2305" t="s">
        <v>2368</v>
      </c>
      <c r="B2305" t="s">
        <v>2193</v>
      </c>
      <c r="C2305" t="s">
        <v>62</v>
      </c>
      <c r="D2305" t="s">
        <v>63</v>
      </c>
      <c r="E2305">
        <v>4.2</v>
      </c>
      <c r="F2305">
        <v>5.4</v>
      </c>
      <c r="G2305" s="2" t="s">
        <v>67</v>
      </c>
      <c r="H2305" s="2">
        <v>14.0</v>
      </c>
      <c r="I2305" s="2">
        <v>33.0</v>
      </c>
      <c r="J2305" s="37">
        <v>357.34</v>
      </c>
      <c r="K2305" s="2">
        <v>17.0</v>
      </c>
      <c r="L2305" s="2">
        <v>72.0</v>
      </c>
      <c r="M2305" s="37">
        <v>475.42</v>
      </c>
    </row>
    <row r="2306" ht="14.25" customHeight="1">
      <c r="A2306" t="s">
        <v>2369</v>
      </c>
      <c r="B2306" t="s">
        <v>2193</v>
      </c>
      <c r="C2306" t="s">
        <v>62</v>
      </c>
      <c r="D2306" t="s">
        <v>63</v>
      </c>
      <c r="E2306">
        <v>4.2</v>
      </c>
      <c r="F2306">
        <v>5.4</v>
      </c>
      <c r="G2306" s="2" t="s">
        <v>67</v>
      </c>
      <c r="H2306" s="2">
        <v>14.0</v>
      </c>
      <c r="I2306" s="2">
        <v>33.0</v>
      </c>
      <c r="J2306" s="37">
        <v>357.34</v>
      </c>
      <c r="K2306" s="2">
        <v>17.0</v>
      </c>
      <c r="L2306" s="2">
        <v>72.0</v>
      </c>
      <c r="M2306" s="37">
        <v>475.42</v>
      </c>
    </row>
    <row r="2307" ht="14.25" customHeight="1">
      <c r="A2307" t="s">
        <v>2370</v>
      </c>
      <c r="B2307" t="s">
        <v>2193</v>
      </c>
      <c r="C2307" t="s">
        <v>62</v>
      </c>
      <c r="D2307" t="s">
        <v>63</v>
      </c>
      <c r="E2307">
        <v>4.2</v>
      </c>
      <c r="F2307">
        <v>5.4</v>
      </c>
      <c r="G2307" s="2" t="s">
        <v>67</v>
      </c>
      <c r="H2307" s="2">
        <v>14.0</v>
      </c>
      <c r="I2307" s="2">
        <v>33.0</v>
      </c>
      <c r="J2307" s="37">
        <v>357.34</v>
      </c>
      <c r="K2307" s="2">
        <v>17.0</v>
      </c>
      <c r="L2307" s="2">
        <v>72.0</v>
      </c>
      <c r="M2307" s="37">
        <v>475.42</v>
      </c>
    </row>
    <row r="2308" ht="14.25" customHeight="1">
      <c r="A2308" t="s">
        <v>2371</v>
      </c>
      <c r="B2308" t="s">
        <v>2193</v>
      </c>
      <c r="C2308" t="s">
        <v>62</v>
      </c>
      <c r="D2308" t="s">
        <v>63</v>
      </c>
      <c r="E2308">
        <v>4.2</v>
      </c>
      <c r="F2308">
        <v>5.4</v>
      </c>
      <c r="G2308" s="2" t="s">
        <v>67</v>
      </c>
      <c r="H2308" s="2">
        <v>14.0</v>
      </c>
      <c r="I2308" s="2">
        <v>33.0</v>
      </c>
      <c r="J2308" s="37">
        <v>357.34</v>
      </c>
      <c r="K2308" s="2">
        <v>17.0</v>
      </c>
      <c r="L2308" s="2">
        <v>72.0</v>
      </c>
      <c r="M2308" s="37">
        <v>475.42</v>
      </c>
    </row>
    <row r="2309" ht="14.25" customHeight="1">
      <c r="A2309" t="s">
        <v>2372</v>
      </c>
      <c r="B2309" t="s">
        <v>2193</v>
      </c>
      <c r="C2309" t="s">
        <v>62</v>
      </c>
      <c r="D2309" t="s">
        <v>63</v>
      </c>
      <c r="E2309">
        <v>4.2</v>
      </c>
      <c r="F2309">
        <v>5.4</v>
      </c>
      <c r="G2309" s="2" t="s">
        <v>67</v>
      </c>
      <c r="H2309" s="2">
        <v>14.0</v>
      </c>
      <c r="I2309" s="2">
        <v>33.0</v>
      </c>
      <c r="J2309" s="37">
        <v>357.34</v>
      </c>
      <c r="K2309" s="2">
        <v>17.0</v>
      </c>
      <c r="L2309" s="2">
        <v>72.0</v>
      </c>
      <c r="M2309" s="37">
        <v>475.42</v>
      </c>
    </row>
    <row r="2310" ht="14.25" customHeight="1">
      <c r="A2310" t="s">
        <v>2373</v>
      </c>
      <c r="B2310" t="s">
        <v>2193</v>
      </c>
      <c r="C2310" t="s">
        <v>62</v>
      </c>
      <c r="D2310" t="s">
        <v>63</v>
      </c>
      <c r="E2310">
        <v>5.0</v>
      </c>
      <c r="F2310">
        <v>6.0</v>
      </c>
      <c r="G2310" s="2" t="s">
        <v>67</v>
      </c>
      <c r="H2310" s="2">
        <v>17.0</v>
      </c>
      <c r="I2310" s="2">
        <v>69.0</v>
      </c>
      <c r="J2310" s="37">
        <v>471.52</v>
      </c>
      <c r="K2310" s="2">
        <v>20.0</v>
      </c>
      <c r="L2310" s="2">
        <v>114.0</v>
      </c>
      <c r="M2310" s="37">
        <v>597.4000000000001</v>
      </c>
    </row>
    <row r="2311" ht="14.25" customHeight="1">
      <c r="A2311" t="s">
        <v>2374</v>
      </c>
      <c r="B2311" t="s">
        <v>2193</v>
      </c>
      <c r="C2311" t="s">
        <v>62</v>
      </c>
      <c r="D2311" t="s">
        <v>63</v>
      </c>
      <c r="E2311">
        <v>5.0</v>
      </c>
      <c r="F2311">
        <v>6.0</v>
      </c>
      <c r="G2311" s="2" t="s">
        <v>67</v>
      </c>
      <c r="H2311" s="2">
        <v>17.0</v>
      </c>
      <c r="I2311" s="2">
        <v>69.0</v>
      </c>
      <c r="J2311" s="37">
        <v>471.52</v>
      </c>
      <c r="K2311" s="2">
        <v>20.0</v>
      </c>
      <c r="L2311" s="2">
        <v>114.0</v>
      </c>
      <c r="M2311" s="37">
        <v>597.4000000000001</v>
      </c>
    </row>
    <row r="2312" ht="14.25" customHeight="1">
      <c r="A2312" t="s">
        <v>2375</v>
      </c>
      <c r="B2312" t="s">
        <v>2193</v>
      </c>
      <c r="C2312" t="s">
        <v>62</v>
      </c>
      <c r="D2312" t="s">
        <v>63</v>
      </c>
      <c r="E2312">
        <v>5.0</v>
      </c>
      <c r="F2312">
        <v>6.0</v>
      </c>
      <c r="G2312" s="2" t="s">
        <v>67</v>
      </c>
      <c r="H2312" s="2">
        <v>17.0</v>
      </c>
      <c r="I2312" s="2">
        <v>69.0</v>
      </c>
      <c r="J2312" s="37">
        <v>471.52</v>
      </c>
      <c r="K2312" s="2">
        <v>20.0</v>
      </c>
      <c r="L2312" s="2">
        <v>114.0</v>
      </c>
      <c r="M2312" s="37">
        <v>597.4000000000001</v>
      </c>
    </row>
    <row r="2313" ht="14.25" customHeight="1">
      <c r="A2313" t="s">
        <v>2376</v>
      </c>
      <c r="B2313" t="s">
        <v>2193</v>
      </c>
      <c r="C2313" t="s">
        <v>62</v>
      </c>
      <c r="D2313" t="s">
        <v>63</v>
      </c>
      <c r="E2313">
        <v>5.0</v>
      </c>
      <c r="F2313">
        <v>6.0</v>
      </c>
      <c r="G2313" s="2" t="s">
        <v>67</v>
      </c>
      <c r="H2313" s="2">
        <v>17.0</v>
      </c>
      <c r="I2313" s="2">
        <v>69.0</v>
      </c>
      <c r="J2313" s="37">
        <v>471.52</v>
      </c>
      <c r="K2313" s="2">
        <v>20.0</v>
      </c>
      <c r="L2313" s="2">
        <v>114.0</v>
      </c>
      <c r="M2313" s="37">
        <v>597.4000000000001</v>
      </c>
    </row>
    <row r="2314" ht="14.25" customHeight="1">
      <c r="A2314" t="s">
        <v>2377</v>
      </c>
      <c r="B2314" t="s">
        <v>2193</v>
      </c>
      <c r="C2314" t="s">
        <v>62</v>
      </c>
      <c r="D2314" t="s">
        <v>63</v>
      </c>
      <c r="E2314">
        <v>5.0</v>
      </c>
      <c r="F2314">
        <v>6.0</v>
      </c>
      <c r="G2314" s="2" t="s">
        <v>67</v>
      </c>
      <c r="H2314" s="2">
        <v>17.0</v>
      </c>
      <c r="I2314" s="2">
        <v>69.0</v>
      </c>
      <c r="J2314" s="37">
        <v>471.52</v>
      </c>
      <c r="K2314" s="2">
        <v>20.0</v>
      </c>
      <c r="L2314" s="2">
        <v>114.0</v>
      </c>
      <c r="M2314" s="37">
        <v>597.4000000000001</v>
      </c>
    </row>
    <row r="2315" ht="14.25" customHeight="1">
      <c r="A2315" t="s">
        <v>2378</v>
      </c>
      <c r="B2315" t="s">
        <v>2193</v>
      </c>
      <c r="C2315" t="s">
        <v>62</v>
      </c>
      <c r="D2315" t="s">
        <v>63</v>
      </c>
      <c r="E2315">
        <v>5.0</v>
      </c>
      <c r="F2315">
        <v>6.0</v>
      </c>
      <c r="G2315" s="2" t="s">
        <v>67</v>
      </c>
      <c r="H2315" s="2">
        <v>17.0</v>
      </c>
      <c r="I2315" s="2">
        <v>69.0</v>
      </c>
      <c r="J2315" s="37">
        <v>471.52</v>
      </c>
      <c r="K2315" s="2">
        <v>20.0</v>
      </c>
      <c r="L2315" s="2">
        <v>114.0</v>
      </c>
      <c r="M2315" s="37">
        <v>597.4000000000001</v>
      </c>
    </row>
    <row r="2316" ht="14.25" customHeight="1">
      <c r="A2316" t="s">
        <v>2379</v>
      </c>
      <c r="B2316" t="s">
        <v>2193</v>
      </c>
      <c r="C2316" t="s">
        <v>62</v>
      </c>
      <c r="D2316" t="s">
        <v>63</v>
      </c>
      <c r="E2316">
        <v>5.0</v>
      </c>
      <c r="F2316">
        <v>6.0</v>
      </c>
      <c r="G2316" s="2" t="s">
        <v>67</v>
      </c>
      <c r="H2316" s="2">
        <v>17.0</v>
      </c>
      <c r="I2316" s="2">
        <v>69.0</v>
      </c>
      <c r="J2316" s="37">
        <v>471.52</v>
      </c>
      <c r="K2316" s="2">
        <v>20.0</v>
      </c>
      <c r="L2316" s="2">
        <v>114.0</v>
      </c>
      <c r="M2316" s="37">
        <v>597.4000000000001</v>
      </c>
    </row>
    <row r="2317" ht="14.25" customHeight="1">
      <c r="A2317" t="s">
        <v>2380</v>
      </c>
      <c r="B2317" t="s">
        <v>2193</v>
      </c>
      <c r="C2317" t="s">
        <v>62</v>
      </c>
      <c r="D2317" t="s">
        <v>63</v>
      </c>
      <c r="E2317">
        <v>5.0</v>
      </c>
      <c r="F2317">
        <v>6.0</v>
      </c>
      <c r="G2317" s="2" t="s">
        <v>67</v>
      </c>
      <c r="H2317" s="2">
        <v>17.0</v>
      </c>
      <c r="I2317" s="2">
        <v>69.0</v>
      </c>
      <c r="J2317" s="37">
        <v>471.52</v>
      </c>
      <c r="K2317" s="2">
        <v>20.0</v>
      </c>
      <c r="L2317" s="2">
        <v>114.0</v>
      </c>
      <c r="M2317" s="37">
        <v>597.4000000000001</v>
      </c>
    </row>
    <row r="2318" ht="14.25" customHeight="1">
      <c r="A2318" t="s">
        <v>2381</v>
      </c>
      <c r="B2318" t="s">
        <v>2193</v>
      </c>
      <c r="C2318" t="s">
        <v>62</v>
      </c>
      <c r="D2318" t="s">
        <v>63</v>
      </c>
      <c r="E2318">
        <v>5.0</v>
      </c>
      <c r="F2318">
        <v>6.0</v>
      </c>
      <c r="G2318" s="2" t="s">
        <v>67</v>
      </c>
      <c r="H2318" s="2">
        <v>17.0</v>
      </c>
      <c r="I2318" s="2">
        <v>69.0</v>
      </c>
      <c r="J2318" s="37">
        <v>471.52</v>
      </c>
      <c r="K2318" s="2">
        <v>20.0</v>
      </c>
      <c r="L2318" s="2">
        <v>114.0</v>
      </c>
      <c r="M2318" s="37">
        <v>597.4000000000001</v>
      </c>
    </row>
    <row r="2319" ht="14.25" customHeight="1">
      <c r="A2319" t="s">
        <v>2382</v>
      </c>
      <c r="B2319" t="s">
        <v>2193</v>
      </c>
      <c r="C2319" t="s">
        <v>62</v>
      </c>
      <c r="D2319" t="s">
        <v>63</v>
      </c>
      <c r="E2319">
        <v>5.0</v>
      </c>
      <c r="F2319">
        <v>6.0</v>
      </c>
      <c r="G2319" s="2" t="s">
        <v>67</v>
      </c>
      <c r="H2319" s="2">
        <v>17.0</v>
      </c>
      <c r="I2319" s="2">
        <v>69.0</v>
      </c>
      <c r="J2319" s="37">
        <v>471.52</v>
      </c>
      <c r="K2319" s="2">
        <v>20.0</v>
      </c>
      <c r="L2319" s="2">
        <v>114.0</v>
      </c>
      <c r="M2319" s="37">
        <v>597.4000000000001</v>
      </c>
    </row>
    <row r="2320" ht="14.25" customHeight="1">
      <c r="A2320" t="s">
        <v>2383</v>
      </c>
      <c r="B2320" t="s">
        <v>2193</v>
      </c>
      <c r="C2320" t="s">
        <v>62</v>
      </c>
      <c r="D2320" t="s">
        <v>63</v>
      </c>
      <c r="E2320">
        <v>5.0</v>
      </c>
      <c r="F2320">
        <v>6.0</v>
      </c>
      <c r="G2320" s="2" t="s">
        <v>67</v>
      </c>
      <c r="H2320" s="2">
        <v>17.0</v>
      </c>
      <c r="I2320" s="2">
        <v>69.0</v>
      </c>
      <c r="J2320" s="37">
        <v>471.52</v>
      </c>
      <c r="K2320" s="2">
        <v>20.0</v>
      </c>
      <c r="L2320" s="2">
        <v>114.0</v>
      </c>
      <c r="M2320" s="37">
        <v>597.4000000000001</v>
      </c>
    </row>
    <row r="2321" ht="14.25" customHeight="1">
      <c r="A2321" t="s">
        <v>2384</v>
      </c>
      <c r="B2321" t="s">
        <v>2193</v>
      </c>
      <c r="C2321" t="s">
        <v>62</v>
      </c>
      <c r="D2321" t="s">
        <v>63</v>
      </c>
      <c r="E2321">
        <v>5.0</v>
      </c>
      <c r="F2321">
        <v>6.0</v>
      </c>
      <c r="G2321" s="2" t="s">
        <v>67</v>
      </c>
      <c r="H2321" s="2">
        <v>17.0</v>
      </c>
      <c r="I2321" s="2">
        <v>69.0</v>
      </c>
      <c r="J2321" s="37">
        <v>471.52</v>
      </c>
      <c r="K2321" s="2">
        <v>20.0</v>
      </c>
      <c r="L2321" s="2">
        <v>114.0</v>
      </c>
      <c r="M2321" s="37">
        <v>597.4000000000001</v>
      </c>
    </row>
    <row r="2322" ht="14.25" customHeight="1">
      <c r="A2322" t="s">
        <v>2385</v>
      </c>
      <c r="B2322" t="s">
        <v>2193</v>
      </c>
      <c r="C2322" t="s">
        <v>62</v>
      </c>
      <c r="D2322" t="s">
        <v>63</v>
      </c>
      <c r="E2322">
        <v>5.0</v>
      </c>
      <c r="F2322">
        <v>6.0</v>
      </c>
      <c r="G2322" s="2" t="s">
        <v>67</v>
      </c>
      <c r="H2322" s="2">
        <v>17.0</v>
      </c>
      <c r="I2322" s="2">
        <v>69.0</v>
      </c>
      <c r="J2322" s="37">
        <v>471.52</v>
      </c>
      <c r="K2322" s="2">
        <v>20.0</v>
      </c>
      <c r="L2322" s="2">
        <v>114.0</v>
      </c>
      <c r="M2322" s="37">
        <v>597.4000000000001</v>
      </c>
    </row>
    <row r="2323" ht="14.25" customHeight="1">
      <c r="A2323" t="s">
        <v>2386</v>
      </c>
      <c r="B2323" t="s">
        <v>2193</v>
      </c>
      <c r="C2323" t="s">
        <v>62</v>
      </c>
      <c r="D2323" t="s">
        <v>63</v>
      </c>
      <c r="E2323">
        <v>5.0</v>
      </c>
      <c r="F2323">
        <v>6.0</v>
      </c>
      <c r="G2323" s="2" t="s">
        <v>67</v>
      </c>
      <c r="H2323" s="2">
        <v>17.0</v>
      </c>
      <c r="I2323" s="2">
        <v>69.0</v>
      </c>
      <c r="J2323" s="37">
        <v>471.52</v>
      </c>
      <c r="K2323" s="2">
        <v>20.0</v>
      </c>
      <c r="L2323" s="2">
        <v>114.0</v>
      </c>
      <c r="M2323" s="37">
        <v>597.4000000000001</v>
      </c>
    </row>
    <row r="2324" ht="14.25" customHeight="1">
      <c r="A2324" t="s">
        <v>2387</v>
      </c>
      <c r="B2324" t="s">
        <v>2193</v>
      </c>
      <c r="C2324" t="s">
        <v>62</v>
      </c>
      <c r="D2324" t="s">
        <v>63</v>
      </c>
      <c r="E2324">
        <v>6.0</v>
      </c>
      <c r="F2324">
        <v>6.8</v>
      </c>
      <c r="G2324" s="2" t="s">
        <v>67</v>
      </c>
      <c r="H2324" s="2">
        <v>20.0</v>
      </c>
      <c r="I2324" s="2">
        <v>81.0</v>
      </c>
      <c r="J2324" s="37">
        <v>554.5</v>
      </c>
      <c r="K2324" s="2">
        <v>23.0</v>
      </c>
      <c r="L2324" s="2">
        <v>135.0</v>
      </c>
      <c r="M2324" s="37">
        <v>692.08</v>
      </c>
    </row>
    <row r="2325" ht="14.25" customHeight="1">
      <c r="A2325" t="s">
        <v>2388</v>
      </c>
      <c r="B2325" t="s">
        <v>2193</v>
      </c>
      <c r="C2325" t="s">
        <v>62</v>
      </c>
      <c r="D2325" t="s">
        <v>63</v>
      </c>
      <c r="E2325">
        <v>6.0</v>
      </c>
      <c r="F2325">
        <v>6.8</v>
      </c>
      <c r="G2325" s="2" t="s">
        <v>67</v>
      </c>
      <c r="H2325" s="2">
        <v>20.0</v>
      </c>
      <c r="I2325" s="2">
        <v>81.0</v>
      </c>
      <c r="J2325" s="37">
        <v>554.5</v>
      </c>
      <c r="K2325" s="2">
        <v>23.0</v>
      </c>
      <c r="L2325" s="2">
        <v>135.0</v>
      </c>
      <c r="M2325" s="37">
        <v>692.08</v>
      </c>
    </row>
    <row r="2326" ht="14.25" customHeight="1">
      <c r="A2326" t="s">
        <v>2389</v>
      </c>
      <c r="B2326" t="s">
        <v>2193</v>
      </c>
      <c r="C2326" t="s">
        <v>62</v>
      </c>
      <c r="D2326" t="s">
        <v>63</v>
      </c>
      <c r="E2326">
        <v>6.0</v>
      </c>
      <c r="F2326">
        <v>6.8</v>
      </c>
      <c r="G2326" s="2" t="s">
        <v>67</v>
      </c>
      <c r="H2326" s="2">
        <v>20.0</v>
      </c>
      <c r="I2326" s="2">
        <v>81.0</v>
      </c>
      <c r="J2326" s="37">
        <v>554.5</v>
      </c>
      <c r="K2326" s="2">
        <v>23.0</v>
      </c>
      <c r="L2326" s="2">
        <v>135.0</v>
      </c>
      <c r="M2326" s="37">
        <v>692.08</v>
      </c>
    </row>
    <row r="2327" ht="14.25" customHeight="1">
      <c r="A2327" t="s">
        <v>2390</v>
      </c>
      <c r="B2327" t="s">
        <v>2193</v>
      </c>
      <c r="C2327" t="s">
        <v>62</v>
      </c>
      <c r="D2327" t="s">
        <v>63</v>
      </c>
      <c r="E2327">
        <v>6.0</v>
      </c>
      <c r="F2327">
        <v>6.8</v>
      </c>
      <c r="G2327" s="2" t="s">
        <v>67</v>
      </c>
      <c r="H2327" s="2">
        <v>20.0</v>
      </c>
      <c r="I2327" s="2">
        <v>81.0</v>
      </c>
      <c r="J2327" s="37">
        <v>554.5</v>
      </c>
      <c r="K2327" s="2">
        <v>23.0</v>
      </c>
      <c r="L2327" s="2">
        <v>135.0</v>
      </c>
      <c r="M2327" s="37">
        <v>692.08</v>
      </c>
    </row>
    <row r="2328" ht="14.25" customHeight="1">
      <c r="A2328" t="s">
        <v>2391</v>
      </c>
      <c r="B2328" t="s">
        <v>2193</v>
      </c>
      <c r="C2328" t="s">
        <v>62</v>
      </c>
      <c r="D2328" t="s">
        <v>63</v>
      </c>
      <c r="E2328">
        <v>6.0</v>
      </c>
      <c r="F2328">
        <v>6.8</v>
      </c>
      <c r="G2328" s="2" t="s">
        <v>67</v>
      </c>
      <c r="H2328" s="2">
        <v>20.0</v>
      </c>
      <c r="I2328" s="2">
        <v>81.0</v>
      </c>
      <c r="J2328" s="37">
        <v>554.5</v>
      </c>
      <c r="K2328" s="2">
        <v>23.0</v>
      </c>
      <c r="L2328" s="2">
        <v>135.0</v>
      </c>
      <c r="M2328" s="37">
        <v>692.08</v>
      </c>
    </row>
    <row r="2329" ht="14.25" customHeight="1">
      <c r="A2329" t="s">
        <v>2392</v>
      </c>
      <c r="B2329" t="s">
        <v>2193</v>
      </c>
      <c r="C2329" t="s">
        <v>62</v>
      </c>
      <c r="D2329" t="s">
        <v>63</v>
      </c>
      <c r="E2329">
        <v>6.0</v>
      </c>
      <c r="F2329">
        <v>6.8</v>
      </c>
      <c r="G2329" s="2" t="s">
        <v>67</v>
      </c>
      <c r="H2329" s="2">
        <v>20.0</v>
      </c>
      <c r="I2329" s="2">
        <v>81.0</v>
      </c>
      <c r="J2329" s="37">
        <v>554.5</v>
      </c>
      <c r="K2329" s="2">
        <v>23.0</v>
      </c>
      <c r="L2329" s="2">
        <v>135.0</v>
      </c>
      <c r="M2329" s="37">
        <v>692.08</v>
      </c>
    </row>
    <row r="2330" ht="14.25" customHeight="1">
      <c r="A2330" t="s">
        <v>2393</v>
      </c>
      <c r="B2330" t="s">
        <v>2193</v>
      </c>
      <c r="C2330" t="s">
        <v>62</v>
      </c>
      <c r="D2330" t="s">
        <v>63</v>
      </c>
      <c r="E2330">
        <v>6.0</v>
      </c>
      <c r="F2330">
        <v>6.8</v>
      </c>
      <c r="G2330" s="2" t="s">
        <v>67</v>
      </c>
      <c r="H2330" s="2">
        <v>20.0</v>
      </c>
      <c r="I2330" s="2">
        <v>81.0</v>
      </c>
      <c r="J2330" s="37">
        <v>554.5</v>
      </c>
      <c r="K2330" s="2">
        <v>23.0</v>
      </c>
      <c r="L2330" s="2">
        <v>135.0</v>
      </c>
      <c r="M2330" s="37">
        <v>692.08</v>
      </c>
    </row>
    <row r="2331" ht="14.25" customHeight="1">
      <c r="A2331" t="s">
        <v>2394</v>
      </c>
      <c r="B2331" t="s">
        <v>2193</v>
      </c>
      <c r="C2331" t="s">
        <v>62</v>
      </c>
      <c r="D2331" t="s">
        <v>63</v>
      </c>
      <c r="E2331">
        <v>6.0</v>
      </c>
      <c r="F2331">
        <v>6.8</v>
      </c>
      <c r="G2331" s="2" t="s">
        <v>67</v>
      </c>
      <c r="H2331" s="2">
        <v>19.0</v>
      </c>
      <c r="I2331" s="2">
        <v>81.0</v>
      </c>
      <c r="J2331" s="37">
        <v>532.04</v>
      </c>
      <c r="K2331" s="2">
        <v>22.0</v>
      </c>
      <c r="L2331" s="2">
        <v>135.0</v>
      </c>
      <c r="M2331" s="37">
        <v>669.62</v>
      </c>
    </row>
    <row r="2332" ht="14.25" customHeight="1">
      <c r="A2332" t="s">
        <v>2395</v>
      </c>
      <c r="B2332" t="s">
        <v>2193</v>
      </c>
      <c r="C2332" t="s">
        <v>62</v>
      </c>
      <c r="D2332" t="s">
        <v>63</v>
      </c>
      <c r="E2332">
        <v>6.0</v>
      </c>
      <c r="F2332">
        <v>6.8</v>
      </c>
      <c r="G2332" s="2" t="s">
        <v>67</v>
      </c>
      <c r="H2332" s="2">
        <v>19.0</v>
      </c>
      <c r="I2332" s="2">
        <v>81.0</v>
      </c>
      <c r="J2332" s="37">
        <v>532.04</v>
      </c>
      <c r="K2332" s="2">
        <v>22.0</v>
      </c>
      <c r="L2332" s="2">
        <v>135.0</v>
      </c>
      <c r="M2332" s="37">
        <v>669.62</v>
      </c>
    </row>
    <row r="2333" ht="14.25" customHeight="1">
      <c r="A2333" t="s">
        <v>2396</v>
      </c>
      <c r="B2333" t="s">
        <v>2193</v>
      </c>
      <c r="C2333" t="s">
        <v>62</v>
      </c>
      <c r="D2333" t="s">
        <v>63</v>
      </c>
      <c r="E2333">
        <v>6.0</v>
      </c>
      <c r="F2333">
        <v>6.8</v>
      </c>
      <c r="G2333" s="2" t="s">
        <v>67</v>
      </c>
      <c r="H2333" s="2">
        <v>19.0</v>
      </c>
      <c r="I2333" s="2">
        <v>81.0</v>
      </c>
      <c r="J2333" s="37">
        <v>532.04</v>
      </c>
      <c r="K2333" s="2">
        <v>22.0</v>
      </c>
      <c r="L2333" s="2">
        <v>135.0</v>
      </c>
      <c r="M2333" s="37">
        <v>669.62</v>
      </c>
    </row>
    <row r="2334" ht="14.25" customHeight="1">
      <c r="A2334" t="s">
        <v>2397</v>
      </c>
      <c r="B2334" t="s">
        <v>2193</v>
      </c>
      <c r="C2334" t="s">
        <v>62</v>
      </c>
      <c r="D2334" t="s">
        <v>63</v>
      </c>
      <c r="E2334">
        <v>6.0</v>
      </c>
      <c r="F2334">
        <v>6.8</v>
      </c>
      <c r="G2334" s="2" t="s">
        <v>67</v>
      </c>
      <c r="H2334" s="2">
        <v>19.0</v>
      </c>
      <c r="I2334" s="2">
        <v>81.0</v>
      </c>
      <c r="J2334" s="37">
        <v>532.04</v>
      </c>
      <c r="K2334" s="2">
        <v>22.0</v>
      </c>
      <c r="L2334" s="2">
        <v>135.0</v>
      </c>
      <c r="M2334" s="37">
        <v>669.62</v>
      </c>
    </row>
    <row r="2335" ht="14.25" customHeight="1">
      <c r="A2335" t="s">
        <v>2398</v>
      </c>
      <c r="B2335" t="s">
        <v>2193</v>
      </c>
      <c r="C2335" t="s">
        <v>62</v>
      </c>
      <c r="D2335" t="s">
        <v>63</v>
      </c>
      <c r="E2335">
        <v>6.0</v>
      </c>
      <c r="F2335">
        <v>6.8</v>
      </c>
      <c r="G2335" s="2" t="s">
        <v>67</v>
      </c>
      <c r="H2335" s="2">
        <v>19.0</v>
      </c>
      <c r="I2335" s="2">
        <v>81.0</v>
      </c>
      <c r="J2335" s="37">
        <v>532.04</v>
      </c>
      <c r="K2335" s="2">
        <v>22.0</v>
      </c>
      <c r="L2335" s="2">
        <v>135.0</v>
      </c>
      <c r="M2335" s="37">
        <v>669.62</v>
      </c>
    </row>
    <row r="2336" ht="14.25" customHeight="1">
      <c r="A2336" t="s">
        <v>2399</v>
      </c>
      <c r="B2336" t="s">
        <v>2193</v>
      </c>
      <c r="C2336" t="s">
        <v>62</v>
      </c>
      <c r="D2336" t="s">
        <v>63</v>
      </c>
      <c r="E2336">
        <v>6.0</v>
      </c>
      <c r="F2336">
        <v>6.8</v>
      </c>
      <c r="G2336" s="2" t="s">
        <v>67</v>
      </c>
      <c r="H2336" s="2">
        <v>19.0</v>
      </c>
      <c r="I2336" s="2">
        <v>81.0</v>
      </c>
      <c r="J2336" s="37">
        <v>532.04</v>
      </c>
      <c r="K2336" s="2">
        <v>22.0</v>
      </c>
      <c r="L2336" s="2">
        <v>135.0</v>
      </c>
      <c r="M2336" s="37">
        <v>669.62</v>
      </c>
    </row>
    <row r="2337" ht="14.25" customHeight="1">
      <c r="A2337" t="s">
        <v>2400</v>
      </c>
      <c r="B2337" t="s">
        <v>2193</v>
      </c>
      <c r="C2337" t="s">
        <v>62</v>
      </c>
      <c r="D2337" t="s">
        <v>63</v>
      </c>
      <c r="E2337">
        <v>6.0</v>
      </c>
      <c r="F2337">
        <v>6.8</v>
      </c>
      <c r="G2337" s="2" t="s">
        <v>67</v>
      </c>
      <c r="H2337" s="2">
        <v>19.0</v>
      </c>
      <c r="I2337" s="2">
        <v>81.0</v>
      </c>
      <c r="J2337" s="37">
        <v>532.04</v>
      </c>
      <c r="K2337" s="2">
        <v>22.0</v>
      </c>
      <c r="L2337" s="2">
        <v>135.0</v>
      </c>
      <c r="M2337" s="37">
        <v>669.62</v>
      </c>
    </row>
    <row r="2338" ht="14.25" customHeight="1">
      <c r="A2338" t="s">
        <v>2401</v>
      </c>
      <c r="B2338" t="s">
        <v>2193</v>
      </c>
      <c r="C2338" t="s">
        <v>62</v>
      </c>
      <c r="D2338" t="s">
        <v>63</v>
      </c>
      <c r="E2338">
        <v>4.2</v>
      </c>
      <c r="F2338">
        <v>5.4</v>
      </c>
      <c r="G2338" s="2" t="s">
        <v>67</v>
      </c>
      <c r="H2338" s="2">
        <v>15.0</v>
      </c>
      <c r="I2338" s="2">
        <v>33.0</v>
      </c>
      <c r="J2338" s="37">
        <v>379.8</v>
      </c>
      <c r="K2338" s="2">
        <v>17.0</v>
      </c>
      <c r="L2338" s="2">
        <v>72.0</v>
      </c>
      <c r="M2338" s="37">
        <v>475.42</v>
      </c>
    </row>
    <row r="2339" ht="14.25" customHeight="1">
      <c r="A2339" t="s">
        <v>2402</v>
      </c>
      <c r="B2339" t="s">
        <v>2193</v>
      </c>
      <c r="C2339" t="s">
        <v>62</v>
      </c>
      <c r="D2339" t="s">
        <v>63</v>
      </c>
      <c r="E2339">
        <v>4.2</v>
      </c>
      <c r="F2339">
        <v>5.4</v>
      </c>
      <c r="G2339" s="2" t="s">
        <v>67</v>
      </c>
      <c r="H2339" s="2">
        <v>15.0</v>
      </c>
      <c r="I2339" s="2">
        <v>33.0</v>
      </c>
      <c r="J2339" s="37">
        <v>379.8</v>
      </c>
      <c r="K2339" s="2">
        <v>17.0</v>
      </c>
      <c r="L2339" s="2">
        <v>72.0</v>
      </c>
      <c r="M2339" s="37">
        <v>475.42</v>
      </c>
    </row>
    <row r="2340" ht="14.25" customHeight="1">
      <c r="A2340" t="s">
        <v>2403</v>
      </c>
      <c r="B2340" t="s">
        <v>2193</v>
      </c>
      <c r="C2340" t="s">
        <v>62</v>
      </c>
      <c r="D2340" t="s">
        <v>63</v>
      </c>
      <c r="E2340">
        <v>4.2</v>
      </c>
      <c r="F2340">
        <v>5.4</v>
      </c>
      <c r="G2340" s="2" t="s">
        <v>67</v>
      </c>
      <c r="H2340" s="2">
        <v>15.0</v>
      </c>
      <c r="I2340" s="2">
        <v>33.0</v>
      </c>
      <c r="J2340" s="37">
        <v>379.8</v>
      </c>
      <c r="K2340" s="2">
        <v>17.0</v>
      </c>
      <c r="L2340" s="2">
        <v>72.0</v>
      </c>
      <c r="M2340" s="37">
        <v>475.42</v>
      </c>
    </row>
    <row r="2341" ht="14.25" customHeight="1">
      <c r="A2341" t="s">
        <v>2404</v>
      </c>
      <c r="B2341" t="s">
        <v>2193</v>
      </c>
      <c r="C2341" t="s">
        <v>62</v>
      </c>
      <c r="D2341" t="s">
        <v>63</v>
      </c>
      <c r="E2341">
        <v>4.2</v>
      </c>
      <c r="F2341">
        <v>5.4</v>
      </c>
      <c r="G2341" s="2" t="s">
        <v>67</v>
      </c>
      <c r="H2341" s="2">
        <v>15.0</v>
      </c>
      <c r="I2341" s="2">
        <v>33.0</v>
      </c>
      <c r="J2341" s="37">
        <v>379.8</v>
      </c>
      <c r="K2341" s="2">
        <v>17.0</v>
      </c>
      <c r="L2341" s="2">
        <v>72.0</v>
      </c>
      <c r="M2341" s="37">
        <v>475.42</v>
      </c>
    </row>
    <row r="2342" ht="14.25" customHeight="1">
      <c r="A2342" t="s">
        <v>2405</v>
      </c>
      <c r="B2342" t="s">
        <v>2193</v>
      </c>
      <c r="C2342" t="s">
        <v>62</v>
      </c>
      <c r="D2342" t="s">
        <v>63</v>
      </c>
      <c r="E2342">
        <v>4.2</v>
      </c>
      <c r="F2342">
        <v>5.4</v>
      </c>
      <c r="G2342" s="2" t="s">
        <v>67</v>
      </c>
      <c r="H2342" s="2">
        <v>15.0</v>
      </c>
      <c r="I2342" s="2">
        <v>33.0</v>
      </c>
      <c r="J2342" s="37">
        <v>379.8</v>
      </c>
      <c r="K2342" s="2">
        <v>17.0</v>
      </c>
      <c r="L2342" s="2">
        <v>72.0</v>
      </c>
      <c r="M2342" s="37">
        <v>475.42</v>
      </c>
    </row>
    <row r="2343" ht="14.25" customHeight="1">
      <c r="A2343" t="s">
        <v>2406</v>
      </c>
      <c r="B2343" t="s">
        <v>2193</v>
      </c>
      <c r="C2343" t="s">
        <v>62</v>
      </c>
      <c r="D2343" t="s">
        <v>63</v>
      </c>
      <c r="E2343">
        <v>4.2</v>
      </c>
      <c r="F2343">
        <v>5.4</v>
      </c>
      <c r="G2343" s="2" t="s">
        <v>67</v>
      </c>
      <c r="H2343" s="2">
        <v>15.0</v>
      </c>
      <c r="I2343" s="2">
        <v>33.0</v>
      </c>
      <c r="J2343" s="37">
        <v>379.8</v>
      </c>
      <c r="K2343" s="2">
        <v>17.0</v>
      </c>
      <c r="L2343" s="2">
        <v>72.0</v>
      </c>
      <c r="M2343" s="37">
        <v>475.42</v>
      </c>
    </row>
    <row r="2344" ht="14.25" customHeight="1">
      <c r="A2344" t="s">
        <v>2407</v>
      </c>
      <c r="B2344" t="s">
        <v>2193</v>
      </c>
      <c r="C2344" t="s">
        <v>62</v>
      </c>
      <c r="D2344" t="s">
        <v>63</v>
      </c>
      <c r="E2344">
        <v>4.2</v>
      </c>
      <c r="F2344">
        <v>5.4</v>
      </c>
      <c r="G2344" s="2" t="s">
        <v>67</v>
      </c>
      <c r="H2344" s="2">
        <v>15.0</v>
      </c>
      <c r="I2344" s="2">
        <v>33.0</v>
      </c>
      <c r="J2344" s="37">
        <v>379.8</v>
      </c>
      <c r="K2344" s="2">
        <v>17.0</v>
      </c>
      <c r="L2344" s="2">
        <v>72.0</v>
      </c>
      <c r="M2344" s="37">
        <v>475.42</v>
      </c>
    </row>
    <row r="2345" ht="14.25" customHeight="1">
      <c r="A2345" t="s">
        <v>2408</v>
      </c>
      <c r="B2345" t="s">
        <v>2193</v>
      </c>
      <c r="C2345" t="s">
        <v>62</v>
      </c>
      <c r="D2345" t="s">
        <v>63</v>
      </c>
      <c r="E2345">
        <v>3.5</v>
      </c>
      <c r="F2345">
        <v>3.7</v>
      </c>
      <c r="G2345" s="2" t="s">
        <v>67</v>
      </c>
      <c r="H2345" s="2">
        <v>10.0</v>
      </c>
      <c r="I2345" s="2">
        <v>25.0</v>
      </c>
      <c r="J2345" s="37">
        <v>257.1</v>
      </c>
      <c r="K2345" s="2">
        <v>11.0</v>
      </c>
      <c r="L2345" s="2">
        <v>53.0</v>
      </c>
      <c r="M2345" s="37">
        <v>315.96000000000004</v>
      </c>
    </row>
    <row r="2346" ht="14.25" customHeight="1">
      <c r="A2346" t="s">
        <v>2409</v>
      </c>
      <c r="B2346" t="s">
        <v>2193</v>
      </c>
      <c r="C2346" t="s">
        <v>62</v>
      </c>
      <c r="D2346" t="s">
        <v>63</v>
      </c>
      <c r="E2346">
        <v>3.5</v>
      </c>
      <c r="F2346">
        <v>3.7</v>
      </c>
      <c r="G2346" s="2" t="s">
        <v>67</v>
      </c>
      <c r="H2346" s="2">
        <v>10.0</v>
      </c>
      <c r="I2346" s="2">
        <v>25.0</v>
      </c>
      <c r="J2346" s="37">
        <v>257.1</v>
      </c>
      <c r="K2346" s="2">
        <v>11.0</v>
      </c>
      <c r="L2346" s="2">
        <v>53.0</v>
      </c>
      <c r="M2346" s="37">
        <v>315.96000000000004</v>
      </c>
    </row>
    <row r="2347" ht="14.25" customHeight="1">
      <c r="A2347" t="s">
        <v>2410</v>
      </c>
      <c r="B2347" t="s">
        <v>2193</v>
      </c>
      <c r="C2347" t="s">
        <v>62</v>
      </c>
      <c r="D2347" t="s">
        <v>63</v>
      </c>
      <c r="E2347">
        <v>3.5</v>
      </c>
      <c r="F2347">
        <v>3.7</v>
      </c>
      <c r="G2347" s="2" t="s">
        <v>67</v>
      </c>
      <c r="H2347" s="2">
        <v>10.0</v>
      </c>
      <c r="I2347" s="2">
        <v>25.0</v>
      </c>
      <c r="J2347" s="37">
        <v>257.1</v>
      </c>
      <c r="K2347" s="2">
        <v>11.0</v>
      </c>
      <c r="L2347" s="2">
        <v>53.0</v>
      </c>
      <c r="M2347" s="37">
        <v>315.96000000000004</v>
      </c>
    </row>
    <row r="2348" ht="14.25" customHeight="1">
      <c r="A2348" t="s">
        <v>2411</v>
      </c>
      <c r="B2348" t="s">
        <v>2193</v>
      </c>
      <c r="C2348" t="s">
        <v>62</v>
      </c>
      <c r="D2348" t="s">
        <v>63</v>
      </c>
      <c r="E2348">
        <v>3.5</v>
      </c>
      <c r="F2348">
        <v>3.7</v>
      </c>
      <c r="G2348" s="2" t="s">
        <v>67</v>
      </c>
      <c r="H2348" s="2">
        <v>10.0</v>
      </c>
      <c r="I2348" s="2">
        <v>25.0</v>
      </c>
      <c r="J2348" s="37">
        <v>257.1</v>
      </c>
      <c r="K2348" s="2">
        <v>11.0</v>
      </c>
      <c r="L2348" s="2">
        <v>53.0</v>
      </c>
      <c r="M2348" s="37">
        <v>315.96000000000004</v>
      </c>
    </row>
    <row r="2349" ht="14.25" customHeight="1">
      <c r="A2349" t="s">
        <v>2412</v>
      </c>
      <c r="B2349" t="s">
        <v>2193</v>
      </c>
      <c r="C2349" t="s">
        <v>62</v>
      </c>
      <c r="D2349" t="s">
        <v>63</v>
      </c>
      <c r="E2349">
        <v>3.5</v>
      </c>
      <c r="F2349">
        <v>3.7</v>
      </c>
      <c r="G2349" s="2" t="s">
        <v>67</v>
      </c>
      <c r="H2349" s="2">
        <v>10.0</v>
      </c>
      <c r="I2349" s="2">
        <v>25.0</v>
      </c>
      <c r="J2349" s="37">
        <v>257.1</v>
      </c>
      <c r="K2349" s="2">
        <v>11.0</v>
      </c>
      <c r="L2349" s="2">
        <v>53.0</v>
      </c>
      <c r="M2349" s="37">
        <v>315.96000000000004</v>
      </c>
    </row>
    <row r="2350" ht="14.25" customHeight="1">
      <c r="A2350" t="s">
        <v>2413</v>
      </c>
      <c r="B2350" t="s">
        <v>2193</v>
      </c>
      <c r="C2350" t="s">
        <v>62</v>
      </c>
      <c r="D2350" t="s">
        <v>63</v>
      </c>
      <c r="E2350">
        <v>3.5</v>
      </c>
      <c r="F2350">
        <v>3.7</v>
      </c>
      <c r="G2350" s="2" t="s">
        <v>67</v>
      </c>
      <c r="H2350" s="2">
        <v>10.0</v>
      </c>
      <c r="I2350" s="2">
        <v>25.0</v>
      </c>
      <c r="J2350" s="37">
        <v>257.1</v>
      </c>
      <c r="K2350" s="2">
        <v>11.0</v>
      </c>
      <c r="L2350" s="2">
        <v>53.0</v>
      </c>
      <c r="M2350" s="37">
        <v>315.96000000000004</v>
      </c>
    </row>
    <row r="2351" ht="14.25" customHeight="1">
      <c r="A2351" t="s">
        <v>2414</v>
      </c>
      <c r="B2351" t="s">
        <v>2193</v>
      </c>
      <c r="C2351" t="s">
        <v>62</v>
      </c>
      <c r="D2351" t="s">
        <v>63</v>
      </c>
      <c r="E2351">
        <v>3.5</v>
      </c>
      <c r="F2351">
        <v>3.7</v>
      </c>
      <c r="G2351" s="2" t="s">
        <v>67</v>
      </c>
      <c r="H2351" s="2">
        <v>10.0</v>
      </c>
      <c r="I2351" s="2">
        <v>25.0</v>
      </c>
      <c r="J2351" s="37">
        <v>257.1</v>
      </c>
      <c r="K2351" s="2">
        <v>11.0</v>
      </c>
      <c r="L2351" s="2">
        <v>53.0</v>
      </c>
      <c r="M2351" s="37">
        <v>315.96000000000004</v>
      </c>
    </row>
    <row r="2352" ht="14.25" customHeight="1">
      <c r="A2352" t="s">
        <v>2415</v>
      </c>
      <c r="B2352" t="s">
        <v>2193</v>
      </c>
      <c r="C2352" t="s">
        <v>62</v>
      </c>
      <c r="D2352" t="s">
        <v>63</v>
      </c>
      <c r="E2352">
        <v>3.5</v>
      </c>
      <c r="F2352">
        <v>3.7</v>
      </c>
      <c r="G2352" s="2" t="s">
        <v>67</v>
      </c>
      <c r="H2352" s="2">
        <v>9.0</v>
      </c>
      <c r="I2352" s="2">
        <v>25.0</v>
      </c>
      <c r="J2352" s="37">
        <v>234.64000000000001</v>
      </c>
      <c r="K2352" s="2">
        <v>11.0</v>
      </c>
      <c r="L2352" s="2">
        <v>53.0</v>
      </c>
      <c r="M2352" s="37">
        <v>315.96000000000004</v>
      </c>
    </row>
    <row r="2353" ht="14.25" customHeight="1">
      <c r="A2353" t="s">
        <v>2416</v>
      </c>
      <c r="B2353" t="s">
        <v>2193</v>
      </c>
      <c r="C2353" t="s">
        <v>62</v>
      </c>
      <c r="D2353" t="s">
        <v>63</v>
      </c>
      <c r="E2353">
        <v>3.5</v>
      </c>
      <c r="F2353">
        <v>3.7</v>
      </c>
      <c r="G2353" s="2" t="s">
        <v>67</v>
      </c>
      <c r="H2353" s="2">
        <v>9.0</v>
      </c>
      <c r="I2353" s="2">
        <v>25.0</v>
      </c>
      <c r="J2353" s="37">
        <v>234.64000000000001</v>
      </c>
      <c r="K2353" s="2">
        <v>11.0</v>
      </c>
      <c r="L2353" s="2">
        <v>53.0</v>
      </c>
      <c r="M2353" s="37">
        <v>315.96000000000004</v>
      </c>
    </row>
    <row r="2354" ht="14.25" customHeight="1">
      <c r="A2354" t="s">
        <v>2417</v>
      </c>
      <c r="B2354" t="s">
        <v>2193</v>
      </c>
      <c r="C2354" t="s">
        <v>62</v>
      </c>
      <c r="D2354" t="s">
        <v>63</v>
      </c>
      <c r="E2354">
        <v>3.5</v>
      </c>
      <c r="F2354">
        <v>3.7</v>
      </c>
      <c r="G2354" s="2" t="s">
        <v>67</v>
      </c>
      <c r="H2354" s="2">
        <v>9.0</v>
      </c>
      <c r="I2354" s="2">
        <v>25.0</v>
      </c>
      <c r="J2354" s="37">
        <v>234.64000000000001</v>
      </c>
      <c r="K2354" s="2">
        <v>11.0</v>
      </c>
      <c r="L2354" s="2">
        <v>53.0</v>
      </c>
      <c r="M2354" s="37">
        <v>315.96000000000004</v>
      </c>
    </row>
    <row r="2355" ht="14.25" customHeight="1">
      <c r="A2355" t="s">
        <v>2418</v>
      </c>
      <c r="B2355" t="s">
        <v>2193</v>
      </c>
      <c r="C2355" t="s">
        <v>62</v>
      </c>
      <c r="D2355" t="s">
        <v>63</v>
      </c>
      <c r="E2355">
        <v>3.5</v>
      </c>
      <c r="F2355">
        <v>3.7</v>
      </c>
      <c r="G2355" s="2" t="s">
        <v>67</v>
      </c>
      <c r="H2355" s="2">
        <v>9.0</v>
      </c>
      <c r="I2355" s="2">
        <v>25.0</v>
      </c>
      <c r="J2355" s="37">
        <v>234.64000000000001</v>
      </c>
      <c r="K2355" s="2">
        <v>11.0</v>
      </c>
      <c r="L2355" s="2">
        <v>53.0</v>
      </c>
      <c r="M2355" s="37">
        <v>315.96000000000004</v>
      </c>
    </row>
    <row r="2356" ht="14.25" customHeight="1">
      <c r="A2356" t="s">
        <v>2419</v>
      </c>
      <c r="B2356" t="s">
        <v>2193</v>
      </c>
      <c r="C2356" t="s">
        <v>62</v>
      </c>
      <c r="D2356" t="s">
        <v>63</v>
      </c>
      <c r="E2356">
        <v>3.5</v>
      </c>
      <c r="F2356">
        <v>3.7</v>
      </c>
      <c r="G2356" s="2" t="s">
        <v>67</v>
      </c>
      <c r="H2356" s="2">
        <v>9.0</v>
      </c>
      <c r="I2356" s="2">
        <v>25.0</v>
      </c>
      <c r="J2356" s="37">
        <v>234.64000000000001</v>
      </c>
      <c r="K2356" s="2">
        <v>11.0</v>
      </c>
      <c r="L2356" s="2">
        <v>53.0</v>
      </c>
      <c r="M2356" s="37">
        <v>315.96000000000004</v>
      </c>
    </row>
    <row r="2357" ht="14.25" customHeight="1">
      <c r="A2357" t="s">
        <v>2420</v>
      </c>
      <c r="B2357" t="s">
        <v>2193</v>
      </c>
      <c r="C2357" t="s">
        <v>62</v>
      </c>
      <c r="D2357" t="s">
        <v>63</v>
      </c>
      <c r="E2357">
        <v>3.5</v>
      </c>
      <c r="F2357">
        <v>3.7</v>
      </c>
      <c r="G2357" s="2" t="s">
        <v>67</v>
      </c>
      <c r="H2357" s="2">
        <v>9.0</v>
      </c>
      <c r="I2357" s="2">
        <v>25.0</v>
      </c>
      <c r="J2357" s="37">
        <v>234.64000000000001</v>
      </c>
      <c r="K2357" s="2">
        <v>11.0</v>
      </c>
      <c r="L2357" s="2">
        <v>53.0</v>
      </c>
      <c r="M2357" s="37">
        <v>315.96000000000004</v>
      </c>
    </row>
    <row r="2358" ht="14.25" customHeight="1">
      <c r="A2358" t="s">
        <v>2421</v>
      </c>
      <c r="B2358" t="s">
        <v>2193</v>
      </c>
      <c r="C2358" t="s">
        <v>62</v>
      </c>
      <c r="D2358" t="s">
        <v>63</v>
      </c>
      <c r="E2358">
        <v>3.5</v>
      </c>
      <c r="F2358">
        <v>3.7</v>
      </c>
      <c r="G2358" s="2" t="s">
        <v>67</v>
      </c>
      <c r="H2358" s="2">
        <v>9.0</v>
      </c>
      <c r="I2358" s="2">
        <v>25.0</v>
      </c>
      <c r="J2358" s="37">
        <v>234.64000000000001</v>
      </c>
      <c r="K2358" s="2">
        <v>11.0</v>
      </c>
      <c r="L2358" s="2">
        <v>53.0</v>
      </c>
      <c r="M2358" s="37">
        <v>315.96000000000004</v>
      </c>
    </row>
    <row r="2359" ht="14.25" customHeight="1">
      <c r="A2359" t="s">
        <v>2422</v>
      </c>
      <c r="B2359" t="s">
        <v>2193</v>
      </c>
      <c r="C2359" t="s">
        <v>62</v>
      </c>
      <c r="D2359" t="s">
        <v>63</v>
      </c>
      <c r="E2359">
        <v>2.5</v>
      </c>
      <c r="F2359">
        <v>3.2</v>
      </c>
      <c r="G2359" s="2" t="s">
        <v>67</v>
      </c>
      <c r="H2359" s="2">
        <v>8.0</v>
      </c>
      <c r="I2359" s="2">
        <v>54.0</v>
      </c>
      <c r="J2359" s="37">
        <v>249.88</v>
      </c>
      <c r="K2359" s="2">
        <v>9.0</v>
      </c>
      <c r="L2359" s="2">
        <v>74.0</v>
      </c>
      <c r="M2359" s="37">
        <v>298.34000000000003</v>
      </c>
    </row>
    <row r="2360" ht="14.25" customHeight="1">
      <c r="A2360" t="s">
        <v>2423</v>
      </c>
      <c r="B2360" t="s">
        <v>2193</v>
      </c>
      <c r="C2360" t="s">
        <v>62</v>
      </c>
      <c r="D2360" t="s">
        <v>63</v>
      </c>
      <c r="E2360">
        <v>2.5</v>
      </c>
      <c r="F2360">
        <v>3.2</v>
      </c>
      <c r="G2360" s="2" t="s">
        <v>67</v>
      </c>
      <c r="H2360" s="2">
        <v>8.0</v>
      </c>
      <c r="I2360" s="2">
        <v>54.0</v>
      </c>
      <c r="J2360" s="37">
        <v>249.88</v>
      </c>
      <c r="K2360" s="2">
        <v>9.0</v>
      </c>
      <c r="L2360" s="2">
        <v>74.0</v>
      </c>
      <c r="M2360" s="37">
        <v>298.34000000000003</v>
      </c>
    </row>
    <row r="2361" ht="14.25" customHeight="1">
      <c r="A2361" t="s">
        <v>2424</v>
      </c>
      <c r="B2361" t="s">
        <v>2193</v>
      </c>
      <c r="C2361" t="s">
        <v>62</v>
      </c>
      <c r="D2361" t="s">
        <v>63</v>
      </c>
      <c r="E2361">
        <v>2.5</v>
      </c>
      <c r="F2361">
        <v>3.2</v>
      </c>
      <c r="G2361" s="2" t="s">
        <v>67</v>
      </c>
      <c r="H2361" s="2">
        <v>8.0</v>
      </c>
      <c r="I2361" s="2">
        <v>54.0</v>
      </c>
      <c r="J2361" s="37">
        <v>249.88</v>
      </c>
      <c r="K2361" s="2">
        <v>9.0</v>
      </c>
      <c r="L2361" s="2">
        <v>74.0</v>
      </c>
      <c r="M2361" s="37">
        <v>298.34000000000003</v>
      </c>
    </row>
    <row r="2362" ht="14.25" customHeight="1">
      <c r="A2362" t="s">
        <v>2425</v>
      </c>
      <c r="B2362" t="s">
        <v>2193</v>
      </c>
      <c r="C2362" t="s">
        <v>62</v>
      </c>
      <c r="D2362" t="s">
        <v>63</v>
      </c>
      <c r="E2362">
        <v>2.5</v>
      </c>
      <c r="F2362">
        <v>3.2</v>
      </c>
      <c r="G2362" s="2" t="s">
        <v>67</v>
      </c>
      <c r="H2362" s="2">
        <v>8.0</v>
      </c>
      <c r="I2362" s="2">
        <v>54.0</v>
      </c>
      <c r="J2362" s="37">
        <v>249.88</v>
      </c>
      <c r="K2362" s="2">
        <v>9.0</v>
      </c>
      <c r="L2362" s="2">
        <v>74.0</v>
      </c>
      <c r="M2362" s="37">
        <v>298.34000000000003</v>
      </c>
    </row>
    <row r="2363" ht="14.25" customHeight="1">
      <c r="A2363" t="s">
        <v>2426</v>
      </c>
      <c r="B2363" t="s">
        <v>2193</v>
      </c>
      <c r="C2363" t="s">
        <v>62</v>
      </c>
      <c r="D2363" t="s">
        <v>63</v>
      </c>
      <c r="E2363">
        <v>2.5</v>
      </c>
      <c r="F2363">
        <v>3.2</v>
      </c>
      <c r="G2363" s="2" t="s">
        <v>67</v>
      </c>
      <c r="H2363" s="2">
        <v>8.0</v>
      </c>
      <c r="I2363" s="2">
        <v>54.0</v>
      </c>
      <c r="J2363" s="37">
        <v>249.88</v>
      </c>
      <c r="K2363" s="2">
        <v>9.0</v>
      </c>
      <c r="L2363" s="2">
        <v>74.0</v>
      </c>
      <c r="M2363" s="37">
        <v>298.34000000000003</v>
      </c>
    </row>
    <row r="2364" ht="14.25" customHeight="1">
      <c r="A2364" t="s">
        <v>2427</v>
      </c>
      <c r="B2364" t="s">
        <v>2193</v>
      </c>
      <c r="C2364" t="s">
        <v>62</v>
      </c>
      <c r="D2364" t="s">
        <v>63</v>
      </c>
      <c r="E2364">
        <v>2.5</v>
      </c>
      <c r="F2364">
        <v>3.2</v>
      </c>
      <c r="G2364" s="2" t="s">
        <v>67</v>
      </c>
      <c r="H2364" s="2">
        <v>8.0</v>
      </c>
      <c r="I2364" s="2">
        <v>54.0</v>
      </c>
      <c r="J2364" s="37">
        <v>249.88</v>
      </c>
      <c r="K2364" s="2">
        <v>9.0</v>
      </c>
      <c r="L2364" s="2">
        <v>74.0</v>
      </c>
      <c r="M2364" s="37">
        <v>298.34000000000003</v>
      </c>
    </row>
    <row r="2365" ht="14.25" customHeight="1">
      <c r="A2365" t="s">
        <v>2428</v>
      </c>
      <c r="B2365" t="s">
        <v>2193</v>
      </c>
      <c r="C2365" t="s">
        <v>62</v>
      </c>
      <c r="D2365" t="s">
        <v>63</v>
      </c>
      <c r="E2365">
        <v>2.5</v>
      </c>
      <c r="F2365">
        <v>3.2</v>
      </c>
      <c r="G2365" s="2" t="s">
        <v>67</v>
      </c>
      <c r="H2365" s="2">
        <v>8.0</v>
      </c>
      <c r="I2365" s="2">
        <v>54.0</v>
      </c>
      <c r="J2365" s="37">
        <v>249.88</v>
      </c>
      <c r="K2365" s="2">
        <v>9.0</v>
      </c>
      <c r="L2365" s="2">
        <v>74.0</v>
      </c>
      <c r="M2365" s="37">
        <v>298.34000000000003</v>
      </c>
    </row>
    <row r="2366" ht="14.25" customHeight="1">
      <c r="A2366" t="s">
        <v>2429</v>
      </c>
      <c r="B2366" t="s">
        <v>2193</v>
      </c>
      <c r="C2366" t="s">
        <v>62</v>
      </c>
      <c r="D2366" t="s">
        <v>63</v>
      </c>
      <c r="E2366">
        <v>7.8</v>
      </c>
      <c r="F2366">
        <v>9.0</v>
      </c>
      <c r="G2366" s="2" t="s">
        <v>67</v>
      </c>
      <c r="H2366" s="2">
        <v>24.0</v>
      </c>
      <c r="I2366" s="2">
        <v>18.0</v>
      </c>
      <c r="J2366" s="37">
        <v>562.4399999999999</v>
      </c>
      <c r="K2366" s="2">
        <v>28.0</v>
      </c>
      <c r="L2366" s="2">
        <v>89.0</v>
      </c>
      <c r="M2366" s="37">
        <v>744.58</v>
      </c>
    </row>
    <row r="2367" ht="14.25" customHeight="1">
      <c r="A2367" t="s">
        <v>2430</v>
      </c>
      <c r="B2367" t="s">
        <v>2193</v>
      </c>
      <c r="C2367" t="s">
        <v>62</v>
      </c>
      <c r="D2367" t="s">
        <v>63</v>
      </c>
      <c r="E2367">
        <v>7.8</v>
      </c>
      <c r="F2367">
        <v>9.0</v>
      </c>
      <c r="G2367" s="2" t="s">
        <v>67</v>
      </c>
      <c r="H2367" s="2">
        <v>24.0</v>
      </c>
      <c r="I2367" s="2">
        <v>18.0</v>
      </c>
      <c r="J2367" s="37">
        <v>562.4399999999999</v>
      </c>
      <c r="K2367" s="2">
        <v>28.0</v>
      </c>
      <c r="L2367" s="2">
        <v>89.0</v>
      </c>
      <c r="M2367" s="37">
        <v>744.58</v>
      </c>
    </row>
    <row r="2368" ht="14.25" customHeight="1">
      <c r="A2368" t="s">
        <v>2431</v>
      </c>
      <c r="B2368" t="s">
        <v>2193</v>
      </c>
      <c r="C2368" t="s">
        <v>62</v>
      </c>
      <c r="D2368" t="s">
        <v>63</v>
      </c>
      <c r="E2368">
        <v>7.8</v>
      </c>
      <c r="F2368">
        <v>9.0</v>
      </c>
      <c r="G2368" s="2" t="s">
        <v>67</v>
      </c>
      <c r="H2368" s="2">
        <v>24.0</v>
      </c>
      <c r="I2368" s="2">
        <v>18.0</v>
      </c>
      <c r="J2368" s="37">
        <v>562.4399999999999</v>
      </c>
      <c r="K2368" s="2">
        <v>28.0</v>
      </c>
      <c r="L2368" s="2">
        <v>89.0</v>
      </c>
      <c r="M2368" s="37">
        <v>744.58</v>
      </c>
    </row>
    <row r="2369" ht="14.25" customHeight="1">
      <c r="A2369" t="s">
        <v>2432</v>
      </c>
      <c r="B2369" t="s">
        <v>2193</v>
      </c>
      <c r="C2369" t="s">
        <v>62</v>
      </c>
      <c r="D2369" t="s">
        <v>63</v>
      </c>
      <c r="E2369">
        <v>7.8</v>
      </c>
      <c r="F2369">
        <v>9.0</v>
      </c>
      <c r="G2369" s="2" t="s">
        <v>67</v>
      </c>
      <c r="H2369" s="2">
        <v>24.0</v>
      </c>
      <c r="I2369" s="2">
        <v>18.0</v>
      </c>
      <c r="J2369" s="37">
        <v>562.4399999999999</v>
      </c>
      <c r="K2369" s="2">
        <v>28.0</v>
      </c>
      <c r="L2369" s="2">
        <v>89.0</v>
      </c>
      <c r="M2369" s="37">
        <v>744.58</v>
      </c>
    </row>
    <row r="2370" ht="14.25" customHeight="1">
      <c r="A2370" t="s">
        <v>2433</v>
      </c>
      <c r="B2370" t="s">
        <v>2193</v>
      </c>
      <c r="C2370" t="s">
        <v>62</v>
      </c>
      <c r="D2370" t="s">
        <v>63</v>
      </c>
      <c r="E2370">
        <v>7.8</v>
      </c>
      <c r="F2370">
        <v>9.0</v>
      </c>
      <c r="G2370" s="2" t="s">
        <v>67</v>
      </c>
      <c r="H2370" s="2">
        <v>24.0</v>
      </c>
      <c r="I2370" s="2">
        <v>18.0</v>
      </c>
      <c r="J2370" s="37">
        <v>562.4399999999999</v>
      </c>
      <c r="K2370" s="2">
        <v>28.0</v>
      </c>
      <c r="L2370" s="2">
        <v>89.0</v>
      </c>
      <c r="M2370" s="37">
        <v>744.58</v>
      </c>
    </row>
    <row r="2371" ht="14.25" customHeight="1">
      <c r="A2371" t="s">
        <v>2434</v>
      </c>
      <c r="B2371" t="s">
        <v>2193</v>
      </c>
      <c r="C2371" t="s">
        <v>62</v>
      </c>
      <c r="D2371" t="s">
        <v>63</v>
      </c>
      <c r="E2371">
        <v>7.8</v>
      </c>
      <c r="F2371">
        <v>9.0</v>
      </c>
      <c r="G2371" s="2" t="s">
        <v>67</v>
      </c>
      <c r="H2371" s="2">
        <v>24.0</v>
      </c>
      <c r="I2371" s="2">
        <v>18.0</v>
      </c>
      <c r="J2371" s="37">
        <v>562.4399999999999</v>
      </c>
      <c r="K2371" s="2">
        <v>28.0</v>
      </c>
      <c r="L2371" s="2">
        <v>89.0</v>
      </c>
      <c r="M2371" s="37">
        <v>744.58</v>
      </c>
    </row>
    <row r="2372" ht="14.25" customHeight="1">
      <c r="A2372" t="s">
        <v>2435</v>
      </c>
      <c r="B2372" t="s">
        <v>2193</v>
      </c>
      <c r="C2372" t="s">
        <v>62</v>
      </c>
      <c r="D2372" t="s">
        <v>63</v>
      </c>
      <c r="E2372">
        <v>7.8</v>
      </c>
      <c r="F2372">
        <v>9.0</v>
      </c>
      <c r="G2372" s="2" t="s">
        <v>67</v>
      </c>
      <c r="H2372" s="2">
        <v>24.0</v>
      </c>
      <c r="I2372" s="2">
        <v>18.0</v>
      </c>
      <c r="J2372" s="37">
        <v>562.4399999999999</v>
      </c>
      <c r="K2372" s="2">
        <v>28.0</v>
      </c>
      <c r="L2372" s="2">
        <v>89.0</v>
      </c>
      <c r="M2372" s="37">
        <v>744.58</v>
      </c>
    </row>
    <row r="2373" ht="14.25" customHeight="1">
      <c r="A2373" t="s">
        <v>2436</v>
      </c>
      <c r="B2373" t="s">
        <v>2193</v>
      </c>
      <c r="C2373" t="s">
        <v>62</v>
      </c>
      <c r="D2373" t="s">
        <v>63</v>
      </c>
      <c r="E2373">
        <v>7.1</v>
      </c>
      <c r="F2373">
        <v>8.0</v>
      </c>
      <c r="G2373" s="2" t="s">
        <v>67</v>
      </c>
      <c r="H2373" s="2">
        <v>22.0</v>
      </c>
      <c r="I2373" s="2">
        <v>57.0</v>
      </c>
      <c r="J2373" s="37">
        <v>568.22</v>
      </c>
      <c r="K2373" s="2">
        <v>25.0</v>
      </c>
      <c r="L2373" s="2">
        <v>122.0</v>
      </c>
      <c r="M2373" s="37">
        <v>720.1</v>
      </c>
    </row>
    <row r="2374" ht="14.25" customHeight="1">
      <c r="A2374" t="s">
        <v>2437</v>
      </c>
      <c r="B2374" t="s">
        <v>2193</v>
      </c>
      <c r="C2374" t="s">
        <v>62</v>
      </c>
      <c r="D2374" t="s">
        <v>63</v>
      </c>
      <c r="E2374">
        <v>7.1</v>
      </c>
      <c r="F2374">
        <v>8.0</v>
      </c>
      <c r="G2374" s="2" t="s">
        <v>67</v>
      </c>
      <c r="H2374" s="2">
        <v>22.0</v>
      </c>
      <c r="I2374" s="2">
        <v>57.0</v>
      </c>
      <c r="J2374" s="37">
        <v>568.22</v>
      </c>
      <c r="K2374" s="2">
        <v>25.0</v>
      </c>
      <c r="L2374" s="2">
        <v>122.0</v>
      </c>
      <c r="M2374" s="37">
        <v>720.1</v>
      </c>
    </row>
    <row r="2375" ht="14.25" customHeight="1">
      <c r="A2375" t="s">
        <v>2438</v>
      </c>
      <c r="B2375" t="s">
        <v>2193</v>
      </c>
      <c r="C2375" t="s">
        <v>62</v>
      </c>
      <c r="D2375" t="s">
        <v>63</v>
      </c>
      <c r="E2375">
        <v>7.1</v>
      </c>
      <c r="F2375">
        <v>8.0</v>
      </c>
      <c r="G2375" s="2" t="s">
        <v>67</v>
      </c>
      <c r="H2375" s="2">
        <v>22.0</v>
      </c>
      <c r="I2375" s="2">
        <v>57.0</v>
      </c>
      <c r="J2375" s="37">
        <v>568.22</v>
      </c>
      <c r="K2375" s="2">
        <v>25.0</v>
      </c>
      <c r="L2375" s="2">
        <v>122.0</v>
      </c>
      <c r="M2375" s="37">
        <v>720.1</v>
      </c>
    </row>
    <row r="2376" ht="14.25" customHeight="1">
      <c r="A2376" t="s">
        <v>2439</v>
      </c>
      <c r="B2376" t="s">
        <v>2193</v>
      </c>
      <c r="C2376" t="s">
        <v>62</v>
      </c>
      <c r="D2376" t="s">
        <v>63</v>
      </c>
      <c r="E2376">
        <v>7.1</v>
      </c>
      <c r="F2376">
        <v>8.0</v>
      </c>
      <c r="G2376" s="2" t="s">
        <v>67</v>
      </c>
      <c r="H2376" s="2">
        <v>22.0</v>
      </c>
      <c r="I2376" s="2">
        <v>57.0</v>
      </c>
      <c r="J2376" s="37">
        <v>568.22</v>
      </c>
      <c r="K2376" s="2">
        <v>25.0</v>
      </c>
      <c r="L2376" s="2">
        <v>122.0</v>
      </c>
      <c r="M2376" s="37">
        <v>720.1</v>
      </c>
    </row>
    <row r="2377" ht="14.25" customHeight="1">
      <c r="A2377" t="s">
        <v>2440</v>
      </c>
      <c r="B2377" t="s">
        <v>2193</v>
      </c>
      <c r="C2377" t="s">
        <v>62</v>
      </c>
      <c r="D2377" t="s">
        <v>63</v>
      </c>
      <c r="E2377">
        <v>7.1</v>
      </c>
      <c r="F2377">
        <v>8.0</v>
      </c>
      <c r="G2377" s="2" t="s">
        <v>67</v>
      </c>
      <c r="H2377" s="2">
        <v>22.0</v>
      </c>
      <c r="I2377" s="2">
        <v>57.0</v>
      </c>
      <c r="J2377" s="37">
        <v>568.22</v>
      </c>
      <c r="K2377" s="2">
        <v>25.0</v>
      </c>
      <c r="L2377" s="2">
        <v>122.0</v>
      </c>
      <c r="M2377" s="37">
        <v>720.1</v>
      </c>
    </row>
    <row r="2378" ht="14.25" customHeight="1">
      <c r="A2378" t="s">
        <v>2441</v>
      </c>
      <c r="B2378" t="s">
        <v>2193</v>
      </c>
      <c r="C2378" t="s">
        <v>62</v>
      </c>
      <c r="D2378" t="s">
        <v>63</v>
      </c>
      <c r="E2378">
        <v>7.1</v>
      </c>
      <c r="F2378">
        <v>8.0</v>
      </c>
      <c r="G2378" s="2" t="s">
        <v>67</v>
      </c>
      <c r="H2378" s="2">
        <v>22.0</v>
      </c>
      <c r="I2378" s="2">
        <v>57.0</v>
      </c>
      <c r="J2378" s="37">
        <v>568.22</v>
      </c>
      <c r="K2378" s="2">
        <v>25.0</v>
      </c>
      <c r="L2378" s="2">
        <v>122.0</v>
      </c>
      <c r="M2378" s="37">
        <v>720.1</v>
      </c>
    </row>
    <row r="2379" ht="14.25" customHeight="1">
      <c r="A2379" t="s">
        <v>2442</v>
      </c>
      <c r="B2379" t="s">
        <v>2193</v>
      </c>
      <c r="C2379" t="s">
        <v>62</v>
      </c>
      <c r="D2379" t="s">
        <v>63</v>
      </c>
      <c r="E2379">
        <v>7.1</v>
      </c>
      <c r="F2379">
        <v>8.0</v>
      </c>
      <c r="G2379" s="2" t="s">
        <v>67</v>
      </c>
      <c r="H2379" s="2">
        <v>22.0</v>
      </c>
      <c r="I2379" s="2">
        <v>57.0</v>
      </c>
      <c r="J2379" s="37">
        <v>568.22</v>
      </c>
      <c r="K2379" s="2">
        <v>25.0</v>
      </c>
      <c r="L2379" s="2">
        <v>122.0</v>
      </c>
      <c r="M2379" s="37">
        <v>720.1</v>
      </c>
    </row>
    <row r="2380" ht="14.25" customHeight="1">
      <c r="A2380" t="s">
        <v>2443</v>
      </c>
      <c r="B2380" t="s">
        <v>2193</v>
      </c>
      <c r="C2380" t="s">
        <v>62</v>
      </c>
      <c r="D2380" t="s">
        <v>63</v>
      </c>
      <c r="E2380">
        <v>2.5</v>
      </c>
      <c r="F2380">
        <v>3.2</v>
      </c>
      <c r="G2380" s="2" t="s">
        <v>64</v>
      </c>
      <c r="H2380" s="2">
        <v>0.0</v>
      </c>
      <c r="I2380" s="2">
        <v>0.0</v>
      </c>
      <c r="J2380" s="37">
        <v>0.0</v>
      </c>
      <c r="K2380" s="2">
        <v>0.0</v>
      </c>
      <c r="L2380" s="2">
        <v>0.0</v>
      </c>
      <c r="M2380" s="37">
        <v>0.0</v>
      </c>
    </row>
    <row r="2381" ht="14.25" customHeight="1">
      <c r="A2381" t="s">
        <v>2444</v>
      </c>
      <c r="B2381" t="s">
        <v>2193</v>
      </c>
      <c r="C2381" t="s">
        <v>62</v>
      </c>
      <c r="D2381" t="s">
        <v>63</v>
      </c>
      <c r="E2381">
        <v>2.5</v>
      </c>
      <c r="F2381">
        <v>3.2</v>
      </c>
      <c r="G2381" s="2" t="s">
        <v>64</v>
      </c>
      <c r="H2381" s="2">
        <v>0.0</v>
      </c>
      <c r="I2381" s="2">
        <v>0.0</v>
      </c>
      <c r="J2381" s="37">
        <v>0.0</v>
      </c>
      <c r="K2381" s="2">
        <v>0.0</v>
      </c>
      <c r="L2381" s="2">
        <v>0.0</v>
      </c>
      <c r="M2381" s="37">
        <v>0.0</v>
      </c>
    </row>
    <row r="2382" ht="14.25" customHeight="1">
      <c r="A2382" t="s">
        <v>2445</v>
      </c>
      <c r="B2382" t="s">
        <v>2193</v>
      </c>
      <c r="C2382" t="s">
        <v>62</v>
      </c>
      <c r="D2382" t="s">
        <v>63</v>
      </c>
      <c r="E2382">
        <v>2.5</v>
      </c>
      <c r="F2382">
        <v>3.2</v>
      </c>
      <c r="G2382" s="2" t="s">
        <v>64</v>
      </c>
      <c r="H2382" s="2">
        <v>0.0</v>
      </c>
      <c r="I2382" s="2">
        <v>0.0</v>
      </c>
      <c r="J2382" s="37">
        <v>0.0</v>
      </c>
      <c r="K2382" s="2">
        <v>0.0</v>
      </c>
      <c r="L2382" s="2">
        <v>0.0</v>
      </c>
      <c r="M2382" s="37">
        <v>0.0</v>
      </c>
    </row>
    <row r="2383" ht="14.25" customHeight="1">
      <c r="A2383" t="s">
        <v>2446</v>
      </c>
      <c r="B2383" t="s">
        <v>2193</v>
      </c>
      <c r="C2383" t="s">
        <v>62</v>
      </c>
      <c r="D2383" t="s">
        <v>63</v>
      </c>
      <c r="E2383">
        <v>2.5</v>
      </c>
      <c r="F2383">
        <v>3.2</v>
      </c>
      <c r="G2383" s="2" t="s">
        <v>64</v>
      </c>
      <c r="H2383" s="2">
        <v>0.0</v>
      </c>
      <c r="I2383" s="2">
        <v>0.0</v>
      </c>
      <c r="J2383" s="37">
        <v>0.0</v>
      </c>
      <c r="K2383" s="2">
        <v>0.0</v>
      </c>
      <c r="L2383" s="2">
        <v>0.0</v>
      </c>
      <c r="M2383" s="37">
        <v>0.0</v>
      </c>
    </row>
    <row r="2384" ht="14.25" customHeight="1">
      <c r="A2384" t="s">
        <v>2447</v>
      </c>
      <c r="B2384" t="s">
        <v>2193</v>
      </c>
      <c r="C2384" t="s">
        <v>62</v>
      </c>
      <c r="D2384" t="s">
        <v>63</v>
      </c>
      <c r="E2384">
        <v>2.5</v>
      </c>
      <c r="F2384">
        <v>3.2</v>
      </c>
      <c r="G2384" s="2" t="s">
        <v>64</v>
      </c>
      <c r="H2384" s="2">
        <v>0.0</v>
      </c>
      <c r="I2384" s="2">
        <v>0.0</v>
      </c>
      <c r="J2384" s="37">
        <v>0.0</v>
      </c>
      <c r="K2384" s="2">
        <v>0.0</v>
      </c>
      <c r="L2384" s="2">
        <v>0.0</v>
      </c>
      <c r="M2384" s="37">
        <v>0.0</v>
      </c>
    </row>
    <row r="2385" ht="14.25" customHeight="1">
      <c r="A2385" t="s">
        <v>2448</v>
      </c>
      <c r="B2385" t="s">
        <v>2193</v>
      </c>
      <c r="C2385" t="s">
        <v>62</v>
      </c>
      <c r="D2385" t="s">
        <v>63</v>
      </c>
      <c r="E2385">
        <v>2.5</v>
      </c>
      <c r="F2385">
        <v>3.2</v>
      </c>
      <c r="G2385" s="2" t="s">
        <v>64</v>
      </c>
      <c r="H2385" s="2">
        <v>0.0</v>
      </c>
      <c r="I2385" s="2">
        <v>0.0</v>
      </c>
      <c r="J2385" s="37">
        <v>0.0</v>
      </c>
      <c r="K2385" s="2">
        <v>0.0</v>
      </c>
      <c r="L2385" s="2">
        <v>0.0</v>
      </c>
      <c r="M2385" s="37">
        <v>0.0</v>
      </c>
    </row>
    <row r="2386" ht="14.25" customHeight="1">
      <c r="A2386" t="s">
        <v>2449</v>
      </c>
      <c r="B2386" t="s">
        <v>2193</v>
      </c>
      <c r="C2386" t="s">
        <v>62</v>
      </c>
      <c r="D2386" t="s">
        <v>63</v>
      </c>
      <c r="E2386">
        <v>2.5</v>
      </c>
      <c r="F2386">
        <v>3.2</v>
      </c>
      <c r="G2386" s="2" t="s">
        <v>64</v>
      </c>
      <c r="H2386" s="2">
        <v>0.0</v>
      </c>
      <c r="I2386" s="2">
        <v>0.0</v>
      </c>
      <c r="J2386" s="37">
        <v>0.0</v>
      </c>
      <c r="K2386" s="2">
        <v>0.0</v>
      </c>
      <c r="L2386" s="2">
        <v>0.0</v>
      </c>
      <c r="M2386" s="37">
        <v>0.0</v>
      </c>
    </row>
    <row r="2387" ht="14.25" customHeight="1">
      <c r="A2387" t="s">
        <v>2450</v>
      </c>
      <c r="B2387" t="s">
        <v>2193</v>
      </c>
      <c r="C2387" t="s">
        <v>62</v>
      </c>
      <c r="D2387" t="s">
        <v>63</v>
      </c>
      <c r="E2387">
        <v>3.5</v>
      </c>
      <c r="F2387">
        <v>4.0</v>
      </c>
      <c r="G2387" s="2" t="s">
        <v>64</v>
      </c>
      <c r="H2387" s="2">
        <v>0.0</v>
      </c>
      <c r="I2387" s="2">
        <v>0.0</v>
      </c>
      <c r="J2387" s="37">
        <v>0.0</v>
      </c>
      <c r="K2387" s="2">
        <v>0.0</v>
      </c>
      <c r="L2387" s="2">
        <v>0.0</v>
      </c>
      <c r="M2387" s="37">
        <v>0.0</v>
      </c>
    </row>
    <row r="2388" ht="14.25" customHeight="1">
      <c r="A2388" t="s">
        <v>2451</v>
      </c>
      <c r="B2388" t="s">
        <v>2193</v>
      </c>
      <c r="C2388" t="s">
        <v>62</v>
      </c>
      <c r="D2388" t="s">
        <v>63</v>
      </c>
      <c r="E2388">
        <v>3.5</v>
      </c>
      <c r="F2388">
        <v>4.0</v>
      </c>
      <c r="G2388" s="2" t="s">
        <v>64</v>
      </c>
      <c r="H2388" s="2">
        <v>0.0</v>
      </c>
      <c r="I2388" s="2">
        <v>0.0</v>
      </c>
      <c r="J2388" s="37">
        <v>0.0</v>
      </c>
      <c r="K2388" s="2">
        <v>0.0</v>
      </c>
      <c r="L2388" s="2">
        <v>0.0</v>
      </c>
      <c r="M2388" s="37">
        <v>0.0</v>
      </c>
    </row>
    <row r="2389" ht="14.25" customHeight="1">
      <c r="A2389" t="s">
        <v>2452</v>
      </c>
      <c r="B2389" t="s">
        <v>2193</v>
      </c>
      <c r="C2389" t="s">
        <v>62</v>
      </c>
      <c r="D2389" t="s">
        <v>63</v>
      </c>
      <c r="E2389">
        <v>3.5</v>
      </c>
      <c r="F2389">
        <v>4.0</v>
      </c>
      <c r="G2389" s="2" t="s">
        <v>64</v>
      </c>
      <c r="H2389" s="2">
        <v>0.0</v>
      </c>
      <c r="I2389" s="2">
        <v>0.0</v>
      </c>
      <c r="J2389" s="37">
        <v>0.0</v>
      </c>
      <c r="K2389" s="2">
        <v>0.0</v>
      </c>
      <c r="L2389" s="2">
        <v>0.0</v>
      </c>
      <c r="M2389" s="37">
        <v>0.0</v>
      </c>
    </row>
    <row r="2390" ht="14.25" customHeight="1">
      <c r="A2390" t="s">
        <v>2453</v>
      </c>
      <c r="B2390" t="s">
        <v>2193</v>
      </c>
      <c r="C2390" t="s">
        <v>62</v>
      </c>
      <c r="D2390" t="s">
        <v>63</v>
      </c>
      <c r="E2390">
        <v>3.5</v>
      </c>
      <c r="F2390">
        <v>4.0</v>
      </c>
      <c r="G2390" s="2" t="s">
        <v>64</v>
      </c>
      <c r="H2390" s="2">
        <v>0.0</v>
      </c>
      <c r="I2390" s="2">
        <v>0.0</v>
      </c>
      <c r="J2390" s="37">
        <v>0.0</v>
      </c>
      <c r="K2390" s="2">
        <v>0.0</v>
      </c>
      <c r="L2390" s="2">
        <v>0.0</v>
      </c>
      <c r="M2390" s="37">
        <v>0.0</v>
      </c>
    </row>
    <row r="2391" ht="14.25" customHeight="1">
      <c r="A2391" t="s">
        <v>2454</v>
      </c>
      <c r="B2391" t="s">
        <v>2193</v>
      </c>
      <c r="C2391" t="s">
        <v>62</v>
      </c>
      <c r="D2391" t="s">
        <v>63</v>
      </c>
      <c r="E2391">
        <v>3.5</v>
      </c>
      <c r="F2391">
        <v>4.0</v>
      </c>
      <c r="G2391" s="2" t="s">
        <v>64</v>
      </c>
      <c r="H2391" s="2">
        <v>0.0</v>
      </c>
      <c r="I2391" s="2">
        <v>0.0</v>
      </c>
      <c r="J2391" s="37">
        <v>0.0</v>
      </c>
      <c r="K2391" s="2">
        <v>0.0</v>
      </c>
      <c r="L2391" s="2">
        <v>0.0</v>
      </c>
      <c r="M2391" s="37">
        <v>0.0</v>
      </c>
    </row>
    <row r="2392" ht="14.25" customHeight="1">
      <c r="A2392" t="s">
        <v>2455</v>
      </c>
      <c r="B2392" t="s">
        <v>2193</v>
      </c>
      <c r="C2392" t="s">
        <v>62</v>
      </c>
      <c r="D2392" t="s">
        <v>63</v>
      </c>
      <c r="E2392">
        <v>3.5</v>
      </c>
      <c r="F2392">
        <v>4.0</v>
      </c>
      <c r="G2392" s="2" t="s">
        <v>64</v>
      </c>
      <c r="H2392" s="2">
        <v>0.0</v>
      </c>
      <c r="I2392" s="2">
        <v>0.0</v>
      </c>
      <c r="J2392" s="37">
        <v>0.0</v>
      </c>
      <c r="K2392" s="2">
        <v>0.0</v>
      </c>
      <c r="L2392" s="2">
        <v>0.0</v>
      </c>
      <c r="M2392" s="37">
        <v>0.0</v>
      </c>
    </row>
    <row r="2393" ht="14.25" customHeight="1">
      <c r="A2393" t="s">
        <v>2456</v>
      </c>
      <c r="B2393" t="s">
        <v>2193</v>
      </c>
      <c r="C2393" t="s">
        <v>62</v>
      </c>
      <c r="D2393" t="s">
        <v>63</v>
      </c>
      <c r="E2393">
        <v>3.5</v>
      </c>
      <c r="F2393">
        <v>4.0</v>
      </c>
      <c r="G2393" s="2" t="s">
        <v>64</v>
      </c>
      <c r="H2393" s="2">
        <v>0.0</v>
      </c>
      <c r="I2393" s="2">
        <v>0.0</v>
      </c>
      <c r="J2393" s="37">
        <v>0.0</v>
      </c>
      <c r="K2393" s="2">
        <v>0.0</v>
      </c>
      <c r="L2393" s="2">
        <v>0.0</v>
      </c>
      <c r="M2393" s="37">
        <v>0.0</v>
      </c>
    </row>
    <row r="2394" ht="14.25" customHeight="1">
      <c r="A2394" t="s">
        <v>2457</v>
      </c>
      <c r="B2394" t="s">
        <v>2193</v>
      </c>
      <c r="C2394" t="s">
        <v>62</v>
      </c>
      <c r="D2394" t="s">
        <v>63</v>
      </c>
      <c r="E2394">
        <v>4.2</v>
      </c>
      <c r="F2394">
        <v>5.4</v>
      </c>
      <c r="G2394" s="2" t="s">
        <v>64</v>
      </c>
      <c r="H2394" s="2">
        <v>0.0</v>
      </c>
      <c r="I2394" s="2">
        <v>0.0</v>
      </c>
      <c r="J2394" s="37">
        <v>0.0</v>
      </c>
      <c r="K2394" s="2">
        <v>0.0</v>
      </c>
      <c r="L2394" s="2">
        <v>0.0</v>
      </c>
      <c r="M2394" s="37">
        <v>0.0</v>
      </c>
    </row>
    <row r="2395" ht="14.25" customHeight="1">
      <c r="A2395" t="s">
        <v>2458</v>
      </c>
      <c r="B2395" t="s">
        <v>2193</v>
      </c>
      <c r="C2395" t="s">
        <v>62</v>
      </c>
      <c r="D2395" t="s">
        <v>63</v>
      </c>
      <c r="E2395">
        <v>4.2</v>
      </c>
      <c r="F2395">
        <v>5.4</v>
      </c>
      <c r="G2395" s="2" t="s">
        <v>64</v>
      </c>
      <c r="H2395" s="2">
        <v>0.0</v>
      </c>
      <c r="I2395" s="2">
        <v>0.0</v>
      </c>
      <c r="J2395" s="37">
        <v>0.0</v>
      </c>
      <c r="K2395" s="2">
        <v>0.0</v>
      </c>
      <c r="L2395" s="2">
        <v>0.0</v>
      </c>
      <c r="M2395" s="37">
        <v>0.0</v>
      </c>
    </row>
    <row r="2396" ht="14.25" customHeight="1">
      <c r="A2396" t="s">
        <v>2459</v>
      </c>
      <c r="B2396" t="s">
        <v>2193</v>
      </c>
      <c r="C2396" t="s">
        <v>62</v>
      </c>
      <c r="D2396" t="s">
        <v>63</v>
      </c>
      <c r="E2396">
        <v>4.2</v>
      </c>
      <c r="F2396">
        <v>5.4</v>
      </c>
      <c r="G2396" s="2" t="s">
        <v>64</v>
      </c>
      <c r="H2396" s="2">
        <v>0.0</v>
      </c>
      <c r="I2396" s="2">
        <v>0.0</v>
      </c>
      <c r="J2396" s="37">
        <v>0.0</v>
      </c>
      <c r="K2396" s="2">
        <v>0.0</v>
      </c>
      <c r="L2396" s="2">
        <v>0.0</v>
      </c>
      <c r="M2396" s="37">
        <v>0.0</v>
      </c>
    </row>
    <row r="2397" ht="14.25" customHeight="1">
      <c r="A2397" t="s">
        <v>2460</v>
      </c>
      <c r="B2397" t="s">
        <v>2193</v>
      </c>
      <c r="C2397" t="s">
        <v>62</v>
      </c>
      <c r="D2397" t="s">
        <v>63</v>
      </c>
      <c r="E2397">
        <v>4.2</v>
      </c>
      <c r="F2397">
        <v>5.4</v>
      </c>
      <c r="G2397" s="2" t="s">
        <v>64</v>
      </c>
      <c r="H2397" s="2">
        <v>0.0</v>
      </c>
      <c r="I2397" s="2">
        <v>0.0</v>
      </c>
      <c r="J2397" s="37">
        <v>0.0</v>
      </c>
      <c r="K2397" s="2">
        <v>0.0</v>
      </c>
      <c r="L2397" s="2">
        <v>0.0</v>
      </c>
      <c r="M2397" s="37">
        <v>0.0</v>
      </c>
    </row>
    <row r="2398" ht="14.25" customHeight="1">
      <c r="A2398" t="s">
        <v>2461</v>
      </c>
      <c r="B2398" t="s">
        <v>2193</v>
      </c>
      <c r="C2398" t="s">
        <v>62</v>
      </c>
      <c r="D2398" t="s">
        <v>63</v>
      </c>
      <c r="E2398">
        <v>4.2</v>
      </c>
      <c r="F2398">
        <v>5.4</v>
      </c>
      <c r="G2398" s="2" t="s">
        <v>64</v>
      </c>
      <c r="H2398" s="2">
        <v>0.0</v>
      </c>
      <c r="I2398" s="2">
        <v>0.0</v>
      </c>
      <c r="J2398" s="37">
        <v>0.0</v>
      </c>
      <c r="K2398" s="2">
        <v>0.0</v>
      </c>
      <c r="L2398" s="2">
        <v>0.0</v>
      </c>
      <c r="M2398" s="37">
        <v>0.0</v>
      </c>
    </row>
    <row r="2399" ht="14.25" customHeight="1">
      <c r="A2399" t="s">
        <v>2462</v>
      </c>
      <c r="B2399" t="s">
        <v>2193</v>
      </c>
      <c r="C2399" t="s">
        <v>62</v>
      </c>
      <c r="D2399" t="s">
        <v>63</v>
      </c>
      <c r="E2399">
        <v>4.2</v>
      </c>
      <c r="F2399">
        <v>5.4</v>
      </c>
      <c r="G2399" s="2" t="s">
        <v>64</v>
      </c>
      <c r="H2399" s="2">
        <v>0.0</v>
      </c>
      <c r="I2399" s="2">
        <v>0.0</v>
      </c>
      <c r="J2399" s="37">
        <v>0.0</v>
      </c>
      <c r="K2399" s="2">
        <v>0.0</v>
      </c>
      <c r="L2399" s="2">
        <v>0.0</v>
      </c>
      <c r="M2399" s="37">
        <v>0.0</v>
      </c>
    </row>
    <row r="2400" ht="14.25" customHeight="1">
      <c r="A2400" t="s">
        <v>2463</v>
      </c>
      <c r="B2400" t="s">
        <v>2193</v>
      </c>
      <c r="C2400" t="s">
        <v>62</v>
      </c>
      <c r="D2400" t="s">
        <v>63</v>
      </c>
      <c r="E2400">
        <v>4.2</v>
      </c>
      <c r="F2400">
        <v>5.4</v>
      </c>
      <c r="G2400" s="2" t="s">
        <v>64</v>
      </c>
      <c r="H2400" s="2">
        <v>0.0</v>
      </c>
      <c r="I2400" s="2">
        <v>0.0</v>
      </c>
      <c r="J2400" s="37">
        <v>0.0</v>
      </c>
      <c r="K2400" s="2">
        <v>0.0</v>
      </c>
      <c r="L2400" s="2">
        <v>0.0</v>
      </c>
      <c r="M2400" s="37">
        <v>0.0</v>
      </c>
    </row>
    <row r="2401" ht="14.25" customHeight="1">
      <c r="A2401" t="s">
        <v>2464</v>
      </c>
      <c r="B2401" t="s">
        <v>2193</v>
      </c>
      <c r="C2401" t="s">
        <v>62</v>
      </c>
      <c r="D2401" t="s">
        <v>63</v>
      </c>
      <c r="E2401">
        <v>5.0</v>
      </c>
      <c r="F2401">
        <v>5.8</v>
      </c>
      <c r="G2401" s="2" t="s">
        <v>64</v>
      </c>
      <c r="H2401" s="2">
        <v>0.0</v>
      </c>
      <c r="I2401" s="2">
        <v>0.0</v>
      </c>
      <c r="J2401" s="37">
        <v>0.0</v>
      </c>
      <c r="K2401" s="2">
        <v>0.0</v>
      </c>
      <c r="L2401" s="2">
        <v>0.0</v>
      </c>
      <c r="M2401" s="37">
        <v>0.0</v>
      </c>
    </row>
    <row r="2402" ht="14.25" customHeight="1">
      <c r="A2402" t="s">
        <v>2465</v>
      </c>
      <c r="B2402" t="s">
        <v>2193</v>
      </c>
      <c r="C2402" t="s">
        <v>62</v>
      </c>
      <c r="D2402" t="s">
        <v>63</v>
      </c>
      <c r="E2402">
        <v>5.0</v>
      </c>
      <c r="F2402">
        <v>5.8</v>
      </c>
      <c r="G2402" s="2" t="s">
        <v>64</v>
      </c>
      <c r="H2402" s="2">
        <v>0.0</v>
      </c>
      <c r="I2402" s="2">
        <v>0.0</v>
      </c>
      <c r="J2402" s="37">
        <v>0.0</v>
      </c>
      <c r="K2402" s="2">
        <v>0.0</v>
      </c>
      <c r="L2402" s="2">
        <v>0.0</v>
      </c>
      <c r="M2402" s="37">
        <v>0.0</v>
      </c>
    </row>
    <row r="2403" ht="14.25" customHeight="1">
      <c r="A2403" t="s">
        <v>2466</v>
      </c>
      <c r="B2403" t="s">
        <v>2193</v>
      </c>
      <c r="C2403" t="s">
        <v>62</v>
      </c>
      <c r="D2403" t="s">
        <v>63</v>
      </c>
      <c r="E2403">
        <v>5.0</v>
      </c>
      <c r="F2403">
        <v>5.8</v>
      </c>
      <c r="G2403" s="2" t="s">
        <v>64</v>
      </c>
      <c r="H2403" s="2">
        <v>0.0</v>
      </c>
      <c r="I2403" s="2">
        <v>0.0</v>
      </c>
      <c r="J2403" s="37">
        <v>0.0</v>
      </c>
      <c r="K2403" s="2">
        <v>0.0</v>
      </c>
      <c r="L2403" s="2">
        <v>0.0</v>
      </c>
      <c r="M2403" s="37">
        <v>0.0</v>
      </c>
    </row>
    <row r="2404" ht="14.25" customHeight="1">
      <c r="A2404" t="s">
        <v>2467</v>
      </c>
      <c r="B2404" t="s">
        <v>2193</v>
      </c>
      <c r="C2404" t="s">
        <v>62</v>
      </c>
      <c r="D2404" t="s">
        <v>63</v>
      </c>
      <c r="E2404">
        <v>5.0</v>
      </c>
      <c r="F2404">
        <v>5.8</v>
      </c>
      <c r="G2404" s="2" t="s">
        <v>64</v>
      </c>
      <c r="H2404" s="2">
        <v>0.0</v>
      </c>
      <c r="I2404" s="2">
        <v>0.0</v>
      </c>
      <c r="J2404" s="37">
        <v>0.0</v>
      </c>
      <c r="K2404" s="2">
        <v>0.0</v>
      </c>
      <c r="L2404" s="2">
        <v>0.0</v>
      </c>
      <c r="M2404" s="37">
        <v>0.0</v>
      </c>
    </row>
    <row r="2405" ht="14.25" customHeight="1">
      <c r="A2405" t="s">
        <v>2468</v>
      </c>
      <c r="B2405" t="s">
        <v>2193</v>
      </c>
      <c r="C2405" t="s">
        <v>62</v>
      </c>
      <c r="D2405" t="s">
        <v>63</v>
      </c>
      <c r="E2405">
        <v>5.0</v>
      </c>
      <c r="F2405">
        <v>5.8</v>
      </c>
      <c r="G2405" s="2" t="s">
        <v>64</v>
      </c>
      <c r="H2405" s="2">
        <v>0.0</v>
      </c>
      <c r="I2405" s="2">
        <v>0.0</v>
      </c>
      <c r="J2405" s="37">
        <v>0.0</v>
      </c>
      <c r="K2405" s="2">
        <v>0.0</v>
      </c>
      <c r="L2405" s="2">
        <v>0.0</v>
      </c>
      <c r="M2405" s="37">
        <v>0.0</v>
      </c>
    </row>
    <row r="2406" ht="14.25" customHeight="1">
      <c r="A2406" t="s">
        <v>2469</v>
      </c>
      <c r="B2406" t="s">
        <v>2193</v>
      </c>
      <c r="C2406" t="s">
        <v>62</v>
      </c>
      <c r="D2406" t="s">
        <v>63</v>
      </c>
      <c r="E2406">
        <v>5.0</v>
      </c>
      <c r="F2406">
        <v>5.8</v>
      </c>
      <c r="G2406" s="2" t="s">
        <v>64</v>
      </c>
      <c r="H2406" s="2">
        <v>0.0</v>
      </c>
      <c r="I2406" s="2">
        <v>0.0</v>
      </c>
      <c r="J2406" s="37">
        <v>0.0</v>
      </c>
      <c r="K2406" s="2">
        <v>0.0</v>
      </c>
      <c r="L2406" s="2">
        <v>0.0</v>
      </c>
      <c r="M2406" s="37">
        <v>0.0</v>
      </c>
    </row>
    <row r="2407" ht="14.25" customHeight="1">
      <c r="A2407" t="s">
        <v>2470</v>
      </c>
      <c r="B2407" t="s">
        <v>2193</v>
      </c>
      <c r="C2407" t="s">
        <v>62</v>
      </c>
      <c r="D2407" t="s">
        <v>63</v>
      </c>
      <c r="E2407">
        <v>5.0</v>
      </c>
      <c r="F2407">
        <v>5.8</v>
      </c>
      <c r="G2407" s="2" t="s">
        <v>64</v>
      </c>
      <c r="H2407" s="2">
        <v>0.0</v>
      </c>
      <c r="I2407" s="2">
        <v>0.0</v>
      </c>
      <c r="J2407" s="37">
        <v>0.0</v>
      </c>
      <c r="K2407" s="2">
        <v>0.0</v>
      </c>
      <c r="L2407" s="2">
        <v>0.0</v>
      </c>
      <c r="M2407" s="37">
        <v>0.0</v>
      </c>
    </row>
    <row r="2408" ht="14.25" customHeight="1">
      <c r="A2408" t="s">
        <v>2471</v>
      </c>
      <c r="B2408" t="s">
        <v>2193</v>
      </c>
      <c r="C2408" t="s">
        <v>75</v>
      </c>
      <c r="D2408" t="s">
        <v>63</v>
      </c>
      <c r="E2408">
        <v>12.5</v>
      </c>
      <c r="F2408">
        <v>14.0</v>
      </c>
      <c r="G2408" s="2" t="s">
        <v>67</v>
      </c>
      <c r="H2408" s="2">
        <v>38.0</v>
      </c>
      <c r="I2408" s="2">
        <v>110.0</v>
      </c>
      <c r="J2408" s="37">
        <v>996.48</v>
      </c>
      <c r="K2408" s="2">
        <v>45.0</v>
      </c>
      <c r="L2408" s="2">
        <v>238.0</v>
      </c>
      <c r="M2408" s="37">
        <v>1320.1000000000001</v>
      </c>
    </row>
    <row r="2409" ht="14.25" customHeight="1">
      <c r="A2409" t="s">
        <v>2472</v>
      </c>
      <c r="B2409" t="s">
        <v>2193</v>
      </c>
      <c r="C2409" t="s">
        <v>75</v>
      </c>
      <c r="D2409" t="s">
        <v>63</v>
      </c>
      <c r="E2409">
        <v>12.5</v>
      </c>
      <c r="F2409">
        <v>14.0</v>
      </c>
      <c r="G2409" s="2" t="s">
        <v>67</v>
      </c>
      <c r="H2409" s="2">
        <v>38.0</v>
      </c>
      <c r="I2409" s="2">
        <v>110.0</v>
      </c>
      <c r="J2409" s="37">
        <v>996.48</v>
      </c>
      <c r="K2409" s="2">
        <v>45.0</v>
      </c>
      <c r="L2409" s="2">
        <v>238.0</v>
      </c>
      <c r="M2409" s="37">
        <v>1320.1000000000001</v>
      </c>
    </row>
    <row r="2410" ht="14.25" customHeight="1">
      <c r="A2410" t="s">
        <v>2473</v>
      </c>
      <c r="B2410" t="s">
        <v>2193</v>
      </c>
      <c r="C2410" t="s">
        <v>75</v>
      </c>
      <c r="D2410" t="s">
        <v>63</v>
      </c>
      <c r="E2410">
        <v>12.5</v>
      </c>
      <c r="F2410">
        <v>14.0</v>
      </c>
      <c r="G2410" s="2" t="s">
        <v>67</v>
      </c>
      <c r="H2410" s="2">
        <v>38.0</v>
      </c>
      <c r="I2410" s="2">
        <v>110.0</v>
      </c>
      <c r="J2410" s="37">
        <v>996.48</v>
      </c>
      <c r="K2410" s="2">
        <v>45.0</v>
      </c>
      <c r="L2410" s="2">
        <v>238.0</v>
      </c>
      <c r="M2410" s="37">
        <v>1320.1000000000001</v>
      </c>
    </row>
    <row r="2411" ht="14.25" customHeight="1">
      <c r="A2411" t="s">
        <v>2474</v>
      </c>
      <c r="B2411" t="s">
        <v>2193</v>
      </c>
      <c r="C2411" t="s">
        <v>75</v>
      </c>
      <c r="D2411" t="s">
        <v>63</v>
      </c>
      <c r="E2411">
        <v>12.5</v>
      </c>
      <c r="F2411">
        <v>14.0</v>
      </c>
      <c r="G2411" s="2" t="s">
        <v>67</v>
      </c>
      <c r="H2411" s="2">
        <v>38.0</v>
      </c>
      <c r="I2411" s="2">
        <v>110.0</v>
      </c>
      <c r="J2411" s="37">
        <v>996.48</v>
      </c>
      <c r="K2411" s="2">
        <v>45.0</v>
      </c>
      <c r="L2411" s="2">
        <v>238.0</v>
      </c>
      <c r="M2411" s="37">
        <v>1320.1000000000001</v>
      </c>
    </row>
    <row r="2412" ht="14.25" customHeight="1">
      <c r="A2412" t="s">
        <v>2475</v>
      </c>
      <c r="B2412" t="s">
        <v>2193</v>
      </c>
      <c r="C2412" t="s">
        <v>75</v>
      </c>
      <c r="D2412" t="s">
        <v>63</v>
      </c>
      <c r="E2412">
        <v>12.5</v>
      </c>
      <c r="F2412">
        <v>14.0</v>
      </c>
      <c r="G2412" s="2" t="s">
        <v>67</v>
      </c>
      <c r="H2412" s="2">
        <v>38.0</v>
      </c>
      <c r="I2412" s="2">
        <v>110.0</v>
      </c>
      <c r="J2412" s="37">
        <v>996.48</v>
      </c>
      <c r="K2412" s="2">
        <v>45.0</v>
      </c>
      <c r="L2412" s="2">
        <v>238.0</v>
      </c>
      <c r="M2412" s="37">
        <v>1320.1000000000001</v>
      </c>
    </row>
    <row r="2413" ht="14.25" customHeight="1">
      <c r="A2413" t="s">
        <v>2476</v>
      </c>
      <c r="B2413" t="s">
        <v>2193</v>
      </c>
      <c r="C2413" t="s">
        <v>75</v>
      </c>
      <c r="D2413" t="s">
        <v>63</v>
      </c>
      <c r="E2413">
        <v>14.0</v>
      </c>
      <c r="F2413">
        <v>16.0</v>
      </c>
      <c r="G2413" s="2" t="s">
        <v>64</v>
      </c>
      <c r="H2413" s="2">
        <v>0.0</v>
      </c>
      <c r="I2413" s="2">
        <v>0.0</v>
      </c>
      <c r="J2413" s="37">
        <v>0.0</v>
      </c>
      <c r="K2413" s="2">
        <v>0.0</v>
      </c>
      <c r="L2413" s="2">
        <v>0.0</v>
      </c>
      <c r="M2413" s="37">
        <v>0.0</v>
      </c>
    </row>
    <row r="2414" ht="14.25" customHeight="1">
      <c r="A2414" t="s">
        <v>2477</v>
      </c>
      <c r="B2414" t="s">
        <v>2193</v>
      </c>
      <c r="C2414" t="s">
        <v>75</v>
      </c>
      <c r="D2414" t="s">
        <v>63</v>
      </c>
      <c r="E2414">
        <v>14.0</v>
      </c>
      <c r="F2414">
        <v>16.0</v>
      </c>
      <c r="G2414" s="2" t="s">
        <v>64</v>
      </c>
      <c r="H2414" s="2">
        <v>0.0</v>
      </c>
      <c r="I2414" s="2">
        <v>0.0</v>
      </c>
      <c r="J2414" s="37">
        <v>0.0</v>
      </c>
      <c r="K2414" s="2">
        <v>0.0</v>
      </c>
      <c r="L2414" s="2">
        <v>0.0</v>
      </c>
      <c r="M2414" s="37">
        <v>0.0</v>
      </c>
    </row>
    <row r="2415" ht="14.25" customHeight="1">
      <c r="A2415" t="s">
        <v>2478</v>
      </c>
      <c r="B2415" t="s">
        <v>2193</v>
      </c>
      <c r="C2415" t="s">
        <v>75</v>
      </c>
      <c r="D2415" t="s">
        <v>63</v>
      </c>
      <c r="E2415">
        <v>14.0</v>
      </c>
      <c r="F2415">
        <v>16.0</v>
      </c>
      <c r="G2415" s="2" t="s">
        <v>64</v>
      </c>
      <c r="H2415" s="2">
        <v>0.0</v>
      </c>
      <c r="I2415" s="2">
        <v>0.0</v>
      </c>
      <c r="J2415" s="37">
        <v>0.0</v>
      </c>
      <c r="K2415" s="2">
        <v>0.0</v>
      </c>
      <c r="L2415" s="2">
        <v>0.0</v>
      </c>
      <c r="M2415" s="37">
        <v>0.0</v>
      </c>
    </row>
    <row r="2416" ht="14.25" customHeight="1">
      <c r="A2416" t="s">
        <v>2226</v>
      </c>
      <c r="B2416" t="s">
        <v>2193</v>
      </c>
      <c r="C2416" t="s">
        <v>75</v>
      </c>
      <c r="D2416" t="s">
        <v>63</v>
      </c>
      <c r="E2416">
        <v>14.0</v>
      </c>
      <c r="F2416">
        <v>16.0</v>
      </c>
      <c r="G2416" s="2" t="s">
        <v>64</v>
      </c>
      <c r="H2416" s="2">
        <v>0.0</v>
      </c>
      <c r="I2416" s="2">
        <v>0.0</v>
      </c>
      <c r="J2416" s="37">
        <v>0.0</v>
      </c>
      <c r="K2416" s="2">
        <v>0.0</v>
      </c>
      <c r="L2416" s="2">
        <v>0.0</v>
      </c>
      <c r="M2416" s="37">
        <v>0.0</v>
      </c>
    </row>
    <row r="2417" ht="14.25" customHeight="1">
      <c r="A2417" t="s">
        <v>2479</v>
      </c>
      <c r="B2417" t="s">
        <v>2193</v>
      </c>
      <c r="C2417" t="s">
        <v>75</v>
      </c>
      <c r="D2417" t="s">
        <v>63</v>
      </c>
      <c r="E2417">
        <v>14.0</v>
      </c>
      <c r="F2417">
        <v>16.0</v>
      </c>
      <c r="G2417" s="2" t="s">
        <v>64</v>
      </c>
      <c r="H2417" s="2">
        <v>0.0</v>
      </c>
      <c r="I2417" s="2">
        <v>0.0</v>
      </c>
      <c r="J2417" s="37">
        <v>0.0</v>
      </c>
      <c r="K2417" s="2">
        <v>0.0</v>
      </c>
      <c r="L2417" s="2">
        <v>0.0</v>
      </c>
      <c r="M2417" s="37">
        <v>0.0</v>
      </c>
    </row>
    <row r="2418" ht="14.25" customHeight="1">
      <c r="A2418" t="s">
        <v>2480</v>
      </c>
      <c r="B2418" t="s">
        <v>2193</v>
      </c>
      <c r="C2418" t="s">
        <v>75</v>
      </c>
      <c r="D2418" t="s">
        <v>63</v>
      </c>
      <c r="E2418">
        <v>10.0</v>
      </c>
      <c r="F2418">
        <v>11.2</v>
      </c>
      <c r="G2418" s="2" t="s">
        <v>64</v>
      </c>
      <c r="H2418" s="2">
        <v>0.0</v>
      </c>
      <c r="I2418" s="2">
        <v>0.0</v>
      </c>
      <c r="J2418" s="37">
        <v>0.0</v>
      </c>
      <c r="K2418" s="2">
        <v>0.0</v>
      </c>
      <c r="L2418" s="2">
        <v>0.0</v>
      </c>
      <c r="M2418" s="37">
        <v>0.0</v>
      </c>
    </row>
    <row r="2419" ht="14.25" customHeight="1">
      <c r="A2419" t="s">
        <v>2481</v>
      </c>
      <c r="B2419" t="s">
        <v>2193</v>
      </c>
      <c r="C2419" t="s">
        <v>75</v>
      </c>
      <c r="D2419" t="s">
        <v>63</v>
      </c>
      <c r="E2419">
        <v>10.0</v>
      </c>
      <c r="F2419">
        <v>11.2</v>
      </c>
      <c r="G2419" s="2" t="s">
        <v>64</v>
      </c>
      <c r="H2419" s="2">
        <v>0.0</v>
      </c>
      <c r="I2419" s="2">
        <v>0.0</v>
      </c>
      <c r="J2419" s="37">
        <v>0.0</v>
      </c>
      <c r="K2419" s="2">
        <v>0.0</v>
      </c>
      <c r="L2419" s="2">
        <v>0.0</v>
      </c>
      <c r="M2419" s="37">
        <v>0.0</v>
      </c>
    </row>
    <row r="2420" ht="14.25" customHeight="1">
      <c r="A2420" t="s">
        <v>2482</v>
      </c>
      <c r="B2420" t="s">
        <v>2193</v>
      </c>
      <c r="C2420" t="s">
        <v>75</v>
      </c>
      <c r="D2420" t="s">
        <v>63</v>
      </c>
      <c r="E2420">
        <v>10.0</v>
      </c>
      <c r="F2420">
        <v>11.2</v>
      </c>
      <c r="G2420" s="2" t="s">
        <v>64</v>
      </c>
      <c r="H2420" s="2">
        <v>0.0</v>
      </c>
      <c r="I2420" s="2">
        <v>0.0</v>
      </c>
      <c r="J2420" s="37">
        <v>0.0</v>
      </c>
      <c r="K2420" s="2">
        <v>0.0</v>
      </c>
      <c r="L2420" s="2">
        <v>0.0</v>
      </c>
      <c r="M2420" s="37">
        <v>0.0</v>
      </c>
    </row>
    <row r="2421" ht="14.25" customHeight="1">
      <c r="A2421" t="s">
        <v>2483</v>
      </c>
      <c r="B2421" t="s">
        <v>2193</v>
      </c>
      <c r="C2421" t="s">
        <v>75</v>
      </c>
      <c r="D2421" t="s">
        <v>63</v>
      </c>
      <c r="E2421">
        <v>10.0</v>
      </c>
      <c r="F2421">
        <v>11.2</v>
      </c>
      <c r="G2421" s="2" t="s">
        <v>64</v>
      </c>
      <c r="H2421" s="2">
        <v>0.0</v>
      </c>
      <c r="I2421" s="2">
        <v>0.0</v>
      </c>
      <c r="J2421" s="37">
        <v>0.0</v>
      </c>
      <c r="K2421" s="2">
        <v>0.0</v>
      </c>
      <c r="L2421" s="2">
        <v>0.0</v>
      </c>
      <c r="M2421" s="37">
        <v>0.0</v>
      </c>
    </row>
    <row r="2422" ht="14.25" customHeight="1">
      <c r="A2422" t="s">
        <v>2484</v>
      </c>
      <c r="B2422" t="s">
        <v>2193</v>
      </c>
      <c r="C2422" t="s">
        <v>75</v>
      </c>
      <c r="D2422" t="s">
        <v>63</v>
      </c>
      <c r="E2422">
        <v>10.0</v>
      </c>
      <c r="F2422">
        <v>11.2</v>
      </c>
      <c r="G2422" s="2" t="s">
        <v>64</v>
      </c>
      <c r="H2422" s="2">
        <v>0.0</v>
      </c>
      <c r="I2422" s="2">
        <v>0.0</v>
      </c>
      <c r="J2422" s="37">
        <v>0.0</v>
      </c>
      <c r="K2422" s="2">
        <v>0.0</v>
      </c>
      <c r="L2422" s="2">
        <v>0.0</v>
      </c>
      <c r="M2422" s="37">
        <v>0.0</v>
      </c>
    </row>
    <row r="2423" ht="14.25" customHeight="1">
      <c r="A2423" t="s">
        <v>2485</v>
      </c>
      <c r="B2423" t="s">
        <v>2193</v>
      </c>
      <c r="C2423" t="s">
        <v>75</v>
      </c>
      <c r="D2423" t="s">
        <v>63</v>
      </c>
      <c r="E2423">
        <v>7.1</v>
      </c>
      <c r="F2423">
        <v>8.0</v>
      </c>
      <c r="G2423" s="2" t="s">
        <v>67</v>
      </c>
      <c r="H2423" s="2">
        <v>22.0</v>
      </c>
      <c r="I2423" s="2">
        <v>92.0</v>
      </c>
      <c r="J2423" s="37">
        <v>613.72</v>
      </c>
      <c r="K2423" s="2">
        <v>26.0</v>
      </c>
      <c r="L2423" s="2">
        <v>164.0</v>
      </c>
      <c r="M2423" s="37">
        <v>797.1600000000001</v>
      </c>
    </row>
    <row r="2424" ht="14.25" customHeight="1">
      <c r="A2424" t="s">
        <v>2486</v>
      </c>
      <c r="B2424" t="s">
        <v>2193</v>
      </c>
      <c r="C2424" t="s">
        <v>75</v>
      </c>
      <c r="D2424" t="s">
        <v>63</v>
      </c>
      <c r="E2424">
        <v>7.1</v>
      </c>
      <c r="F2424">
        <v>8.0</v>
      </c>
      <c r="G2424" s="2" t="s">
        <v>67</v>
      </c>
      <c r="H2424" s="2">
        <v>22.0</v>
      </c>
      <c r="I2424" s="2">
        <v>92.0</v>
      </c>
      <c r="J2424" s="37">
        <v>613.72</v>
      </c>
      <c r="K2424" s="2">
        <v>26.0</v>
      </c>
      <c r="L2424" s="2">
        <v>164.0</v>
      </c>
      <c r="M2424" s="37">
        <v>797.1600000000001</v>
      </c>
    </row>
    <row r="2425" ht="14.25" customHeight="1">
      <c r="A2425" t="s">
        <v>2487</v>
      </c>
      <c r="B2425" t="s">
        <v>2193</v>
      </c>
      <c r="C2425" t="s">
        <v>75</v>
      </c>
      <c r="D2425" t="s">
        <v>63</v>
      </c>
      <c r="E2425">
        <v>7.1</v>
      </c>
      <c r="F2425">
        <v>8.0</v>
      </c>
      <c r="G2425" s="2" t="s">
        <v>67</v>
      </c>
      <c r="H2425" s="2">
        <v>22.0</v>
      </c>
      <c r="I2425" s="2">
        <v>92.0</v>
      </c>
      <c r="J2425" s="37">
        <v>613.72</v>
      </c>
      <c r="K2425" s="2">
        <v>26.0</v>
      </c>
      <c r="L2425" s="2">
        <v>164.0</v>
      </c>
      <c r="M2425" s="37">
        <v>797.1600000000001</v>
      </c>
    </row>
    <row r="2426" ht="14.25" customHeight="1">
      <c r="A2426" t="s">
        <v>2488</v>
      </c>
      <c r="B2426" t="s">
        <v>2193</v>
      </c>
      <c r="C2426" t="s">
        <v>62</v>
      </c>
      <c r="D2426" t="s">
        <v>63</v>
      </c>
      <c r="E2426">
        <v>2.5</v>
      </c>
      <c r="F2426">
        <v>3.4</v>
      </c>
      <c r="G2426" s="2" t="s">
        <v>64</v>
      </c>
      <c r="H2426" s="2">
        <v>0.0</v>
      </c>
      <c r="I2426" s="2">
        <v>0.0</v>
      </c>
      <c r="J2426" s="37">
        <v>0.0</v>
      </c>
      <c r="K2426" s="2">
        <v>0.0</v>
      </c>
      <c r="L2426" s="2">
        <v>0.0</v>
      </c>
      <c r="M2426" s="37">
        <v>0.0</v>
      </c>
    </row>
    <row r="2427" ht="14.25" customHeight="1">
      <c r="A2427" t="s">
        <v>2489</v>
      </c>
      <c r="B2427" t="s">
        <v>2193</v>
      </c>
      <c r="C2427" t="s">
        <v>62</v>
      </c>
      <c r="D2427" t="s">
        <v>63</v>
      </c>
      <c r="E2427">
        <v>3.5</v>
      </c>
      <c r="F2427">
        <v>4.3</v>
      </c>
      <c r="G2427" s="2" t="s">
        <v>64</v>
      </c>
      <c r="H2427" s="2">
        <v>0.0</v>
      </c>
      <c r="I2427" s="2">
        <v>0.0</v>
      </c>
      <c r="J2427" s="37">
        <v>0.0</v>
      </c>
      <c r="K2427" s="2">
        <v>0.0</v>
      </c>
      <c r="L2427" s="2">
        <v>0.0</v>
      </c>
      <c r="M2427" s="37">
        <v>0.0</v>
      </c>
    </row>
    <row r="2428" ht="14.25" customHeight="1">
      <c r="A2428" t="s">
        <v>2490</v>
      </c>
      <c r="B2428" t="s">
        <v>2193</v>
      </c>
      <c r="C2428" t="s">
        <v>62</v>
      </c>
      <c r="D2428" t="s">
        <v>63</v>
      </c>
      <c r="E2428">
        <v>4.2</v>
      </c>
      <c r="F2428">
        <v>5.4</v>
      </c>
      <c r="G2428" s="2" t="s">
        <v>64</v>
      </c>
      <c r="H2428" s="2">
        <v>0.0</v>
      </c>
      <c r="I2428" s="2">
        <v>0.0</v>
      </c>
      <c r="J2428" s="37">
        <v>0.0</v>
      </c>
      <c r="K2428" s="2">
        <v>0.0</v>
      </c>
      <c r="L2428" s="2">
        <v>0.0</v>
      </c>
      <c r="M2428" s="37">
        <v>0.0</v>
      </c>
    </row>
    <row r="2429" ht="14.25" customHeight="1">
      <c r="A2429" t="s">
        <v>2491</v>
      </c>
      <c r="B2429" t="s">
        <v>2193</v>
      </c>
      <c r="C2429" t="s">
        <v>62</v>
      </c>
      <c r="D2429" t="s">
        <v>63</v>
      </c>
      <c r="E2429">
        <v>5.0</v>
      </c>
      <c r="F2429">
        <v>5.8</v>
      </c>
      <c r="G2429" s="2" t="s">
        <v>64</v>
      </c>
      <c r="H2429" s="2">
        <v>0.0</v>
      </c>
      <c r="I2429" s="2">
        <v>0.0</v>
      </c>
      <c r="J2429" s="37">
        <v>0.0</v>
      </c>
      <c r="K2429" s="2">
        <v>0.0</v>
      </c>
      <c r="L2429" s="2">
        <v>0.0</v>
      </c>
      <c r="M2429" s="37">
        <v>0.0</v>
      </c>
    </row>
    <row r="2430" ht="14.25" customHeight="1">
      <c r="A2430" t="s">
        <v>2492</v>
      </c>
      <c r="B2430" t="s">
        <v>2193</v>
      </c>
      <c r="C2430" t="s">
        <v>62</v>
      </c>
      <c r="D2430" t="s">
        <v>63</v>
      </c>
      <c r="E2430">
        <v>5.0</v>
      </c>
      <c r="F2430">
        <v>5.8</v>
      </c>
      <c r="G2430" s="2" t="s">
        <v>64</v>
      </c>
      <c r="H2430" s="2">
        <v>0.0</v>
      </c>
      <c r="I2430" s="2">
        <v>0.0</v>
      </c>
      <c r="J2430" s="37">
        <v>0.0</v>
      </c>
      <c r="K2430" s="2">
        <v>0.0</v>
      </c>
      <c r="L2430" s="2">
        <v>0.0</v>
      </c>
      <c r="M2430" s="37">
        <v>0.0</v>
      </c>
    </row>
    <row r="2431" ht="14.25" customHeight="1">
      <c r="A2431" t="s">
        <v>2493</v>
      </c>
      <c r="B2431" t="s">
        <v>2193</v>
      </c>
      <c r="C2431" t="s">
        <v>62</v>
      </c>
      <c r="D2431" t="s">
        <v>63</v>
      </c>
      <c r="E2431">
        <v>5.0</v>
      </c>
      <c r="F2431">
        <v>5.8</v>
      </c>
      <c r="G2431" s="2" t="s">
        <v>64</v>
      </c>
      <c r="H2431" s="2">
        <v>0.0</v>
      </c>
      <c r="I2431" s="2">
        <v>0.0</v>
      </c>
      <c r="J2431" s="37">
        <v>0.0</v>
      </c>
      <c r="K2431" s="2">
        <v>0.0</v>
      </c>
      <c r="L2431" s="2">
        <v>0.0</v>
      </c>
      <c r="M2431" s="37">
        <v>0.0</v>
      </c>
    </row>
    <row r="2432" ht="14.25" customHeight="1">
      <c r="A2432" t="s">
        <v>2494</v>
      </c>
      <c r="B2432" t="s">
        <v>2193</v>
      </c>
      <c r="C2432" t="s">
        <v>62</v>
      </c>
      <c r="D2432" t="s">
        <v>63</v>
      </c>
      <c r="E2432">
        <v>6.1</v>
      </c>
      <c r="F2432">
        <v>6.5</v>
      </c>
      <c r="G2432" s="2" t="s">
        <v>64</v>
      </c>
      <c r="H2432" s="2">
        <v>0.0</v>
      </c>
      <c r="I2432" s="2">
        <v>0.0</v>
      </c>
      <c r="J2432" s="37">
        <v>0.0</v>
      </c>
      <c r="K2432" s="2">
        <v>0.0</v>
      </c>
      <c r="L2432" s="2">
        <v>0.0</v>
      </c>
      <c r="M2432" s="37">
        <v>0.0</v>
      </c>
    </row>
    <row r="2433" ht="14.25" customHeight="1">
      <c r="A2433" t="s">
        <v>2495</v>
      </c>
      <c r="B2433" t="s">
        <v>2193</v>
      </c>
      <c r="C2433" t="s">
        <v>62</v>
      </c>
      <c r="D2433" t="s">
        <v>63</v>
      </c>
      <c r="E2433">
        <v>6.1</v>
      </c>
      <c r="F2433">
        <v>6.5</v>
      </c>
      <c r="G2433" s="2" t="s">
        <v>64</v>
      </c>
      <c r="H2433" s="2">
        <v>0.0</v>
      </c>
      <c r="I2433" s="2">
        <v>0.0</v>
      </c>
      <c r="J2433" s="37">
        <v>0.0</v>
      </c>
      <c r="K2433" s="2">
        <v>0.0</v>
      </c>
      <c r="L2433" s="2">
        <v>0.0</v>
      </c>
      <c r="M2433" s="37">
        <v>0.0</v>
      </c>
    </row>
    <row r="2434" ht="14.25" customHeight="1">
      <c r="A2434" t="s">
        <v>2496</v>
      </c>
      <c r="B2434" t="s">
        <v>2193</v>
      </c>
      <c r="C2434" t="s">
        <v>62</v>
      </c>
      <c r="D2434" t="s">
        <v>63</v>
      </c>
      <c r="E2434">
        <v>6.1</v>
      </c>
      <c r="F2434">
        <v>6.5</v>
      </c>
      <c r="G2434" s="2" t="s">
        <v>64</v>
      </c>
      <c r="H2434" s="2">
        <v>0.0</v>
      </c>
      <c r="I2434" s="2">
        <v>0.0</v>
      </c>
      <c r="J2434" s="37">
        <v>0.0</v>
      </c>
      <c r="K2434" s="2">
        <v>0.0</v>
      </c>
      <c r="L2434" s="2">
        <v>0.0</v>
      </c>
      <c r="M2434" s="37">
        <v>0.0</v>
      </c>
    </row>
    <row r="2435" ht="14.25" customHeight="1">
      <c r="A2435" t="s">
        <v>2497</v>
      </c>
      <c r="B2435" t="s">
        <v>2193</v>
      </c>
      <c r="C2435" t="s">
        <v>75</v>
      </c>
      <c r="D2435" t="s">
        <v>63</v>
      </c>
      <c r="E2435">
        <v>6.0</v>
      </c>
      <c r="F2435">
        <v>7.0</v>
      </c>
      <c r="G2435" s="2" t="s">
        <v>67</v>
      </c>
      <c r="H2435" s="2">
        <v>20.0</v>
      </c>
      <c r="I2435" s="2">
        <v>63.0</v>
      </c>
      <c r="J2435" s="37">
        <v>531.1</v>
      </c>
      <c r="K2435" s="2">
        <v>23.0</v>
      </c>
      <c r="L2435" s="2">
        <v>125.0</v>
      </c>
      <c r="M2435" s="37">
        <v>679.08</v>
      </c>
    </row>
    <row r="2436" ht="14.25" customHeight="1">
      <c r="A2436" t="s">
        <v>2498</v>
      </c>
      <c r="B2436" t="s">
        <v>2193</v>
      </c>
      <c r="C2436" t="s">
        <v>75</v>
      </c>
      <c r="D2436" t="s">
        <v>63</v>
      </c>
      <c r="E2436">
        <v>6.0</v>
      </c>
      <c r="F2436">
        <v>7.0</v>
      </c>
      <c r="G2436" s="2" t="s">
        <v>67</v>
      </c>
      <c r="H2436" s="2">
        <v>20.0</v>
      </c>
      <c r="I2436" s="2">
        <v>63.0</v>
      </c>
      <c r="J2436" s="37">
        <v>531.1</v>
      </c>
      <c r="K2436" s="2">
        <v>23.0</v>
      </c>
      <c r="L2436" s="2">
        <v>125.0</v>
      </c>
      <c r="M2436" s="37">
        <v>679.08</v>
      </c>
    </row>
    <row r="2437" ht="14.25" customHeight="1">
      <c r="A2437" t="s">
        <v>2499</v>
      </c>
      <c r="B2437" t="s">
        <v>2193</v>
      </c>
      <c r="C2437" t="s">
        <v>75</v>
      </c>
      <c r="D2437" t="s">
        <v>63</v>
      </c>
      <c r="E2437">
        <v>6.0</v>
      </c>
      <c r="F2437">
        <v>7.0</v>
      </c>
      <c r="G2437" s="2" t="s">
        <v>67</v>
      </c>
      <c r="H2437" s="2">
        <v>20.0</v>
      </c>
      <c r="I2437" s="2">
        <v>63.0</v>
      </c>
      <c r="J2437" s="37">
        <v>531.1</v>
      </c>
      <c r="K2437" s="2">
        <v>23.0</v>
      </c>
      <c r="L2437" s="2">
        <v>125.0</v>
      </c>
      <c r="M2437" s="37">
        <v>679.08</v>
      </c>
    </row>
    <row r="2438" ht="14.25" customHeight="1">
      <c r="A2438" t="s">
        <v>2500</v>
      </c>
      <c r="B2438" t="s">
        <v>2193</v>
      </c>
      <c r="C2438" t="s">
        <v>75</v>
      </c>
      <c r="D2438" t="s">
        <v>63</v>
      </c>
      <c r="E2438">
        <v>7.1</v>
      </c>
      <c r="F2438">
        <v>8.0</v>
      </c>
      <c r="G2438" s="2" t="s">
        <v>67</v>
      </c>
      <c r="H2438" s="2">
        <v>21.0</v>
      </c>
      <c r="I2438" s="2">
        <v>44.0</v>
      </c>
      <c r="J2438" s="37">
        <v>528.86</v>
      </c>
      <c r="K2438" s="2">
        <v>25.0</v>
      </c>
      <c r="L2438" s="2">
        <v>117.0</v>
      </c>
      <c r="M2438" s="37">
        <v>713.6</v>
      </c>
    </row>
    <row r="2439" ht="14.25" customHeight="1">
      <c r="A2439" t="s">
        <v>2501</v>
      </c>
      <c r="B2439" t="s">
        <v>2193</v>
      </c>
      <c r="C2439" t="s">
        <v>62</v>
      </c>
      <c r="D2439" t="s">
        <v>63</v>
      </c>
      <c r="E2439">
        <v>2.5</v>
      </c>
      <c r="F2439">
        <v>3.2</v>
      </c>
      <c r="G2439" s="2" t="s">
        <v>67</v>
      </c>
      <c r="H2439" s="2">
        <v>8.0</v>
      </c>
      <c r="I2439" s="2">
        <v>57.0</v>
      </c>
      <c r="J2439" s="37">
        <v>253.78000000000003</v>
      </c>
      <c r="K2439" s="2">
        <v>9.0</v>
      </c>
      <c r="L2439" s="2">
        <v>77.0</v>
      </c>
      <c r="M2439" s="37">
        <v>302.24</v>
      </c>
    </row>
    <row r="2440" ht="14.25" customHeight="1">
      <c r="A2440" t="s">
        <v>2502</v>
      </c>
      <c r="B2440" t="s">
        <v>2193</v>
      </c>
      <c r="C2440" t="s">
        <v>62</v>
      </c>
      <c r="D2440" t="s">
        <v>63</v>
      </c>
      <c r="E2440">
        <v>2.5</v>
      </c>
      <c r="F2440">
        <v>3.2</v>
      </c>
      <c r="G2440" s="2" t="s">
        <v>67</v>
      </c>
      <c r="H2440" s="2">
        <v>8.0</v>
      </c>
      <c r="I2440" s="2">
        <v>57.0</v>
      </c>
      <c r="J2440" s="37">
        <v>253.78000000000003</v>
      </c>
      <c r="K2440" s="2">
        <v>9.0</v>
      </c>
      <c r="L2440" s="2">
        <v>77.0</v>
      </c>
      <c r="M2440" s="37">
        <v>302.24</v>
      </c>
    </row>
    <row r="2441" ht="14.25" customHeight="1">
      <c r="A2441" t="s">
        <v>2503</v>
      </c>
      <c r="B2441" t="s">
        <v>2193</v>
      </c>
      <c r="C2441" t="s">
        <v>62</v>
      </c>
      <c r="D2441" t="s">
        <v>63</v>
      </c>
      <c r="E2441">
        <v>2.5</v>
      </c>
      <c r="F2441">
        <v>3.2</v>
      </c>
      <c r="G2441" s="2" t="s">
        <v>67</v>
      </c>
      <c r="H2441" s="2">
        <v>8.0</v>
      </c>
      <c r="I2441" s="2">
        <v>57.0</v>
      </c>
      <c r="J2441" s="37">
        <v>253.78000000000003</v>
      </c>
      <c r="K2441" s="2">
        <v>9.0</v>
      </c>
      <c r="L2441" s="2">
        <v>77.0</v>
      </c>
      <c r="M2441" s="37">
        <v>302.24</v>
      </c>
    </row>
    <row r="2442" ht="14.25" customHeight="1">
      <c r="A2442" t="s">
        <v>2504</v>
      </c>
      <c r="B2442" t="s">
        <v>2193</v>
      </c>
      <c r="C2442" t="s">
        <v>62</v>
      </c>
      <c r="D2442" t="s">
        <v>63</v>
      </c>
      <c r="E2442">
        <v>2.5</v>
      </c>
      <c r="F2442">
        <v>3.2</v>
      </c>
      <c r="G2442" s="2" t="s">
        <v>67</v>
      </c>
      <c r="H2442" s="2">
        <v>8.0</v>
      </c>
      <c r="I2442" s="2">
        <v>57.0</v>
      </c>
      <c r="J2442" s="37">
        <v>253.78000000000003</v>
      </c>
      <c r="K2442" s="2">
        <v>9.0</v>
      </c>
      <c r="L2442" s="2">
        <v>77.0</v>
      </c>
      <c r="M2442" s="37">
        <v>302.24</v>
      </c>
    </row>
    <row r="2443" ht="14.25" customHeight="1">
      <c r="A2443" t="s">
        <v>2505</v>
      </c>
      <c r="B2443" t="s">
        <v>2193</v>
      </c>
      <c r="C2443" t="s">
        <v>62</v>
      </c>
      <c r="D2443" t="s">
        <v>63</v>
      </c>
      <c r="E2443">
        <v>3.5</v>
      </c>
      <c r="F2443">
        <v>4.0</v>
      </c>
      <c r="G2443" s="2" t="s">
        <v>67</v>
      </c>
      <c r="H2443" s="2">
        <v>10.0</v>
      </c>
      <c r="I2443" s="2">
        <v>40.0</v>
      </c>
      <c r="J2443" s="37">
        <v>276.6</v>
      </c>
      <c r="K2443" s="2">
        <v>12.0</v>
      </c>
      <c r="L2443" s="2">
        <v>68.0</v>
      </c>
      <c r="M2443" s="37">
        <v>357.91999999999996</v>
      </c>
    </row>
    <row r="2444" ht="14.25" customHeight="1">
      <c r="A2444" t="s">
        <v>2506</v>
      </c>
      <c r="B2444" t="s">
        <v>2193</v>
      </c>
      <c r="C2444" t="s">
        <v>62</v>
      </c>
      <c r="D2444" t="s">
        <v>63</v>
      </c>
      <c r="E2444">
        <v>3.5</v>
      </c>
      <c r="F2444">
        <v>4.0</v>
      </c>
      <c r="G2444" s="2" t="s">
        <v>67</v>
      </c>
      <c r="H2444" s="2">
        <v>10.0</v>
      </c>
      <c r="I2444" s="2">
        <v>40.0</v>
      </c>
      <c r="J2444" s="37">
        <v>276.6</v>
      </c>
      <c r="K2444" s="2">
        <v>12.0</v>
      </c>
      <c r="L2444" s="2">
        <v>68.0</v>
      </c>
      <c r="M2444" s="37">
        <v>357.91999999999996</v>
      </c>
    </row>
    <row r="2445" ht="14.25" customHeight="1">
      <c r="A2445" t="s">
        <v>2507</v>
      </c>
      <c r="B2445" t="s">
        <v>2193</v>
      </c>
      <c r="C2445" t="s">
        <v>62</v>
      </c>
      <c r="D2445" t="s">
        <v>63</v>
      </c>
      <c r="E2445">
        <v>3.5</v>
      </c>
      <c r="F2445">
        <v>4.0</v>
      </c>
      <c r="G2445" s="2" t="s">
        <v>67</v>
      </c>
      <c r="H2445" s="2">
        <v>10.0</v>
      </c>
      <c r="I2445" s="2">
        <v>40.0</v>
      </c>
      <c r="J2445" s="37">
        <v>276.6</v>
      </c>
      <c r="K2445" s="2">
        <v>12.0</v>
      </c>
      <c r="L2445" s="2">
        <v>68.0</v>
      </c>
      <c r="M2445" s="37">
        <v>357.91999999999996</v>
      </c>
    </row>
    <row r="2446" ht="14.25" customHeight="1">
      <c r="A2446" t="s">
        <v>2508</v>
      </c>
      <c r="B2446" t="s">
        <v>2193</v>
      </c>
      <c r="C2446" t="s">
        <v>62</v>
      </c>
      <c r="D2446" t="s">
        <v>63</v>
      </c>
      <c r="E2446">
        <v>3.5</v>
      </c>
      <c r="F2446">
        <v>4.0</v>
      </c>
      <c r="G2446" s="2" t="s">
        <v>67</v>
      </c>
      <c r="H2446" s="2">
        <v>10.0</v>
      </c>
      <c r="I2446" s="2">
        <v>40.0</v>
      </c>
      <c r="J2446" s="37">
        <v>276.6</v>
      </c>
      <c r="K2446" s="2">
        <v>12.0</v>
      </c>
      <c r="L2446" s="2">
        <v>68.0</v>
      </c>
      <c r="M2446" s="37">
        <v>357.91999999999996</v>
      </c>
    </row>
    <row r="2447" ht="14.25" customHeight="1">
      <c r="A2447" t="s">
        <v>2509</v>
      </c>
      <c r="B2447" t="s">
        <v>2193</v>
      </c>
      <c r="C2447" t="s">
        <v>62</v>
      </c>
      <c r="D2447" t="s">
        <v>63</v>
      </c>
      <c r="E2447">
        <v>2.0</v>
      </c>
      <c r="F2447">
        <v>2.5</v>
      </c>
      <c r="G2447" s="2" t="s">
        <v>64</v>
      </c>
      <c r="H2447" s="2">
        <v>0.0</v>
      </c>
      <c r="I2447" s="2">
        <v>0.0</v>
      </c>
      <c r="J2447" s="37">
        <v>0.0</v>
      </c>
      <c r="K2447" s="2">
        <v>0.0</v>
      </c>
      <c r="L2447" s="2">
        <v>0.0</v>
      </c>
      <c r="M2447" s="37">
        <v>0.0</v>
      </c>
    </row>
    <row r="2448" ht="14.25" customHeight="1">
      <c r="A2448" t="s">
        <v>2510</v>
      </c>
      <c r="B2448" t="s">
        <v>2193</v>
      </c>
      <c r="C2448" t="s">
        <v>62</v>
      </c>
      <c r="D2448" t="s">
        <v>63</v>
      </c>
      <c r="E2448">
        <v>2.0</v>
      </c>
      <c r="F2448">
        <v>2.5</v>
      </c>
      <c r="G2448" s="2" t="s">
        <v>64</v>
      </c>
      <c r="H2448" s="2">
        <v>0.0</v>
      </c>
      <c r="I2448" s="2">
        <v>0.0</v>
      </c>
      <c r="J2448" s="37">
        <v>0.0</v>
      </c>
      <c r="K2448" s="2">
        <v>0.0</v>
      </c>
      <c r="L2448" s="2">
        <v>0.0</v>
      </c>
      <c r="M2448" s="37">
        <v>0.0</v>
      </c>
    </row>
    <row r="2449" ht="14.25" customHeight="1">
      <c r="A2449" t="s">
        <v>2511</v>
      </c>
      <c r="B2449" t="s">
        <v>2193</v>
      </c>
      <c r="C2449" t="s">
        <v>62</v>
      </c>
      <c r="D2449" t="s">
        <v>63</v>
      </c>
      <c r="E2449">
        <v>2.0</v>
      </c>
      <c r="F2449">
        <v>2.5</v>
      </c>
      <c r="G2449" s="2" t="s">
        <v>64</v>
      </c>
      <c r="H2449" s="2">
        <v>0.0</v>
      </c>
      <c r="I2449" s="2">
        <v>0.0</v>
      </c>
      <c r="J2449" s="37">
        <v>0.0</v>
      </c>
      <c r="K2449" s="2">
        <v>0.0</v>
      </c>
      <c r="L2449" s="2">
        <v>0.0</v>
      </c>
      <c r="M2449" s="37">
        <v>0.0</v>
      </c>
    </row>
    <row r="2450" ht="14.25" customHeight="1">
      <c r="A2450" t="s">
        <v>2512</v>
      </c>
      <c r="B2450" t="s">
        <v>2193</v>
      </c>
      <c r="C2450" t="s">
        <v>62</v>
      </c>
      <c r="D2450" t="s">
        <v>63</v>
      </c>
      <c r="E2450">
        <v>12.0</v>
      </c>
      <c r="F2450">
        <v>14.0</v>
      </c>
      <c r="G2450" s="2" t="s">
        <v>64</v>
      </c>
      <c r="H2450" s="2">
        <v>0.0</v>
      </c>
      <c r="I2450" s="2">
        <v>0.0</v>
      </c>
      <c r="J2450" s="37">
        <v>0.0</v>
      </c>
      <c r="K2450" s="2">
        <v>0.0</v>
      </c>
      <c r="L2450" s="2">
        <v>0.0</v>
      </c>
      <c r="M2450" s="37">
        <v>0.0</v>
      </c>
    </row>
    <row r="2451" ht="14.25" customHeight="1">
      <c r="A2451" t="s">
        <v>2513</v>
      </c>
      <c r="B2451" t="s">
        <v>2193</v>
      </c>
      <c r="C2451" t="s">
        <v>62</v>
      </c>
      <c r="D2451" t="s">
        <v>63</v>
      </c>
      <c r="E2451">
        <v>12.0</v>
      </c>
      <c r="F2451">
        <v>14.0</v>
      </c>
      <c r="G2451" s="2" t="s">
        <v>64</v>
      </c>
      <c r="H2451" s="2">
        <v>0.0</v>
      </c>
      <c r="I2451" s="2">
        <v>0.0</v>
      </c>
      <c r="J2451" s="37">
        <v>0.0</v>
      </c>
      <c r="K2451" s="2">
        <v>0.0</v>
      </c>
      <c r="L2451" s="2">
        <v>0.0</v>
      </c>
      <c r="M2451" s="37">
        <v>0.0</v>
      </c>
    </row>
    <row r="2452" ht="14.25" customHeight="1">
      <c r="A2452" t="s">
        <v>2514</v>
      </c>
      <c r="B2452" t="s">
        <v>2193</v>
      </c>
      <c r="C2452" t="s">
        <v>62</v>
      </c>
      <c r="D2452" t="s">
        <v>63</v>
      </c>
      <c r="E2452">
        <v>12.0</v>
      </c>
      <c r="F2452">
        <v>14.0</v>
      </c>
      <c r="G2452" s="2" t="s">
        <v>64</v>
      </c>
      <c r="H2452" s="2">
        <v>0.0</v>
      </c>
      <c r="I2452" s="2">
        <v>0.0</v>
      </c>
      <c r="J2452" s="37">
        <v>0.0</v>
      </c>
      <c r="K2452" s="2">
        <v>0.0</v>
      </c>
      <c r="L2452" s="2">
        <v>0.0</v>
      </c>
      <c r="M2452" s="37">
        <v>0.0</v>
      </c>
    </row>
    <row r="2453" ht="14.25" customHeight="1">
      <c r="A2453" t="s">
        <v>2515</v>
      </c>
      <c r="B2453" t="s">
        <v>2193</v>
      </c>
      <c r="C2453" t="s">
        <v>62</v>
      </c>
      <c r="D2453" t="s">
        <v>63</v>
      </c>
      <c r="E2453">
        <v>10.0</v>
      </c>
      <c r="F2453">
        <v>11.2</v>
      </c>
      <c r="G2453" s="2" t="s">
        <v>67</v>
      </c>
      <c r="H2453" s="2">
        <v>30.0</v>
      </c>
      <c r="I2453" s="2">
        <v>102.0</v>
      </c>
      <c r="J2453" s="37">
        <v>806.4000000000001</v>
      </c>
      <c r="K2453" s="2">
        <v>36.0</v>
      </c>
      <c r="L2453" s="2">
        <v>205.0</v>
      </c>
      <c r="M2453" s="37">
        <v>1075.06</v>
      </c>
    </row>
    <row r="2454" ht="14.25" customHeight="1">
      <c r="A2454" t="s">
        <v>2516</v>
      </c>
      <c r="B2454" t="s">
        <v>2193</v>
      </c>
      <c r="C2454" t="s">
        <v>62</v>
      </c>
      <c r="D2454" t="s">
        <v>63</v>
      </c>
      <c r="E2454">
        <v>10.0</v>
      </c>
      <c r="F2454">
        <v>11.2</v>
      </c>
      <c r="G2454" s="2" t="s">
        <v>67</v>
      </c>
      <c r="H2454" s="2">
        <v>30.0</v>
      </c>
      <c r="I2454" s="2">
        <v>102.0</v>
      </c>
      <c r="J2454" s="37">
        <v>806.4000000000001</v>
      </c>
      <c r="K2454" s="2">
        <v>36.0</v>
      </c>
      <c r="L2454" s="2">
        <v>205.0</v>
      </c>
      <c r="M2454" s="37">
        <v>1075.06</v>
      </c>
    </row>
    <row r="2455" ht="14.25" customHeight="1">
      <c r="A2455" t="s">
        <v>2517</v>
      </c>
      <c r="B2455" t="s">
        <v>2193</v>
      </c>
      <c r="C2455" t="s">
        <v>62</v>
      </c>
      <c r="D2455" t="s">
        <v>63</v>
      </c>
      <c r="E2455">
        <v>10.0</v>
      </c>
      <c r="F2455">
        <v>11.2</v>
      </c>
      <c r="G2455" s="2" t="s">
        <v>67</v>
      </c>
      <c r="H2455" s="2">
        <v>30.0</v>
      </c>
      <c r="I2455" s="2">
        <v>102.0</v>
      </c>
      <c r="J2455" s="37">
        <v>806.4000000000001</v>
      </c>
      <c r="K2455" s="2">
        <v>36.0</v>
      </c>
      <c r="L2455" s="2">
        <v>205.0</v>
      </c>
      <c r="M2455" s="37">
        <v>1075.06</v>
      </c>
    </row>
    <row r="2456" ht="14.25" customHeight="1">
      <c r="A2456" t="s">
        <v>2518</v>
      </c>
      <c r="B2456" t="s">
        <v>2193</v>
      </c>
      <c r="C2456" t="s">
        <v>62</v>
      </c>
      <c r="D2456" t="s">
        <v>63</v>
      </c>
      <c r="E2456">
        <v>11.5</v>
      </c>
      <c r="F2456">
        <v>14.0</v>
      </c>
      <c r="G2456" s="2" t="s">
        <v>64</v>
      </c>
      <c r="H2456" s="2">
        <v>0.0</v>
      </c>
      <c r="I2456" s="2">
        <v>0.0</v>
      </c>
      <c r="J2456" s="37">
        <v>0.0</v>
      </c>
      <c r="K2456" s="2">
        <v>0.0</v>
      </c>
      <c r="L2456" s="2">
        <v>0.0</v>
      </c>
      <c r="M2456" s="37">
        <v>0.0</v>
      </c>
    </row>
    <row r="2457" ht="14.25" customHeight="1">
      <c r="A2457" t="s">
        <v>2519</v>
      </c>
      <c r="B2457" t="s">
        <v>2193</v>
      </c>
      <c r="C2457" t="s">
        <v>62</v>
      </c>
      <c r="D2457" t="s">
        <v>63</v>
      </c>
      <c r="E2457">
        <v>11.5</v>
      </c>
      <c r="F2457">
        <v>14.0</v>
      </c>
      <c r="G2457" s="2" t="s">
        <v>64</v>
      </c>
      <c r="H2457" s="2">
        <v>0.0</v>
      </c>
      <c r="I2457" s="2">
        <v>0.0</v>
      </c>
      <c r="J2457" s="37">
        <v>0.0</v>
      </c>
      <c r="K2457" s="2">
        <v>0.0</v>
      </c>
      <c r="L2457" s="2">
        <v>0.0</v>
      </c>
      <c r="M2457" s="37">
        <v>0.0</v>
      </c>
    </row>
    <row r="2458" ht="14.25" customHeight="1">
      <c r="A2458" t="s">
        <v>2520</v>
      </c>
      <c r="B2458" t="s">
        <v>2193</v>
      </c>
      <c r="C2458" t="s">
        <v>62</v>
      </c>
      <c r="D2458" t="s">
        <v>63</v>
      </c>
      <c r="E2458">
        <v>11.5</v>
      </c>
      <c r="F2458">
        <v>14.0</v>
      </c>
      <c r="G2458" s="2" t="s">
        <v>64</v>
      </c>
      <c r="H2458" s="2">
        <v>0.0</v>
      </c>
      <c r="I2458" s="2">
        <v>0.0</v>
      </c>
      <c r="J2458" s="37">
        <v>0.0</v>
      </c>
      <c r="K2458" s="2">
        <v>0.0</v>
      </c>
      <c r="L2458" s="2">
        <v>0.0</v>
      </c>
      <c r="M2458" s="37">
        <v>0.0</v>
      </c>
    </row>
    <row r="2459" ht="14.25" customHeight="1">
      <c r="A2459" t="s">
        <v>2521</v>
      </c>
      <c r="B2459" t="s">
        <v>2193</v>
      </c>
      <c r="C2459" t="s">
        <v>62</v>
      </c>
      <c r="D2459" t="s">
        <v>63</v>
      </c>
      <c r="E2459">
        <v>10.0</v>
      </c>
      <c r="F2459">
        <v>11.2</v>
      </c>
      <c r="G2459" s="2" t="s">
        <v>64</v>
      </c>
      <c r="H2459" s="2">
        <v>0.0</v>
      </c>
      <c r="I2459" s="2">
        <v>0.0</v>
      </c>
      <c r="J2459" s="37">
        <v>0.0</v>
      </c>
      <c r="K2459" s="2">
        <v>0.0</v>
      </c>
      <c r="L2459" s="2">
        <v>0.0</v>
      </c>
      <c r="M2459" s="37">
        <v>0.0</v>
      </c>
    </row>
    <row r="2460" ht="14.25" customHeight="1">
      <c r="A2460" t="s">
        <v>2522</v>
      </c>
      <c r="B2460" t="s">
        <v>2193</v>
      </c>
      <c r="C2460" t="s">
        <v>62</v>
      </c>
      <c r="D2460" t="s">
        <v>63</v>
      </c>
      <c r="E2460">
        <v>10.0</v>
      </c>
      <c r="F2460">
        <v>11.2</v>
      </c>
      <c r="G2460" s="2" t="s">
        <v>64</v>
      </c>
      <c r="H2460" s="2">
        <v>0.0</v>
      </c>
      <c r="I2460" s="2">
        <v>0.0</v>
      </c>
      <c r="J2460" s="37">
        <v>0.0</v>
      </c>
      <c r="K2460" s="2">
        <v>0.0</v>
      </c>
      <c r="L2460" s="2">
        <v>0.0</v>
      </c>
      <c r="M2460" s="37">
        <v>0.0</v>
      </c>
    </row>
    <row r="2461" ht="14.25" customHeight="1">
      <c r="A2461" t="s">
        <v>2523</v>
      </c>
      <c r="B2461" t="s">
        <v>2193</v>
      </c>
      <c r="C2461" t="s">
        <v>62</v>
      </c>
      <c r="D2461" t="s">
        <v>63</v>
      </c>
      <c r="E2461">
        <v>10.0</v>
      </c>
      <c r="F2461">
        <v>11.2</v>
      </c>
      <c r="G2461" s="2" t="s">
        <v>64</v>
      </c>
      <c r="H2461" s="2">
        <v>0.0</v>
      </c>
      <c r="I2461" s="2">
        <v>0.0</v>
      </c>
      <c r="J2461" s="37">
        <v>0.0</v>
      </c>
      <c r="K2461" s="2">
        <v>0.0</v>
      </c>
      <c r="L2461" s="2">
        <v>0.0</v>
      </c>
      <c r="M2461" s="37">
        <v>0.0</v>
      </c>
    </row>
    <row r="2462" ht="14.25" customHeight="1">
      <c r="A2462" t="s">
        <v>2524</v>
      </c>
      <c r="B2462" t="s">
        <v>2193</v>
      </c>
      <c r="C2462" t="s">
        <v>75</v>
      </c>
      <c r="D2462" t="s">
        <v>63</v>
      </c>
      <c r="E2462">
        <v>14.0</v>
      </c>
      <c r="F2462">
        <v>16.0</v>
      </c>
      <c r="G2462" s="2" t="s">
        <v>64</v>
      </c>
      <c r="H2462" s="2">
        <v>0.0</v>
      </c>
      <c r="I2462" s="2">
        <v>0.0</v>
      </c>
      <c r="J2462" s="37">
        <v>0.0</v>
      </c>
      <c r="K2462" s="2">
        <v>0.0</v>
      </c>
      <c r="L2462" s="2">
        <v>0.0</v>
      </c>
      <c r="M2462" s="37">
        <v>0.0</v>
      </c>
    </row>
    <row r="2463" ht="14.25" customHeight="1">
      <c r="A2463" t="s">
        <v>2525</v>
      </c>
      <c r="B2463" t="s">
        <v>2193</v>
      </c>
      <c r="C2463" t="s">
        <v>75</v>
      </c>
      <c r="D2463" t="s">
        <v>63</v>
      </c>
      <c r="E2463">
        <v>12.0</v>
      </c>
      <c r="F2463">
        <v>14.0</v>
      </c>
      <c r="G2463" s="2" t="s">
        <v>64</v>
      </c>
      <c r="H2463" s="2">
        <v>0.0</v>
      </c>
      <c r="I2463" s="2">
        <v>0.0</v>
      </c>
      <c r="J2463" s="37">
        <v>0.0</v>
      </c>
      <c r="K2463" s="2">
        <v>0.0</v>
      </c>
      <c r="L2463" s="2">
        <v>0.0</v>
      </c>
      <c r="M2463" s="37">
        <v>0.0</v>
      </c>
    </row>
    <row r="2464" ht="14.25" customHeight="1">
      <c r="A2464" t="s">
        <v>2526</v>
      </c>
      <c r="B2464" t="s">
        <v>2193</v>
      </c>
      <c r="C2464" t="s">
        <v>75</v>
      </c>
      <c r="D2464" t="s">
        <v>63</v>
      </c>
      <c r="E2464">
        <v>10.0</v>
      </c>
      <c r="F2464">
        <v>12.5</v>
      </c>
      <c r="G2464" s="2" t="s">
        <v>64</v>
      </c>
      <c r="H2464" s="2">
        <v>0.0</v>
      </c>
      <c r="I2464" s="2">
        <v>0.0</v>
      </c>
      <c r="J2464" s="37">
        <v>0.0</v>
      </c>
      <c r="K2464" s="2">
        <v>0.0</v>
      </c>
      <c r="L2464" s="2">
        <v>0.0</v>
      </c>
      <c r="M2464" s="37">
        <v>0.0</v>
      </c>
    </row>
    <row r="2465" ht="14.25" customHeight="1">
      <c r="A2465" t="s">
        <v>2527</v>
      </c>
      <c r="B2465" t="s">
        <v>2193</v>
      </c>
      <c r="C2465" t="s">
        <v>75</v>
      </c>
      <c r="D2465" t="s">
        <v>63</v>
      </c>
      <c r="E2465">
        <v>10.0</v>
      </c>
      <c r="F2465">
        <v>11.2</v>
      </c>
      <c r="G2465" s="2" t="s">
        <v>67</v>
      </c>
      <c r="H2465" s="2">
        <v>32.0</v>
      </c>
      <c r="I2465" s="2">
        <v>247.0</v>
      </c>
      <c r="J2465" s="37">
        <v>1039.8200000000002</v>
      </c>
      <c r="K2465" s="2">
        <v>37.0</v>
      </c>
      <c r="L2465" s="2">
        <v>350.0</v>
      </c>
      <c r="M2465" s="37">
        <v>1286.02</v>
      </c>
    </row>
    <row r="2466" ht="14.25" customHeight="1">
      <c r="A2466" t="s">
        <v>2528</v>
      </c>
      <c r="B2466" t="s">
        <v>2193</v>
      </c>
      <c r="C2466" t="s">
        <v>75</v>
      </c>
      <c r="D2466" t="s">
        <v>63</v>
      </c>
      <c r="E2466">
        <v>10.0</v>
      </c>
      <c r="F2466">
        <v>11.2</v>
      </c>
      <c r="G2466" s="2" t="s">
        <v>67</v>
      </c>
      <c r="H2466" s="2">
        <v>32.0</v>
      </c>
      <c r="I2466" s="2">
        <v>247.0</v>
      </c>
      <c r="J2466" s="37">
        <v>1039.8200000000002</v>
      </c>
      <c r="K2466" s="2">
        <v>37.0</v>
      </c>
      <c r="L2466" s="2">
        <v>350.0</v>
      </c>
      <c r="M2466" s="37">
        <v>1286.02</v>
      </c>
    </row>
    <row r="2467" ht="14.25" customHeight="1">
      <c r="A2467" t="s">
        <v>2529</v>
      </c>
      <c r="B2467" t="s">
        <v>2193</v>
      </c>
      <c r="C2467" t="s">
        <v>75</v>
      </c>
      <c r="D2467" t="s">
        <v>63</v>
      </c>
      <c r="E2467">
        <v>10.0</v>
      </c>
      <c r="F2467">
        <v>11.2</v>
      </c>
      <c r="G2467" s="2" t="s">
        <v>67</v>
      </c>
      <c r="H2467" s="2">
        <v>32.0</v>
      </c>
      <c r="I2467" s="2">
        <v>247.0</v>
      </c>
      <c r="J2467" s="37">
        <v>1039.8200000000002</v>
      </c>
      <c r="K2467" s="2">
        <v>37.0</v>
      </c>
      <c r="L2467" s="2">
        <v>350.0</v>
      </c>
      <c r="M2467" s="37">
        <v>1286.02</v>
      </c>
    </row>
    <row r="2468" ht="14.25" customHeight="1">
      <c r="A2468" t="s">
        <v>2530</v>
      </c>
      <c r="B2468" t="s">
        <v>2193</v>
      </c>
      <c r="C2468" t="s">
        <v>75</v>
      </c>
      <c r="D2468" t="s">
        <v>63</v>
      </c>
      <c r="E2468">
        <v>12.5</v>
      </c>
      <c r="F2468">
        <v>14.0</v>
      </c>
      <c r="G2468" s="2" t="s">
        <v>67</v>
      </c>
      <c r="H2468" s="2">
        <v>38.0</v>
      </c>
      <c r="I2468" s="2">
        <v>151.0</v>
      </c>
      <c r="J2468" s="37">
        <v>1049.78</v>
      </c>
      <c r="K2468" s="2">
        <v>45.0</v>
      </c>
      <c r="L2468" s="2">
        <v>280.0</v>
      </c>
      <c r="M2468" s="37">
        <v>1374.7</v>
      </c>
    </row>
    <row r="2469" ht="14.25" customHeight="1">
      <c r="A2469" t="s">
        <v>2531</v>
      </c>
      <c r="B2469" t="s">
        <v>2193</v>
      </c>
      <c r="C2469" t="s">
        <v>75</v>
      </c>
      <c r="D2469" t="s">
        <v>63</v>
      </c>
      <c r="E2469">
        <v>12.5</v>
      </c>
      <c r="F2469">
        <v>14.0</v>
      </c>
      <c r="G2469" s="2" t="s">
        <v>67</v>
      </c>
      <c r="H2469" s="2">
        <v>38.0</v>
      </c>
      <c r="I2469" s="2">
        <v>151.0</v>
      </c>
      <c r="J2469" s="37">
        <v>1049.78</v>
      </c>
      <c r="K2469" s="2">
        <v>45.0</v>
      </c>
      <c r="L2469" s="2">
        <v>280.0</v>
      </c>
      <c r="M2469" s="37">
        <v>1374.7</v>
      </c>
    </row>
    <row r="2470" ht="14.25" customHeight="1">
      <c r="A2470" t="s">
        <v>2532</v>
      </c>
      <c r="B2470" t="s">
        <v>2193</v>
      </c>
      <c r="C2470" t="s">
        <v>75</v>
      </c>
      <c r="D2470" t="s">
        <v>63</v>
      </c>
      <c r="E2470">
        <v>12.5</v>
      </c>
      <c r="F2470">
        <v>14.0</v>
      </c>
      <c r="G2470" s="2" t="s">
        <v>67</v>
      </c>
      <c r="H2470" s="2">
        <v>38.0</v>
      </c>
      <c r="I2470" s="2">
        <v>151.0</v>
      </c>
      <c r="J2470" s="37">
        <v>1049.78</v>
      </c>
      <c r="K2470" s="2">
        <v>45.0</v>
      </c>
      <c r="L2470" s="2">
        <v>280.0</v>
      </c>
      <c r="M2470" s="37">
        <v>1374.7</v>
      </c>
    </row>
    <row r="2471" ht="14.25" customHeight="1">
      <c r="A2471" t="s">
        <v>2533</v>
      </c>
      <c r="B2471" t="s">
        <v>2193</v>
      </c>
      <c r="C2471" t="s">
        <v>75</v>
      </c>
      <c r="D2471" t="s">
        <v>63</v>
      </c>
      <c r="E2471">
        <v>14.0</v>
      </c>
      <c r="F2471">
        <v>16.0</v>
      </c>
      <c r="G2471" s="2" t="s">
        <v>67</v>
      </c>
      <c r="H2471" s="2">
        <v>44.0</v>
      </c>
      <c r="I2471" s="2">
        <v>123.0</v>
      </c>
      <c r="J2471" s="37">
        <v>1148.14</v>
      </c>
      <c r="K2471" s="2">
        <v>51.0</v>
      </c>
      <c r="L2471" s="2">
        <v>266.0</v>
      </c>
      <c r="M2471" s="37">
        <v>1491.26</v>
      </c>
    </row>
    <row r="2472" ht="14.25" customHeight="1">
      <c r="A2472" t="s">
        <v>2234</v>
      </c>
      <c r="B2472" t="s">
        <v>2193</v>
      </c>
      <c r="C2472" t="s">
        <v>75</v>
      </c>
      <c r="D2472" t="s">
        <v>63</v>
      </c>
      <c r="E2472">
        <v>14.0</v>
      </c>
      <c r="F2472">
        <v>16.0</v>
      </c>
      <c r="G2472" s="2" t="s">
        <v>67</v>
      </c>
      <c r="H2472" s="2">
        <v>0.0</v>
      </c>
      <c r="I2472" s="2">
        <v>0.0</v>
      </c>
      <c r="J2472" s="37">
        <v>0.0</v>
      </c>
      <c r="K2472" s="2">
        <v>0.0</v>
      </c>
      <c r="L2472" s="2">
        <v>0.0</v>
      </c>
      <c r="M2472" s="37">
        <v>0.0</v>
      </c>
    </row>
    <row r="2473" ht="14.25" customHeight="1">
      <c r="A2473" t="s">
        <v>2534</v>
      </c>
      <c r="B2473" t="s">
        <v>2193</v>
      </c>
      <c r="C2473" t="s">
        <v>75</v>
      </c>
      <c r="D2473" t="s">
        <v>63</v>
      </c>
      <c r="E2473">
        <v>10.0</v>
      </c>
      <c r="F2473">
        <v>11.2</v>
      </c>
      <c r="G2473" s="2" t="s">
        <v>67</v>
      </c>
      <c r="H2473" s="2">
        <v>32.0</v>
      </c>
      <c r="I2473" s="2">
        <v>247.0</v>
      </c>
      <c r="J2473" s="37">
        <v>1039.8200000000002</v>
      </c>
      <c r="K2473" s="2">
        <v>37.0</v>
      </c>
      <c r="L2473" s="2">
        <v>350.0</v>
      </c>
      <c r="M2473" s="37">
        <v>1286.02</v>
      </c>
    </row>
    <row r="2474" ht="14.25" customHeight="1">
      <c r="A2474" t="s">
        <v>2535</v>
      </c>
      <c r="B2474" t="s">
        <v>2193</v>
      </c>
      <c r="C2474" t="s">
        <v>75</v>
      </c>
      <c r="D2474" t="s">
        <v>63</v>
      </c>
      <c r="E2474">
        <v>10.0</v>
      </c>
      <c r="F2474">
        <v>11.2</v>
      </c>
      <c r="G2474" s="2" t="s">
        <v>67</v>
      </c>
      <c r="H2474" s="2">
        <v>32.0</v>
      </c>
      <c r="I2474" s="2">
        <v>247.0</v>
      </c>
      <c r="J2474" s="37">
        <v>1039.8200000000002</v>
      </c>
      <c r="K2474" s="2">
        <v>37.0</v>
      </c>
      <c r="L2474" s="2">
        <v>350.0</v>
      </c>
      <c r="M2474" s="37">
        <v>1286.02</v>
      </c>
    </row>
    <row r="2475" ht="14.25" customHeight="1">
      <c r="A2475" t="s">
        <v>2536</v>
      </c>
      <c r="B2475" t="s">
        <v>2193</v>
      </c>
      <c r="C2475" t="s">
        <v>75</v>
      </c>
      <c r="D2475" t="s">
        <v>63</v>
      </c>
      <c r="E2475">
        <v>10.0</v>
      </c>
      <c r="F2475">
        <v>11.2</v>
      </c>
      <c r="G2475" s="2" t="s">
        <v>67</v>
      </c>
      <c r="H2475" s="2">
        <v>32.0</v>
      </c>
      <c r="I2475" s="2">
        <v>247.0</v>
      </c>
      <c r="J2475" s="37">
        <v>1039.8200000000002</v>
      </c>
      <c r="K2475" s="2">
        <v>37.0</v>
      </c>
      <c r="L2475" s="2">
        <v>350.0</v>
      </c>
      <c r="M2475" s="37">
        <v>1286.02</v>
      </c>
    </row>
    <row r="2476" ht="14.25" customHeight="1">
      <c r="A2476" t="s">
        <v>2537</v>
      </c>
      <c r="B2476" t="s">
        <v>2193</v>
      </c>
      <c r="C2476" t="s">
        <v>75</v>
      </c>
      <c r="D2476" t="s">
        <v>63</v>
      </c>
      <c r="E2476">
        <v>12.5</v>
      </c>
      <c r="F2476">
        <v>14.0</v>
      </c>
      <c r="G2476" s="2" t="s">
        <v>64</v>
      </c>
      <c r="H2476" s="2">
        <v>0.0</v>
      </c>
      <c r="I2476" s="2">
        <v>0.0</v>
      </c>
      <c r="J2476" s="37">
        <v>0.0</v>
      </c>
      <c r="K2476" s="2">
        <v>0.0</v>
      </c>
      <c r="L2476" s="2">
        <v>0.0</v>
      </c>
      <c r="M2476" s="37">
        <v>0.0</v>
      </c>
    </row>
    <row r="2477" ht="14.25" customHeight="1">
      <c r="A2477" t="s">
        <v>2538</v>
      </c>
      <c r="B2477" t="s">
        <v>2193</v>
      </c>
      <c r="C2477" t="s">
        <v>75</v>
      </c>
      <c r="D2477" t="s">
        <v>63</v>
      </c>
      <c r="E2477">
        <v>12.5</v>
      </c>
      <c r="F2477">
        <v>14.0</v>
      </c>
      <c r="G2477" s="2" t="s">
        <v>64</v>
      </c>
      <c r="H2477" s="2">
        <v>0.0</v>
      </c>
      <c r="I2477" s="2">
        <v>0.0</v>
      </c>
      <c r="J2477" s="37">
        <v>0.0</v>
      </c>
      <c r="K2477" s="2">
        <v>0.0</v>
      </c>
      <c r="L2477" s="2">
        <v>0.0</v>
      </c>
      <c r="M2477" s="37">
        <v>0.0</v>
      </c>
    </row>
    <row r="2478" ht="14.25" customHeight="1">
      <c r="A2478" t="s">
        <v>2539</v>
      </c>
      <c r="B2478" t="s">
        <v>2193</v>
      </c>
      <c r="C2478" t="s">
        <v>75</v>
      </c>
      <c r="D2478" t="s">
        <v>63</v>
      </c>
      <c r="E2478">
        <v>12.5</v>
      </c>
      <c r="F2478">
        <v>14.0</v>
      </c>
      <c r="G2478" s="2" t="s">
        <v>64</v>
      </c>
      <c r="H2478" s="2">
        <v>0.0</v>
      </c>
      <c r="I2478" s="2">
        <v>0.0</v>
      </c>
      <c r="J2478" s="37">
        <v>0.0</v>
      </c>
      <c r="K2478" s="2">
        <v>0.0</v>
      </c>
      <c r="L2478" s="2">
        <v>0.0</v>
      </c>
      <c r="M2478" s="37">
        <v>0.0</v>
      </c>
    </row>
    <row r="2479" ht="14.25" customHeight="1">
      <c r="A2479" t="s">
        <v>2540</v>
      </c>
      <c r="B2479" t="s">
        <v>2193</v>
      </c>
      <c r="C2479" t="s">
        <v>75</v>
      </c>
      <c r="D2479" t="s">
        <v>63</v>
      </c>
      <c r="E2479">
        <v>14.0</v>
      </c>
      <c r="F2479">
        <v>16.0</v>
      </c>
      <c r="G2479" s="2" t="s">
        <v>67</v>
      </c>
      <c r="H2479" s="2">
        <v>43.0</v>
      </c>
      <c r="I2479" s="2">
        <v>123.0</v>
      </c>
      <c r="J2479" s="37">
        <v>1125.68</v>
      </c>
      <c r="K2479" s="2">
        <v>51.0</v>
      </c>
      <c r="L2479" s="2">
        <v>266.0</v>
      </c>
      <c r="M2479" s="37">
        <v>1491.26</v>
      </c>
    </row>
    <row r="2480" ht="14.25" customHeight="1">
      <c r="A2480" t="s">
        <v>2541</v>
      </c>
      <c r="B2480" t="s">
        <v>2193</v>
      </c>
      <c r="C2480" t="s">
        <v>75</v>
      </c>
      <c r="D2480" t="s">
        <v>63</v>
      </c>
      <c r="E2480">
        <v>14.0</v>
      </c>
      <c r="F2480">
        <v>16.0</v>
      </c>
      <c r="G2480" s="2" t="s">
        <v>67</v>
      </c>
      <c r="H2480" s="2">
        <v>43.0</v>
      </c>
      <c r="I2480" s="2">
        <v>123.0</v>
      </c>
      <c r="J2480" s="37">
        <v>1125.68</v>
      </c>
      <c r="K2480" s="2">
        <v>51.0</v>
      </c>
      <c r="L2480" s="2">
        <v>266.0</v>
      </c>
      <c r="M2480" s="37">
        <v>1491.26</v>
      </c>
    </row>
    <row r="2481" ht="14.25" customHeight="1">
      <c r="A2481" t="s">
        <v>2542</v>
      </c>
      <c r="B2481" t="s">
        <v>2193</v>
      </c>
      <c r="C2481" t="s">
        <v>75</v>
      </c>
      <c r="D2481" t="s">
        <v>63</v>
      </c>
      <c r="E2481">
        <v>14.0</v>
      </c>
      <c r="F2481">
        <v>16.0</v>
      </c>
      <c r="G2481" s="2" t="s">
        <v>67</v>
      </c>
      <c r="H2481" s="2">
        <v>43.0</v>
      </c>
      <c r="I2481" s="2">
        <v>123.0</v>
      </c>
      <c r="J2481" s="37">
        <v>1125.68</v>
      </c>
      <c r="K2481" s="2">
        <v>51.0</v>
      </c>
      <c r="L2481" s="2">
        <v>266.0</v>
      </c>
      <c r="M2481" s="37">
        <v>1491.26</v>
      </c>
    </row>
    <row r="2482" ht="14.25" customHeight="1">
      <c r="A2482" t="s">
        <v>2543</v>
      </c>
      <c r="B2482" t="s">
        <v>2193</v>
      </c>
      <c r="C2482" t="s">
        <v>75</v>
      </c>
      <c r="D2482" t="s">
        <v>63</v>
      </c>
      <c r="E2482">
        <v>10.0</v>
      </c>
      <c r="F2482">
        <v>11.2</v>
      </c>
      <c r="G2482" s="2" t="s">
        <v>67</v>
      </c>
      <c r="H2482" s="2">
        <v>32.0</v>
      </c>
      <c r="I2482" s="2">
        <v>170.0</v>
      </c>
      <c r="J2482" s="37">
        <v>939.72</v>
      </c>
      <c r="K2482" s="2">
        <v>38.0</v>
      </c>
      <c r="L2482" s="2">
        <v>273.0</v>
      </c>
      <c r="M2482" s="37">
        <v>1208.38</v>
      </c>
    </row>
    <row r="2483" ht="14.25" customHeight="1">
      <c r="A2483" t="s">
        <v>2544</v>
      </c>
      <c r="B2483" t="s">
        <v>2193</v>
      </c>
      <c r="C2483" t="s">
        <v>75</v>
      </c>
      <c r="D2483" t="s">
        <v>63</v>
      </c>
      <c r="E2483">
        <v>10.0</v>
      </c>
      <c r="F2483">
        <v>11.2</v>
      </c>
      <c r="G2483" s="2" t="s">
        <v>67</v>
      </c>
      <c r="H2483" s="2">
        <v>32.0</v>
      </c>
      <c r="I2483" s="2">
        <v>170.0</v>
      </c>
      <c r="J2483" s="37">
        <v>939.72</v>
      </c>
      <c r="K2483" s="2">
        <v>38.0</v>
      </c>
      <c r="L2483" s="2">
        <v>273.0</v>
      </c>
      <c r="M2483" s="37">
        <v>1208.38</v>
      </c>
    </row>
    <row r="2484" ht="14.25" customHeight="1">
      <c r="A2484" t="s">
        <v>2545</v>
      </c>
      <c r="B2484" t="s">
        <v>2193</v>
      </c>
      <c r="C2484" t="s">
        <v>75</v>
      </c>
      <c r="D2484" t="s">
        <v>63</v>
      </c>
      <c r="E2484">
        <v>10.0</v>
      </c>
      <c r="F2484">
        <v>11.2</v>
      </c>
      <c r="G2484" s="2" t="s">
        <v>67</v>
      </c>
      <c r="H2484" s="2">
        <v>32.0</v>
      </c>
      <c r="I2484" s="2">
        <v>170.0</v>
      </c>
      <c r="J2484" s="37">
        <v>939.72</v>
      </c>
      <c r="K2484" s="2">
        <v>38.0</v>
      </c>
      <c r="L2484" s="2">
        <v>273.0</v>
      </c>
      <c r="M2484" s="37">
        <v>1208.38</v>
      </c>
    </row>
    <row r="2485" ht="14.25" customHeight="1">
      <c r="A2485" t="s">
        <v>2546</v>
      </c>
      <c r="B2485" t="s">
        <v>2193</v>
      </c>
      <c r="C2485" t="s">
        <v>75</v>
      </c>
      <c r="D2485" t="s">
        <v>63</v>
      </c>
      <c r="E2485">
        <v>12.5</v>
      </c>
      <c r="F2485">
        <v>14.0</v>
      </c>
      <c r="G2485" s="2" t="s">
        <v>67</v>
      </c>
      <c r="H2485" s="2">
        <v>39.0</v>
      </c>
      <c r="I2485" s="2">
        <v>157.0</v>
      </c>
      <c r="J2485" s="37">
        <v>1080.04</v>
      </c>
      <c r="K2485" s="2">
        <v>46.0</v>
      </c>
      <c r="L2485" s="2">
        <v>285.0</v>
      </c>
      <c r="M2485" s="37">
        <v>1403.66</v>
      </c>
    </row>
    <row r="2486" ht="14.25" customHeight="1">
      <c r="A2486" t="s">
        <v>2547</v>
      </c>
      <c r="B2486" t="s">
        <v>2193</v>
      </c>
      <c r="C2486" t="s">
        <v>75</v>
      </c>
      <c r="D2486" t="s">
        <v>63</v>
      </c>
      <c r="E2486">
        <v>12.5</v>
      </c>
      <c r="F2486">
        <v>14.0</v>
      </c>
      <c r="G2486" s="2" t="s">
        <v>67</v>
      </c>
      <c r="H2486" s="2">
        <v>39.0</v>
      </c>
      <c r="I2486" s="2">
        <v>157.0</v>
      </c>
      <c r="J2486" s="37">
        <v>1080.04</v>
      </c>
      <c r="K2486" s="2">
        <v>46.0</v>
      </c>
      <c r="L2486" s="2">
        <v>285.0</v>
      </c>
      <c r="M2486" s="37">
        <v>1403.66</v>
      </c>
    </row>
    <row r="2487" ht="14.25" customHeight="1">
      <c r="A2487" t="s">
        <v>2548</v>
      </c>
      <c r="B2487" t="s">
        <v>2193</v>
      </c>
      <c r="C2487" t="s">
        <v>75</v>
      </c>
      <c r="D2487" t="s">
        <v>63</v>
      </c>
      <c r="E2487">
        <v>12.5</v>
      </c>
      <c r="F2487">
        <v>14.0</v>
      </c>
      <c r="G2487" s="2" t="s">
        <v>67</v>
      </c>
      <c r="H2487" s="2">
        <v>39.0</v>
      </c>
      <c r="I2487" s="2">
        <v>157.0</v>
      </c>
      <c r="J2487" s="37">
        <v>1080.04</v>
      </c>
      <c r="K2487" s="2">
        <v>46.0</v>
      </c>
      <c r="L2487" s="2">
        <v>285.0</v>
      </c>
      <c r="M2487" s="37">
        <v>1403.66</v>
      </c>
    </row>
    <row r="2488" ht="14.25" customHeight="1">
      <c r="A2488" t="s">
        <v>2549</v>
      </c>
      <c r="B2488" t="s">
        <v>2193</v>
      </c>
      <c r="C2488" t="s">
        <v>75</v>
      </c>
      <c r="D2488" t="s">
        <v>63</v>
      </c>
      <c r="E2488">
        <v>14.0</v>
      </c>
      <c r="F2488">
        <v>16.0</v>
      </c>
      <c r="G2488" s="2" t="s">
        <v>67</v>
      </c>
      <c r="H2488" s="2">
        <v>44.0</v>
      </c>
      <c r="I2488" s="2">
        <v>96.0</v>
      </c>
      <c r="J2488" s="37">
        <v>1113.04</v>
      </c>
      <c r="K2488" s="2">
        <v>52.0</v>
      </c>
      <c r="L2488" s="2">
        <v>240.0</v>
      </c>
      <c r="M2488" s="37">
        <v>1479.92</v>
      </c>
    </row>
    <row r="2489" ht="14.25" customHeight="1">
      <c r="A2489" t="s">
        <v>2235</v>
      </c>
      <c r="B2489" t="s">
        <v>2193</v>
      </c>
      <c r="C2489" t="s">
        <v>75</v>
      </c>
      <c r="D2489" t="s">
        <v>63</v>
      </c>
      <c r="E2489">
        <v>14.0</v>
      </c>
      <c r="F2489">
        <v>16.0</v>
      </c>
      <c r="G2489" s="2" t="s">
        <v>67</v>
      </c>
      <c r="H2489" s="2">
        <v>0.0</v>
      </c>
      <c r="I2489" s="2">
        <v>0.0</v>
      </c>
      <c r="J2489" s="37">
        <v>0.0</v>
      </c>
      <c r="K2489" s="2">
        <v>0.0</v>
      </c>
      <c r="L2489" s="2">
        <v>0.0</v>
      </c>
      <c r="M2489" s="37">
        <v>0.0</v>
      </c>
    </row>
    <row r="2490" ht="14.25" customHeight="1">
      <c r="A2490" t="s">
        <v>2550</v>
      </c>
      <c r="B2490" t="s">
        <v>2193</v>
      </c>
      <c r="C2490" t="s">
        <v>75</v>
      </c>
      <c r="D2490" t="s">
        <v>63</v>
      </c>
      <c r="E2490">
        <v>14.0</v>
      </c>
      <c r="F2490">
        <v>16.0</v>
      </c>
      <c r="G2490" s="2" t="s">
        <v>67</v>
      </c>
      <c r="H2490" s="2">
        <v>44.0</v>
      </c>
      <c r="I2490" s="2">
        <v>96.0</v>
      </c>
      <c r="J2490" s="37">
        <v>1113.04</v>
      </c>
      <c r="K2490" s="2">
        <v>52.0</v>
      </c>
      <c r="L2490" s="2">
        <v>240.0</v>
      </c>
      <c r="M2490" s="37">
        <v>1479.92</v>
      </c>
    </row>
    <row r="2491" ht="14.25" customHeight="1">
      <c r="A2491" t="s">
        <v>2551</v>
      </c>
      <c r="B2491" t="s">
        <v>2193</v>
      </c>
      <c r="C2491" t="s">
        <v>75</v>
      </c>
      <c r="D2491" t="s">
        <v>63</v>
      </c>
      <c r="E2491">
        <v>10.0</v>
      </c>
      <c r="F2491">
        <v>11.2</v>
      </c>
      <c r="G2491" s="2" t="s">
        <v>67</v>
      </c>
      <c r="H2491" s="2">
        <v>33.0</v>
      </c>
      <c r="I2491" s="2">
        <v>170.0</v>
      </c>
      <c r="J2491" s="37">
        <v>962.1800000000001</v>
      </c>
      <c r="K2491" s="2">
        <v>38.0</v>
      </c>
      <c r="L2491" s="2">
        <v>273.0</v>
      </c>
      <c r="M2491" s="37">
        <v>1208.38</v>
      </c>
    </row>
    <row r="2492" ht="14.25" customHeight="1">
      <c r="A2492" t="s">
        <v>2552</v>
      </c>
      <c r="B2492" t="s">
        <v>2193</v>
      </c>
      <c r="C2492" t="s">
        <v>75</v>
      </c>
      <c r="D2492" t="s">
        <v>63</v>
      </c>
      <c r="E2492">
        <v>10.0</v>
      </c>
      <c r="F2492">
        <v>11.2</v>
      </c>
      <c r="G2492" s="2" t="s">
        <v>67</v>
      </c>
      <c r="H2492" s="2">
        <v>33.0</v>
      </c>
      <c r="I2492" s="2">
        <v>170.0</v>
      </c>
      <c r="J2492" s="37">
        <v>962.1800000000001</v>
      </c>
      <c r="K2492" s="2">
        <v>38.0</v>
      </c>
      <c r="L2492" s="2">
        <v>273.0</v>
      </c>
      <c r="M2492" s="37">
        <v>1208.38</v>
      </c>
    </row>
    <row r="2493" ht="14.25" customHeight="1">
      <c r="A2493" t="s">
        <v>2553</v>
      </c>
      <c r="B2493" t="s">
        <v>2193</v>
      </c>
      <c r="C2493" t="s">
        <v>75</v>
      </c>
      <c r="D2493" t="s">
        <v>63</v>
      </c>
      <c r="E2493">
        <v>10.0</v>
      </c>
      <c r="F2493">
        <v>11.2</v>
      </c>
      <c r="G2493" s="2" t="s">
        <v>67</v>
      </c>
      <c r="H2493" s="2">
        <v>33.0</v>
      </c>
      <c r="I2493" s="2">
        <v>170.0</v>
      </c>
      <c r="J2493" s="37">
        <v>962.1800000000001</v>
      </c>
      <c r="K2493" s="2">
        <v>38.0</v>
      </c>
      <c r="L2493" s="2">
        <v>273.0</v>
      </c>
      <c r="M2493" s="37">
        <v>1208.38</v>
      </c>
    </row>
    <row r="2494" ht="14.25" customHeight="1">
      <c r="A2494" t="s">
        <v>2554</v>
      </c>
      <c r="B2494" t="s">
        <v>2193</v>
      </c>
      <c r="C2494" t="s">
        <v>75</v>
      </c>
      <c r="D2494" t="s">
        <v>63</v>
      </c>
      <c r="E2494">
        <v>12.5</v>
      </c>
      <c r="F2494">
        <v>14.0</v>
      </c>
      <c r="G2494" s="2" t="s">
        <v>67</v>
      </c>
      <c r="H2494" s="2">
        <v>39.0</v>
      </c>
      <c r="I2494" s="2">
        <v>157.0</v>
      </c>
      <c r="J2494" s="37">
        <v>1080.04</v>
      </c>
      <c r="K2494" s="2">
        <v>46.0</v>
      </c>
      <c r="L2494" s="2">
        <v>285.0</v>
      </c>
      <c r="M2494" s="37">
        <v>1403.66</v>
      </c>
    </row>
    <row r="2495" ht="14.25" customHeight="1">
      <c r="A2495" t="s">
        <v>2555</v>
      </c>
      <c r="B2495" t="s">
        <v>2193</v>
      </c>
      <c r="C2495" t="s">
        <v>75</v>
      </c>
      <c r="D2495" t="s">
        <v>63</v>
      </c>
      <c r="E2495">
        <v>12.5</v>
      </c>
      <c r="F2495">
        <v>14.0</v>
      </c>
      <c r="G2495" s="2" t="s">
        <v>67</v>
      </c>
      <c r="H2495" s="2">
        <v>39.0</v>
      </c>
      <c r="I2495" s="2">
        <v>157.0</v>
      </c>
      <c r="J2495" s="37">
        <v>1080.04</v>
      </c>
      <c r="K2495" s="2">
        <v>46.0</v>
      </c>
      <c r="L2495" s="2">
        <v>285.0</v>
      </c>
      <c r="M2495" s="37">
        <v>1403.66</v>
      </c>
    </row>
    <row r="2496" ht="14.25" customHeight="1">
      <c r="A2496" t="s">
        <v>2556</v>
      </c>
      <c r="B2496" t="s">
        <v>2193</v>
      </c>
      <c r="C2496" t="s">
        <v>75</v>
      </c>
      <c r="D2496" t="s">
        <v>63</v>
      </c>
      <c r="E2496">
        <v>12.5</v>
      </c>
      <c r="F2496">
        <v>14.0</v>
      </c>
      <c r="G2496" s="2" t="s">
        <v>67</v>
      </c>
      <c r="H2496" s="2">
        <v>39.0</v>
      </c>
      <c r="I2496" s="2">
        <v>157.0</v>
      </c>
      <c r="J2496" s="37">
        <v>1080.04</v>
      </c>
      <c r="K2496" s="2">
        <v>46.0</v>
      </c>
      <c r="L2496" s="2">
        <v>285.0</v>
      </c>
      <c r="M2496" s="37">
        <v>1403.66</v>
      </c>
    </row>
    <row r="2497" ht="14.25" customHeight="1">
      <c r="A2497" t="s">
        <v>2557</v>
      </c>
      <c r="B2497" t="s">
        <v>2193</v>
      </c>
      <c r="C2497" t="s">
        <v>75</v>
      </c>
      <c r="D2497" t="s">
        <v>63</v>
      </c>
      <c r="E2497">
        <v>14.0</v>
      </c>
      <c r="F2497">
        <v>16.0</v>
      </c>
      <c r="G2497" s="2" t="s">
        <v>67</v>
      </c>
      <c r="H2497" s="2">
        <v>44.0</v>
      </c>
      <c r="I2497" s="2">
        <v>96.0</v>
      </c>
      <c r="J2497" s="37">
        <v>1113.04</v>
      </c>
      <c r="K2497" s="2">
        <v>52.0</v>
      </c>
      <c r="L2497" s="2">
        <v>240.0</v>
      </c>
      <c r="M2497" s="37">
        <v>1479.92</v>
      </c>
    </row>
    <row r="2498" ht="14.25" customHeight="1">
      <c r="A2498" t="s">
        <v>2558</v>
      </c>
      <c r="B2498" t="s">
        <v>2193</v>
      </c>
      <c r="C2498" t="s">
        <v>75</v>
      </c>
      <c r="D2498" t="s">
        <v>63</v>
      </c>
      <c r="E2498">
        <v>14.0</v>
      </c>
      <c r="F2498">
        <v>16.0</v>
      </c>
      <c r="G2498" s="2" t="s">
        <v>67</v>
      </c>
      <c r="H2498" s="2">
        <v>44.0</v>
      </c>
      <c r="I2498" s="2">
        <v>96.0</v>
      </c>
      <c r="J2498" s="37">
        <v>1113.04</v>
      </c>
      <c r="K2498" s="2">
        <v>52.0</v>
      </c>
      <c r="L2498" s="2">
        <v>240.0</v>
      </c>
      <c r="M2498" s="37">
        <v>1479.92</v>
      </c>
    </row>
    <row r="2499" ht="14.25" customHeight="1">
      <c r="A2499" t="s">
        <v>2559</v>
      </c>
      <c r="B2499" t="s">
        <v>2193</v>
      </c>
      <c r="C2499" t="s">
        <v>75</v>
      </c>
      <c r="D2499" t="s">
        <v>63</v>
      </c>
      <c r="E2499">
        <v>14.0</v>
      </c>
      <c r="F2499">
        <v>16.0</v>
      </c>
      <c r="G2499" s="2" t="s">
        <v>67</v>
      </c>
      <c r="H2499" s="2">
        <v>44.0</v>
      </c>
      <c r="I2499" s="2">
        <v>96.0</v>
      </c>
      <c r="J2499" s="37">
        <v>1113.04</v>
      </c>
      <c r="K2499" s="2">
        <v>52.0</v>
      </c>
      <c r="L2499" s="2">
        <v>240.0</v>
      </c>
      <c r="M2499" s="37">
        <v>1479.92</v>
      </c>
    </row>
    <row r="2500" ht="14.25" customHeight="1">
      <c r="A2500" t="s">
        <v>2560</v>
      </c>
      <c r="B2500" t="s">
        <v>2193</v>
      </c>
      <c r="C2500" t="s">
        <v>62</v>
      </c>
      <c r="D2500" t="s">
        <v>63</v>
      </c>
      <c r="E2500">
        <v>2.5</v>
      </c>
      <c r="F2500">
        <v>3.1</v>
      </c>
      <c r="G2500" s="2" t="s">
        <v>64</v>
      </c>
      <c r="H2500" s="2">
        <v>0.0</v>
      </c>
      <c r="I2500" s="2">
        <v>0.0</v>
      </c>
      <c r="J2500" s="37">
        <v>0.0</v>
      </c>
      <c r="K2500" s="2">
        <v>0.0</v>
      </c>
      <c r="L2500" s="2">
        <v>0.0</v>
      </c>
      <c r="M2500" s="37">
        <v>0.0</v>
      </c>
    </row>
    <row r="2501" ht="14.25" customHeight="1">
      <c r="A2501" t="s">
        <v>2561</v>
      </c>
      <c r="B2501" t="s">
        <v>2193</v>
      </c>
      <c r="C2501" t="s">
        <v>62</v>
      </c>
      <c r="D2501" t="s">
        <v>63</v>
      </c>
      <c r="E2501">
        <v>2.5</v>
      </c>
      <c r="F2501">
        <v>3.1</v>
      </c>
      <c r="G2501" s="2" t="s">
        <v>64</v>
      </c>
      <c r="H2501" s="2">
        <v>0.0</v>
      </c>
      <c r="I2501" s="2">
        <v>0.0</v>
      </c>
      <c r="J2501" s="37">
        <v>0.0</v>
      </c>
      <c r="K2501" s="2">
        <v>0.0</v>
      </c>
      <c r="L2501" s="2">
        <v>0.0</v>
      </c>
      <c r="M2501" s="37">
        <v>0.0</v>
      </c>
    </row>
    <row r="2502" ht="14.25" customHeight="1">
      <c r="A2502" t="s">
        <v>2562</v>
      </c>
      <c r="B2502" t="s">
        <v>2193</v>
      </c>
      <c r="C2502" t="s">
        <v>62</v>
      </c>
      <c r="D2502" t="s">
        <v>63</v>
      </c>
      <c r="E2502">
        <v>2.5</v>
      </c>
      <c r="F2502">
        <v>3.1</v>
      </c>
      <c r="G2502" s="2" t="s">
        <v>64</v>
      </c>
      <c r="H2502" s="2">
        <v>0.0</v>
      </c>
      <c r="I2502" s="2">
        <v>0.0</v>
      </c>
      <c r="J2502" s="37">
        <v>0.0</v>
      </c>
      <c r="K2502" s="2">
        <v>0.0</v>
      </c>
      <c r="L2502" s="2">
        <v>0.0</v>
      </c>
      <c r="M2502" s="37">
        <v>0.0</v>
      </c>
    </row>
    <row r="2503" ht="14.25" customHeight="1">
      <c r="A2503" t="s">
        <v>2563</v>
      </c>
      <c r="B2503" t="s">
        <v>2193</v>
      </c>
      <c r="C2503" t="s">
        <v>62</v>
      </c>
      <c r="D2503" t="s">
        <v>63</v>
      </c>
      <c r="E2503">
        <v>5.0</v>
      </c>
      <c r="F2503">
        <v>5.5</v>
      </c>
      <c r="G2503" s="2" t="s">
        <v>67</v>
      </c>
      <c r="H2503" s="2">
        <v>16.0</v>
      </c>
      <c r="I2503" s="2">
        <v>104.0</v>
      </c>
      <c r="J2503" s="37">
        <v>494.56000000000006</v>
      </c>
      <c r="K2503" s="2">
        <v>18.0</v>
      </c>
      <c r="L2503" s="2">
        <v>150.0</v>
      </c>
      <c r="M2503" s="37">
        <v>599.28</v>
      </c>
    </row>
    <row r="2504" ht="14.25" customHeight="1">
      <c r="A2504" t="s">
        <v>2564</v>
      </c>
      <c r="B2504" t="s">
        <v>2193</v>
      </c>
      <c r="C2504" t="s">
        <v>62</v>
      </c>
      <c r="D2504" t="s">
        <v>63</v>
      </c>
      <c r="E2504">
        <v>5.0</v>
      </c>
      <c r="F2504">
        <v>5.5</v>
      </c>
      <c r="G2504" s="2" t="s">
        <v>67</v>
      </c>
      <c r="H2504" s="2">
        <v>16.0</v>
      </c>
      <c r="I2504" s="2">
        <v>104.0</v>
      </c>
      <c r="J2504" s="37">
        <v>494.56000000000006</v>
      </c>
      <c r="K2504" s="2">
        <v>18.0</v>
      </c>
      <c r="L2504" s="2">
        <v>150.0</v>
      </c>
      <c r="M2504" s="37">
        <v>599.28</v>
      </c>
    </row>
    <row r="2505" ht="14.25" customHeight="1">
      <c r="A2505" t="s">
        <v>2565</v>
      </c>
      <c r="B2505" t="s">
        <v>2193</v>
      </c>
      <c r="C2505" t="s">
        <v>62</v>
      </c>
      <c r="D2505" t="s">
        <v>63</v>
      </c>
      <c r="E2505">
        <v>5.0</v>
      </c>
      <c r="F2505">
        <v>5.5</v>
      </c>
      <c r="G2505" s="2" t="s">
        <v>67</v>
      </c>
      <c r="H2505" s="2">
        <v>16.0</v>
      </c>
      <c r="I2505" s="2">
        <v>104.0</v>
      </c>
      <c r="J2505" s="37">
        <v>494.56000000000006</v>
      </c>
      <c r="K2505" s="2">
        <v>18.0</v>
      </c>
      <c r="L2505" s="2">
        <v>150.0</v>
      </c>
      <c r="M2505" s="37">
        <v>599.28</v>
      </c>
    </row>
    <row r="2506" ht="14.25" customHeight="1">
      <c r="A2506" t="s">
        <v>2566</v>
      </c>
      <c r="B2506" t="s">
        <v>2193</v>
      </c>
      <c r="C2506" t="s">
        <v>62</v>
      </c>
      <c r="D2506" t="s">
        <v>63</v>
      </c>
      <c r="E2506">
        <v>5.0</v>
      </c>
      <c r="F2506">
        <v>5.5</v>
      </c>
      <c r="G2506" s="2" t="s">
        <v>67</v>
      </c>
      <c r="H2506" s="2">
        <v>16.0</v>
      </c>
      <c r="I2506" s="2">
        <v>104.0</v>
      </c>
      <c r="J2506" s="37">
        <v>494.56000000000006</v>
      </c>
      <c r="K2506" s="2">
        <v>18.0</v>
      </c>
      <c r="L2506" s="2">
        <v>150.0</v>
      </c>
      <c r="M2506" s="37">
        <v>599.28</v>
      </c>
    </row>
    <row r="2507" ht="14.25" customHeight="1">
      <c r="A2507" t="s">
        <v>2567</v>
      </c>
      <c r="B2507" t="s">
        <v>2193</v>
      </c>
      <c r="C2507" t="s">
        <v>62</v>
      </c>
      <c r="D2507" t="s">
        <v>63</v>
      </c>
      <c r="E2507">
        <v>6.0</v>
      </c>
      <c r="F2507">
        <v>6.6</v>
      </c>
      <c r="G2507" s="2" t="s">
        <v>67</v>
      </c>
      <c r="H2507" s="2">
        <v>18.0</v>
      </c>
      <c r="I2507" s="2">
        <v>78.0</v>
      </c>
      <c r="J2507" s="37">
        <v>505.68000000000006</v>
      </c>
      <c r="K2507" s="2">
        <v>21.0</v>
      </c>
      <c r="L2507" s="2">
        <v>132.0</v>
      </c>
      <c r="M2507" s="37">
        <v>643.26</v>
      </c>
    </row>
    <row r="2508" ht="14.25" customHeight="1">
      <c r="A2508" t="s">
        <v>2568</v>
      </c>
      <c r="B2508" t="s">
        <v>2193</v>
      </c>
      <c r="C2508" t="s">
        <v>62</v>
      </c>
      <c r="D2508" t="s">
        <v>63</v>
      </c>
      <c r="E2508">
        <v>6.0</v>
      </c>
      <c r="F2508">
        <v>6.6</v>
      </c>
      <c r="G2508" s="2" t="s">
        <v>67</v>
      </c>
      <c r="H2508" s="2">
        <v>18.0</v>
      </c>
      <c r="I2508" s="2">
        <v>78.0</v>
      </c>
      <c r="J2508" s="37">
        <v>505.68000000000006</v>
      </c>
      <c r="K2508" s="2">
        <v>21.0</v>
      </c>
      <c r="L2508" s="2">
        <v>132.0</v>
      </c>
      <c r="M2508" s="37">
        <v>643.26</v>
      </c>
    </row>
    <row r="2509" ht="14.25" customHeight="1">
      <c r="A2509" t="s">
        <v>2569</v>
      </c>
      <c r="B2509" t="s">
        <v>2193</v>
      </c>
      <c r="C2509" t="s">
        <v>62</v>
      </c>
      <c r="D2509" t="s">
        <v>63</v>
      </c>
      <c r="E2509">
        <v>6.0</v>
      </c>
      <c r="F2509">
        <v>6.6</v>
      </c>
      <c r="G2509" s="2" t="s">
        <v>67</v>
      </c>
      <c r="H2509" s="2">
        <v>18.0</v>
      </c>
      <c r="I2509" s="2">
        <v>78.0</v>
      </c>
      <c r="J2509" s="37">
        <v>505.68000000000006</v>
      </c>
      <c r="K2509" s="2">
        <v>21.0</v>
      </c>
      <c r="L2509" s="2">
        <v>132.0</v>
      </c>
      <c r="M2509" s="37">
        <v>643.26</v>
      </c>
    </row>
    <row r="2510" ht="14.25" customHeight="1">
      <c r="A2510" t="s">
        <v>2570</v>
      </c>
      <c r="B2510" t="s">
        <v>2193</v>
      </c>
      <c r="C2510" t="s">
        <v>62</v>
      </c>
      <c r="D2510" t="s">
        <v>63</v>
      </c>
      <c r="E2510">
        <v>6.0</v>
      </c>
      <c r="F2510">
        <v>6.6</v>
      </c>
      <c r="G2510" s="2" t="s">
        <v>67</v>
      </c>
      <c r="H2510" s="2">
        <v>18.0</v>
      </c>
      <c r="I2510" s="2">
        <v>78.0</v>
      </c>
      <c r="J2510" s="37">
        <v>505.68000000000006</v>
      </c>
      <c r="K2510" s="2">
        <v>21.0</v>
      </c>
      <c r="L2510" s="2">
        <v>132.0</v>
      </c>
      <c r="M2510" s="37">
        <v>643.26</v>
      </c>
    </row>
    <row r="2511" ht="14.25" customHeight="1">
      <c r="A2511" t="s">
        <v>2571</v>
      </c>
      <c r="B2511" t="s">
        <v>2193</v>
      </c>
      <c r="C2511" t="s">
        <v>62</v>
      </c>
      <c r="D2511" t="s">
        <v>63</v>
      </c>
      <c r="E2511">
        <v>7.9</v>
      </c>
      <c r="F2511">
        <v>9.1</v>
      </c>
      <c r="G2511" s="2" t="s">
        <v>67</v>
      </c>
      <c r="H2511" s="2">
        <v>25.0</v>
      </c>
      <c r="I2511" s="2">
        <v>27.0</v>
      </c>
      <c r="J2511" s="37">
        <v>596.6</v>
      </c>
      <c r="K2511" s="2">
        <v>29.0</v>
      </c>
      <c r="L2511" s="2">
        <v>99.0</v>
      </c>
      <c r="M2511" s="37">
        <v>780.0400000000001</v>
      </c>
    </row>
    <row r="2512" ht="14.25" customHeight="1">
      <c r="A2512" t="s">
        <v>2572</v>
      </c>
      <c r="B2512" t="s">
        <v>2193</v>
      </c>
      <c r="C2512" t="s">
        <v>62</v>
      </c>
      <c r="D2512" t="s">
        <v>63</v>
      </c>
      <c r="E2512">
        <v>7.9</v>
      </c>
      <c r="F2512">
        <v>9.1</v>
      </c>
      <c r="G2512" s="2" t="s">
        <v>67</v>
      </c>
      <c r="H2512" s="2">
        <v>25.0</v>
      </c>
      <c r="I2512" s="2">
        <v>27.0</v>
      </c>
      <c r="J2512" s="37">
        <v>596.6</v>
      </c>
      <c r="K2512" s="2">
        <v>29.0</v>
      </c>
      <c r="L2512" s="2">
        <v>99.0</v>
      </c>
      <c r="M2512" s="37">
        <v>780.0400000000001</v>
      </c>
    </row>
    <row r="2513" ht="14.25" customHeight="1">
      <c r="A2513" t="s">
        <v>2573</v>
      </c>
      <c r="B2513" t="s">
        <v>2193</v>
      </c>
      <c r="C2513" t="s">
        <v>62</v>
      </c>
      <c r="D2513" t="s">
        <v>63</v>
      </c>
      <c r="E2513">
        <v>7.9</v>
      </c>
      <c r="F2513">
        <v>9.1</v>
      </c>
      <c r="G2513" s="2" t="s">
        <v>67</v>
      </c>
      <c r="H2513" s="2">
        <v>25.0</v>
      </c>
      <c r="I2513" s="2">
        <v>27.0</v>
      </c>
      <c r="J2513" s="37">
        <v>596.6</v>
      </c>
      <c r="K2513" s="2">
        <v>29.0</v>
      </c>
      <c r="L2513" s="2">
        <v>99.0</v>
      </c>
      <c r="M2513" s="37">
        <v>780.0400000000001</v>
      </c>
    </row>
    <row r="2514" ht="14.25" customHeight="1">
      <c r="A2514" t="s">
        <v>2574</v>
      </c>
      <c r="B2514" t="s">
        <v>2193</v>
      </c>
      <c r="C2514" t="s">
        <v>62</v>
      </c>
      <c r="D2514" t="s">
        <v>63</v>
      </c>
      <c r="E2514">
        <v>7.9</v>
      </c>
      <c r="F2514">
        <v>9.1</v>
      </c>
      <c r="G2514" s="2" t="s">
        <v>67</v>
      </c>
      <c r="H2514" s="2">
        <v>25.0</v>
      </c>
      <c r="I2514" s="2">
        <v>27.0</v>
      </c>
      <c r="J2514" s="37">
        <v>596.6</v>
      </c>
      <c r="K2514" s="2">
        <v>29.0</v>
      </c>
      <c r="L2514" s="2">
        <v>99.0</v>
      </c>
      <c r="M2514" s="37">
        <v>780.0400000000001</v>
      </c>
    </row>
    <row r="2515" ht="14.25" customHeight="1">
      <c r="A2515" t="s">
        <v>2575</v>
      </c>
      <c r="B2515" t="s">
        <v>2193</v>
      </c>
      <c r="C2515" t="s">
        <v>62</v>
      </c>
      <c r="D2515" t="s">
        <v>63</v>
      </c>
      <c r="E2515">
        <v>7.1</v>
      </c>
      <c r="F2515">
        <v>8.0</v>
      </c>
      <c r="G2515" s="2" t="s">
        <v>64</v>
      </c>
      <c r="H2515" s="2">
        <v>0.0</v>
      </c>
      <c r="I2515" s="2">
        <v>0.0</v>
      </c>
      <c r="J2515" s="37">
        <v>0.0</v>
      </c>
      <c r="K2515" s="2">
        <v>0.0</v>
      </c>
      <c r="L2515" s="2">
        <v>0.0</v>
      </c>
      <c r="M2515" s="37">
        <v>0.0</v>
      </c>
    </row>
    <row r="2516" ht="14.25" customHeight="1">
      <c r="A2516" t="s">
        <v>2576</v>
      </c>
      <c r="B2516" t="s">
        <v>2193</v>
      </c>
      <c r="C2516" t="s">
        <v>62</v>
      </c>
      <c r="D2516" t="s">
        <v>63</v>
      </c>
      <c r="E2516">
        <v>7.1</v>
      </c>
      <c r="F2516">
        <v>8.0</v>
      </c>
      <c r="G2516" s="2" t="s">
        <v>64</v>
      </c>
      <c r="H2516" s="2">
        <v>0.0</v>
      </c>
      <c r="I2516" s="2">
        <v>0.0</v>
      </c>
      <c r="J2516" s="37">
        <v>0.0</v>
      </c>
      <c r="K2516" s="2">
        <v>0.0</v>
      </c>
      <c r="L2516" s="2">
        <v>0.0</v>
      </c>
      <c r="M2516" s="37">
        <v>0.0</v>
      </c>
    </row>
    <row r="2517" ht="14.25" customHeight="1">
      <c r="A2517" t="s">
        <v>2577</v>
      </c>
      <c r="B2517" t="s">
        <v>2193</v>
      </c>
      <c r="C2517" t="s">
        <v>62</v>
      </c>
      <c r="D2517" t="s">
        <v>63</v>
      </c>
      <c r="E2517">
        <v>7.1</v>
      </c>
      <c r="F2517">
        <v>8.0</v>
      </c>
      <c r="G2517" s="2" t="s">
        <v>64</v>
      </c>
      <c r="H2517" s="2">
        <v>0.0</v>
      </c>
      <c r="I2517" s="2">
        <v>0.0</v>
      </c>
      <c r="J2517" s="37">
        <v>0.0</v>
      </c>
      <c r="K2517" s="2">
        <v>0.0</v>
      </c>
      <c r="L2517" s="2">
        <v>0.0</v>
      </c>
      <c r="M2517" s="37">
        <v>0.0</v>
      </c>
    </row>
    <row r="2518" ht="14.25" customHeight="1">
      <c r="A2518" t="s">
        <v>2578</v>
      </c>
      <c r="B2518" t="s">
        <v>2193</v>
      </c>
      <c r="C2518" t="s">
        <v>62</v>
      </c>
      <c r="D2518" t="s">
        <v>63</v>
      </c>
      <c r="E2518">
        <v>7.1</v>
      </c>
      <c r="F2518">
        <v>8.0</v>
      </c>
      <c r="G2518" s="2" t="s">
        <v>64</v>
      </c>
      <c r="H2518" s="2">
        <v>0.0</v>
      </c>
      <c r="I2518" s="2">
        <v>0.0</v>
      </c>
      <c r="J2518" s="37">
        <v>0.0</v>
      </c>
      <c r="K2518" s="2">
        <v>0.0</v>
      </c>
      <c r="L2518" s="2">
        <v>0.0</v>
      </c>
      <c r="M2518" s="37">
        <v>0.0</v>
      </c>
    </row>
    <row r="2519" ht="14.25" customHeight="1">
      <c r="A2519" t="s">
        <v>2579</v>
      </c>
      <c r="B2519" t="s">
        <v>2193</v>
      </c>
      <c r="C2519" t="s">
        <v>62</v>
      </c>
      <c r="D2519" t="s">
        <v>63</v>
      </c>
      <c r="E2519">
        <v>7.1</v>
      </c>
      <c r="F2519">
        <v>8.0</v>
      </c>
      <c r="G2519" s="2" t="s">
        <v>64</v>
      </c>
      <c r="H2519" s="2">
        <v>0.0</v>
      </c>
      <c r="I2519" s="2">
        <v>0.0</v>
      </c>
      <c r="J2519" s="37">
        <v>0.0</v>
      </c>
      <c r="K2519" s="2">
        <v>0.0</v>
      </c>
      <c r="L2519" s="2">
        <v>0.0</v>
      </c>
      <c r="M2519" s="37">
        <v>0.0</v>
      </c>
    </row>
    <row r="2520" ht="14.25" customHeight="1">
      <c r="A2520" t="s">
        <v>2580</v>
      </c>
      <c r="B2520" t="s">
        <v>2193</v>
      </c>
      <c r="C2520" t="s">
        <v>62</v>
      </c>
      <c r="D2520" t="s">
        <v>63</v>
      </c>
      <c r="E2520">
        <v>7.1</v>
      </c>
      <c r="F2520">
        <v>8.0</v>
      </c>
      <c r="G2520" s="2" t="s">
        <v>64</v>
      </c>
      <c r="H2520" s="2">
        <v>0.0</v>
      </c>
      <c r="I2520" s="2">
        <v>0.0</v>
      </c>
      <c r="J2520" s="37">
        <v>0.0</v>
      </c>
      <c r="K2520" s="2">
        <v>0.0</v>
      </c>
      <c r="L2520" s="2">
        <v>0.0</v>
      </c>
      <c r="M2520" s="37">
        <v>0.0</v>
      </c>
    </row>
    <row r="2521" ht="14.25" customHeight="1">
      <c r="A2521" t="s">
        <v>2581</v>
      </c>
      <c r="B2521" t="s">
        <v>2193</v>
      </c>
      <c r="C2521" t="s">
        <v>62</v>
      </c>
      <c r="D2521" t="s">
        <v>63</v>
      </c>
      <c r="E2521">
        <v>7.1</v>
      </c>
      <c r="F2521">
        <v>8.0</v>
      </c>
      <c r="G2521" s="2" t="s">
        <v>64</v>
      </c>
      <c r="H2521" s="2">
        <v>0.0</v>
      </c>
      <c r="I2521" s="2">
        <v>0.0</v>
      </c>
      <c r="J2521" s="37">
        <v>0.0</v>
      </c>
      <c r="K2521" s="2">
        <v>0.0</v>
      </c>
      <c r="L2521" s="2">
        <v>0.0</v>
      </c>
      <c r="M2521" s="37">
        <v>0.0</v>
      </c>
    </row>
    <row r="2522" ht="14.25" customHeight="1">
      <c r="A2522" t="s">
        <v>2582</v>
      </c>
      <c r="B2522" t="s">
        <v>2193</v>
      </c>
      <c r="C2522" t="s">
        <v>62</v>
      </c>
      <c r="D2522" t="s">
        <v>63</v>
      </c>
      <c r="E2522">
        <v>7.1</v>
      </c>
      <c r="F2522">
        <v>7.6</v>
      </c>
      <c r="G2522" s="2" t="s">
        <v>64</v>
      </c>
      <c r="H2522" s="2">
        <v>0.0</v>
      </c>
      <c r="I2522" s="2">
        <v>0.0</v>
      </c>
      <c r="J2522" s="37">
        <v>0.0</v>
      </c>
      <c r="K2522" s="2">
        <v>0.0</v>
      </c>
      <c r="L2522" s="2">
        <v>0.0</v>
      </c>
      <c r="M2522" s="37">
        <v>0.0</v>
      </c>
    </row>
    <row r="2523" ht="14.25" customHeight="1">
      <c r="A2523" t="s">
        <v>2583</v>
      </c>
      <c r="B2523" t="s">
        <v>2193</v>
      </c>
      <c r="C2523" t="s">
        <v>62</v>
      </c>
      <c r="D2523" t="s">
        <v>63</v>
      </c>
      <c r="E2523">
        <v>7.1</v>
      </c>
      <c r="F2523">
        <v>7.6</v>
      </c>
      <c r="G2523" s="2" t="s">
        <v>64</v>
      </c>
      <c r="H2523" s="2">
        <v>0.0</v>
      </c>
      <c r="I2523" s="2">
        <v>0.0</v>
      </c>
      <c r="J2523" s="37">
        <v>0.0</v>
      </c>
      <c r="K2523" s="2">
        <v>0.0</v>
      </c>
      <c r="L2523" s="2">
        <v>0.0</v>
      </c>
      <c r="M2523" s="37">
        <v>0.0</v>
      </c>
    </row>
    <row r="2524" ht="14.25" customHeight="1">
      <c r="A2524" t="s">
        <v>2584</v>
      </c>
      <c r="B2524" t="s">
        <v>2193</v>
      </c>
      <c r="C2524" t="s">
        <v>62</v>
      </c>
      <c r="D2524" t="s">
        <v>63</v>
      </c>
      <c r="E2524">
        <v>7.1</v>
      </c>
      <c r="F2524">
        <v>7.6</v>
      </c>
      <c r="G2524" s="2" t="s">
        <v>64</v>
      </c>
      <c r="H2524" s="2">
        <v>0.0</v>
      </c>
      <c r="I2524" s="2">
        <v>0.0</v>
      </c>
      <c r="J2524" s="37">
        <v>0.0</v>
      </c>
      <c r="K2524" s="2">
        <v>0.0</v>
      </c>
      <c r="L2524" s="2">
        <v>0.0</v>
      </c>
      <c r="M2524" s="37">
        <v>0.0</v>
      </c>
    </row>
    <row r="2525" ht="14.25" customHeight="1">
      <c r="A2525" t="s">
        <v>2585</v>
      </c>
      <c r="B2525" t="s">
        <v>2193</v>
      </c>
      <c r="C2525" t="s">
        <v>62</v>
      </c>
      <c r="D2525" t="s">
        <v>63</v>
      </c>
      <c r="E2525">
        <v>7.1</v>
      </c>
      <c r="F2525">
        <v>7.6</v>
      </c>
      <c r="G2525" s="2" t="s">
        <v>64</v>
      </c>
      <c r="H2525" s="2">
        <v>0.0</v>
      </c>
      <c r="I2525" s="2">
        <v>0.0</v>
      </c>
      <c r="J2525" s="37">
        <v>0.0</v>
      </c>
      <c r="K2525" s="2">
        <v>0.0</v>
      </c>
      <c r="L2525" s="2">
        <v>0.0</v>
      </c>
      <c r="M2525" s="37">
        <v>0.0</v>
      </c>
    </row>
    <row r="2526" ht="14.25" customHeight="1">
      <c r="A2526" t="s">
        <v>2586</v>
      </c>
      <c r="B2526" t="s">
        <v>2193</v>
      </c>
      <c r="C2526" t="s">
        <v>62</v>
      </c>
      <c r="D2526" t="s">
        <v>63</v>
      </c>
      <c r="E2526">
        <v>7.1</v>
      </c>
      <c r="F2526">
        <v>7.6</v>
      </c>
      <c r="G2526" s="2" t="s">
        <v>64</v>
      </c>
      <c r="H2526" s="2">
        <v>0.0</v>
      </c>
      <c r="I2526" s="2">
        <v>0.0</v>
      </c>
      <c r="J2526" s="37">
        <v>0.0</v>
      </c>
      <c r="K2526" s="2">
        <v>0.0</v>
      </c>
      <c r="L2526" s="2">
        <v>0.0</v>
      </c>
      <c r="M2526" s="37">
        <v>0.0</v>
      </c>
    </row>
    <row r="2527" ht="14.25" customHeight="1">
      <c r="A2527" t="s">
        <v>2587</v>
      </c>
      <c r="B2527" t="s">
        <v>2193</v>
      </c>
      <c r="C2527" t="s">
        <v>62</v>
      </c>
      <c r="D2527" t="s">
        <v>63</v>
      </c>
      <c r="E2527">
        <v>7.1</v>
      </c>
      <c r="F2527">
        <v>7.6</v>
      </c>
      <c r="G2527" s="2" t="s">
        <v>64</v>
      </c>
      <c r="H2527" s="2">
        <v>0.0</v>
      </c>
      <c r="I2527" s="2">
        <v>0.0</v>
      </c>
      <c r="J2527" s="37">
        <v>0.0</v>
      </c>
      <c r="K2527" s="2">
        <v>0.0</v>
      </c>
      <c r="L2527" s="2">
        <v>0.0</v>
      </c>
      <c r="M2527" s="37">
        <v>0.0</v>
      </c>
    </row>
    <row r="2528" ht="14.25" customHeight="1">
      <c r="A2528" t="s">
        <v>2588</v>
      </c>
      <c r="B2528" t="s">
        <v>2193</v>
      </c>
      <c r="C2528" t="s">
        <v>62</v>
      </c>
      <c r="D2528" t="s">
        <v>63</v>
      </c>
      <c r="E2528">
        <v>7.1</v>
      </c>
      <c r="F2528">
        <v>7.6</v>
      </c>
      <c r="G2528" s="2" t="s">
        <v>64</v>
      </c>
      <c r="H2528" s="2">
        <v>0.0</v>
      </c>
      <c r="I2528" s="2">
        <v>0.0</v>
      </c>
      <c r="J2528" s="37">
        <v>0.0</v>
      </c>
      <c r="K2528" s="2">
        <v>0.0</v>
      </c>
      <c r="L2528" s="2">
        <v>0.0</v>
      </c>
      <c r="M2528" s="37">
        <v>0.0</v>
      </c>
    </row>
    <row r="2529" ht="14.25" customHeight="1">
      <c r="A2529" t="s">
        <v>2589</v>
      </c>
      <c r="B2529" t="s">
        <v>2193</v>
      </c>
      <c r="C2529" t="s">
        <v>62</v>
      </c>
      <c r="D2529" t="s">
        <v>63</v>
      </c>
      <c r="E2529">
        <v>10.0</v>
      </c>
      <c r="F2529">
        <v>11.2</v>
      </c>
      <c r="G2529" s="2" t="s">
        <v>64</v>
      </c>
      <c r="H2529" s="2">
        <v>0.0</v>
      </c>
      <c r="I2529" s="2">
        <v>0.0</v>
      </c>
      <c r="J2529" s="37">
        <v>0.0</v>
      </c>
      <c r="K2529" s="2">
        <v>0.0</v>
      </c>
      <c r="L2529" s="2">
        <v>0.0</v>
      </c>
      <c r="M2529" s="37">
        <v>0.0</v>
      </c>
    </row>
    <row r="2530" ht="14.25" customHeight="1">
      <c r="A2530" t="s">
        <v>2590</v>
      </c>
      <c r="B2530" t="s">
        <v>2193</v>
      </c>
      <c r="C2530" t="s">
        <v>62</v>
      </c>
      <c r="D2530" t="s">
        <v>63</v>
      </c>
      <c r="E2530">
        <v>10.0</v>
      </c>
      <c r="F2530">
        <v>11.2</v>
      </c>
      <c r="G2530" s="2" t="s">
        <v>64</v>
      </c>
      <c r="H2530" s="2">
        <v>0.0</v>
      </c>
      <c r="I2530" s="2">
        <v>0.0</v>
      </c>
      <c r="J2530" s="37">
        <v>0.0</v>
      </c>
      <c r="K2530" s="2">
        <v>0.0</v>
      </c>
      <c r="L2530" s="2">
        <v>0.0</v>
      </c>
      <c r="M2530" s="37">
        <v>0.0</v>
      </c>
    </row>
    <row r="2531" ht="14.25" customHeight="1">
      <c r="A2531" t="s">
        <v>2591</v>
      </c>
      <c r="B2531" t="s">
        <v>2193</v>
      </c>
      <c r="C2531" t="s">
        <v>62</v>
      </c>
      <c r="D2531" t="s">
        <v>63</v>
      </c>
      <c r="E2531">
        <v>10.0</v>
      </c>
      <c r="F2531">
        <v>11.2</v>
      </c>
      <c r="G2531" s="2" t="s">
        <v>64</v>
      </c>
      <c r="H2531" s="2">
        <v>0.0</v>
      </c>
      <c r="I2531" s="2">
        <v>0.0</v>
      </c>
      <c r="J2531" s="37">
        <v>0.0</v>
      </c>
      <c r="K2531" s="2">
        <v>0.0</v>
      </c>
      <c r="L2531" s="2">
        <v>0.0</v>
      </c>
      <c r="M2531" s="37">
        <v>0.0</v>
      </c>
    </row>
    <row r="2532" ht="14.25" customHeight="1">
      <c r="A2532" t="s">
        <v>2592</v>
      </c>
      <c r="B2532" t="s">
        <v>2193</v>
      </c>
      <c r="C2532" t="s">
        <v>62</v>
      </c>
      <c r="D2532" t="s">
        <v>63</v>
      </c>
      <c r="E2532">
        <v>10.0</v>
      </c>
      <c r="F2532">
        <v>11.2</v>
      </c>
      <c r="G2532" s="2" t="s">
        <v>64</v>
      </c>
      <c r="H2532" s="2">
        <v>0.0</v>
      </c>
      <c r="I2532" s="2">
        <v>0.0</v>
      </c>
      <c r="J2532" s="37">
        <v>0.0</v>
      </c>
      <c r="K2532" s="2">
        <v>0.0</v>
      </c>
      <c r="L2532" s="2">
        <v>0.0</v>
      </c>
      <c r="M2532" s="37">
        <v>0.0</v>
      </c>
    </row>
    <row r="2533" ht="14.25" customHeight="1">
      <c r="A2533" t="s">
        <v>2593</v>
      </c>
      <c r="B2533" t="s">
        <v>2193</v>
      </c>
      <c r="C2533" t="s">
        <v>62</v>
      </c>
      <c r="D2533" t="s">
        <v>63</v>
      </c>
      <c r="E2533">
        <v>10.0</v>
      </c>
      <c r="F2533">
        <v>11.2</v>
      </c>
      <c r="G2533" s="2" t="s">
        <v>64</v>
      </c>
      <c r="H2533" s="2">
        <v>0.0</v>
      </c>
      <c r="I2533" s="2">
        <v>0.0</v>
      </c>
      <c r="J2533" s="37">
        <v>0.0</v>
      </c>
      <c r="K2533" s="2">
        <v>0.0</v>
      </c>
      <c r="L2533" s="2">
        <v>0.0</v>
      </c>
      <c r="M2533" s="37">
        <v>0.0</v>
      </c>
    </row>
    <row r="2534" ht="14.25" customHeight="1">
      <c r="A2534" t="s">
        <v>2594</v>
      </c>
      <c r="B2534" t="s">
        <v>2193</v>
      </c>
      <c r="C2534" t="s">
        <v>62</v>
      </c>
      <c r="D2534" t="s">
        <v>63</v>
      </c>
      <c r="E2534">
        <v>10.0</v>
      </c>
      <c r="F2534">
        <v>11.2</v>
      </c>
      <c r="G2534" s="2" t="s">
        <v>64</v>
      </c>
      <c r="H2534" s="2">
        <v>0.0</v>
      </c>
      <c r="I2534" s="2">
        <v>0.0</v>
      </c>
      <c r="J2534" s="37">
        <v>0.0</v>
      </c>
      <c r="K2534" s="2">
        <v>0.0</v>
      </c>
      <c r="L2534" s="2">
        <v>0.0</v>
      </c>
      <c r="M2534" s="37">
        <v>0.0</v>
      </c>
    </row>
    <row r="2535" ht="14.25" customHeight="1">
      <c r="A2535" t="s">
        <v>2595</v>
      </c>
      <c r="B2535" t="s">
        <v>2193</v>
      </c>
      <c r="C2535" t="s">
        <v>62</v>
      </c>
      <c r="D2535" t="s">
        <v>63</v>
      </c>
      <c r="E2535">
        <v>10.0</v>
      </c>
      <c r="F2535">
        <v>11.2</v>
      </c>
      <c r="G2535" s="2" t="s">
        <v>64</v>
      </c>
      <c r="H2535" s="2">
        <v>0.0</v>
      </c>
      <c r="I2535" s="2">
        <v>0.0</v>
      </c>
      <c r="J2535" s="37">
        <v>0.0</v>
      </c>
      <c r="K2535" s="2">
        <v>0.0</v>
      </c>
      <c r="L2535" s="2">
        <v>0.0</v>
      </c>
      <c r="M2535" s="37">
        <v>0.0</v>
      </c>
    </row>
    <row r="2536" ht="14.25" customHeight="1">
      <c r="A2536" t="s">
        <v>2596</v>
      </c>
      <c r="B2536" t="s">
        <v>2193</v>
      </c>
      <c r="C2536" t="s">
        <v>62</v>
      </c>
      <c r="D2536" t="s">
        <v>63</v>
      </c>
      <c r="E2536">
        <v>10.0</v>
      </c>
      <c r="F2536">
        <v>11.2</v>
      </c>
      <c r="G2536" s="2" t="s">
        <v>64</v>
      </c>
      <c r="H2536" s="2">
        <v>0.0</v>
      </c>
      <c r="I2536" s="2">
        <v>0.0</v>
      </c>
      <c r="J2536" s="37">
        <v>0.0</v>
      </c>
      <c r="K2536" s="2">
        <v>0.0</v>
      </c>
      <c r="L2536" s="2">
        <v>0.0</v>
      </c>
      <c r="M2536" s="37">
        <v>0.0</v>
      </c>
    </row>
    <row r="2537" ht="14.25" customHeight="1">
      <c r="A2537" t="s">
        <v>2597</v>
      </c>
      <c r="B2537" t="s">
        <v>2193</v>
      </c>
      <c r="C2537" t="s">
        <v>62</v>
      </c>
      <c r="D2537" t="s">
        <v>63</v>
      </c>
      <c r="E2537">
        <v>10.0</v>
      </c>
      <c r="F2537">
        <v>11.2</v>
      </c>
      <c r="G2537" s="2" t="s">
        <v>64</v>
      </c>
      <c r="H2537" s="2">
        <v>0.0</v>
      </c>
      <c r="I2537" s="2">
        <v>0.0</v>
      </c>
      <c r="J2537" s="37">
        <v>0.0</v>
      </c>
      <c r="K2537" s="2">
        <v>0.0</v>
      </c>
      <c r="L2537" s="2">
        <v>0.0</v>
      </c>
      <c r="M2537" s="37">
        <v>0.0</v>
      </c>
    </row>
    <row r="2538" ht="14.25" customHeight="1">
      <c r="A2538" t="s">
        <v>2598</v>
      </c>
      <c r="B2538" t="s">
        <v>2193</v>
      </c>
      <c r="C2538" t="s">
        <v>62</v>
      </c>
      <c r="D2538" t="s">
        <v>63</v>
      </c>
      <c r="E2538">
        <v>10.0</v>
      </c>
      <c r="F2538">
        <v>11.2</v>
      </c>
      <c r="G2538" s="2" t="s">
        <v>64</v>
      </c>
      <c r="H2538" s="2">
        <v>0.0</v>
      </c>
      <c r="I2538" s="2">
        <v>0.0</v>
      </c>
      <c r="J2538" s="37">
        <v>0.0</v>
      </c>
      <c r="K2538" s="2">
        <v>0.0</v>
      </c>
      <c r="L2538" s="2">
        <v>0.0</v>
      </c>
      <c r="M2538" s="37">
        <v>0.0</v>
      </c>
    </row>
    <row r="2539" ht="14.25" customHeight="1">
      <c r="A2539" t="s">
        <v>2599</v>
      </c>
      <c r="B2539" t="s">
        <v>2193</v>
      </c>
      <c r="C2539" t="s">
        <v>62</v>
      </c>
      <c r="D2539" t="s">
        <v>63</v>
      </c>
      <c r="E2539">
        <v>10.0</v>
      </c>
      <c r="F2539">
        <v>11.2</v>
      </c>
      <c r="G2539" s="2" t="s">
        <v>64</v>
      </c>
      <c r="H2539" s="2">
        <v>0.0</v>
      </c>
      <c r="I2539" s="2">
        <v>0.0</v>
      </c>
      <c r="J2539" s="37">
        <v>0.0</v>
      </c>
      <c r="K2539" s="2">
        <v>0.0</v>
      </c>
      <c r="L2539" s="2">
        <v>0.0</v>
      </c>
      <c r="M2539" s="37">
        <v>0.0</v>
      </c>
    </row>
    <row r="2540" ht="14.25" customHeight="1">
      <c r="A2540" t="s">
        <v>2600</v>
      </c>
      <c r="B2540" t="s">
        <v>2193</v>
      </c>
      <c r="C2540" t="s">
        <v>62</v>
      </c>
      <c r="D2540" t="s">
        <v>63</v>
      </c>
      <c r="E2540">
        <v>12.5</v>
      </c>
      <c r="F2540">
        <v>14.0</v>
      </c>
      <c r="G2540" s="2" t="s">
        <v>64</v>
      </c>
      <c r="H2540" s="2">
        <v>0.0</v>
      </c>
      <c r="I2540" s="2">
        <v>0.0</v>
      </c>
      <c r="J2540" s="37">
        <v>0.0</v>
      </c>
      <c r="K2540" s="2">
        <v>0.0</v>
      </c>
      <c r="L2540" s="2">
        <v>0.0</v>
      </c>
      <c r="M2540" s="37">
        <v>0.0</v>
      </c>
    </row>
    <row r="2541" ht="14.25" customHeight="1">
      <c r="A2541" t="s">
        <v>2601</v>
      </c>
      <c r="B2541" t="s">
        <v>2193</v>
      </c>
      <c r="C2541" t="s">
        <v>62</v>
      </c>
      <c r="D2541" t="s">
        <v>63</v>
      </c>
      <c r="E2541">
        <v>12.5</v>
      </c>
      <c r="F2541">
        <v>14.0</v>
      </c>
      <c r="G2541" s="2" t="s">
        <v>64</v>
      </c>
      <c r="H2541" s="2">
        <v>0.0</v>
      </c>
      <c r="I2541" s="2">
        <v>0.0</v>
      </c>
      <c r="J2541" s="37">
        <v>0.0</v>
      </c>
      <c r="K2541" s="2">
        <v>0.0</v>
      </c>
      <c r="L2541" s="2">
        <v>0.0</v>
      </c>
      <c r="M2541" s="37">
        <v>0.0</v>
      </c>
    </row>
    <row r="2542" ht="14.25" customHeight="1">
      <c r="A2542" t="s">
        <v>2602</v>
      </c>
      <c r="B2542" t="s">
        <v>2193</v>
      </c>
      <c r="C2542" t="s">
        <v>62</v>
      </c>
      <c r="D2542" t="s">
        <v>63</v>
      </c>
      <c r="E2542">
        <v>12.5</v>
      </c>
      <c r="F2542">
        <v>14.0</v>
      </c>
      <c r="G2542" s="2" t="s">
        <v>64</v>
      </c>
      <c r="H2542" s="2">
        <v>0.0</v>
      </c>
      <c r="I2542" s="2">
        <v>0.0</v>
      </c>
      <c r="J2542" s="37">
        <v>0.0</v>
      </c>
      <c r="K2542" s="2">
        <v>0.0</v>
      </c>
      <c r="L2542" s="2">
        <v>0.0</v>
      </c>
      <c r="M2542" s="37">
        <v>0.0</v>
      </c>
    </row>
    <row r="2543" ht="14.25" customHeight="1">
      <c r="A2543" t="s">
        <v>2603</v>
      </c>
      <c r="B2543" t="s">
        <v>2193</v>
      </c>
      <c r="C2543" t="s">
        <v>62</v>
      </c>
      <c r="D2543" t="s">
        <v>63</v>
      </c>
      <c r="E2543">
        <v>12.5</v>
      </c>
      <c r="F2543">
        <v>14.0</v>
      </c>
      <c r="G2543" s="2" t="s">
        <v>64</v>
      </c>
      <c r="H2543" s="2">
        <v>0.0</v>
      </c>
      <c r="I2543" s="2">
        <v>0.0</v>
      </c>
      <c r="J2543" s="37">
        <v>0.0</v>
      </c>
      <c r="K2543" s="2">
        <v>0.0</v>
      </c>
      <c r="L2543" s="2">
        <v>0.0</v>
      </c>
      <c r="M2543" s="37">
        <v>0.0</v>
      </c>
    </row>
    <row r="2544" ht="14.25" customHeight="1">
      <c r="A2544" t="s">
        <v>2604</v>
      </c>
      <c r="B2544" t="s">
        <v>2193</v>
      </c>
      <c r="C2544" t="s">
        <v>62</v>
      </c>
      <c r="D2544" t="s">
        <v>63</v>
      </c>
      <c r="E2544">
        <v>12.5</v>
      </c>
      <c r="F2544">
        <v>14.0</v>
      </c>
      <c r="G2544" s="2" t="s">
        <v>64</v>
      </c>
      <c r="H2544" s="2">
        <v>0.0</v>
      </c>
      <c r="I2544" s="2">
        <v>0.0</v>
      </c>
      <c r="J2544" s="37">
        <v>0.0</v>
      </c>
      <c r="K2544" s="2">
        <v>0.0</v>
      </c>
      <c r="L2544" s="2">
        <v>0.0</v>
      </c>
      <c r="M2544" s="37">
        <v>0.0</v>
      </c>
    </row>
    <row r="2545" ht="14.25" customHeight="1">
      <c r="A2545" t="s">
        <v>2605</v>
      </c>
      <c r="B2545" t="s">
        <v>2193</v>
      </c>
      <c r="C2545" t="s">
        <v>62</v>
      </c>
      <c r="D2545" t="s">
        <v>63</v>
      </c>
      <c r="E2545">
        <v>12.5</v>
      </c>
      <c r="F2545">
        <v>14.0</v>
      </c>
      <c r="G2545" s="2" t="s">
        <v>64</v>
      </c>
      <c r="H2545" s="2">
        <v>0.0</v>
      </c>
      <c r="I2545" s="2">
        <v>0.0</v>
      </c>
      <c r="J2545" s="37">
        <v>0.0</v>
      </c>
      <c r="K2545" s="2">
        <v>0.0</v>
      </c>
      <c r="L2545" s="2">
        <v>0.0</v>
      </c>
      <c r="M2545" s="37">
        <v>0.0</v>
      </c>
    </row>
    <row r="2546" ht="14.25" customHeight="1">
      <c r="A2546" t="s">
        <v>2606</v>
      </c>
      <c r="B2546" t="s">
        <v>2193</v>
      </c>
      <c r="C2546" t="s">
        <v>62</v>
      </c>
      <c r="D2546" t="s">
        <v>63</v>
      </c>
      <c r="E2546">
        <v>12.5</v>
      </c>
      <c r="F2546">
        <v>14.0</v>
      </c>
      <c r="G2546" s="2" t="s">
        <v>64</v>
      </c>
      <c r="H2546" s="2">
        <v>0.0</v>
      </c>
      <c r="I2546" s="2">
        <v>0.0</v>
      </c>
      <c r="J2546" s="37">
        <v>0.0</v>
      </c>
      <c r="K2546" s="2">
        <v>0.0</v>
      </c>
      <c r="L2546" s="2">
        <v>0.0</v>
      </c>
      <c r="M2546" s="37">
        <v>0.0</v>
      </c>
    </row>
    <row r="2547" ht="14.25" customHeight="1">
      <c r="A2547" t="s">
        <v>2607</v>
      </c>
      <c r="B2547" t="s">
        <v>2193</v>
      </c>
      <c r="C2547" t="s">
        <v>62</v>
      </c>
      <c r="D2547" t="s">
        <v>63</v>
      </c>
      <c r="E2547">
        <v>13.5</v>
      </c>
      <c r="F2547">
        <v>16.0</v>
      </c>
      <c r="G2547" s="2" t="s">
        <v>64</v>
      </c>
      <c r="H2547" s="2">
        <v>0.0</v>
      </c>
      <c r="I2547" s="2">
        <v>0.0</v>
      </c>
      <c r="J2547" s="37">
        <v>0.0</v>
      </c>
      <c r="K2547" s="2">
        <v>0.0</v>
      </c>
      <c r="L2547" s="2">
        <v>0.0</v>
      </c>
      <c r="M2547" s="37">
        <v>0.0</v>
      </c>
    </row>
    <row r="2548" ht="14.25" customHeight="1">
      <c r="A2548" t="s">
        <v>2608</v>
      </c>
      <c r="B2548" t="s">
        <v>2193</v>
      </c>
      <c r="C2548" t="s">
        <v>62</v>
      </c>
      <c r="D2548" t="s">
        <v>63</v>
      </c>
      <c r="E2548">
        <v>13.5</v>
      </c>
      <c r="F2548">
        <v>16.0</v>
      </c>
      <c r="G2548" s="2" t="s">
        <v>64</v>
      </c>
      <c r="H2548" s="2">
        <v>0.0</v>
      </c>
      <c r="I2548" s="2">
        <v>0.0</v>
      </c>
      <c r="J2548" s="37">
        <v>0.0</v>
      </c>
      <c r="K2548" s="2">
        <v>0.0</v>
      </c>
      <c r="L2548" s="2">
        <v>0.0</v>
      </c>
      <c r="M2548" s="37">
        <v>0.0</v>
      </c>
    </row>
    <row r="2549" ht="14.25" customHeight="1">
      <c r="A2549" t="s">
        <v>2609</v>
      </c>
      <c r="B2549" t="s">
        <v>2193</v>
      </c>
      <c r="C2549" t="s">
        <v>62</v>
      </c>
      <c r="D2549" t="s">
        <v>63</v>
      </c>
      <c r="E2549">
        <v>13.5</v>
      </c>
      <c r="F2549">
        <v>16.0</v>
      </c>
      <c r="G2549" s="2" t="s">
        <v>64</v>
      </c>
      <c r="H2549" s="2">
        <v>0.0</v>
      </c>
      <c r="I2549" s="2">
        <v>0.0</v>
      </c>
      <c r="J2549" s="37">
        <v>0.0</v>
      </c>
      <c r="K2549" s="2">
        <v>0.0</v>
      </c>
      <c r="L2549" s="2">
        <v>0.0</v>
      </c>
      <c r="M2549" s="37">
        <v>0.0</v>
      </c>
    </row>
    <row r="2550" ht="14.25" customHeight="1">
      <c r="A2550" t="s">
        <v>2610</v>
      </c>
      <c r="B2550" t="s">
        <v>2193</v>
      </c>
      <c r="C2550" t="s">
        <v>62</v>
      </c>
      <c r="D2550" t="s">
        <v>63</v>
      </c>
      <c r="E2550">
        <v>13.5</v>
      </c>
      <c r="F2550">
        <v>16.0</v>
      </c>
      <c r="G2550" s="2" t="s">
        <v>64</v>
      </c>
      <c r="H2550" s="2">
        <v>0.0</v>
      </c>
      <c r="I2550" s="2">
        <v>0.0</v>
      </c>
      <c r="J2550" s="37">
        <v>0.0</v>
      </c>
      <c r="K2550" s="2">
        <v>0.0</v>
      </c>
      <c r="L2550" s="2">
        <v>0.0</v>
      </c>
      <c r="M2550" s="37">
        <v>0.0</v>
      </c>
    </row>
    <row r="2551" ht="14.25" customHeight="1">
      <c r="A2551" t="s">
        <v>2611</v>
      </c>
      <c r="B2551" t="s">
        <v>2193</v>
      </c>
      <c r="C2551" t="s">
        <v>62</v>
      </c>
      <c r="D2551" t="s">
        <v>63</v>
      </c>
      <c r="E2551">
        <v>13.5</v>
      </c>
      <c r="F2551">
        <v>16.0</v>
      </c>
      <c r="G2551" s="2" t="s">
        <v>64</v>
      </c>
      <c r="H2551" s="2">
        <v>0.0</v>
      </c>
      <c r="I2551" s="2">
        <v>0.0</v>
      </c>
      <c r="J2551" s="37">
        <v>0.0</v>
      </c>
      <c r="K2551" s="2">
        <v>0.0</v>
      </c>
      <c r="L2551" s="2">
        <v>0.0</v>
      </c>
      <c r="M2551" s="37">
        <v>0.0</v>
      </c>
    </row>
    <row r="2552" ht="14.25" customHeight="1">
      <c r="A2552" t="s">
        <v>2612</v>
      </c>
      <c r="B2552" t="s">
        <v>2193</v>
      </c>
      <c r="C2552" t="s">
        <v>62</v>
      </c>
      <c r="D2552" t="s">
        <v>63</v>
      </c>
      <c r="E2552">
        <v>13.5</v>
      </c>
      <c r="F2552">
        <v>16.0</v>
      </c>
      <c r="G2552" s="2" t="s">
        <v>64</v>
      </c>
      <c r="H2552" s="2">
        <v>0.0</v>
      </c>
      <c r="I2552" s="2">
        <v>0.0</v>
      </c>
      <c r="J2552" s="37">
        <v>0.0</v>
      </c>
      <c r="K2552" s="2">
        <v>0.0</v>
      </c>
      <c r="L2552" s="2">
        <v>0.0</v>
      </c>
      <c r="M2552" s="37">
        <v>0.0</v>
      </c>
    </row>
    <row r="2553" ht="14.25" customHeight="1">
      <c r="A2553" t="s">
        <v>2613</v>
      </c>
      <c r="B2553" t="s">
        <v>2193</v>
      </c>
      <c r="C2553" t="s">
        <v>62</v>
      </c>
      <c r="D2553" t="s">
        <v>63</v>
      </c>
      <c r="E2553">
        <v>13.5</v>
      </c>
      <c r="F2553">
        <v>16.0</v>
      </c>
      <c r="G2553" s="2" t="s">
        <v>64</v>
      </c>
      <c r="H2553" s="2">
        <v>0.0</v>
      </c>
      <c r="I2553" s="2">
        <v>0.0</v>
      </c>
      <c r="J2553" s="37">
        <v>0.0</v>
      </c>
      <c r="K2553" s="2">
        <v>0.0</v>
      </c>
      <c r="L2553" s="2">
        <v>0.0</v>
      </c>
      <c r="M2553" s="37">
        <v>0.0</v>
      </c>
    </row>
    <row r="2554" ht="14.25" customHeight="1">
      <c r="A2554" t="s">
        <v>2614</v>
      </c>
      <c r="B2554" t="s">
        <v>2193</v>
      </c>
      <c r="C2554" t="s">
        <v>62</v>
      </c>
      <c r="D2554" t="s">
        <v>63</v>
      </c>
      <c r="E2554">
        <v>7.1</v>
      </c>
      <c r="F2554">
        <v>8.0</v>
      </c>
      <c r="G2554" s="2" t="s">
        <v>64</v>
      </c>
      <c r="H2554" s="2">
        <v>0.0</v>
      </c>
      <c r="I2554" s="2">
        <v>0.0</v>
      </c>
      <c r="J2554" s="37">
        <v>0.0</v>
      </c>
      <c r="K2554" s="2">
        <v>0.0</v>
      </c>
      <c r="L2554" s="2">
        <v>0.0</v>
      </c>
      <c r="M2554" s="37">
        <v>0.0</v>
      </c>
    </row>
    <row r="2555" ht="14.25" customHeight="1">
      <c r="A2555" t="s">
        <v>2615</v>
      </c>
      <c r="B2555" t="s">
        <v>2193</v>
      </c>
      <c r="C2555" t="s">
        <v>62</v>
      </c>
      <c r="D2555" t="s">
        <v>63</v>
      </c>
      <c r="E2555">
        <v>7.1</v>
      </c>
      <c r="F2555">
        <v>8.0</v>
      </c>
      <c r="G2555" s="2" t="s">
        <v>64</v>
      </c>
      <c r="H2555" s="2">
        <v>0.0</v>
      </c>
      <c r="I2555" s="2">
        <v>0.0</v>
      </c>
      <c r="J2555" s="37">
        <v>0.0</v>
      </c>
      <c r="K2555" s="2">
        <v>0.0</v>
      </c>
      <c r="L2555" s="2">
        <v>0.0</v>
      </c>
      <c r="M2555" s="37">
        <v>0.0</v>
      </c>
    </row>
    <row r="2556" ht="14.25" customHeight="1">
      <c r="A2556" t="s">
        <v>2616</v>
      </c>
      <c r="B2556" t="s">
        <v>2193</v>
      </c>
      <c r="C2556" t="s">
        <v>62</v>
      </c>
      <c r="D2556" t="s">
        <v>63</v>
      </c>
      <c r="E2556">
        <v>7.1</v>
      </c>
      <c r="F2556">
        <v>8.0</v>
      </c>
      <c r="G2556" s="2" t="s">
        <v>64</v>
      </c>
      <c r="H2556" s="2">
        <v>0.0</v>
      </c>
      <c r="I2556" s="2">
        <v>0.0</v>
      </c>
      <c r="J2556" s="37">
        <v>0.0</v>
      </c>
      <c r="K2556" s="2">
        <v>0.0</v>
      </c>
      <c r="L2556" s="2">
        <v>0.0</v>
      </c>
      <c r="M2556" s="37">
        <v>0.0</v>
      </c>
    </row>
    <row r="2557" ht="14.25" customHeight="1">
      <c r="A2557" t="s">
        <v>2617</v>
      </c>
      <c r="B2557" t="s">
        <v>2193</v>
      </c>
      <c r="C2557" t="s">
        <v>62</v>
      </c>
      <c r="D2557" t="s">
        <v>63</v>
      </c>
      <c r="E2557">
        <v>7.1</v>
      </c>
      <c r="F2557">
        <v>8.0</v>
      </c>
      <c r="G2557" s="2" t="s">
        <v>64</v>
      </c>
      <c r="H2557" s="2">
        <v>0.0</v>
      </c>
      <c r="I2557" s="2">
        <v>0.0</v>
      </c>
      <c r="J2557" s="37">
        <v>0.0</v>
      </c>
      <c r="K2557" s="2">
        <v>0.0</v>
      </c>
      <c r="L2557" s="2">
        <v>0.0</v>
      </c>
      <c r="M2557" s="37">
        <v>0.0</v>
      </c>
    </row>
    <row r="2558" ht="14.25" customHeight="1">
      <c r="A2558" t="s">
        <v>2618</v>
      </c>
      <c r="B2558" t="s">
        <v>2193</v>
      </c>
      <c r="C2558" t="s">
        <v>62</v>
      </c>
      <c r="D2558" t="s">
        <v>63</v>
      </c>
      <c r="E2558">
        <v>7.1</v>
      </c>
      <c r="F2558">
        <v>8.0</v>
      </c>
      <c r="G2558" s="2" t="s">
        <v>64</v>
      </c>
      <c r="H2558" s="2">
        <v>0.0</v>
      </c>
      <c r="I2558" s="2">
        <v>0.0</v>
      </c>
      <c r="J2558" s="37">
        <v>0.0</v>
      </c>
      <c r="K2558" s="2">
        <v>0.0</v>
      </c>
      <c r="L2558" s="2">
        <v>0.0</v>
      </c>
      <c r="M2558" s="37">
        <v>0.0</v>
      </c>
    </row>
    <row r="2559" ht="14.25" customHeight="1">
      <c r="A2559" t="s">
        <v>2619</v>
      </c>
      <c r="B2559" t="s">
        <v>2193</v>
      </c>
      <c r="C2559" t="s">
        <v>62</v>
      </c>
      <c r="D2559" t="s">
        <v>63</v>
      </c>
      <c r="E2559">
        <v>7.1</v>
      </c>
      <c r="F2559">
        <v>8.0</v>
      </c>
      <c r="G2559" s="2" t="s">
        <v>64</v>
      </c>
      <c r="H2559" s="2">
        <v>0.0</v>
      </c>
      <c r="I2559" s="2">
        <v>0.0</v>
      </c>
      <c r="J2559" s="37">
        <v>0.0</v>
      </c>
      <c r="K2559" s="2">
        <v>0.0</v>
      </c>
      <c r="L2559" s="2">
        <v>0.0</v>
      </c>
      <c r="M2559" s="37">
        <v>0.0</v>
      </c>
    </row>
    <row r="2560" ht="14.25" customHeight="1">
      <c r="A2560" t="s">
        <v>2620</v>
      </c>
      <c r="B2560" t="s">
        <v>2193</v>
      </c>
      <c r="C2560" t="s">
        <v>62</v>
      </c>
      <c r="D2560" t="s">
        <v>63</v>
      </c>
      <c r="E2560">
        <v>7.1</v>
      </c>
      <c r="F2560">
        <v>8.0</v>
      </c>
      <c r="G2560" s="2" t="s">
        <v>64</v>
      </c>
      <c r="H2560" s="2">
        <v>0.0</v>
      </c>
      <c r="I2560" s="2">
        <v>0.0</v>
      </c>
      <c r="J2560" s="37">
        <v>0.0</v>
      </c>
      <c r="K2560" s="2">
        <v>0.0</v>
      </c>
      <c r="L2560" s="2">
        <v>0.0</v>
      </c>
      <c r="M2560" s="37">
        <v>0.0</v>
      </c>
    </row>
    <row r="2561" ht="14.25" customHeight="1">
      <c r="A2561" t="s">
        <v>2621</v>
      </c>
      <c r="B2561" t="s">
        <v>2193</v>
      </c>
      <c r="C2561" t="s">
        <v>62</v>
      </c>
      <c r="D2561" t="s">
        <v>63</v>
      </c>
      <c r="E2561">
        <v>7.1</v>
      </c>
      <c r="F2561">
        <v>8.0</v>
      </c>
      <c r="G2561" s="2" t="s">
        <v>64</v>
      </c>
      <c r="H2561" s="2">
        <v>0.0</v>
      </c>
      <c r="I2561" s="2">
        <v>0.0</v>
      </c>
      <c r="J2561" s="37">
        <v>0.0</v>
      </c>
      <c r="K2561" s="2">
        <v>0.0</v>
      </c>
      <c r="L2561" s="2">
        <v>0.0</v>
      </c>
      <c r="M2561" s="37">
        <v>0.0</v>
      </c>
    </row>
    <row r="2562" ht="14.25" customHeight="1">
      <c r="A2562" t="s">
        <v>2622</v>
      </c>
      <c r="B2562" t="s">
        <v>2193</v>
      </c>
      <c r="C2562" t="s">
        <v>62</v>
      </c>
      <c r="D2562" t="s">
        <v>63</v>
      </c>
      <c r="E2562">
        <v>7.1</v>
      </c>
      <c r="F2562">
        <v>8.0</v>
      </c>
      <c r="G2562" s="2" t="s">
        <v>64</v>
      </c>
      <c r="H2562" s="2">
        <v>0.0</v>
      </c>
      <c r="I2562" s="2">
        <v>0.0</v>
      </c>
      <c r="J2562" s="37">
        <v>0.0</v>
      </c>
      <c r="K2562" s="2">
        <v>0.0</v>
      </c>
      <c r="L2562" s="2">
        <v>0.0</v>
      </c>
      <c r="M2562" s="37">
        <v>0.0</v>
      </c>
    </row>
    <row r="2563" ht="14.25" customHeight="1">
      <c r="A2563" t="s">
        <v>2623</v>
      </c>
      <c r="B2563" t="s">
        <v>2193</v>
      </c>
      <c r="C2563" t="s">
        <v>62</v>
      </c>
      <c r="D2563" t="s">
        <v>63</v>
      </c>
      <c r="E2563">
        <v>7.1</v>
      </c>
      <c r="F2563">
        <v>8.0</v>
      </c>
      <c r="G2563" s="2" t="s">
        <v>64</v>
      </c>
      <c r="H2563" s="2">
        <v>0.0</v>
      </c>
      <c r="I2563" s="2">
        <v>0.0</v>
      </c>
      <c r="J2563" s="37">
        <v>0.0</v>
      </c>
      <c r="K2563" s="2">
        <v>0.0</v>
      </c>
      <c r="L2563" s="2">
        <v>0.0</v>
      </c>
      <c r="M2563" s="37">
        <v>0.0</v>
      </c>
    </row>
    <row r="2564" ht="14.25" customHeight="1">
      <c r="A2564" t="s">
        <v>2624</v>
      </c>
      <c r="B2564" t="s">
        <v>2193</v>
      </c>
      <c r="C2564" t="s">
        <v>62</v>
      </c>
      <c r="D2564" t="s">
        <v>63</v>
      </c>
      <c r="E2564">
        <v>7.1</v>
      </c>
      <c r="F2564">
        <v>8.0</v>
      </c>
      <c r="G2564" s="2" t="s">
        <v>64</v>
      </c>
      <c r="H2564" s="2">
        <v>0.0</v>
      </c>
      <c r="I2564" s="2">
        <v>0.0</v>
      </c>
      <c r="J2564" s="37">
        <v>0.0</v>
      </c>
      <c r="K2564" s="2">
        <v>0.0</v>
      </c>
      <c r="L2564" s="2">
        <v>0.0</v>
      </c>
      <c r="M2564" s="37">
        <v>0.0</v>
      </c>
    </row>
    <row r="2565" ht="14.25" customHeight="1">
      <c r="A2565" t="s">
        <v>2625</v>
      </c>
      <c r="B2565" t="s">
        <v>2193</v>
      </c>
      <c r="C2565" t="s">
        <v>62</v>
      </c>
      <c r="D2565" t="s">
        <v>63</v>
      </c>
      <c r="E2565">
        <v>10.0</v>
      </c>
      <c r="F2565">
        <v>11.2</v>
      </c>
      <c r="G2565" s="2" t="s">
        <v>67</v>
      </c>
      <c r="H2565" s="2">
        <v>30.0</v>
      </c>
      <c r="I2565" s="2">
        <v>200.0</v>
      </c>
      <c r="J2565" s="37">
        <v>933.8000000000001</v>
      </c>
      <c r="K2565" s="2">
        <v>35.0</v>
      </c>
      <c r="L2565" s="2">
        <v>302.0</v>
      </c>
      <c r="M2565" s="37">
        <v>1178.7</v>
      </c>
    </row>
    <row r="2566" ht="14.25" customHeight="1">
      <c r="A2566" t="s">
        <v>2626</v>
      </c>
      <c r="B2566" t="s">
        <v>2193</v>
      </c>
      <c r="C2566" t="s">
        <v>62</v>
      </c>
      <c r="D2566" t="s">
        <v>63</v>
      </c>
      <c r="E2566">
        <v>10.0</v>
      </c>
      <c r="F2566">
        <v>11.2</v>
      </c>
      <c r="G2566" s="2" t="s">
        <v>67</v>
      </c>
      <c r="H2566" s="2">
        <v>30.0</v>
      </c>
      <c r="I2566" s="2">
        <v>200.0</v>
      </c>
      <c r="J2566" s="37">
        <v>933.8000000000001</v>
      </c>
      <c r="K2566" s="2">
        <v>35.0</v>
      </c>
      <c r="L2566" s="2">
        <v>302.0</v>
      </c>
      <c r="M2566" s="37">
        <v>1178.7</v>
      </c>
    </row>
    <row r="2567" ht="14.25" customHeight="1">
      <c r="A2567" t="s">
        <v>2627</v>
      </c>
      <c r="B2567" t="s">
        <v>2193</v>
      </c>
      <c r="C2567" t="s">
        <v>62</v>
      </c>
      <c r="D2567" t="s">
        <v>63</v>
      </c>
      <c r="E2567">
        <v>10.0</v>
      </c>
      <c r="F2567">
        <v>11.2</v>
      </c>
      <c r="G2567" s="2" t="s">
        <v>67</v>
      </c>
      <c r="H2567" s="2">
        <v>30.0</v>
      </c>
      <c r="I2567" s="2">
        <v>200.0</v>
      </c>
      <c r="J2567" s="37">
        <v>933.8000000000001</v>
      </c>
      <c r="K2567" s="2">
        <v>35.0</v>
      </c>
      <c r="L2567" s="2">
        <v>302.0</v>
      </c>
      <c r="M2567" s="37">
        <v>1178.7</v>
      </c>
    </row>
    <row r="2568" ht="14.25" customHeight="1">
      <c r="A2568" t="s">
        <v>2628</v>
      </c>
      <c r="B2568" t="s">
        <v>2193</v>
      </c>
      <c r="C2568" t="s">
        <v>62</v>
      </c>
      <c r="D2568" t="s">
        <v>63</v>
      </c>
      <c r="E2568">
        <v>10.0</v>
      </c>
      <c r="F2568">
        <v>11.2</v>
      </c>
      <c r="G2568" s="2" t="s">
        <v>67</v>
      </c>
      <c r="H2568" s="2">
        <v>30.0</v>
      </c>
      <c r="I2568" s="2">
        <v>200.0</v>
      </c>
      <c r="J2568" s="37">
        <v>933.8000000000001</v>
      </c>
      <c r="K2568" s="2">
        <v>35.0</v>
      </c>
      <c r="L2568" s="2">
        <v>302.0</v>
      </c>
      <c r="M2568" s="37">
        <v>1178.7</v>
      </c>
    </row>
    <row r="2569" ht="14.25" customHeight="1">
      <c r="A2569" t="s">
        <v>2629</v>
      </c>
      <c r="B2569" t="s">
        <v>2193</v>
      </c>
      <c r="C2569" t="s">
        <v>62</v>
      </c>
      <c r="D2569" t="s">
        <v>63</v>
      </c>
      <c r="E2569">
        <v>10.0</v>
      </c>
      <c r="F2569">
        <v>11.2</v>
      </c>
      <c r="G2569" s="2" t="s">
        <v>67</v>
      </c>
      <c r="H2569" s="2">
        <v>30.0</v>
      </c>
      <c r="I2569" s="2">
        <v>200.0</v>
      </c>
      <c r="J2569" s="37">
        <v>933.8000000000001</v>
      </c>
      <c r="K2569" s="2">
        <v>35.0</v>
      </c>
      <c r="L2569" s="2">
        <v>302.0</v>
      </c>
      <c r="M2569" s="37">
        <v>1178.7</v>
      </c>
    </row>
    <row r="2570" ht="14.25" customHeight="1">
      <c r="A2570" t="s">
        <v>2630</v>
      </c>
      <c r="B2570" t="s">
        <v>2193</v>
      </c>
      <c r="C2570" t="s">
        <v>62</v>
      </c>
      <c r="D2570" t="s">
        <v>63</v>
      </c>
      <c r="E2570">
        <v>10.0</v>
      </c>
      <c r="F2570">
        <v>11.2</v>
      </c>
      <c r="G2570" s="2" t="s">
        <v>67</v>
      </c>
      <c r="H2570" s="2">
        <v>30.0</v>
      </c>
      <c r="I2570" s="2">
        <v>200.0</v>
      </c>
      <c r="J2570" s="37">
        <v>933.8000000000001</v>
      </c>
      <c r="K2570" s="2">
        <v>35.0</v>
      </c>
      <c r="L2570" s="2">
        <v>302.0</v>
      </c>
      <c r="M2570" s="37">
        <v>1178.7</v>
      </c>
    </row>
    <row r="2571" ht="14.25" customHeight="1">
      <c r="A2571" t="s">
        <v>2631</v>
      </c>
      <c r="B2571" t="s">
        <v>2193</v>
      </c>
      <c r="C2571" t="s">
        <v>62</v>
      </c>
      <c r="D2571" t="s">
        <v>63</v>
      </c>
      <c r="E2571">
        <v>10.0</v>
      </c>
      <c r="F2571">
        <v>11.2</v>
      </c>
      <c r="G2571" s="2" t="s">
        <v>64</v>
      </c>
      <c r="H2571" s="2">
        <v>0.0</v>
      </c>
      <c r="I2571" s="2">
        <v>0.0</v>
      </c>
      <c r="J2571" s="37">
        <v>0.0</v>
      </c>
      <c r="K2571" s="2">
        <v>0.0</v>
      </c>
      <c r="L2571" s="2">
        <v>0.0</v>
      </c>
      <c r="M2571" s="37">
        <v>0.0</v>
      </c>
    </row>
    <row r="2572" ht="14.25" customHeight="1">
      <c r="A2572" t="s">
        <v>2632</v>
      </c>
      <c r="B2572" t="s">
        <v>2193</v>
      </c>
      <c r="C2572" t="s">
        <v>62</v>
      </c>
      <c r="D2572" t="s">
        <v>63</v>
      </c>
      <c r="E2572">
        <v>10.0</v>
      </c>
      <c r="F2572">
        <v>11.2</v>
      </c>
      <c r="G2572" s="2" t="s">
        <v>64</v>
      </c>
      <c r="H2572" s="2">
        <v>0.0</v>
      </c>
      <c r="I2572" s="2">
        <v>0.0</v>
      </c>
      <c r="J2572" s="37">
        <v>0.0</v>
      </c>
      <c r="K2572" s="2">
        <v>0.0</v>
      </c>
      <c r="L2572" s="2">
        <v>0.0</v>
      </c>
      <c r="M2572" s="37">
        <v>0.0</v>
      </c>
    </row>
    <row r="2573" ht="14.25" customHeight="1">
      <c r="A2573" t="s">
        <v>2633</v>
      </c>
      <c r="B2573" t="s">
        <v>2193</v>
      </c>
      <c r="C2573" t="s">
        <v>62</v>
      </c>
      <c r="D2573" t="s">
        <v>63</v>
      </c>
      <c r="E2573">
        <v>10.0</v>
      </c>
      <c r="F2573">
        <v>11.2</v>
      </c>
      <c r="G2573" s="2" t="s">
        <v>64</v>
      </c>
      <c r="H2573" s="2">
        <v>0.0</v>
      </c>
      <c r="I2573" s="2">
        <v>0.0</v>
      </c>
      <c r="J2573" s="37">
        <v>0.0</v>
      </c>
      <c r="K2573" s="2">
        <v>0.0</v>
      </c>
      <c r="L2573" s="2">
        <v>0.0</v>
      </c>
      <c r="M2573" s="37">
        <v>0.0</v>
      </c>
    </row>
    <row r="2574" ht="14.25" customHeight="1">
      <c r="A2574" t="s">
        <v>2634</v>
      </c>
      <c r="B2574" t="s">
        <v>2193</v>
      </c>
      <c r="C2574" t="s">
        <v>62</v>
      </c>
      <c r="D2574" t="s">
        <v>63</v>
      </c>
      <c r="E2574">
        <v>10.0</v>
      </c>
      <c r="F2574">
        <v>11.2</v>
      </c>
      <c r="G2574" s="2" t="s">
        <v>64</v>
      </c>
      <c r="H2574" s="2">
        <v>0.0</v>
      </c>
      <c r="I2574" s="2">
        <v>0.0</v>
      </c>
      <c r="J2574" s="37">
        <v>0.0</v>
      </c>
      <c r="K2574" s="2">
        <v>0.0</v>
      </c>
      <c r="L2574" s="2">
        <v>0.0</v>
      </c>
      <c r="M2574" s="37">
        <v>0.0</v>
      </c>
    </row>
    <row r="2575" ht="14.25" customHeight="1">
      <c r="A2575" t="s">
        <v>2635</v>
      </c>
      <c r="B2575" t="s">
        <v>2193</v>
      </c>
      <c r="C2575" t="s">
        <v>62</v>
      </c>
      <c r="D2575" t="s">
        <v>63</v>
      </c>
      <c r="E2575">
        <v>10.0</v>
      </c>
      <c r="F2575">
        <v>11.2</v>
      </c>
      <c r="G2575" s="2" t="s">
        <v>64</v>
      </c>
      <c r="H2575" s="2">
        <v>0.0</v>
      </c>
      <c r="I2575" s="2">
        <v>0.0</v>
      </c>
      <c r="J2575" s="37">
        <v>0.0</v>
      </c>
      <c r="K2575" s="2">
        <v>0.0</v>
      </c>
      <c r="L2575" s="2">
        <v>0.0</v>
      </c>
      <c r="M2575" s="37">
        <v>0.0</v>
      </c>
    </row>
    <row r="2576" ht="14.25" customHeight="1">
      <c r="A2576" t="s">
        <v>2636</v>
      </c>
      <c r="B2576" t="s">
        <v>2193</v>
      </c>
      <c r="C2576" t="s">
        <v>62</v>
      </c>
      <c r="D2576" t="s">
        <v>63</v>
      </c>
      <c r="E2576">
        <v>10.0</v>
      </c>
      <c r="F2576">
        <v>11.2</v>
      </c>
      <c r="G2576" s="2" t="s">
        <v>64</v>
      </c>
      <c r="H2576" s="2">
        <v>0.0</v>
      </c>
      <c r="I2576" s="2">
        <v>0.0</v>
      </c>
      <c r="J2576" s="37">
        <v>0.0</v>
      </c>
      <c r="K2576" s="2">
        <v>0.0</v>
      </c>
      <c r="L2576" s="2">
        <v>0.0</v>
      </c>
      <c r="M2576" s="37">
        <v>0.0</v>
      </c>
    </row>
    <row r="2577" ht="14.25" customHeight="1">
      <c r="A2577" t="s">
        <v>2637</v>
      </c>
      <c r="B2577" t="s">
        <v>2193</v>
      </c>
      <c r="C2577" t="s">
        <v>62</v>
      </c>
      <c r="D2577" t="s">
        <v>63</v>
      </c>
      <c r="E2577">
        <v>10.0</v>
      </c>
      <c r="F2577">
        <v>11.2</v>
      </c>
      <c r="G2577" s="2" t="s">
        <v>64</v>
      </c>
      <c r="H2577" s="2">
        <v>0.0</v>
      </c>
      <c r="I2577" s="2">
        <v>0.0</v>
      </c>
      <c r="J2577" s="37">
        <v>0.0</v>
      </c>
      <c r="K2577" s="2">
        <v>0.0</v>
      </c>
      <c r="L2577" s="2">
        <v>0.0</v>
      </c>
      <c r="M2577" s="37">
        <v>0.0</v>
      </c>
    </row>
    <row r="2578" ht="14.25" customHeight="1">
      <c r="A2578" t="s">
        <v>2638</v>
      </c>
      <c r="B2578" t="s">
        <v>2193</v>
      </c>
      <c r="C2578" t="s">
        <v>62</v>
      </c>
      <c r="D2578" t="s">
        <v>63</v>
      </c>
      <c r="E2578">
        <v>12.5</v>
      </c>
      <c r="F2578">
        <v>14.0</v>
      </c>
      <c r="G2578" s="2" t="s">
        <v>64</v>
      </c>
      <c r="H2578" s="2">
        <v>0.0</v>
      </c>
      <c r="I2578" s="2">
        <v>0.0</v>
      </c>
      <c r="J2578" s="37">
        <v>0.0</v>
      </c>
      <c r="K2578" s="2">
        <v>0.0</v>
      </c>
      <c r="L2578" s="2">
        <v>0.0</v>
      </c>
      <c r="M2578" s="37">
        <v>0.0</v>
      </c>
    </row>
    <row r="2579" ht="14.25" customHeight="1">
      <c r="A2579" t="s">
        <v>2639</v>
      </c>
      <c r="B2579" t="s">
        <v>2193</v>
      </c>
      <c r="C2579" t="s">
        <v>62</v>
      </c>
      <c r="D2579" t="s">
        <v>63</v>
      </c>
      <c r="E2579">
        <v>12.5</v>
      </c>
      <c r="F2579">
        <v>14.0</v>
      </c>
      <c r="G2579" s="2" t="s">
        <v>64</v>
      </c>
      <c r="H2579" s="2">
        <v>0.0</v>
      </c>
      <c r="I2579" s="2">
        <v>0.0</v>
      </c>
      <c r="J2579" s="37">
        <v>0.0</v>
      </c>
      <c r="K2579" s="2">
        <v>0.0</v>
      </c>
      <c r="L2579" s="2">
        <v>0.0</v>
      </c>
      <c r="M2579" s="37">
        <v>0.0</v>
      </c>
    </row>
    <row r="2580" ht="14.25" customHeight="1">
      <c r="A2580" t="s">
        <v>2640</v>
      </c>
      <c r="B2580" t="s">
        <v>2193</v>
      </c>
      <c r="C2580" t="s">
        <v>62</v>
      </c>
      <c r="D2580" t="s">
        <v>63</v>
      </c>
      <c r="E2580">
        <v>12.5</v>
      </c>
      <c r="F2580">
        <v>14.0</v>
      </c>
      <c r="G2580" s="2" t="s">
        <v>64</v>
      </c>
      <c r="H2580" s="2">
        <v>0.0</v>
      </c>
      <c r="I2580" s="2">
        <v>0.0</v>
      </c>
      <c r="J2580" s="37">
        <v>0.0</v>
      </c>
      <c r="K2580" s="2">
        <v>0.0</v>
      </c>
      <c r="L2580" s="2">
        <v>0.0</v>
      </c>
      <c r="M2580" s="37">
        <v>0.0</v>
      </c>
    </row>
    <row r="2581" ht="14.25" customHeight="1">
      <c r="A2581" t="s">
        <v>2641</v>
      </c>
      <c r="B2581" t="s">
        <v>2193</v>
      </c>
      <c r="C2581" t="s">
        <v>62</v>
      </c>
      <c r="D2581" t="s">
        <v>63</v>
      </c>
      <c r="E2581">
        <v>12.5</v>
      </c>
      <c r="F2581">
        <v>14.0</v>
      </c>
      <c r="G2581" s="2" t="s">
        <v>64</v>
      </c>
      <c r="H2581" s="2">
        <v>0.0</v>
      </c>
      <c r="I2581" s="2">
        <v>0.0</v>
      </c>
      <c r="J2581" s="37">
        <v>0.0</v>
      </c>
      <c r="K2581" s="2">
        <v>0.0</v>
      </c>
      <c r="L2581" s="2">
        <v>0.0</v>
      </c>
      <c r="M2581" s="37">
        <v>0.0</v>
      </c>
    </row>
    <row r="2582" ht="14.25" customHeight="1">
      <c r="A2582" t="s">
        <v>2642</v>
      </c>
      <c r="B2582" t="s">
        <v>2193</v>
      </c>
      <c r="C2582" t="s">
        <v>62</v>
      </c>
      <c r="D2582" t="s">
        <v>63</v>
      </c>
      <c r="E2582">
        <v>12.5</v>
      </c>
      <c r="F2582">
        <v>14.0</v>
      </c>
      <c r="G2582" s="2" t="s">
        <v>64</v>
      </c>
      <c r="H2582" s="2">
        <v>0.0</v>
      </c>
      <c r="I2582" s="2">
        <v>0.0</v>
      </c>
      <c r="J2582" s="37">
        <v>0.0</v>
      </c>
      <c r="K2582" s="2">
        <v>0.0</v>
      </c>
      <c r="L2582" s="2">
        <v>0.0</v>
      </c>
      <c r="M2582" s="37">
        <v>0.0</v>
      </c>
    </row>
    <row r="2583" ht="14.25" customHeight="1">
      <c r="A2583" t="s">
        <v>2643</v>
      </c>
      <c r="B2583" t="s">
        <v>2193</v>
      </c>
      <c r="C2583" t="s">
        <v>62</v>
      </c>
      <c r="D2583" t="s">
        <v>63</v>
      </c>
      <c r="E2583">
        <v>12.5</v>
      </c>
      <c r="F2583">
        <v>14.0</v>
      </c>
      <c r="G2583" s="2" t="s">
        <v>64</v>
      </c>
      <c r="H2583" s="2">
        <v>0.0</v>
      </c>
      <c r="I2583" s="2">
        <v>0.0</v>
      </c>
      <c r="J2583" s="37">
        <v>0.0</v>
      </c>
      <c r="K2583" s="2">
        <v>0.0</v>
      </c>
      <c r="L2583" s="2">
        <v>0.0</v>
      </c>
      <c r="M2583" s="37">
        <v>0.0</v>
      </c>
    </row>
    <row r="2584" ht="14.25" customHeight="1">
      <c r="A2584" t="s">
        <v>2644</v>
      </c>
      <c r="B2584" t="s">
        <v>2193</v>
      </c>
      <c r="C2584" t="s">
        <v>62</v>
      </c>
      <c r="D2584" t="s">
        <v>63</v>
      </c>
      <c r="E2584">
        <v>12.5</v>
      </c>
      <c r="F2584">
        <v>14.0</v>
      </c>
      <c r="G2584" s="2" t="s">
        <v>64</v>
      </c>
      <c r="H2584" s="2">
        <v>0.0</v>
      </c>
      <c r="I2584" s="2">
        <v>0.0</v>
      </c>
      <c r="J2584" s="37">
        <v>0.0</v>
      </c>
      <c r="K2584" s="2">
        <v>0.0</v>
      </c>
      <c r="L2584" s="2">
        <v>0.0</v>
      </c>
      <c r="M2584" s="37">
        <v>0.0</v>
      </c>
    </row>
    <row r="2585" ht="14.25" customHeight="1">
      <c r="A2585" t="s">
        <v>2645</v>
      </c>
      <c r="B2585" t="s">
        <v>2193</v>
      </c>
      <c r="C2585" t="s">
        <v>62</v>
      </c>
      <c r="D2585" t="s">
        <v>63</v>
      </c>
      <c r="E2585">
        <v>13.5</v>
      </c>
      <c r="F2585">
        <v>16.0</v>
      </c>
      <c r="G2585" s="2" t="s">
        <v>64</v>
      </c>
      <c r="H2585" s="2">
        <v>0.0</v>
      </c>
      <c r="I2585" s="2">
        <v>0.0</v>
      </c>
      <c r="J2585" s="37">
        <v>0.0</v>
      </c>
      <c r="K2585" s="2">
        <v>0.0</v>
      </c>
      <c r="L2585" s="2">
        <v>0.0</v>
      </c>
      <c r="M2585" s="37">
        <v>0.0</v>
      </c>
    </row>
    <row r="2586" ht="14.25" customHeight="1">
      <c r="A2586" t="s">
        <v>2646</v>
      </c>
      <c r="B2586" t="s">
        <v>2193</v>
      </c>
      <c r="C2586" t="s">
        <v>62</v>
      </c>
      <c r="D2586" t="s">
        <v>63</v>
      </c>
      <c r="E2586">
        <v>13.5</v>
      </c>
      <c r="F2586">
        <v>16.0</v>
      </c>
      <c r="G2586" s="2" t="s">
        <v>64</v>
      </c>
      <c r="H2586" s="2">
        <v>0.0</v>
      </c>
      <c r="I2586" s="2">
        <v>0.0</v>
      </c>
      <c r="J2586" s="37">
        <v>0.0</v>
      </c>
      <c r="K2586" s="2">
        <v>0.0</v>
      </c>
      <c r="L2586" s="2">
        <v>0.0</v>
      </c>
      <c r="M2586" s="37">
        <v>0.0</v>
      </c>
    </row>
    <row r="2587" ht="14.25" customHeight="1">
      <c r="A2587" t="s">
        <v>2647</v>
      </c>
      <c r="B2587" t="s">
        <v>2193</v>
      </c>
      <c r="C2587" t="s">
        <v>62</v>
      </c>
      <c r="D2587" t="s">
        <v>63</v>
      </c>
      <c r="E2587">
        <v>13.5</v>
      </c>
      <c r="F2587">
        <v>16.0</v>
      </c>
      <c r="G2587" s="2" t="s">
        <v>64</v>
      </c>
      <c r="H2587" s="2">
        <v>0.0</v>
      </c>
      <c r="I2587" s="2">
        <v>0.0</v>
      </c>
      <c r="J2587" s="37">
        <v>0.0</v>
      </c>
      <c r="K2587" s="2">
        <v>0.0</v>
      </c>
      <c r="L2587" s="2">
        <v>0.0</v>
      </c>
      <c r="M2587" s="37">
        <v>0.0</v>
      </c>
    </row>
    <row r="2588" ht="14.25" customHeight="1">
      <c r="A2588" t="s">
        <v>2648</v>
      </c>
      <c r="B2588" t="s">
        <v>2193</v>
      </c>
      <c r="C2588" t="s">
        <v>62</v>
      </c>
      <c r="D2588" t="s">
        <v>63</v>
      </c>
      <c r="E2588">
        <v>13.5</v>
      </c>
      <c r="F2588">
        <v>16.0</v>
      </c>
      <c r="G2588" s="2" t="s">
        <v>64</v>
      </c>
      <c r="H2588" s="2">
        <v>0.0</v>
      </c>
      <c r="I2588" s="2">
        <v>0.0</v>
      </c>
      <c r="J2588" s="37">
        <v>0.0</v>
      </c>
      <c r="K2588" s="2">
        <v>0.0</v>
      </c>
      <c r="L2588" s="2">
        <v>0.0</v>
      </c>
      <c r="M2588" s="37">
        <v>0.0</v>
      </c>
    </row>
    <row r="2589" ht="14.25" customHeight="1">
      <c r="A2589" t="s">
        <v>2649</v>
      </c>
      <c r="B2589" t="s">
        <v>2193</v>
      </c>
      <c r="C2589" t="s">
        <v>62</v>
      </c>
      <c r="D2589" t="s">
        <v>63</v>
      </c>
      <c r="E2589">
        <v>13.5</v>
      </c>
      <c r="F2589">
        <v>16.0</v>
      </c>
      <c r="G2589" s="2" t="s">
        <v>64</v>
      </c>
      <c r="H2589" s="2">
        <v>0.0</v>
      </c>
      <c r="I2589" s="2">
        <v>0.0</v>
      </c>
      <c r="J2589" s="37">
        <v>0.0</v>
      </c>
      <c r="K2589" s="2">
        <v>0.0</v>
      </c>
      <c r="L2589" s="2">
        <v>0.0</v>
      </c>
      <c r="M2589" s="37">
        <v>0.0</v>
      </c>
    </row>
    <row r="2590" ht="14.25" customHeight="1">
      <c r="A2590" t="s">
        <v>2650</v>
      </c>
      <c r="B2590" t="s">
        <v>2193</v>
      </c>
      <c r="C2590" t="s">
        <v>62</v>
      </c>
      <c r="D2590" t="s">
        <v>63</v>
      </c>
      <c r="E2590">
        <v>13.5</v>
      </c>
      <c r="F2590">
        <v>16.0</v>
      </c>
      <c r="G2590" s="2" t="s">
        <v>64</v>
      </c>
      <c r="H2590" s="2">
        <v>0.0</v>
      </c>
      <c r="I2590" s="2">
        <v>0.0</v>
      </c>
      <c r="J2590" s="37">
        <v>0.0</v>
      </c>
      <c r="K2590" s="2">
        <v>0.0</v>
      </c>
      <c r="L2590" s="2">
        <v>0.0</v>
      </c>
      <c r="M2590" s="37">
        <v>0.0</v>
      </c>
    </row>
    <row r="2591" ht="14.25" customHeight="1">
      <c r="A2591" t="s">
        <v>2651</v>
      </c>
      <c r="B2591" t="s">
        <v>2193</v>
      </c>
      <c r="C2591" t="s">
        <v>62</v>
      </c>
      <c r="D2591" t="s">
        <v>63</v>
      </c>
      <c r="E2591">
        <v>13.5</v>
      </c>
      <c r="F2591">
        <v>16.0</v>
      </c>
      <c r="G2591" s="2" t="s">
        <v>64</v>
      </c>
      <c r="H2591" s="2">
        <v>0.0</v>
      </c>
      <c r="I2591" s="2">
        <v>0.0</v>
      </c>
      <c r="J2591" s="37">
        <v>0.0</v>
      </c>
      <c r="K2591" s="2">
        <v>0.0</v>
      </c>
      <c r="L2591" s="2">
        <v>0.0</v>
      </c>
      <c r="M2591" s="37">
        <v>0.0</v>
      </c>
    </row>
    <row r="2592" ht="14.25" customHeight="1">
      <c r="A2592" t="s">
        <v>2652</v>
      </c>
      <c r="B2592" t="s">
        <v>2193</v>
      </c>
      <c r="C2592" t="s">
        <v>62</v>
      </c>
      <c r="D2592" t="s">
        <v>63</v>
      </c>
      <c r="E2592">
        <v>10.0</v>
      </c>
      <c r="F2592">
        <v>11.2</v>
      </c>
      <c r="G2592" s="2" t="s">
        <v>64</v>
      </c>
      <c r="H2592" s="2">
        <v>0.0</v>
      </c>
      <c r="I2592" s="2">
        <v>0.0</v>
      </c>
      <c r="J2592" s="37">
        <v>0.0</v>
      </c>
      <c r="K2592" s="2">
        <v>0.0</v>
      </c>
      <c r="L2592" s="2">
        <v>0.0</v>
      </c>
      <c r="M2592" s="37">
        <v>0.0</v>
      </c>
    </row>
    <row r="2593" ht="14.25" customHeight="1">
      <c r="A2593" t="s">
        <v>2653</v>
      </c>
      <c r="B2593" t="s">
        <v>2193</v>
      </c>
      <c r="C2593" t="s">
        <v>62</v>
      </c>
      <c r="D2593" t="s">
        <v>63</v>
      </c>
      <c r="E2593">
        <v>10.0</v>
      </c>
      <c r="F2593">
        <v>11.2</v>
      </c>
      <c r="G2593" s="2" t="s">
        <v>64</v>
      </c>
      <c r="H2593" s="2">
        <v>0.0</v>
      </c>
      <c r="I2593" s="2">
        <v>0.0</v>
      </c>
      <c r="J2593" s="37">
        <v>0.0</v>
      </c>
      <c r="K2593" s="2">
        <v>0.0</v>
      </c>
      <c r="L2593" s="2">
        <v>0.0</v>
      </c>
      <c r="M2593" s="37">
        <v>0.0</v>
      </c>
    </row>
    <row r="2594" ht="14.25" customHeight="1">
      <c r="A2594" t="s">
        <v>2654</v>
      </c>
      <c r="B2594" t="s">
        <v>2193</v>
      </c>
      <c r="C2594" t="s">
        <v>62</v>
      </c>
      <c r="D2594" t="s">
        <v>63</v>
      </c>
      <c r="E2594">
        <v>10.0</v>
      </c>
      <c r="F2594">
        <v>11.2</v>
      </c>
      <c r="G2594" s="2" t="s">
        <v>64</v>
      </c>
      <c r="H2594" s="2">
        <v>0.0</v>
      </c>
      <c r="I2594" s="2">
        <v>0.0</v>
      </c>
      <c r="J2594" s="37">
        <v>0.0</v>
      </c>
      <c r="K2594" s="2">
        <v>0.0</v>
      </c>
      <c r="L2594" s="2">
        <v>0.0</v>
      </c>
      <c r="M2594" s="37">
        <v>0.0</v>
      </c>
    </row>
    <row r="2595" ht="14.25" customHeight="1">
      <c r="A2595" t="s">
        <v>2655</v>
      </c>
      <c r="B2595" t="s">
        <v>2193</v>
      </c>
      <c r="C2595" t="s">
        <v>62</v>
      </c>
      <c r="D2595" t="s">
        <v>63</v>
      </c>
      <c r="E2595">
        <v>10.0</v>
      </c>
      <c r="F2595">
        <v>11.2</v>
      </c>
      <c r="G2595" s="2" t="s">
        <v>64</v>
      </c>
      <c r="H2595" s="2">
        <v>0.0</v>
      </c>
      <c r="I2595" s="2">
        <v>0.0</v>
      </c>
      <c r="J2595" s="37">
        <v>0.0</v>
      </c>
      <c r="K2595" s="2">
        <v>0.0</v>
      </c>
      <c r="L2595" s="2">
        <v>0.0</v>
      </c>
      <c r="M2595" s="37">
        <v>0.0</v>
      </c>
    </row>
    <row r="2596" ht="14.25" customHeight="1">
      <c r="A2596" t="s">
        <v>2656</v>
      </c>
      <c r="B2596" t="s">
        <v>2193</v>
      </c>
      <c r="C2596" t="s">
        <v>62</v>
      </c>
      <c r="D2596" t="s">
        <v>63</v>
      </c>
      <c r="E2596">
        <v>10.0</v>
      </c>
      <c r="F2596">
        <v>11.2</v>
      </c>
      <c r="G2596" s="2" t="s">
        <v>64</v>
      </c>
      <c r="H2596" s="2">
        <v>0.0</v>
      </c>
      <c r="I2596" s="2">
        <v>0.0</v>
      </c>
      <c r="J2596" s="37">
        <v>0.0</v>
      </c>
      <c r="K2596" s="2">
        <v>0.0</v>
      </c>
      <c r="L2596" s="2">
        <v>0.0</v>
      </c>
      <c r="M2596" s="37">
        <v>0.0</v>
      </c>
    </row>
    <row r="2597" ht="14.25" customHeight="1">
      <c r="A2597" t="s">
        <v>2657</v>
      </c>
      <c r="B2597" t="s">
        <v>2193</v>
      </c>
      <c r="C2597" t="s">
        <v>62</v>
      </c>
      <c r="D2597" t="s">
        <v>63</v>
      </c>
      <c r="E2597">
        <v>10.0</v>
      </c>
      <c r="F2597">
        <v>11.2</v>
      </c>
      <c r="G2597" s="2" t="s">
        <v>64</v>
      </c>
      <c r="H2597" s="2">
        <v>0.0</v>
      </c>
      <c r="I2597" s="2">
        <v>0.0</v>
      </c>
      <c r="J2597" s="37">
        <v>0.0</v>
      </c>
      <c r="K2597" s="2">
        <v>0.0</v>
      </c>
      <c r="L2597" s="2">
        <v>0.0</v>
      </c>
      <c r="M2597" s="37">
        <v>0.0</v>
      </c>
    </row>
    <row r="2598" ht="14.25" customHeight="1">
      <c r="A2598" t="s">
        <v>2658</v>
      </c>
      <c r="B2598" t="s">
        <v>2193</v>
      </c>
      <c r="C2598" t="s">
        <v>62</v>
      </c>
      <c r="D2598" t="s">
        <v>63</v>
      </c>
      <c r="E2598">
        <v>10.0</v>
      </c>
      <c r="F2598">
        <v>11.2</v>
      </c>
      <c r="G2598" s="2" t="s">
        <v>64</v>
      </c>
      <c r="H2598" s="2">
        <v>0.0</v>
      </c>
      <c r="I2598" s="2">
        <v>0.0</v>
      </c>
      <c r="J2598" s="37">
        <v>0.0</v>
      </c>
      <c r="K2598" s="2">
        <v>0.0</v>
      </c>
      <c r="L2598" s="2">
        <v>0.0</v>
      </c>
      <c r="M2598" s="37">
        <v>0.0</v>
      </c>
    </row>
    <row r="2599" ht="14.25" customHeight="1">
      <c r="A2599" t="s">
        <v>2659</v>
      </c>
      <c r="B2599" t="s">
        <v>2193</v>
      </c>
      <c r="C2599" t="s">
        <v>62</v>
      </c>
      <c r="D2599" t="s">
        <v>63</v>
      </c>
      <c r="E2599">
        <v>10.0</v>
      </c>
      <c r="F2599">
        <v>11.2</v>
      </c>
      <c r="G2599" s="2" t="s">
        <v>64</v>
      </c>
      <c r="H2599" s="2">
        <v>0.0</v>
      </c>
      <c r="I2599" s="2">
        <v>0.0</v>
      </c>
      <c r="J2599" s="37">
        <v>0.0</v>
      </c>
      <c r="K2599" s="2">
        <v>0.0</v>
      </c>
      <c r="L2599" s="2">
        <v>0.0</v>
      </c>
      <c r="M2599" s="37">
        <v>0.0</v>
      </c>
    </row>
    <row r="2600" ht="14.25" customHeight="1">
      <c r="A2600" t="s">
        <v>2660</v>
      </c>
      <c r="B2600" t="s">
        <v>2193</v>
      </c>
      <c r="C2600" t="s">
        <v>62</v>
      </c>
      <c r="D2600" t="s">
        <v>63</v>
      </c>
      <c r="E2600">
        <v>10.0</v>
      </c>
      <c r="F2600">
        <v>11.2</v>
      </c>
      <c r="G2600" s="2" t="s">
        <v>64</v>
      </c>
      <c r="H2600" s="2">
        <v>0.0</v>
      </c>
      <c r="I2600" s="2">
        <v>0.0</v>
      </c>
      <c r="J2600" s="37">
        <v>0.0</v>
      </c>
      <c r="K2600" s="2">
        <v>0.0</v>
      </c>
      <c r="L2600" s="2">
        <v>0.0</v>
      </c>
      <c r="M2600" s="37">
        <v>0.0</v>
      </c>
    </row>
    <row r="2601" ht="14.25" customHeight="1">
      <c r="A2601" t="s">
        <v>2661</v>
      </c>
      <c r="B2601" t="s">
        <v>2193</v>
      </c>
      <c r="C2601" t="s">
        <v>62</v>
      </c>
      <c r="D2601" t="s">
        <v>63</v>
      </c>
      <c r="E2601">
        <v>10.0</v>
      </c>
      <c r="F2601">
        <v>11.2</v>
      </c>
      <c r="G2601" s="2" t="s">
        <v>64</v>
      </c>
      <c r="H2601" s="2">
        <v>0.0</v>
      </c>
      <c r="I2601" s="2">
        <v>0.0</v>
      </c>
      <c r="J2601" s="37">
        <v>0.0</v>
      </c>
      <c r="K2601" s="2">
        <v>0.0</v>
      </c>
      <c r="L2601" s="2">
        <v>0.0</v>
      </c>
      <c r="M2601" s="37">
        <v>0.0</v>
      </c>
    </row>
    <row r="2602" ht="14.25" customHeight="1">
      <c r="A2602" t="s">
        <v>2662</v>
      </c>
      <c r="B2602" t="s">
        <v>2193</v>
      </c>
      <c r="C2602" t="s">
        <v>62</v>
      </c>
      <c r="D2602" t="s">
        <v>63</v>
      </c>
      <c r="E2602">
        <v>10.0</v>
      </c>
      <c r="F2602">
        <v>11.2</v>
      </c>
      <c r="G2602" s="2" t="s">
        <v>64</v>
      </c>
      <c r="H2602" s="2">
        <v>0.0</v>
      </c>
      <c r="I2602" s="2">
        <v>0.0</v>
      </c>
      <c r="J2602" s="37">
        <v>0.0</v>
      </c>
      <c r="K2602" s="2">
        <v>0.0</v>
      </c>
      <c r="L2602" s="2">
        <v>0.0</v>
      </c>
      <c r="M2602" s="37">
        <v>0.0</v>
      </c>
    </row>
    <row r="2603" ht="14.25" customHeight="1">
      <c r="A2603" t="s">
        <v>2663</v>
      </c>
      <c r="B2603" t="s">
        <v>2193</v>
      </c>
      <c r="C2603" t="s">
        <v>62</v>
      </c>
      <c r="D2603" t="s">
        <v>63</v>
      </c>
      <c r="E2603">
        <v>3.4</v>
      </c>
      <c r="F2603">
        <v>3.7</v>
      </c>
      <c r="G2603" s="2" t="s">
        <v>64</v>
      </c>
      <c r="H2603" s="2">
        <v>0.0</v>
      </c>
      <c r="I2603" s="2">
        <v>0.0</v>
      </c>
      <c r="J2603" s="37">
        <v>0.0</v>
      </c>
      <c r="K2603" s="2">
        <v>0.0</v>
      </c>
      <c r="L2603" s="2">
        <v>0.0</v>
      </c>
      <c r="M2603" s="37">
        <v>0.0</v>
      </c>
    </row>
    <row r="2604" ht="14.25" customHeight="1">
      <c r="A2604" t="s">
        <v>2664</v>
      </c>
      <c r="B2604" t="s">
        <v>2193</v>
      </c>
      <c r="C2604" t="s">
        <v>62</v>
      </c>
      <c r="D2604" t="s">
        <v>63</v>
      </c>
      <c r="E2604">
        <v>3.4</v>
      </c>
      <c r="F2604">
        <v>3.7</v>
      </c>
      <c r="G2604" s="2" t="s">
        <v>64</v>
      </c>
      <c r="H2604" s="2">
        <v>0.0</v>
      </c>
      <c r="I2604" s="2">
        <v>0.0</v>
      </c>
      <c r="J2604" s="37">
        <v>0.0</v>
      </c>
      <c r="K2604" s="2">
        <v>0.0</v>
      </c>
      <c r="L2604" s="2">
        <v>0.0</v>
      </c>
      <c r="M2604" s="37">
        <v>0.0</v>
      </c>
    </row>
    <row r="2605" ht="14.25" customHeight="1">
      <c r="A2605" t="s">
        <v>2665</v>
      </c>
      <c r="B2605" t="s">
        <v>2193</v>
      </c>
      <c r="C2605" t="s">
        <v>62</v>
      </c>
      <c r="D2605" t="s">
        <v>63</v>
      </c>
      <c r="E2605">
        <v>3.4</v>
      </c>
      <c r="F2605">
        <v>3.7</v>
      </c>
      <c r="G2605" s="2" t="s">
        <v>64</v>
      </c>
      <c r="H2605" s="2">
        <v>0.0</v>
      </c>
      <c r="I2605" s="2">
        <v>0.0</v>
      </c>
      <c r="J2605" s="37">
        <v>0.0</v>
      </c>
      <c r="K2605" s="2">
        <v>0.0</v>
      </c>
      <c r="L2605" s="2">
        <v>0.0</v>
      </c>
      <c r="M2605" s="37">
        <v>0.0</v>
      </c>
    </row>
    <row r="2606" ht="14.25" customHeight="1">
      <c r="A2606" t="s">
        <v>2666</v>
      </c>
      <c r="B2606" t="s">
        <v>2193</v>
      </c>
      <c r="C2606" t="s">
        <v>62</v>
      </c>
      <c r="D2606" t="s">
        <v>63</v>
      </c>
      <c r="E2606">
        <v>3.4</v>
      </c>
      <c r="F2606">
        <v>3.7</v>
      </c>
      <c r="G2606" s="2" t="s">
        <v>64</v>
      </c>
      <c r="H2606" s="2">
        <v>0.0</v>
      </c>
      <c r="I2606" s="2">
        <v>0.0</v>
      </c>
      <c r="J2606" s="37">
        <v>0.0</v>
      </c>
      <c r="K2606" s="2">
        <v>0.0</v>
      </c>
      <c r="L2606" s="2">
        <v>0.0</v>
      </c>
      <c r="M2606" s="37">
        <v>0.0</v>
      </c>
    </row>
    <row r="2607" ht="14.25" customHeight="1">
      <c r="A2607" t="s">
        <v>2667</v>
      </c>
      <c r="B2607" t="s">
        <v>2193</v>
      </c>
      <c r="C2607" t="s">
        <v>62</v>
      </c>
      <c r="D2607" t="s">
        <v>63</v>
      </c>
      <c r="E2607">
        <v>7.1</v>
      </c>
      <c r="F2607">
        <v>8.0</v>
      </c>
      <c r="G2607" s="2" t="s">
        <v>67</v>
      </c>
      <c r="H2607" s="2">
        <v>22.0</v>
      </c>
      <c r="I2607" s="2">
        <v>-7.0</v>
      </c>
      <c r="J2607" s="37">
        <v>494.12</v>
      </c>
      <c r="K2607" s="2">
        <v>25.0</v>
      </c>
      <c r="L2607" s="2">
        <v>57.0</v>
      </c>
      <c r="M2607" s="37">
        <v>635.6</v>
      </c>
    </row>
    <row r="2608" ht="14.25" customHeight="1">
      <c r="A2608" t="s">
        <v>2668</v>
      </c>
      <c r="B2608" t="s">
        <v>2193</v>
      </c>
      <c r="C2608" t="s">
        <v>62</v>
      </c>
      <c r="D2608" t="s">
        <v>63</v>
      </c>
      <c r="E2608">
        <v>7.1</v>
      </c>
      <c r="F2608">
        <v>8.0</v>
      </c>
      <c r="G2608" s="2" t="s">
        <v>67</v>
      </c>
      <c r="H2608" s="2">
        <v>22.0</v>
      </c>
      <c r="I2608" s="2">
        <v>-7.0</v>
      </c>
      <c r="J2608" s="37">
        <v>494.12</v>
      </c>
      <c r="K2608" s="2">
        <v>25.0</v>
      </c>
      <c r="L2608" s="2">
        <v>57.0</v>
      </c>
      <c r="M2608" s="37">
        <v>635.6</v>
      </c>
    </row>
    <row r="2609" ht="14.25" customHeight="1">
      <c r="A2609" t="s">
        <v>2669</v>
      </c>
      <c r="B2609" t="s">
        <v>2193</v>
      </c>
      <c r="C2609" t="s">
        <v>62</v>
      </c>
      <c r="D2609" t="s">
        <v>63</v>
      </c>
      <c r="E2609">
        <v>7.1</v>
      </c>
      <c r="F2609">
        <v>8.0</v>
      </c>
      <c r="G2609" s="2" t="s">
        <v>67</v>
      </c>
      <c r="H2609" s="2">
        <v>22.0</v>
      </c>
      <c r="I2609" s="2">
        <v>-7.0</v>
      </c>
      <c r="J2609" s="37">
        <v>494.12</v>
      </c>
      <c r="K2609" s="2">
        <v>25.0</v>
      </c>
      <c r="L2609" s="2">
        <v>57.0</v>
      </c>
      <c r="M2609" s="37">
        <v>635.6</v>
      </c>
    </row>
    <row r="2610" ht="14.25" customHeight="1">
      <c r="A2610" t="s">
        <v>2670</v>
      </c>
      <c r="B2610" t="s">
        <v>2193</v>
      </c>
      <c r="C2610" t="s">
        <v>62</v>
      </c>
      <c r="D2610" t="s">
        <v>63</v>
      </c>
      <c r="E2610">
        <v>3.5</v>
      </c>
      <c r="F2610">
        <v>4.1</v>
      </c>
      <c r="G2610" s="2" t="s">
        <v>64</v>
      </c>
      <c r="H2610" s="2">
        <v>0.0</v>
      </c>
      <c r="I2610" s="2">
        <v>0.0</v>
      </c>
      <c r="J2610" s="37">
        <v>0.0</v>
      </c>
      <c r="K2610" s="2">
        <v>0.0</v>
      </c>
      <c r="L2610" s="2">
        <v>0.0</v>
      </c>
      <c r="M2610" s="37">
        <v>0.0</v>
      </c>
    </row>
    <row r="2611" ht="14.25" customHeight="1">
      <c r="A2611" t="s">
        <v>2671</v>
      </c>
      <c r="B2611" t="s">
        <v>2193</v>
      </c>
      <c r="C2611" t="s">
        <v>62</v>
      </c>
      <c r="D2611" t="s">
        <v>63</v>
      </c>
      <c r="E2611">
        <v>3.5</v>
      </c>
      <c r="F2611">
        <v>4.1</v>
      </c>
      <c r="G2611" s="2" t="s">
        <v>64</v>
      </c>
      <c r="H2611" s="2">
        <v>0.0</v>
      </c>
      <c r="I2611" s="2">
        <v>0.0</v>
      </c>
      <c r="J2611" s="37">
        <v>0.0</v>
      </c>
      <c r="K2611" s="2">
        <v>0.0</v>
      </c>
      <c r="L2611" s="2">
        <v>0.0</v>
      </c>
      <c r="M2611" s="37">
        <v>0.0</v>
      </c>
    </row>
    <row r="2612" ht="14.25" customHeight="1">
      <c r="A2612" t="s">
        <v>2672</v>
      </c>
      <c r="B2612" t="s">
        <v>2193</v>
      </c>
      <c r="C2612" t="s">
        <v>62</v>
      </c>
      <c r="D2612" t="s">
        <v>63</v>
      </c>
      <c r="E2612">
        <v>3.5</v>
      </c>
      <c r="F2612">
        <v>4.1</v>
      </c>
      <c r="G2612" s="2" t="s">
        <v>64</v>
      </c>
      <c r="H2612" s="2">
        <v>0.0</v>
      </c>
      <c r="I2612" s="2">
        <v>0.0</v>
      </c>
      <c r="J2612" s="37">
        <v>0.0</v>
      </c>
      <c r="K2612" s="2">
        <v>0.0</v>
      </c>
      <c r="L2612" s="2">
        <v>0.0</v>
      </c>
      <c r="M2612" s="37">
        <v>0.0</v>
      </c>
    </row>
    <row r="2613" ht="14.25" customHeight="1">
      <c r="A2613" t="s">
        <v>2673</v>
      </c>
      <c r="B2613" t="s">
        <v>2193</v>
      </c>
      <c r="C2613" t="s">
        <v>62</v>
      </c>
      <c r="D2613" t="s">
        <v>63</v>
      </c>
      <c r="E2613">
        <v>3.5</v>
      </c>
      <c r="F2613">
        <v>4.1</v>
      </c>
      <c r="G2613" s="2" t="s">
        <v>64</v>
      </c>
      <c r="H2613" s="2">
        <v>0.0</v>
      </c>
      <c r="I2613" s="2">
        <v>0.0</v>
      </c>
      <c r="J2613" s="37">
        <v>0.0</v>
      </c>
      <c r="K2613" s="2">
        <v>0.0</v>
      </c>
      <c r="L2613" s="2">
        <v>0.0</v>
      </c>
      <c r="M2613" s="37">
        <v>0.0</v>
      </c>
    </row>
    <row r="2614" ht="14.25" customHeight="1">
      <c r="A2614" t="s">
        <v>2674</v>
      </c>
      <c r="B2614" t="s">
        <v>2193</v>
      </c>
      <c r="C2614" t="s">
        <v>62</v>
      </c>
      <c r="D2614" t="s">
        <v>63</v>
      </c>
      <c r="E2614">
        <v>5.0</v>
      </c>
      <c r="F2614">
        <v>6.0</v>
      </c>
      <c r="G2614" s="2" t="s">
        <v>64</v>
      </c>
      <c r="H2614" s="2">
        <v>0.0</v>
      </c>
      <c r="I2614" s="2">
        <v>0.0</v>
      </c>
      <c r="J2614" s="37">
        <v>0.0</v>
      </c>
      <c r="K2614" s="2">
        <v>0.0</v>
      </c>
      <c r="L2614" s="2">
        <v>0.0</v>
      </c>
      <c r="M2614" s="37">
        <v>0.0</v>
      </c>
    </row>
    <row r="2615" ht="14.25" customHeight="1">
      <c r="A2615" t="s">
        <v>2675</v>
      </c>
      <c r="B2615" t="s">
        <v>2193</v>
      </c>
      <c r="C2615" t="s">
        <v>62</v>
      </c>
      <c r="D2615" t="s">
        <v>63</v>
      </c>
      <c r="E2615">
        <v>5.0</v>
      </c>
      <c r="F2615">
        <v>6.0</v>
      </c>
      <c r="G2615" s="2" t="s">
        <v>64</v>
      </c>
      <c r="H2615" s="2">
        <v>0.0</v>
      </c>
      <c r="I2615" s="2">
        <v>0.0</v>
      </c>
      <c r="J2615" s="37">
        <v>0.0</v>
      </c>
      <c r="K2615" s="2">
        <v>0.0</v>
      </c>
      <c r="L2615" s="2">
        <v>0.0</v>
      </c>
      <c r="M2615" s="37">
        <v>0.0</v>
      </c>
    </row>
    <row r="2616" ht="14.25" customHeight="1">
      <c r="A2616" t="s">
        <v>2676</v>
      </c>
      <c r="B2616" t="s">
        <v>2193</v>
      </c>
      <c r="C2616" t="s">
        <v>62</v>
      </c>
      <c r="D2616" t="s">
        <v>63</v>
      </c>
      <c r="E2616">
        <v>5.0</v>
      </c>
      <c r="F2616">
        <v>6.0</v>
      </c>
      <c r="G2616" s="2" t="s">
        <v>64</v>
      </c>
      <c r="H2616" s="2">
        <v>0.0</v>
      </c>
      <c r="I2616" s="2">
        <v>0.0</v>
      </c>
      <c r="J2616" s="37">
        <v>0.0</v>
      </c>
      <c r="K2616" s="2">
        <v>0.0</v>
      </c>
      <c r="L2616" s="2">
        <v>0.0</v>
      </c>
      <c r="M2616" s="37">
        <v>0.0</v>
      </c>
    </row>
    <row r="2617" ht="14.25" customHeight="1">
      <c r="A2617" t="s">
        <v>2677</v>
      </c>
      <c r="B2617" t="s">
        <v>2193</v>
      </c>
      <c r="C2617" t="s">
        <v>62</v>
      </c>
      <c r="D2617" t="s">
        <v>63</v>
      </c>
      <c r="E2617">
        <v>5.0</v>
      </c>
      <c r="F2617">
        <v>6.0</v>
      </c>
      <c r="G2617" s="2" t="s">
        <v>64</v>
      </c>
      <c r="H2617" s="2">
        <v>0.0</v>
      </c>
      <c r="I2617" s="2">
        <v>0.0</v>
      </c>
      <c r="J2617" s="37">
        <v>0.0</v>
      </c>
      <c r="K2617" s="2">
        <v>0.0</v>
      </c>
      <c r="L2617" s="2">
        <v>0.0</v>
      </c>
      <c r="M2617" s="37">
        <v>0.0</v>
      </c>
    </row>
    <row r="2618" ht="14.25" customHeight="1">
      <c r="A2618" t="s">
        <v>2678</v>
      </c>
      <c r="B2618" t="s">
        <v>2193</v>
      </c>
      <c r="C2618" t="s">
        <v>62</v>
      </c>
      <c r="D2618" t="s">
        <v>63</v>
      </c>
      <c r="E2618">
        <v>5.0</v>
      </c>
      <c r="F2618">
        <v>6.0</v>
      </c>
      <c r="G2618" s="2" t="s">
        <v>64</v>
      </c>
      <c r="H2618" s="2">
        <v>0.0</v>
      </c>
      <c r="I2618" s="2">
        <v>0.0</v>
      </c>
      <c r="J2618" s="37">
        <v>0.0</v>
      </c>
      <c r="K2618" s="2">
        <v>0.0</v>
      </c>
      <c r="L2618" s="2">
        <v>0.0</v>
      </c>
      <c r="M2618" s="37">
        <v>0.0</v>
      </c>
    </row>
    <row r="2619" ht="14.25" customHeight="1">
      <c r="A2619" t="s">
        <v>2679</v>
      </c>
      <c r="B2619" t="s">
        <v>2193</v>
      </c>
      <c r="C2619" t="s">
        <v>75</v>
      </c>
      <c r="D2619" t="s">
        <v>63</v>
      </c>
      <c r="E2619">
        <v>5.0</v>
      </c>
      <c r="F2619">
        <v>6.0</v>
      </c>
      <c r="G2619" s="2" t="s">
        <v>67</v>
      </c>
      <c r="H2619" s="2">
        <v>17.0</v>
      </c>
      <c r="I2619" s="2">
        <v>83.0</v>
      </c>
      <c r="J2619" s="37">
        <v>489.72</v>
      </c>
      <c r="K2619" s="2">
        <v>19.0</v>
      </c>
      <c r="L2619" s="2">
        <v>135.0</v>
      </c>
      <c r="M2619" s="37">
        <v>602.24</v>
      </c>
    </row>
    <row r="2620" ht="14.25" customHeight="1">
      <c r="A2620" t="s">
        <v>2680</v>
      </c>
      <c r="B2620" t="s">
        <v>2193</v>
      </c>
      <c r="C2620" t="s">
        <v>75</v>
      </c>
      <c r="D2620" t="s">
        <v>63</v>
      </c>
      <c r="E2620">
        <v>5.0</v>
      </c>
      <c r="F2620">
        <v>6.0</v>
      </c>
      <c r="G2620" s="2" t="s">
        <v>67</v>
      </c>
      <c r="H2620" s="2">
        <v>17.0</v>
      </c>
      <c r="I2620" s="2">
        <v>83.0</v>
      </c>
      <c r="J2620" s="37">
        <v>489.72</v>
      </c>
      <c r="K2620" s="2">
        <v>19.0</v>
      </c>
      <c r="L2620" s="2">
        <v>135.0</v>
      </c>
      <c r="M2620" s="37">
        <v>602.24</v>
      </c>
    </row>
    <row r="2621" ht="14.25" customHeight="1">
      <c r="A2621" t="s">
        <v>2681</v>
      </c>
      <c r="B2621" t="s">
        <v>2193</v>
      </c>
      <c r="C2621" t="s">
        <v>75</v>
      </c>
      <c r="D2621" t="s">
        <v>63</v>
      </c>
      <c r="E2621">
        <v>5.0</v>
      </c>
      <c r="F2621">
        <v>6.0</v>
      </c>
      <c r="G2621" s="2" t="s">
        <v>67</v>
      </c>
      <c r="H2621" s="2">
        <v>17.0</v>
      </c>
      <c r="I2621" s="2">
        <v>83.0</v>
      </c>
      <c r="J2621" s="37">
        <v>489.72</v>
      </c>
      <c r="K2621" s="2">
        <v>19.0</v>
      </c>
      <c r="L2621" s="2">
        <v>135.0</v>
      </c>
      <c r="M2621" s="37">
        <v>602.24</v>
      </c>
    </row>
    <row r="2622" ht="14.25" customHeight="1">
      <c r="A2622" t="s">
        <v>2682</v>
      </c>
      <c r="B2622" t="s">
        <v>2193</v>
      </c>
      <c r="C2622" t="s">
        <v>75</v>
      </c>
      <c r="D2622" t="s">
        <v>63</v>
      </c>
      <c r="E2622">
        <v>5.0</v>
      </c>
      <c r="F2622">
        <v>6.0</v>
      </c>
      <c r="G2622" s="2" t="s">
        <v>67</v>
      </c>
      <c r="H2622" s="2">
        <v>17.0</v>
      </c>
      <c r="I2622" s="2">
        <v>83.0</v>
      </c>
      <c r="J2622" s="37">
        <v>489.72</v>
      </c>
      <c r="K2622" s="2">
        <v>19.0</v>
      </c>
      <c r="L2622" s="2">
        <v>135.0</v>
      </c>
      <c r="M2622" s="37">
        <v>602.24</v>
      </c>
    </row>
    <row r="2623" ht="14.25" customHeight="1">
      <c r="A2623" t="s">
        <v>2683</v>
      </c>
      <c r="B2623" t="s">
        <v>2193</v>
      </c>
      <c r="C2623" t="s">
        <v>75</v>
      </c>
      <c r="D2623" t="s">
        <v>63</v>
      </c>
      <c r="E2623">
        <v>5.0</v>
      </c>
      <c r="F2623">
        <v>6.0</v>
      </c>
      <c r="G2623" s="2" t="s">
        <v>67</v>
      </c>
      <c r="H2623" s="2">
        <v>17.0</v>
      </c>
      <c r="I2623" s="2">
        <v>83.0</v>
      </c>
      <c r="J2623" s="37">
        <v>489.72</v>
      </c>
      <c r="K2623" s="2">
        <v>19.0</v>
      </c>
      <c r="L2623" s="2">
        <v>135.0</v>
      </c>
      <c r="M2623" s="37">
        <v>602.24</v>
      </c>
    </row>
    <row r="2624" ht="14.25" customHeight="1">
      <c r="A2624" t="s">
        <v>2684</v>
      </c>
      <c r="B2624" t="s">
        <v>2193</v>
      </c>
      <c r="C2624" t="s">
        <v>75</v>
      </c>
      <c r="D2624" t="s">
        <v>63</v>
      </c>
      <c r="E2624">
        <v>6.0</v>
      </c>
      <c r="F2624">
        <v>7.0</v>
      </c>
      <c r="G2624" s="2" t="s">
        <v>64</v>
      </c>
      <c r="H2624" s="2">
        <v>0.0</v>
      </c>
      <c r="I2624" s="2">
        <v>0.0</v>
      </c>
      <c r="J2624" s="37">
        <v>0.0</v>
      </c>
      <c r="K2624" s="2">
        <v>0.0</v>
      </c>
      <c r="L2624" s="2">
        <v>0.0</v>
      </c>
      <c r="M2624" s="37">
        <v>0.0</v>
      </c>
    </row>
    <row r="2625" ht="14.25" customHeight="1">
      <c r="A2625" t="s">
        <v>2685</v>
      </c>
      <c r="B2625" t="s">
        <v>2193</v>
      </c>
      <c r="C2625" t="s">
        <v>75</v>
      </c>
      <c r="D2625" t="s">
        <v>63</v>
      </c>
      <c r="E2625">
        <v>6.0</v>
      </c>
      <c r="F2625">
        <v>7.0</v>
      </c>
      <c r="G2625" s="2" t="s">
        <v>64</v>
      </c>
      <c r="H2625" s="2">
        <v>0.0</v>
      </c>
      <c r="I2625" s="2">
        <v>0.0</v>
      </c>
      <c r="J2625" s="37">
        <v>0.0</v>
      </c>
      <c r="K2625" s="2">
        <v>0.0</v>
      </c>
      <c r="L2625" s="2">
        <v>0.0</v>
      </c>
      <c r="M2625" s="37">
        <v>0.0</v>
      </c>
    </row>
    <row r="2626" ht="14.25" customHeight="1">
      <c r="A2626" t="s">
        <v>2686</v>
      </c>
      <c r="B2626" t="s">
        <v>2193</v>
      </c>
      <c r="C2626" t="s">
        <v>75</v>
      </c>
      <c r="D2626" t="s">
        <v>63</v>
      </c>
      <c r="E2626">
        <v>6.0</v>
      </c>
      <c r="F2626">
        <v>7.0</v>
      </c>
      <c r="G2626" s="2" t="s">
        <v>64</v>
      </c>
      <c r="H2626" s="2">
        <v>0.0</v>
      </c>
      <c r="I2626" s="2">
        <v>0.0</v>
      </c>
      <c r="J2626" s="37">
        <v>0.0</v>
      </c>
      <c r="K2626" s="2">
        <v>0.0</v>
      </c>
      <c r="L2626" s="2">
        <v>0.0</v>
      </c>
      <c r="M2626" s="37">
        <v>0.0</v>
      </c>
    </row>
    <row r="2627" ht="14.25" customHeight="1">
      <c r="A2627" t="s">
        <v>2687</v>
      </c>
      <c r="B2627" t="s">
        <v>2193</v>
      </c>
      <c r="C2627" t="s">
        <v>75</v>
      </c>
      <c r="D2627" t="s">
        <v>63</v>
      </c>
      <c r="E2627">
        <v>6.0</v>
      </c>
      <c r="F2627">
        <v>7.0</v>
      </c>
      <c r="G2627" s="2" t="s">
        <v>64</v>
      </c>
      <c r="H2627" s="2">
        <v>0.0</v>
      </c>
      <c r="I2627" s="2">
        <v>0.0</v>
      </c>
      <c r="J2627" s="37">
        <v>0.0</v>
      </c>
      <c r="K2627" s="2">
        <v>0.0</v>
      </c>
      <c r="L2627" s="2">
        <v>0.0</v>
      </c>
      <c r="M2627" s="37">
        <v>0.0</v>
      </c>
    </row>
    <row r="2628" ht="14.25" customHeight="1">
      <c r="A2628" t="s">
        <v>2688</v>
      </c>
      <c r="B2628" t="s">
        <v>2193</v>
      </c>
      <c r="C2628" t="s">
        <v>75</v>
      </c>
      <c r="D2628" t="s">
        <v>63</v>
      </c>
      <c r="E2628">
        <v>6.0</v>
      </c>
      <c r="F2628">
        <v>7.0</v>
      </c>
      <c r="G2628" s="2" t="s">
        <v>64</v>
      </c>
      <c r="H2628" s="2">
        <v>0.0</v>
      </c>
      <c r="I2628" s="2">
        <v>0.0</v>
      </c>
      <c r="J2628" s="37">
        <v>0.0</v>
      </c>
      <c r="K2628" s="2">
        <v>0.0</v>
      </c>
      <c r="L2628" s="2">
        <v>0.0</v>
      </c>
      <c r="M2628" s="37">
        <v>0.0</v>
      </c>
    </row>
    <row r="2629" ht="14.25" customHeight="1">
      <c r="A2629" t="s">
        <v>2689</v>
      </c>
      <c r="B2629" t="s">
        <v>2193</v>
      </c>
      <c r="C2629" t="s">
        <v>75</v>
      </c>
      <c r="D2629" t="s">
        <v>63</v>
      </c>
      <c r="E2629">
        <v>6.0</v>
      </c>
      <c r="F2629">
        <v>7.0</v>
      </c>
      <c r="G2629" s="2" t="s">
        <v>64</v>
      </c>
      <c r="H2629" s="2">
        <v>0.0</v>
      </c>
      <c r="I2629" s="2">
        <v>0.0</v>
      </c>
      <c r="J2629" s="37">
        <v>0.0</v>
      </c>
      <c r="K2629" s="2">
        <v>0.0</v>
      </c>
      <c r="L2629" s="2">
        <v>0.0</v>
      </c>
      <c r="M2629" s="37">
        <v>0.0</v>
      </c>
    </row>
    <row r="2630" ht="14.25" customHeight="1">
      <c r="A2630" t="s">
        <v>2690</v>
      </c>
      <c r="B2630" t="s">
        <v>2193</v>
      </c>
      <c r="C2630" t="s">
        <v>75</v>
      </c>
      <c r="D2630" t="s">
        <v>63</v>
      </c>
      <c r="E2630">
        <v>6.0</v>
      </c>
      <c r="F2630">
        <v>7.0</v>
      </c>
      <c r="G2630" s="2" t="s">
        <v>64</v>
      </c>
      <c r="H2630" s="2">
        <v>0.0</v>
      </c>
      <c r="I2630" s="2">
        <v>0.0</v>
      </c>
      <c r="J2630" s="37">
        <v>0.0</v>
      </c>
      <c r="K2630" s="2">
        <v>0.0</v>
      </c>
      <c r="L2630" s="2">
        <v>0.0</v>
      </c>
      <c r="M2630" s="37">
        <v>0.0</v>
      </c>
    </row>
    <row r="2631" ht="14.25" customHeight="1">
      <c r="A2631" t="s">
        <v>2691</v>
      </c>
      <c r="B2631" t="s">
        <v>2193</v>
      </c>
      <c r="C2631" t="s">
        <v>62</v>
      </c>
      <c r="D2631" t="s">
        <v>63</v>
      </c>
      <c r="E2631">
        <v>6.1</v>
      </c>
      <c r="F2631">
        <v>6.8</v>
      </c>
      <c r="G2631" s="2" t="s">
        <v>67</v>
      </c>
      <c r="H2631" s="2">
        <v>18.0</v>
      </c>
      <c r="I2631" s="2">
        <v>57.0</v>
      </c>
      <c r="J2631" s="37">
        <v>478.38000000000005</v>
      </c>
      <c r="K2631" s="2">
        <v>21.0</v>
      </c>
      <c r="L2631" s="2">
        <v>113.0</v>
      </c>
      <c r="M2631" s="37">
        <v>618.5600000000001</v>
      </c>
    </row>
    <row r="2632" ht="14.25" customHeight="1">
      <c r="A2632" t="s">
        <v>2692</v>
      </c>
      <c r="B2632" t="s">
        <v>2193</v>
      </c>
      <c r="C2632" t="s">
        <v>62</v>
      </c>
      <c r="D2632" t="s">
        <v>63</v>
      </c>
      <c r="E2632">
        <v>6.1</v>
      </c>
      <c r="F2632">
        <v>6.8</v>
      </c>
      <c r="G2632" s="2" t="s">
        <v>67</v>
      </c>
      <c r="H2632" s="2">
        <v>18.0</v>
      </c>
      <c r="I2632" s="2">
        <v>57.0</v>
      </c>
      <c r="J2632" s="37">
        <v>478.38000000000005</v>
      </c>
      <c r="K2632" s="2">
        <v>21.0</v>
      </c>
      <c r="L2632" s="2">
        <v>113.0</v>
      </c>
      <c r="M2632" s="37">
        <v>618.5600000000001</v>
      </c>
    </row>
    <row r="2633" ht="14.25" customHeight="1">
      <c r="A2633" t="s">
        <v>2693</v>
      </c>
      <c r="B2633" t="s">
        <v>2193</v>
      </c>
      <c r="C2633" t="s">
        <v>62</v>
      </c>
      <c r="D2633" t="s">
        <v>63</v>
      </c>
      <c r="E2633">
        <v>6.1</v>
      </c>
      <c r="F2633">
        <v>6.8</v>
      </c>
      <c r="G2633" s="2" t="s">
        <v>67</v>
      </c>
      <c r="H2633" s="2">
        <v>18.0</v>
      </c>
      <c r="I2633" s="2">
        <v>57.0</v>
      </c>
      <c r="J2633" s="37">
        <v>478.38000000000005</v>
      </c>
      <c r="K2633" s="2">
        <v>21.0</v>
      </c>
      <c r="L2633" s="2">
        <v>113.0</v>
      </c>
      <c r="M2633" s="37">
        <v>618.5600000000001</v>
      </c>
    </row>
    <row r="2634" ht="14.25" customHeight="1">
      <c r="A2634" t="s">
        <v>2694</v>
      </c>
      <c r="B2634" t="s">
        <v>2193</v>
      </c>
      <c r="C2634" t="s">
        <v>62</v>
      </c>
      <c r="D2634" t="s">
        <v>63</v>
      </c>
      <c r="E2634">
        <v>6.1</v>
      </c>
      <c r="F2634">
        <v>6.8</v>
      </c>
      <c r="G2634" s="2" t="s">
        <v>67</v>
      </c>
      <c r="H2634" s="2">
        <v>18.0</v>
      </c>
      <c r="I2634" s="2">
        <v>57.0</v>
      </c>
      <c r="J2634" s="37">
        <v>478.38000000000005</v>
      </c>
      <c r="K2634" s="2">
        <v>21.0</v>
      </c>
      <c r="L2634" s="2">
        <v>113.0</v>
      </c>
      <c r="M2634" s="37">
        <v>618.5600000000001</v>
      </c>
    </row>
    <row r="2635" ht="14.25" customHeight="1">
      <c r="A2635" t="s">
        <v>2695</v>
      </c>
      <c r="B2635" t="s">
        <v>2193</v>
      </c>
      <c r="C2635" t="s">
        <v>62</v>
      </c>
      <c r="D2635" t="s">
        <v>63</v>
      </c>
      <c r="E2635">
        <v>5.0</v>
      </c>
      <c r="F2635">
        <v>5.0</v>
      </c>
      <c r="G2635" s="2" t="s">
        <v>64</v>
      </c>
      <c r="H2635" s="2">
        <v>0.0</v>
      </c>
      <c r="I2635" s="2">
        <v>0.0</v>
      </c>
      <c r="J2635" s="37">
        <v>0.0</v>
      </c>
      <c r="K2635" s="2">
        <v>0.0</v>
      </c>
      <c r="L2635" s="2">
        <v>0.0</v>
      </c>
      <c r="M2635" s="37">
        <v>0.0</v>
      </c>
    </row>
    <row r="2636" ht="14.25" customHeight="1">
      <c r="A2636" t="s">
        <v>2696</v>
      </c>
      <c r="B2636" t="s">
        <v>2193</v>
      </c>
      <c r="C2636" t="s">
        <v>62</v>
      </c>
      <c r="D2636" t="s">
        <v>63</v>
      </c>
      <c r="E2636">
        <v>5.0</v>
      </c>
      <c r="F2636">
        <v>5.0</v>
      </c>
      <c r="G2636" s="2" t="s">
        <v>64</v>
      </c>
      <c r="H2636" s="2">
        <v>0.0</v>
      </c>
      <c r="I2636" s="2">
        <v>0.0</v>
      </c>
      <c r="J2636" s="37">
        <v>0.0</v>
      </c>
      <c r="K2636" s="2">
        <v>0.0</v>
      </c>
      <c r="L2636" s="2">
        <v>0.0</v>
      </c>
      <c r="M2636" s="37">
        <v>0.0</v>
      </c>
    </row>
    <row r="2637" ht="14.25" customHeight="1">
      <c r="A2637" t="s">
        <v>2697</v>
      </c>
      <c r="B2637" t="s">
        <v>2193</v>
      </c>
      <c r="C2637" t="s">
        <v>62</v>
      </c>
      <c r="D2637" t="s">
        <v>63</v>
      </c>
      <c r="E2637">
        <v>5.0</v>
      </c>
      <c r="F2637">
        <v>5.0</v>
      </c>
      <c r="G2637" s="2" t="s">
        <v>64</v>
      </c>
      <c r="H2637" s="2">
        <v>0.0</v>
      </c>
      <c r="I2637" s="2">
        <v>0.0</v>
      </c>
      <c r="J2637" s="37">
        <v>0.0</v>
      </c>
      <c r="K2637" s="2">
        <v>0.0</v>
      </c>
      <c r="L2637" s="2">
        <v>0.0</v>
      </c>
      <c r="M2637" s="37">
        <v>0.0</v>
      </c>
    </row>
    <row r="2638" ht="14.25" customHeight="1">
      <c r="A2638" t="s">
        <v>2698</v>
      </c>
      <c r="B2638" t="s">
        <v>2193</v>
      </c>
      <c r="C2638" t="s">
        <v>62</v>
      </c>
      <c r="D2638" t="s">
        <v>63</v>
      </c>
      <c r="E2638">
        <v>5.0</v>
      </c>
      <c r="F2638">
        <v>5.0</v>
      </c>
      <c r="G2638" s="2" t="s">
        <v>64</v>
      </c>
      <c r="H2638" s="2">
        <v>0.0</v>
      </c>
      <c r="I2638" s="2">
        <v>0.0</v>
      </c>
      <c r="J2638" s="37">
        <v>0.0</v>
      </c>
      <c r="K2638" s="2">
        <v>0.0</v>
      </c>
      <c r="L2638" s="2">
        <v>0.0</v>
      </c>
      <c r="M2638" s="37">
        <v>0.0</v>
      </c>
    </row>
    <row r="2639" ht="14.25" customHeight="1">
      <c r="A2639" t="s">
        <v>2699</v>
      </c>
      <c r="B2639" t="s">
        <v>2193</v>
      </c>
      <c r="C2639" t="s">
        <v>62</v>
      </c>
      <c r="D2639" t="s">
        <v>63</v>
      </c>
      <c r="E2639">
        <v>5.0</v>
      </c>
      <c r="F2639">
        <v>5.0</v>
      </c>
      <c r="G2639" s="2" t="s">
        <v>64</v>
      </c>
      <c r="H2639" s="2">
        <v>0.0</v>
      </c>
      <c r="I2639" s="2">
        <v>0.0</v>
      </c>
      <c r="J2639" s="37">
        <v>0.0</v>
      </c>
      <c r="K2639" s="2">
        <v>0.0</v>
      </c>
      <c r="L2639" s="2">
        <v>0.0</v>
      </c>
      <c r="M2639" s="37">
        <v>0.0</v>
      </c>
    </row>
    <row r="2640" ht="14.25" customHeight="1">
      <c r="A2640" t="s">
        <v>2700</v>
      </c>
      <c r="B2640" t="s">
        <v>2193</v>
      </c>
      <c r="C2640" t="s">
        <v>62</v>
      </c>
      <c r="D2640" t="s">
        <v>63</v>
      </c>
      <c r="E2640">
        <v>3.5</v>
      </c>
      <c r="F2640">
        <v>4.0</v>
      </c>
      <c r="G2640" s="2" t="s">
        <v>64</v>
      </c>
      <c r="H2640" s="2">
        <v>0.0</v>
      </c>
      <c r="I2640" s="2">
        <v>0.0</v>
      </c>
      <c r="J2640" s="37">
        <v>0.0</v>
      </c>
      <c r="K2640" s="2">
        <v>0.0</v>
      </c>
      <c r="L2640" s="2">
        <v>0.0</v>
      </c>
      <c r="M2640" s="37">
        <v>0.0</v>
      </c>
    </row>
    <row r="2641" ht="14.25" customHeight="1">
      <c r="A2641" t="s">
        <v>2701</v>
      </c>
      <c r="B2641" t="s">
        <v>2193</v>
      </c>
      <c r="C2641" t="s">
        <v>62</v>
      </c>
      <c r="D2641" t="s">
        <v>63</v>
      </c>
      <c r="E2641">
        <v>3.5</v>
      </c>
      <c r="F2641">
        <v>4.0</v>
      </c>
      <c r="G2641" s="2" t="s">
        <v>64</v>
      </c>
      <c r="H2641" s="2">
        <v>0.0</v>
      </c>
      <c r="I2641" s="2">
        <v>0.0</v>
      </c>
      <c r="J2641" s="37">
        <v>0.0</v>
      </c>
      <c r="K2641" s="2">
        <v>0.0</v>
      </c>
      <c r="L2641" s="2">
        <v>0.0</v>
      </c>
      <c r="M2641" s="37">
        <v>0.0</v>
      </c>
    </row>
    <row r="2642" ht="14.25" customHeight="1">
      <c r="A2642" t="s">
        <v>2702</v>
      </c>
      <c r="B2642" t="s">
        <v>2193</v>
      </c>
      <c r="C2642" t="s">
        <v>62</v>
      </c>
      <c r="D2642" t="s">
        <v>63</v>
      </c>
      <c r="E2642">
        <v>3.5</v>
      </c>
      <c r="F2642">
        <v>4.0</v>
      </c>
      <c r="G2642" s="2" t="s">
        <v>64</v>
      </c>
      <c r="H2642" s="2">
        <v>0.0</v>
      </c>
      <c r="I2642" s="2">
        <v>0.0</v>
      </c>
      <c r="J2642" s="37">
        <v>0.0</v>
      </c>
      <c r="K2642" s="2">
        <v>0.0</v>
      </c>
      <c r="L2642" s="2">
        <v>0.0</v>
      </c>
      <c r="M2642" s="37">
        <v>0.0</v>
      </c>
    </row>
    <row r="2643" ht="14.25" customHeight="1">
      <c r="A2643" t="s">
        <v>2703</v>
      </c>
      <c r="B2643" t="s">
        <v>2193</v>
      </c>
      <c r="C2643" t="s">
        <v>62</v>
      </c>
      <c r="D2643" t="s">
        <v>63</v>
      </c>
      <c r="E2643">
        <v>3.5</v>
      </c>
      <c r="F2643">
        <v>4.0</v>
      </c>
      <c r="G2643" s="2" t="s">
        <v>64</v>
      </c>
      <c r="H2643" s="2">
        <v>0.0</v>
      </c>
      <c r="I2643" s="2">
        <v>0.0</v>
      </c>
      <c r="J2643" s="37">
        <v>0.0</v>
      </c>
      <c r="K2643" s="2">
        <v>0.0</v>
      </c>
      <c r="L2643" s="2">
        <v>0.0</v>
      </c>
      <c r="M2643" s="37">
        <v>0.0</v>
      </c>
    </row>
    <row r="2644" ht="14.25" customHeight="1">
      <c r="A2644" t="s">
        <v>2704</v>
      </c>
      <c r="B2644" t="s">
        <v>2193</v>
      </c>
      <c r="C2644" t="s">
        <v>62</v>
      </c>
      <c r="D2644" t="s">
        <v>63</v>
      </c>
      <c r="E2644">
        <v>3.5</v>
      </c>
      <c r="F2644">
        <v>4.0</v>
      </c>
      <c r="G2644" s="2" t="s">
        <v>64</v>
      </c>
      <c r="H2644" s="2">
        <v>0.0</v>
      </c>
      <c r="I2644" s="2">
        <v>0.0</v>
      </c>
      <c r="J2644" s="37">
        <v>0.0</v>
      </c>
      <c r="K2644" s="2">
        <v>0.0</v>
      </c>
      <c r="L2644" s="2">
        <v>0.0</v>
      </c>
      <c r="M2644" s="37">
        <v>0.0</v>
      </c>
    </row>
    <row r="2645" ht="14.25" customHeight="1">
      <c r="A2645" t="s">
        <v>2705</v>
      </c>
      <c r="B2645" t="s">
        <v>2193</v>
      </c>
      <c r="C2645" t="s">
        <v>62</v>
      </c>
      <c r="D2645" t="s">
        <v>63</v>
      </c>
      <c r="E2645">
        <v>3.5</v>
      </c>
      <c r="F2645">
        <v>4.0</v>
      </c>
      <c r="G2645" s="2" t="s">
        <v>67</v>
      </c>
      <c r="H2645" s="2">
        <v>10.0</v>
      </c>
      <c r="I2645" s="2">
        <v>40.0</v>
      </c>
      <c r="J2645" s="37">
        <v>276.6</v>
      </c>
      <c r="K2645" s="2">
        <v>12.0</v>
      </c>
      <c r="L2645" s="2">
        <v>68.0</v>
      </c>
      <c r="M2645" s="37">
        <v>357.91999999999996</v>
      </c>
    </row>
    <row r="2646" ht="14.25" customHeight="1">
      <c r="A2646" t="s">
        <v>2706</v>
      </c>
      <c r="B2646" t="s">
        <v>2193</v>
      </c>
      <c r="C2646" t="s">
        <v>62</v>
      </c>
      <c r="D2646" t="s">
        <v>63</v>
      </c>
      <c r="E2646">
        <v>3.5</v>
      </c>
      <c r="F2646">
        <v>4.0</v>
      </c>
      <c r="G2646" s="2" t="s">
        <v>67</v>
      </c>
      <c r="H2646" s="2">
        <v>10.0</v>
      </c>
      <c r="I2646" s="2">
        <v>40.0</v>
      </c>
      <c r="J2646" s="37">
        <v>276.6</v>
      </c>
      <c r="K2646" s="2">
        <v>12.0</v>
      </c>
      <c r="L2646" s="2">
        <v>68.0</v>
      </c>
      <c r="M2646" s="37">
        <v>357.91999999999996</v>
      </c>
    </row>
    <row r="2647" ht="14.25" customHeight="1">
      <c r="A2647" t="s">
        <v>2707</v>
      </c>
      <c r="B2647" t="s">
        <v>2193</v>
      </c>
      <c r="C2647" t="s">
        <v>62</v>
      </c>
      <c r="D2647" t="s">
        <v>63</v>
      </c>
      <c r="E2647">
        <v>3.5</v>
      </c>
      <c r="F2647">
        <v>4.0</v>
      </c>
      <c r="G2647" s="2" t="s">
        <v>67</v>
      </c>
      <c r="H2647" s="2">
        <v>10.0</v>
      </c>
      <c r="I2647" s="2">
        <v>40.0</v>
      </c>
      <c r="J2647" s="37">
        <v>276.6</v>
      </c>
      <c r="K2647" s="2">
        <v>12.0</v>
      </c>
      <c r="L2647" s="2">
        <v>68.0</v>
      </c>
      <c r="M2647" s="37">
        <v>357.91999999999996</v>
      </c>
    </row>
    <row r="2648" ht="14.25" customHeight="1">
      <c r="A2648" t="s">
        <v>2708</v>
      </c>
      <c r="B2648" t="s">
        <v>2193</v>
      </c>
      <c r="C2648" t="s">
        <v>62</v>
      </c>
      <c r="D2648" t="s">
        <v>63</v>
      </c>
      <c r="E2648">
        <v>3.5</v>
      </c>
      <c r="F2648">
        <v>4.0</v>
      </c>
      <c r="G2648" s="2" t="s">
        <v>67</v>
      </c>
      <c r="H2648" s="2">
        <v>10.0</v>
      </c>
      <c r="I2648" s="2">
        <v>40.0</v>
      </c>
      <c r="J2648" s="37">
        <v>276.6</v>
      </c>
      <c r="K2648" s="2">
        <v>12.0</v>
      </c>
      <c r="L2648" s="2">
        <v>68.0</v>
      </c>
      <c r="M2648" s="37">
        <v>357.91999999999996</v>
      </c>
    </row>
    <row r="2649" ht="14.25" customHeight="1">
      <c r="A2649" t="s">
        <v>2709</v>
      </c>
      <c r="B2649" t="s">
        <v>2193</v>
      </c>
      <c r="C2649" t="s">
        <v>62</v>
      </c>
      <c r="D2649" t="s">
        <v>63</v>
      </c>
      <c r="E2649">
        <v>3.5</v>
      </c>
      <c r="F2649">
        <v>4.0</v>
      </c>
      <c r="G2649" s="2" t="s">
        <v>67</v>
      </c>
      <c r="H2649" s="2">
        <v>10.0</v>
      </c>
      <c r="I2649" s="2">
        <v>40.0</v>
      </c>
      <c r="J2649" s="37">
        <v>276.6</v>
      </c>
      <c r="K2649" s="2">
        <v>12.0</v>
      </c>
      <c r="L2649" s="2">
        <v>68.0</v>
      </c>
      <c r="M2649" s="37">
        <v>357.91999999999996</v>
      </c>
    </row>
    <row r="2650" ht="14.25" customHeight="1">
      <c r="A2650" t="s">
        <v>2710</v>
      </c>
      <c r="B2650" t="s">
        <v>2193</v>
      </c>
      <c r="C2650" t="s">
        <v>62</v>
      </c>
      <c r="D2650" t="s">
        <v>63</v>
      </c>
      <c r="E2650">
        <v>3.5</v>
      </c>
      <c r="F2650">
        <v>4.0</v>
      </c>
      <c r="G2650" s="2" t="s">
        <v>67</v>
      </c>
      <c r="H2650" s="2">
        <v>10.0</v>
      </c>
      <c r="I2650" s="2">
        <v>40.0</v>
      </c>
      <c r="J2650" s="37">
        <v>276.6</v>
      </c>
      <c r="K2650" s="2">
        <v>12.0</v>
      </c>
      <c r="L2650" s="2">
        <v>68.0</v>
      </c>
      <c r="M2650" s="37">
        <v>357.91999999999996</v>
      </c>
    </row>
    <row r="2651" ht="14.25" customHeight="1">
      <c r="A2651" t="s">
        <v>2711</v>
      </c>
      <c r="B2651" t="s">
        <v>2193</v>
      </c>
      <c r="C2651" t="s">
        <v>62</v>
      </c>
      <c r="D2651" t="s">
        <v>63</v>
      </c>
      <c r="E2651">
        <v>3.5</v>
      </c>
      <c r="F2651">
        <v>4.0</v>
      </c>
      <c r="G2651" s="2" t="s">
        <v>67</v>
      </c>
      <c r="H2651" s="2">
        <v>10.0</v>
      </c>
      <c r="I2651" s="2">
        <v>40.0</v>
      </c>
      <c r="J2651" s="37">
        <v>276.6</v>
      </c>
      <c r="K2651" s="2">
        <v>12.0</v>
      </c>
      <c r="L2651" s="2">
        <v>68.0</v>
      </c>
      <c r="M2651" s="37">
        <v>357.91999999999996</v>
      </c>
    </row>
    <row r="2652" ht="14.25" customHeight="1">
      <c r="A2652" t="s">
        <v>2712</v>
      </c>
      <c r="B2652" t="s">
        <v>2193</v>
      </c>
      <c r="C2652" t="s">
        <v>62</v>
      </c>
      <c r="D2652" t="s">
        <v>63</v>
      </c>
      <c r="E2652">
        <v>2.5</v>
      </c>
      <c r="F2652">
        <v>3.2</v>
      </c>
      <c r="G2652" s="2" t="s">
        <v>67</v>
      </c>
      <c r="H2652" s="2">
        <v>8.0</v>
      </c>
      <c r="I2652" s="2">
        <v>57.0</v>
      </c>
      <c r="J2652" s="37">
        <v>253.78000000000003</v>
      </c>
      <c r="K2652" s="2">
        <v>9.0</v>
      </c>
      <c r="L2652" s="2">
        <v>77.0</v>
      </c>
      <c r="M2652" s="37">
        <v>302.24</v>
      </c>
    </row>
    <row r="2653" ht="14.25" customHeight="1">
      <c r="A2653" t="s">
        <v>2713</v>
      </c>
      <c r="B2653" t="s">
        <v>2193</v>
      </c>
      <c r="C2653" t="s">
        <v>62</v>
      </c>
      <c r="D2653" t="s">
        <v>63</v>
      </c>
      <c r="E2653">
        <v>2.5</v>
      </c>
      <c r="F2653">
        <v>3.2</v>
      </c>
      <c r="G2653" s="2" t="s">
        <v>67</v>
      </c>
      <c r="H2653" s="2">
        <v>8.0</v>
      </c>
      <c r="I2653" s="2">
        <v>57.0</v>
      </c>
      <c r="J2653" s="37">
        <v>253.78000000000003</v>
      </c>
      <c r="K2653" s="2">
        <v>9.0</v>
      </c>
      <c r="L2653" s="2">
        <v>77.0</v>
      </c>
      <c r="M2653" s="37">
        <v>302.24</v>
      </c>
    </row>
    <row r="2654" ht="14.25" customHeight="1">
      <c r="A2654" t="s">
        <v>2714</v>
      </c>
      <c r="B2654" t="s">
        <v>2193</v>
      </c>
      <c r="C2654" t="s">
        <v>62</v>
      </c>
      <c r="D2654" t="s">
        <v>63</v>
      </c>
      <c r="E2654">
        <v>2.5</v>
      </c>
      <c r="F2654">
        <v>3.2</v>
      </c>
      <c r="G2654" s="2" t="s">
        <v>67</v>
      </c>
      <c r="H2654" s="2">
        <v>8.0</v>
      </c>
      <c r="I2654" s="2">
        <v>57.0</v>
      </c>
      <c r="J2654" s="37">
        <v>253.78000000000003</v>
      </c>
      <c r="K2654" s="2">
        <v>9.0</v>
      </c>
      <c r="L2654" s="2">
        <v>77.0</v>
      </c>
      <c r="M2654" s="37">
        <v>302.24</v>
      </c>
    </row>
    <row r="2655" ht="14.25" customHeight="1">
      <c r="A2655" t="s">
        <v>2715</v>
      </c>
      <c r="B2655" t="s">
        <v>2193</v>
      </c>
      <c r="C2655" t="s">
        <v>62</v>
      </c>
      <c r="D2655" t="s">
        <v>63</v>
      </c>
      <c r="E2655">
        <v>2.5</v>
      </c>
      <c r="F2655">
        <v>3.2</v>
      </c>
      <c r="G2655" s="2" t="s">
        <v>67</v>
      </c>
      <c r="H2655" s="2">
        <v>8.0</v>
      </c>
      <c r="I2655" s="2">
        <v>57.0</v>
      </c>
      <c r="J2655" s="37">
        <v>253.78000000000003</v>
      </c>
      <c r="K2655" s="2">
        <v>9.0</v>
      </c>
      <c r="L2655" s="2">
        <v>77.0</v>
      </c>
      <c r="M2655" s="37">
        <v>302.24</v>
      </c>
    </row>
    <row r="2656" ht="14.25" customHeight="1">
      <c r="A2656" t="s">
        <v>2716</v>
      </c>
      <c r="B2656" t="s">
        <v>2193</v>
      </c>
      <c r="C2656" t="s">
        <v>62</v>
      </c>
      <c r="D2656" t="s">
        <v>63</v>
      </c>
      <c r="E2656">
        <v>2.5</v>
      </c>
      <c r="F2656">
        <v>3.2</v>
      </c>
      <c r="G2656" s="2" t="s">
        <v>67</v>
      </c>
      <c r="H2656" s="2">
        <v>8.0</v>
      </c>
      <c r="I2656" s="2">
        <v>57.0</v>
      </c>
      <c r="J2656" s="37">
        <v>253.78000000000003</v>
      </c>
      <c r="K2656" s="2">
        <v>9.0</v>
      </c>
      <c r="L2656" s="2">
        <v>77.0</v>
      </c>
      <c r="M2656" s="37">
        <v>302.24</v>
      </c>
    </row>
    <row r="2657" ht="14.25" customHeight="1">
      <c r="A2657" t="s">
        <v>2717</v>
      </c>
      <c r="B2657" t="s">
        <v>2193</v>
      </c>
      <c r="C2657" t="s">
        <v>62</v>
      </c>
      <c r="D2657" t="s">
        <v>63</v>
      </c>
      <c r="E2657">
        <v>2.5</v>
      </c>
      <c r="F2657">
        <v>3.2</v>
      </c>
      <c r="G2657" s="2" t="s">
        <v>67</v>
      </c>
      <c r="H2657" s="2">
        <v>8.0</v>
      </c>
      <c r="I2657" s="2">
        <v>57.0</v>
      </c>
      <c r="J2657" s="37">
        <v>253.78000000000003</v>
      </c>
      <c r="K2657" s="2">
        <v>9.0</v>
      </c>
      <c r="L2657" s="2">
        <v>77.0</v>
      </c>
      <c r="M2657" s="37">
        <v>302.24</v>
      </c>
    </row>
    <row r="2658" ht="14.25" customHeight="1">
      <c r="A2658" t="s">
        <v>2718</v>
      </c>
      <c r="B2658" t="s">
        <v>2193</v>
      </c>
      <c r="C2658" t="s">
        <v>62</v>
      </c>
      <c r="D2658" t="s">
        <v>63</v>
      </c>
      <c r="E2658">
        <v>2.5</v>
      </c>
      <c r="F2658">
        <v>3.2</v>
      </c>
      <c r="G2658" s="2" t="s">
        <v>67</v>
      </c>
      <c r="H2658" s="2">
        <v>8.0</v>
      </c>
      <c r="I2658" s="2">
        <v>57.0</v>
      </c>
      <c r="J2658" s="37">
        <v>253.78000000000003</v>
      </c>
      <c r="K2658" s="2">
        <v>9.0</v>
      </c>
      <c r="L2658" s="2">
        <v>77.0</v>
      </c>
      <c r="M2658" s="37">
        <v>302.24</v>
      </c>
    </row>
    <row r="2659" ht="14.25" customHeight="1">
      <c r="A2659" t="s">
        <v>2719</v>
      </c>
      <c r="B2659" t="s">
        <v>2193</v>
      </c>
      <c r="C2659" t="s">
        <v>62</v>
      </c>
      <c r="D2659" t="s">
        <v>63</v>
      </c>
      <c r="E2659">
        <v>5.0</v>
      </c>
      <c r="F2659">
        <v>6.0</v>
      </c>
      <c r="G2659" s="2" t="s">
        <v>64</v>
      </c>
      <c r="H2659" s="2">
        <v>0.0</v>
      </c>
      <c r="I2659" s="2">
        <v>0.0</v>
      </c>
      <c r="J2659" s="37">
        <v>0.0</v>
      </c>
      <c r="K2659" s="2">
        <v>0.0</v>
      </c>
      <c r="L2659" s="2">
        <v>0.0</v>
      </c>
      <c r="M2659" s="37">
        <v>0.0</v>
      </c>
    </row>
    <row r="2660" ht="14.25" customHeight="1">
      <c r="A2660" t="s">
        <v>2720</v>
      </c>
      <c r="B2660" t="s">
        <v>2193</v>
      </c>
      <c r="C2660" t="s">
        <v>62</v>
      </c>
      <c r="D2660" t="s">
        <v>63</v>
      </c>
      <c r="E2660">
        <v>5.0</v>
      </c>
      <c r="F2660">
        <v>6.0</v>
      </c>
      <c r="G2660" s="2" t="s">
        <v>64</v>
      </c>
      <c r="H2660" s="2">
        <v>0.0</v>
      </c>
      <c r="I2660" s="2">
        <v>0.0</v>
      </c>
      <c r="J2660" s="37">
        <v>0.0</v>
      </c>
      <c r="K2660" s="2">
        <v>0.0</v>
      </c>
      <c r="L2660" s="2">
        <v>0.0</v>
      </c>
      <c r="M2660" s="37">
        <v>0.0</v>
      </c>
    </row>
    <row r="2661" ht="14.25" customHeight="1">
      <c r="A2661" t="s">
        <v>2721</v>
      </c>
      <c r="B2661" t="s">
        <v>2193</v>
      </c>
      <c r="C2661" t="s">
        <v>62</v>
      </c>
      <c r="D2661" t="s">
        <v>63</v>
      </c>
      <c r="E2661">
        <v>5.0</v>
      </c>
      <c r="F2661">
        <v>6.0</v>
      </c>
      <c r="G2661" s="2" t="s">
        <v>64</v>
      </c>
      <c r="H2661" s="2">
        <v>0.0</v>
      </c>
      <c r="I2661" s="2">
        <v>0.0</v>
      </c>
      <c r="J2661" s="37">
        <v>0.0</v>
      </c>
      <c r="K2661" s="2">
        <v>0.0</v>
      </c>
      <c r="L2661" s="2">
        <v>0.0</v>
      </c>
      <c r="M2661" s="37">
        <v>0.0</v>
      </c>
    </row>
    <row r="2662" ht="14.25" customHeight="1">
      <c r="A2662" t="s">
        <v>2722</v>
      </c>
      <c r="B2662" t="s">
        <v>2193</v>
      </c>
      <c r="C2662" t="s">
        <v>62</v>
      </c>
      <c r="D2662" t="s">
        <v>63</v>
      </c>
      <c r="E2662">
        <v>5.0</v>
      </c>
      <c r="F2662">
        <v>6.0</v>
      </c>
      <c r="G2662" s="2" t="s">
        <v>64</v>
      </c>
      <c r="H2662" s="2">
        <v>0.0</v>
      </c>
      <c r="I2662" s="2">
        <v>0.0</v>
      </c>
      <c r="J2662" s="37">
        <v>0.0</v>
      </c>
      <c r="K2662" s="2">
        <v>0.0</v>
      </c>
      <c r="L2662" s="2">
        <v>0.0</v>
      </c>
      <c r="M2662" s="37">
        <v>0.0</v>
      </c>
    </row>
    <row r="2663" ht="14.25" customHeight="1">
      <c r="A2663" t="s">
        <v>2723</v>
      </c>
      <c r="B2663" t="s">
        <v>2193</v>
      </c>
      <c r="C2663" t="s">
        <v>62</v>
      </c>
      <c r="D2663" t="s">
        <v>63</v>
      </c>
      <c r="E2663">
        <v>5.0</v>
      </c>
      <c r="F2663">
        <v>6.0</v>
      </c>
      <c r="G2663" s="2" t="s">
        <v>64</v>
      </c>
      <c r="H2663" s="2">
        <v>0.0</v>
      </c>
      <c r="I2663" s="2">
        <v>0.0</v>
      </c>
      <c r="J2663" s="37">
        <v>0.0</v>
      </c>
      <c r="K2663" s="2">
        <v>0.0</v>
      </c>
      <c r="L2663" s="2">
        <v>0.0</v>
      </c>
      <c r="M2663" s="37">
        <v>0.0</v>
      </c>
    </row>
    <row r="2664" ht="14.25" customHeight="1">
      <c r="A2664" t="s">
        <v>2724</v>
      </c>
      <c r="B2664" t="s">
        <v>2193</v>
      </c>
      <c r="C2664" t="s">
        <v>62</v>
      </c>
      <c r="D2664" t="s">
        <v>63</v>
      </c>
      <c r="E2664">
        <v>5.0</v>
      </c>
      <c r="F2664">
        <v>6.0</v>
      </c>
      <c r="G2664" s="2" t="s">
        <v>64</v>
      </c>
      <c r="H2664" s="2">
        <v>0.0</v>
      </c>
      <c r="I2664" s="2">
        <v>0.0</v>
      </c>
      <c r="J2664" s="37">
        <v>0.0</v>
      </c>
      <c r="K2664" s="2">
        <v>0.0</v>
      </c>
      <c r="L2664" s="2">
        <v>0.0</v>
      </c>
      <c r="M2664" s="37">
        <v>0.0</v>
      </c>
    </row>
    <row r="2665" ht="14.25" customHeight="1">
      <c r="A2665" t="s">
        <v>2725</v>
      </c>
      <c r="B2665" t="s">
        <v>2193</v>
      </c>
      <c r="C2665" t="s">
        <v>62</v>
      </c>
      <c r="D2665" t="s">
        <v>63</v>
      </c>
      <c r="E2665">
        <v>5.0</v>
      </c>
      <c r="F2665">
        <v>6.0</v>
      </c>
      <c r="G2665" s="2" t="s">
        <v>64</v>
      </c>
      <c r="H2665" s="2">
        <v>0.0</v>
      </c>
      <c r="I2665" s="2">
        <v>0.0</v>
      </c>
      <c r="J2665" s="37">
        <v>0.0</v>
      </c>
      <c r="K2665" s="2">
        <v>0.0</v>
      </c>
      <c r="L2665" s="2">
        <v>0.0</v>
      </c>
      <c r="M2665" s="37">
        <v>0.0</v>
      </c>
    </row>
    <row r="2666" ht="14.25" customHeight="1">
      <c r="A2666" t="s">
        <v>2726</v>
      </c>
      <c r="B2666" t="s">
        <v>2727</v>
      </c>
      <c r="C2666" t="s">
        <v>75</v>
      </c>
      <c r="D2666" t="s">
        <v>63</v>
      </c>
      <c r="E2666">
        <v>14.0</v>
      </c>
      <c r="F2666">
        <v>16.0</v>
      </c>
      <c r="G2666" s="2" t="s">
        <v>64</v>
      </c>
      <c r="H2666" s="2">
        <v>0.0</v>
      </c>
      <c r="I2666" s="2">
        <v>0.0</v>
      </c>
      <c r="J2666" s="37">
        <v>0.0</v>
      </c>
      <c r="K2666" s="2">
        <v>0.0</v>
      </c>
      <c r="L2666" s="2">
        <v>0.0</v>
      </c>
      <c r="M2666" s="37">
        <v>0.0</v>
      </c>
    </row>
    <row r="2667" ht="14.25" customHeight="1">
      <c r="A2667" t="s">
        <v>2728</v>
      </c>
      <c r="B2667" t="s">
        <v>2727</v>
      </c>
      <c r="C2667" t="s">
        <v>75</v>
      </c>
      <c r="D2667" t="s">
        <v>63</v>
      </c>
      <c r="E2667">
        <v>14.0</v>
      </c>
      <c r="F2667">
        <v>16.0</v>
      </c>
      <c r="G2667" s="2" t="s">
        <v>64</v>
      </c>
      <c r="H2667" s="2">
        <v>0.0</v>
      </c>
      <c r="I2667" s="2">
        <v>0.0</v>
      </c>
      <c r="J2667" s="37">
        <v>0.0</v>
      </c>
      <c r="K2667" s="2">
        <v>0.0</v>
      </c>
      <c r="L2667" s="2">
        <v>0.0</v>
      </c>
      <c r="M2667" s="37">
        <v>0.0</v>
      </c>
    </row>
    <row r="2668" ht="14.25" customHeight="1">
      <c r="A2668" t="s">
        <v>2729</v>
      </c>
      <c r="B2668" t="s">
        <v>2727</v>
      </c>
      <c r="C2668" t="s">
        <v>75</v>
      </c>
      <c r="D2668" t="s">
        <v>63</v>
      </c>
      <c r="E2668">
        <v>14.0</v>
      </c>
      <c r="F2668">
        <v>16.0</v>
      </c>
      <c r="G2668" s="2" t="s">
        <v>64</v>
      </c>
      <c r="H2668" s="2">
        <v>0.0</v>
      </c>
      <c r="I2668" s="2">
        <v>0.0</v>
      </c>
      <c r="J2668" s="37">
        <v>0.0</v>
      </c>
      <c r="K2668" s="2">
        <v>0.0</v>
      </c>
      <c r="L2668" s="2">
        <v>0.0</v>
      </c>
      <c r="M2668" s="37">
        <v>0.0</v>
      </c>
    </row>
    <row r="2669" ht="14.25" customHeight="1">
      <c r="A2669" t="s">
        <v>2730</v>
      </c>
      <c r="B2669" t="s">
        <v>2727</v>
      </c>
      <c r="C2669" t="s">
        <v>75</v>
      </c>
      <c r="D2669" t="s">
        <v>63</v>
      </c>
      <c r="E2669">
        <v>14.0</v>
      </c>
      <c r="F2669">
        <v>16.0</v>
      </c>
      <c r="G2669" s="2" t="s">
        <v>64</v>
      </c>
      <c r="H2669" s="2">
        <v>0.0</v>
      </c>
      <c r="I2669" s="2">
        <v>0.0</v>
      </c>
      <c r="J2669" s="37">
        <v>0.0</v>
      </c>
      <c r="K2669" s="2">
        <v>0.0</v>
      </c>
      <c r="L2669" s="2">
        <v>0.0</v>
      </c>
      <c r="M2669" s="37">
        <v>0.0</v>
      </c>
    </row>
    <row r="2670" ht="14.25" customHeight="1">
      <c r="A2670" t="s">
        <v>2731</v>
      </c>
      <c r="B2670" t="s">
        <v>2727</v>
      </c>
      <c r="C2670" t="s">
        <v>75</v>
      </c>
      <c r="D2670" t="s">
        <v>63</v>
      </c>
      <c r="E2670">
        <v>14.0</v>
      </c>
      <c r="F2670">
        <v>16.0</v>
      </c>
      <c r="G2670" s="2" t="s">
        <v>64</v>
      </c>
      <c r="H2670" s="2">
        <v>0.0</v>
      </c>
      <c r="I2670" s="2">
        <v>0.0</v>
      </c>
      <c r="J2670" s="37">
        <v>0.0</v>
      </c>
      <c r="K2670" s="2">
        <v>0.0</v>
      </c>
      <c r="L2670" s="2">
        <v>0.0</v>
      </c>
      <c r="M2670" s="37">
        <v>0.0</v>
      </c>
    </row>
    <row r="2671" ht="14.25" customHeight="1">
      <c r="A2671" t="s">
        <v>2732</v>
      </c>
      <c r="B2671" t="s">
        <v>2727</v>
      </c>
      <c r="C2671" t="s">
        <v>75</v>
      </c>
      <c r="D2671" t="s">
        <v>63</v>
      </c>
      <c r="E2671">
        <v>14.0</v>
      </c>
      <c r="F2671">
        <v>16.0</v>
      </c>
      <c r="G2671" s="2" t="s">
        <v>64</v>
      </c>
      <c r="H2671" s="2">
        <v>0.0</v>
      </c>
      <c r="I2671" s="2">
        <v>0.0</v>
      </c>
      <c r="J2671" s="37">
        <v>0.0</v>
      </c>
      <c r="K2671" s="2">
        <v>0.0</v>
      </c>
      <c r="L2671" s="2">
        <v>0.0</v>
      </c>
      <c r="M2671" s="37">
        <v>0.0</v>
      </c>
    </row>
    <row r="2672" ht="14.25" customHeight="1">
      <c r="A2672" t="s">
        <v>2733</v>
      </c>
      <c r="B2672" t="s">
        <v>2727</v>
      </c>
      <c r="C2672" t="s">
        <v>62</v>
      </c>
      <c r="D2672" t="s">
        <v>63</v>
      </c>
      <c r="E2672">
        <v>14.0</v>
      </c>
      <c r="F2672">
        <v>16.0</v>
      </c>
      <c r="G2672" s="2" t="s">
        <v>67</v>
      </c>
      <c r="H2672" s="2">
        <v>44.0</v>
      </c>
      <c r="I2672" s="2">
        <v>129.0</v>
      </c>
      <c r="J2672" s="37">
        <v>1155.94</v>
      </c>
      <c r="K2672" s="2">
        <v>52.0</v>
      </c>
      <c r="L2672" s="2">
        <v>272.0</v>
      </c>
      <c r="M2672" s="37">
        <v>1521.52</v>
      </c>
    </row>
    <row r="2673" ht="14.25" customHeight="1">
      <c r="A2673" t="s">
        <v>2734</v>
      </c>
      <c r="B2673" t="s">
        <v>2727</v>
      </c>
      <c r="C2673" t="s">
        <v>62</v>
      </c>
      <c r="D2673" t="s">
        <v>63</v>
      </c>
      <c r="E2673">
        <v>14.0</v>
      </c>
      <c r="F2673">
        <v>16.0</v>
      </c>
      <c r="G2673" s="2" t="s">
        <v>67</v>
      </c>
      <c r="H2673" s="2">
        <v>44.0</v>
      </c>
      <c r="I2673" s="2">
        <v>129.0</v>
      </c>
      <c r="J2673" s="37">
        <v>1155.94</v>
      </c>
      <c r="K2673" s="2">
        <v>52.0</v>
      </c>
      <c r="L2673" s="2">
        <v>272.0</v>
      </c>
      <c r="M2673" s="37">
        <v>1521.52</v>
      </c>
    </row>
    <row r="2674" ht="14.25" customHeight="1">
      <c r="A2674" t="s">
        <v>2735</v>
      </c>
      <c r="B2674" t="s">
        <v>2727</v>
      </c>
      <c r="C2674" t="s">
        <v>62</v>
      </c>
      <c r="D2674" t="s">
        <v>63</v>
      </c>
      <c r="E2674">
        <v>14.0</v>
      </c>
      <c r="F2674">
        <v>16.0</v>
      </c>
      <c r="G2674" s="2" t="s">
        <v>67</v>
      </c>
      <c r="H2674" s="2">
        <v>44.0</v>
      </c>
      <c r="I2674" s="2">
        <v>129.0</v>
      </c>
      <c r="J2674" s="37">
        <v>1155.94</v>
      </c>
      <c r="K2674" s="2">
        <v>52.0</v>
      </c>
      <c r="L2674" s="2">
        <v>272.0</v>
      </c>
      <c r="M2674" s="37">
        <v>1521.52</v>
      </c>
    </row>
    <row r="2675" ht="14.25" customHeight="1">
      <c r="A2675" t="s">
        <v>2736</v>
      </c>
      <c r="B2675" t="s">
        <v>2727</v>
      </c>
      <c r="C2675" t="s">
        <v>62</v>
      </c>
      <c r="D2675" t="s">
        <v>63</v>
      </c>
      <c r="E2675">
        <v>14.0</v>
      </c>
      <c r="F2675">
        <v>16.0</v>
      </c>
      <c r="G2675" s="2" t="s">
        <v>67</v>
      </c>
      <c r="H2675" s="2">
        <v>45.0</v>
      </c>
      <c r="I2675" s="2">
        <v>129.0</v>
      </c>
      <c r="J2675" s="37">
        <v>1178.4</v>
      </c>
      <c r="K2675" s="2">
        <v>52.0</v>
      </c>
      <c r="L2675" s="2">
        <v>272.0</v>
      </c>
      <c r="M2675" s="37">
        <v>1521.52</v>
      </c>
    </row>
    <row r="2676" ht="14.25" customHeight="1">
      <c r="A2676" t="s">
        <v>2737</v>
      </c>
      <c r="B2676" t="s">
        <v>2727</v>
      </c>
      <c r="C2676" t="s">
        <v>62</v>
      </c>
      <c r="D2676" t="s">
        <v>63</v>
      </c>
      <c r="E2676">
        <v>14.0</v>
      </c>
      <c r="F2676">
        <v>16.0</v>
      </c>
      <c r="G2676" s="2" t="s">
        <v>67</v>
      </c>
      <c r="H2676" s="2">
        <v>45.0</v>
      </c>
      <c r="I2676" s="2">
        <v>129.0</v>
      </c>
      <c r="J2676" s="37">
        <v>1178.4</v>
      </c>
      <c r="K2676" s="2">
        <v>52.0</v>
      </c>
      <c r="L2676" s="2">
        <v>272.0</v>
      </c>
      <c r="M2676" s="37">
        <v>1521.52</v>
      </c>
    </row>
    <row r="2677" ht="14.25" customHeight="1">
      <c r="A2677" t="s">
        <v>2738</v>
      </c>
      <c r="B2677" t="s">
        <v>2727</v>
      </c>
      <c r="C2677" t="s">
        <v>62</v>
      </c>
      <c r="D2677" t="s">
        <v>63</v>
      </c>
      <c r="E2677">
        <v>14.0</v>
      </c>
      <c r="F2677">
        <v>16.0</v>
      </c>
      <c r="G2677" s="2" t="s">
        <v>67</v>
      </c>
      <c r="H2677" s="2">
        <v>45.0</v>
      </c>
      <c r="I2677" s="2">
        <v>129.0</v>
      </c>
      <c r="J2677" s="37">
        <v>1178.4</v>
      </c>
      <c r="K2677" s="2">
        <v>52.0</v>
      </c>
      <c r="L2677" s="2">
        <v>272.0</v>
      </c>
      <c r="M2677" s="37">
        <v>1521.52</v>
      </c>
    </row>
    <row r="2678" ht="14.25" customHeight="1">
      <c r="A2678" t="s">
        <v>2739</v>
      </c>
      <c r="B2678" t="s">
        <v>2727</v>
      </c>
      <c r="C2678" t="s">
        <v>62</v>
      </c>
      <c r="D2678" t="s">
        <v>63</v>
      </c>
      <c r="E2678">
        <v>14.0</v>
      </c>
      <c r="F2678">
        <v>16.0</v>
      </c>
      <c r="G2678" s="2" t="s">
        <v>67</v>
      </c>
      <c r="H2678" s="2">
        <v>45.0</v>
      </c>
      <c r="I2678" s="2">
        <v>191.0</v>
      </c>
      <c r="J2678" s="37">
        <v>1259.0</v>
      </c>
      <c r="K2678" s="2">
        <v>53.0</v>
      </c>
      <c r="L2678" s="2">
        <v>335.0</v>
      </c>
      <c r="M2678" s="37">
        <v>1625.88</v>
      </c>
    </row>
    <row r="2679" ht="14.25" customHeight="1">
      <c r="A2679" t="s">
        <v>2740</v>
      </c>
      <c r="B2679" t="s">
        <v>2727</v>
      </c>
      <c r="C2679" t="s">
        <v>62</v>
      </c>
      <c r="D2679" t="s">
        <v>63</v>
      </c>
      <c r="E2679">
        <v>14.0</v>
      </c>
      <c r="F2679">
        <v>16.0</v>
      </c>
      <c r="G2679" s="2" t="s">
        <v>67</v>
      </c>
      <c r="H2679" s="2">
        <v>45.0</v>
      </c>
      <c r="I2679" s="2">
        <v>191.0</v>
      </c>
      <c r="J2679" s="37">
        <v>1259.0</v>
      </c>
      <c r="K2679" s="2">
        <v>53.0</v>
      </c>
      <c r="L2679" s="2">
        <v>335.0</v>
      </c>
      <c r="M2679" s="37">
        <v>1625.88</v>
      </c>
    </row>
    <row r="2680" ht="14.25" customHeight="1">
      <c r="A2680" t="s">
        <v>2741</v>
      </c>
      <c r="B2680" t="s">
        <v>2727</v>
      </c>
      <c r="C2680" t="s">
        <v>62</v>
      </c>
      <c r="D2680" t="s">
        <v>63</v>
      </c>
      <c r="E2680">
        <v>14.0</v>
      </c>
      <c r="F2680">
        <v>16.0</v>
      </c>
      <c r="G2680" s="2" t="s">
        <v>67</v>
      </c>
      <c r="H2680" s="2">
        <v>45.0</v>
      </c>
      <c r="I2680" s="2">
        <v>191.0</v>
      </c>
      <c r="J2680" s="37">
        <v>1259.0</v>
      </c>
      <c r="K2680" s="2">
        <v>53.0</v>
      </c>
      <c r="L2680" s="2">
        <v>335.0</v>
      </c>
      <c r="M2680" s="37">
        <v>1625.88</v>
      </c>
    </row>
    <row r="2681" ht="14.25" customHeight="1">
      <c r="A2681" t="s">
        <v>2742</v>
      </c>
      <c r="B2681" t="s">
        <v>2727</v>
      </c>
      <c r="C2681" t="s">
        <v>62</v>
      </c>
      <c r="D2681" t="s">
        <v>63</v>
      </c>
      <c r="E2681">
        <v>14.0</v>
      </c>
      <c r="F2681">
        <v>16.0</v>
      </c>
      <c r="G2681" s="2" t="s">
        <v>67</v>
      </c>
      <c r="H2681" s="2">
        <v>46.0</v>
      </c>
      <c r="I2681" s="2">
        <v>191.0</v>
      </c>
      <c r="J2681" s="37">
        <v>1281.46</v>
      </c>
      <c r="K2681" s="2">
        <v>54.0</v>
      </c>
      <c r="L2681" s="2">
        <v>335.0</v>
      </c>
      <c r="M2681" s="37">
        <v>1648.3400000000001</v>
      </c>
    </row>
    <row r="2682" ht="14.25" customHeight="1">
      <c r="A2682" t="s">
        <v>2743</v>
      </c>
      <c r="B2682" t="s">
        <v>2727</v>
      </c>
      <c r="C2682" t="s">
        <v>62</v>
      </c>
      <c r="D2682" t="s">
        <v>63</v>
      </c>
      <c r="E2682">
        <v>14.0</v>
      </c>
      <c r="F2682">
        <v>16.0</v>
      </c>
      <c r="G2682" s="2" t="s">
        <v>67</v>
      </c>
      <c r="H2682" s="2">
        <v>46.0</v>
      </c>
      <c r="I2682" s="2">
        <v>191.0</v>
      </c>
      <c r="J2682" s="37">
        <v>1281.46</v>
      </c>
      <c r="K2682" s="2">
        <v>54.0</v>
      </c>
      <c r="L2682" s="2">
        <v>335.0</v>
      </c>
      <c r="M2682" s="37">
        <v>1648.3400000000001</v>
      </c>
    </row>
    <row r="2683" ht="14.25" customHeight="1">
      <c r="A2683" t="s">
        <v>2744</v>
      </c>
      <c r="B2683" t="s">
        <v>2727</v>
      </c>
      <c r="C2683" t="s">
        <v>62</v>
      </c>
      <c r="D2683" t="s">
        <v>63</v>
      </c>
      <c r="E2683">
        <v>14.0</v>
      </c>
      <c r="F2683">
        <v>16.0</v>
      </c>
      <c r="G2683" s="2" t="s">
        <v>67</v>
      </c>
      <c r="H2683" s="2">
        <v>46.0</v>
      </c>
      <c r="I2683" s="2">
        <v>191.0</v>
      </c>
      <c r="J2683" s="37">
        <v>1281.46</v>
      </c>
      <c r="K2683" s="2">
        <v>54.0</v>
      </c>
      <c r="L2683" s="2">
        <v>335.0</v>
      </c>
      <c r="M2683" s="37">
        <v>1648.3400000000001</v>
      </c>
    </row>
    <row r="2684" ht="14.25" customHeight="1">
      <c r="A2684" t="s">
        <v>2745</v>
      </c>
      <c r="B2684" t="s">
        <v>2727</v>
      </c>
      <c r="C2684" t="s">
        <v>75</v>
      </c>
      <c r="D2684" t="s">
        <v>63</v>
      </c>
      <c r="E2684">
        <v>12.5</v>
      </c>
      <c r="F2684">
        <v>14.0</v>
      </c>
      <c r="G2684" s="2" t="s">
        <v>64</v>
      </c>
      <c r="H2684" s="2">
        <v>0.0</v>
      </c>
      <c r="I2684" s="2">
        <v>0.0</v>
      </c>
      <c r="J2684" s="37">
        <v>0.0</v>
      </c>
      <c r="K2684" s="2">
        <v>0.0</v>
      </c>
      <c r="L2684" s="2">
        <v>0.0</v>
      </c>
      <c r="M2684" s="37">
        <v>0.0</v>
      </c>
    </row>
    <row r="2685" ht="14.25" customHeight="1">
      <c r="A2685" t="s">
        <v>2746</v>
      </c>
      <c r="B2685" t="s">
        <v>2727</v>
      </c>
      <c r="C2685" t="s">
        <v>75</v>
      </c>
      <c r="D2685" t="s">
        <v>63</v>
      </c>
      <c r="E2685">
        <v>12.5</v>
      </c>
      <c r="F2685">
        <v>14.0</v>
      </c>
      <c r="G2685" s="2" t="s">
        <v>64</v>
      </c>
      <c r="H2685" s="2">
        <v>0.0</v>
      </c>
      <c r="I2685" s="2">
        <v>0.0</v>
      </c>
      <c r="J2685" s="37">
        <v>0.0</v>
      </c>
      <c r="K2685" s="2">
        <v>0.0</v>
      </c>
      <c r="L2685" s="2">
        <v>0.0</v>
      </c>
      <c r="M2685" s="37">
        <v>0.0</v>
      </c>
    </row>
    <row r="2686" ht="14.25" customHeight="1">
      <c r="A2686" t="s">
        <v>2747</v>
      </c>
      <c r="B2686" t="s">
        <v>2727</v>
      </c>
      <c r="C2686" t="s">
        <v>75</v>
      </c>
      <c r="D2686" t="s">
        <v>63</v>
      </c>
      <c r="E2686">
        <v>12.5</v>
      </c>
      <c r="F2686">
        <v>14.0</v>
      </c>
      <c r="G2686" s="2" t="s">
        <v>64</v>
      </c>
      <c r="H2686" s="2">
        <v>0.0</v>
      </c>
      <c r="I2686" s="2">
        <v>0.0</v>
      </c>
      <c r="J2686" s="37">
        <v>0.0</v>
      </c>
      <c r="K2686" s="2">
        <v>0.0</v>
      </c>
      <c r="L2686" s="2">
        <v>0.0</v>
      </c>
      <c r="M2686" s="37">
        <v>0.0</v>
      </c>
    </row>
    <row r="2687" ht="14.25" customHeight="1">
      <c r="A2687" t="s">
        <v>2748</v>
      </c>
      <c r="B2687" t="s">
        <v>2727</v>
      </c>
      <c r="C2687" t="s">
        <v>75</v>
      </c>
      <c r="D2687" t="s">
        <v>63</v>
      </c>
      <c r="E2687">
        <v>12.5</v>
      </c>
      <c r="F2687">
        <v>14.0</v>
      </c>
      <c r="G2687" s="2" t="s">
        <v>67</v>
      </c>
      <c r="H2687" s="2">
        <v>38.0</v>
      </c>
      <c r="I2687" s="2">
        <v>160.0</v>
      </c>
      <c r="J2687" s="37">
        <v>1061.48</v>
      </c>
      <c r="K2687" s="2">
        <v>45.0</v>
      </c>
      <c r="L2687" s="2">
        <v>288.0</v>
      </c>
      <c r="M2687" s="37">
        <v>1385.1000000000001</v>
      </c>
    </row>
    <row r="2688" ht="14.25" customHeight="1">
      <c r="A2688" t="s">
        <v>2749</v>
      </c>
      <c r="B2688" t="s">
        <v>2727</v>
      </c>
      <c r="C2688" t="s">
        <v>75</v>
      </c>
      <c r="D2688" t="s">
        <v>63</v>
      </c>
      <c r="E2688">
        <v>12.5</v>
      </c>
      <c r="F2688">
        <v>14.0</v>
      </c>
      <c r="G2688" s="2" t="s">
        <v>67</v>
      </c>
      <c r="H2688" s="2">
        <v>38.0</v>
      </c>
      <c r="I2688" s="2">
        <v>160.0</v>
      </c>
      <c r="J2688" s="37">
        <v>1061.48</v>
      </c>
      <c r="K2688" s="2">
        <v>45.0</v>
      </c>
      <c r="L2688" s="2">
        <v>288.0</v>
      </c>
      <c r="M2688" s="37">
        <v>1385.1000000000001</v>
      </c>
    </row>
    <row r="2689" ht="14.25" customHeight="1">
      <c r="A2689" t="s">
        <v>2750</v>
      </c>
      <c r="B2689" t="s">
        <v>2727</v>
      </c>
      <c r="C2689" t="s">
        <v>75</v>
      </c>
      <c r="D2689" t="s">
        <v>63</v>
      </c>
      <c r="E2689">
        <v>12.5</v>
      </c>
      <c r="F2689">
        <v>14.0</v>
      </c>
      <c r="G2689" s="2" t="s">
        <v>67</v>
      </c>
      <c r="H2689" s="2">
        <v>38.0</v>
      </c>
      <c r="I2689" s="2">
        <v>160.0</v>
      </c>
      <c r="J2689" s="37">
        <v>1061.48</v>
      </c>
      <c r="K2689" s="2">
        <v>45.0</v>
      </c>
      <c r="L2689" s="2">
        <v>288.0</v>
      </c>
      <c r="M2689" s="37">
        <v>1385.1000000000001</v>
      </c>
    </row>
    <row r="2690" ht="14.25" customHeight="1">
      <c r="A2690" t="s">
        <v>2751</v>
      </c>
      <c r="B2690" t="s">
        <v>2727</v>
      </c>
      <c r="C2690" t="s">
        <v>62</v>
      </c>
      <c r="D2690" t="s">
        <v>63</v>
      </c>
      <c r="E2690">
        <v>12.5</v>
      </c>
      <c r="F2690">
        <v>14.0</v>
      </c>
      <c r="G2690" s="2" t="s">
        <v>67</v>
      </c>
      <c r="H2690" s="2">
        <v>41.0</v>
      </c>
      <c r="I2690" s="2">
        <v>205.0</v>
      </c>
      <c r="J2690" s="37">
        <v>1187.3600000000001</v>
      </c>
      <c r="K2690" s="2">
        <v>47.0</v>
      </c>
      <c r="L2690" s="2">
        <v>333.0</v>
      </c>
      <c r="M2690" s="37">
        <v>1488.5200000000002</v>
      </c>
    </row>
    <row r="2691" ht="14.25" customHeight="1">
      <c r="A2691" t="s">
        <v>2752</v>
      </c>
      <c r="B2691" t="s">
        <v>2727</v>
      </c>
      <c r="C2691" t="s">
        <v>62</v>
      </c>
      <c r="D2691" t="s">
        <v>63</v>
      </c>
      <c r="E2691">
        <v>12.5</v>
      </c>
      <c r="F2691">
        <v>14.0</v>
      </c>
      <c r="G2691" s="2" t="s">
        <v>67</v>
      </c>
      <c r="H2691" s="2">
        <v>41.0</v>
      </c>
      <c r="I2691" s="2">
        <v>205.0</v>
      </c>
      <c r="J2691" s="37">
        <v>1187.3600000000001</v>
      </c>
      <c r="K2691" s="2">
        <v>47.0</v>
      </c>
      <c r="L2691" s="2">
        <v>333.0</v>
      </c>
      <c r="M2691" s="37">
        <v>1488.5200000000002</v>
      </c>
    </row>
    <row r="2692" ht="14.25" customHeight="1">
      <c r="A2692" t="s">
        <v>2753</v>
      </c>
      <c r="B2692" t="s">
        <v>2727</v>
      </c>
      <c r="C2692" t="s">
        <v>62</v>
      </c>
      <c r="D2692" t="s">
        <v>63</v>
      </c>
      <c r="E2692">
        <v>12.5</v>
      </c>
      <c r="F2692">
        <v>14.0</v>
      </c>
      <c r="G2692" s="2" t="s">
        <v>67</v>
      </c>
      <c r="H2692" s="2">
        <v>41.0</v>
      </c>
      <c r="I2692" s="2">
        <v>205.0</v>
      </c>
      <c r="J2692" s="37">
        <v>1187.3600000000001</v>
      </c>
      <c r="K2692" s="2">
        <v>47.0</v>
      </c>
      <c r="L2692" s="2">
        <v>333.0</v>
      </c>
      <c r="M2692" s="37">
        <v>1488.5200000000002</v>
      </c>
    </row>
    <row r="2693" ht="14.25" customHeight="1">
      <c r="A2693" t="s">
        <v>2754</v>
      </c>
      <c r="B2693" t="s">
        <v>2727</v>
      </c>
      <c r="C2693" t="s">
        <v>62</v>
      </c>
      <c r="D2693" t="s">
        <v>63</v>
      </c>
      <c r="E2693">
        <v>12.5</v>
      </c>
      <c r="F2693">
        <v>14.0</v>
      </c>
      <c r="G2693" s="2" t="s">
        <v>67</v>
      </c>
      <c r="H2693" s="2">
        <v>40.0</v>
      </c>
      <c r="I2693" s="2">
        <v>77.0</v>
      </c>
      <c r="J2693" s="37">
        <v>998.5000000000001</v>
      </c>
      <c r="K2693" s="2">
        <v>47.0</v>
      </c>
      <c r="L2693" s="2">
        <v>205.0</v>
      </c>
      <c r="M2693" s="37">
        <v>1322.1200000000001</v>
      </c>
    </row>
    <row r="2694" ht="14.25" customHeight="1">
      <c r="A2694" t="s">
        <v>2755</v>
      </c>
      <c r="B2694" t="s">
        <v>2727</v>
      </c>
      <c r="C2694" t="s">
        <v>62</v>
      </c>
      <c r="D2694" t="s">
        <v>63</v>
      </c>
      <c r="E2694">
        <v>12.5</v>
      </c>
      <c r="F2694">
        <v>14.0</v>
      </c>
      <c r="G2694" s="2" t="s">
        <v>67</v>
      </c>
      <c r="H2694" s="2">
        <v>40.0</v>
      </c>
      <c r="I2694" s="2">
        <v>77.0</v>
      </c>
      <c r="J2694" s="37">
        <v>998.5000000000001</v>
      </c>
      <c r="K2694" s="2">
        <v>47.0</v>
      </c>
      <c r="L2694" s="2">
        <v>205.0</v>
      </c>
      <c r="M2694" s="37">
        <v>1322.1200000000001</v>
      </c>
    </row>
    <row r="2695" ht="14.25" customHeight="1">
      <c r="A2695" t="s">
        <v>2756</v>
      </c>
      <c r="B2695" t="s">
        <v>2727</v>
      </c>
      <c r="C2695" t="s">
        <v>62</v>
      </c>
      <c r="D2695" t="s">
        <v>63</v>
      </c>
      <c r="E2695">
        <v>12.5</v>
      </c>
      <c r="F2695">
        <v>14.0</v>
      </c>
      <c r="G2695" s="2" t="s">
        <v>67</v>
      </c>
      <c r="H2695" s="2">
        <v>40.0</v>
      </c>
      <c r="I2695" s="2">
        <v>77.0</v>
      </c>
      <c r="J2695" s="37">
        <v>998.5000000000001</v>
      </c>
      <c r="K2695" s="2">
        <v>47.0</v>
      </c>
      <c r="L2695" s="2">
        <v>205.0</v>
      </c>
      <c r="M2695" s="37">
        <v>1322.1200000000001</v>
      </c>
    </row>
    <row r="2696" ht="14.25" customHeight="1">
      <c r="A2696" t="s">
        <v>2757</v>
      </c>
      <c r="B2696" t="s">
        <v>2727</v>
      </c>
      <c r="C2696" t="s">
        <v>62</v>
      </c>
      <c r="D2696" t="s">
        <v>63</v>
      </c>
      <c r="E2696">
        <v>12.5</v>
      </c>
      <c r="F2696">
        <v>14.0</v>
      </c>
      <c r="G2696" s="2" t="s">
        <v>67</v>
      </c>
      <c r="H2696" s="2">
        <v>42.0</v>
      </c>
      <c r="I2696" s="2">
        <v>243.0</v>
      </c>
      <c r="J2696" s="37">
        <v>1259.22</v>
      </c>
      <c r="K2696" s="2">
        <v>49.0</v>
      </c>
      <c r="L2696" s="2">
        <v>371.0</v>
      </c>
      <c r="M2696" s="37">
        <v>1582.84</v>
      </c>
    </row>
    <row r="2697" ht="14.25" customHeight="1">
      <c r="A2697" t="s">
        <v>2758</v>
      </c>
      <c r="B2697" t="s">
        <v>2727</v>
      </c>
      <c r="C2697" t="s">
        <v>62</v>
      </c>
      <c r="D2697" t="s">
        <v>63</v>
      </c>
      <c r="E2697">
        <v>12.5</v>
      </c>
      <c r="F2697">
        <v>14.0</v>
      </c>
      <c r="G2697" s="2" t="s">
        <v>67</v>
      </c>
      <c r="H2697" s="2">
        <v>42.0</v>
      </c>
      <c r="I2697" s="2">
        <v>243.0</v>
      </c>
      <c r="J2697" s="37">
        <v>1259.22</v>
      </c>
      <c r="K2697" s="2">
        <v>49.0</v>
      </c>
      <c r="L2697" s="2">
        <v>371.0</v>
      </c>
      <c r="M2697" s="37">
        <v>1582.84</v>
      </c>
    </row>
    <row r="2698" ht="14.25" customHeight="1">
      <c r="A2698" t="s">
        <v>2759</v>
      </c>
      <c r="B2698" t="s">
        <v>2727</v>
      </c>
      <c r="C2698" t="s">
        <v>62</v>
      </c>
      <c r="D2698" t="s">
        <v>63</v>
      </c>
      <c r="E2698">
        <v>12.5</v>
      </c>
      <c r="F2698">
        <v>14.0</v>
      </c>
      <c r="G2698" s="2" t="s">
        <v>67</v>
      </c>
      <c r="H2698" s="2">
        <v>42.0</v>
      </c>
      <c r="I2698" s="2">
        <v>243.0</v>
      </c>
      <c r="J2698" s="37">
        <v>1259.22</v>
      </c>
      <c r="K2698" s="2">
        <v>49.0</v>
      </c>
      <c r="L2698" s="2">
        <v>371.0</v>
      </c>
      <c r="M2698" s="37">
        <v>1582.84</v>
      </c>
    </row>
    <row r="2699" ht="14.25" customHeight="1">
      <c r="A2699" t="s">
        <v>2760</v>
      </c>
      <c r="B2699" t="s">
        <v>2727</v>
      </c>
      <c r="C2699" t="s">
        <v>62</v>
      </c>
      <c r="D2699" t="s">
        <v>63</v>
      </c>
      <c r="E2699">
        <v>12.5</v>
      </c>
      <c r="F2699">
        <v>14.0</v>
      </c>
      <c r="G2699" s="2" t="s">
        <v>67</v>
      </c>
      <c r="H2699" s="2">
        <v>37.0</v>
      </c>
      <c r="I2699" s="2">
        <v>65.0</v>
      </c>
      <c r="J2699" s="37">
        <v>915.52</v>
      </c>
      <c r="K2699" s="2">
        <v>44.0</v>
      </c>
      <c r="L2699" s="2">
        <v>194.0</v>
      </c>
      <c r="M2699" s="37">
        <v>1240.44</v>
      </c>
    </row>
    <row r="2700" ht="14.25" customHeight="1">
      <c r="A2700" t="s">
        <v>2761</v>
      </c>
      <c r="B2700" t="s">
        <v>2727</v>
      </c>
      <c r="C2700" t="s">
        <v>62</v>
      </c>
      <c r="D2700" t="s">
        <v>63</v>
      </c>
      <c r="E2700">
        <v>12.5</v>
      </c>
      <c r="F2700">
        <v>14.0</v>
      </c>
      <c r="G2700" s="2" t="s">
        <v>67</v>
      </c>
      <c r="H2700" s="2">
        <v>37.0</v>
      </c>
      <c r="I2700" s="2">
        <v>65.0</v>
      </c>
      <c r="J2700" s="37">
        <v>915.52</v>
      </c>
      <c r="K2700" s="2">
        <v>44.0</v>
      </c>
      <c r="L2700" s="2">
        <v>194.0</v>
      </c>
      <c r="M2700" s="37">
        <v>1240.44</v>
      </c>
    </row>
    <row r="2701" ht="14.25" customHeight="1">
      <c r="A2701" t="s">
        <v>2762</v>
      </c>
      <c r="B2701" t="s">
        <v>2727</v>
      </c>
      <c r="C2701" t="s">
        <v>62</v>
      </c>
      <c r="D2701" t="s">
        <v>63</v>
      </c>
      <c r="E2701">
        <v>12.5</v>
      </c>
      <c r="F2701">
        <v>14.0</v>
      </c>
      <c r="G2701" s="2" t="s">
        <v>67</v>
      </c>
      <c r="H2701" s="2">
        <v>37.0</v>
      </c>
      <c r="I2701" s="2">
        <v>65.0</v>
      </c>
      <c r="J2701" s="37">
        <v>915.52</v>
      </c>
      <c r="K2701" s="2">
        <v>44.0</v>
      </c>
      <c r="L2701" s="2">
        <v>194.0</v>
      </c>
      <c r="M2701" s="37">
        <v>1240.44</v>
      </c>
    </row>
    <row r="2702" ht="14.25" customHeight="1">
      <c r="A2702" t="s">
        <v>2763</v>
      </c>
      <c r="B2702" t="s">
        <v>2727</v>
      </c>
      <c r="C2702" t="s">
        <v>75</v>
      </c>
      <c r="D2702" t="s">
        <v>63</v>
      </c>
      <c r="E2702">
        <v>12.5</v>
      </c>
      <c r="F2702">
        <v>14.0</v>
      </c>
      <c r="G2702" s="2" t="s">
        <v>64</v>
      </c>
      <c r="H2702" s="2">
        <v>0.0</v>
      </c>
      <c r="I2702" s="2">
        <v>0.0</v>
      </c>
      <c r="J2702" s="37">
        <v>0.0</v>
      </c>
      <c r="K2702" s="2">
        <v>0.0</v>
      </c>
      <c r="L2702" s="2">
        <v>0.0</v>
      </c>
      <c r="M2702" s="37">
        <v>0.0</v>
      </c>
    </row>
    <row r="2703" ht="14.25" customHeight="1">
      <c r="A2703" t="s">
        <v>2764</v>
      </c>
      <c r="B2703" t="s">
        <v>2727</v>
      </c>
      <c r="C2703" t="s">
        <v>75</v>
      </c>
      <c r="D2703" t="s">
        <v>63</v>
      </c>
      <c r="E2703">
        <v>12.5</v>
      </c>
      <c r="F2703">
        <v>14.0</v>
      </c>
      <c r="G2703" s="2" t="s">
        <v>64</v>
      </c>
      <c r="H2703" s="2">
        <v>0.0</v>
      </c>
      <c r="I2703" s="2">
        <v>0.0</v>
      </c>
      <c r="J2703" s="37">
        <v>0.0</v>
      </c>
      <c r="K2703" s="2">
        <v>0.0</v>
      </c>
      <c r="L2703" s="2">
        <v>0.0</v>
      </c>
      <c r="M2703" s="37">
        <v>0.0</v>
      </c>
    </row>
    <row r="2704" ht="14.25" customHeight="1">
      <c r="A2704" t="s">
        <v>2765</v>
      </c>
      <c r="B2704" t="s">
        <v>2727</v>
      </c>
      <c r="C2704" t="s">
        <v>75</v>
      </c>
      <c r="D2704" t="s">
        <v>63</v>
      </c>
      <c r="E2704">
        <v>12.5</v>
      </c>
      <c r="F2704">
        <v>14.0</v>
      </c>
      <c r="G2704" s="2" t="s">
        <v>64</v>
      </c>
      <c r="H2704" s="2">
        <v>0.0</v>
      </c>
      <c r="I2704" s="2">
        <v>0.0</v>
      </c>
      <c r="J2704" s="37">
        <v>0.0</v>
      </c>
      <c r="K2704" s="2">
        <v>0.0</v>
      </c>
      <c r="L2704" s="2">
        <v>0.0</v>
      </c>
      <c r="M2704" s="37">
        <v>0.0</v>
      </c>
    </row>
    <row r="2705" ht="14.25" customHeight="1">
      <c r="A2705" t="s">
        <v>2766</v>
      </c>
      <c r="B2705" t="s">
        <v>2727</v>
      </c>
      <c r="C2705" t="s">
        <v>75</v>
      </c>
      <c r="D2705" t="s">
        <v>63</v>
      </c>
      <c r="E2705">
        <v>12.5</v>
      </c>
      <c r="F2705">
        <v>14.0</v>
      </c>
      <c r="G2705" s="2" t="s">
        <v>67</v>
      </c>
      <c r="H2705" s="2">
        <v>38.0</v>
      </c>
      <c r="I2705" s="2">
        <v>59.0</v>
      </c>
      <c r="J2705" s="37">
        <v>930.1800000000001</v>
      </c>
      <c r="K2705" s="2">
        <v>45.0</v>
      </c>
      <c r="L2705" s="2">
        <v>188.0</v>
      </c>
      <c r="M2705" s="37">
        <v>1255.1000000000001</v>
      </c>
    </row>
    <row r="2706" ht="14.25" customHeight="1">
      <c r="A2706" t="s">
        <v>2767</v>
      </c>
      <c r="B2706" t="s">
        <v>2727</v>
      </c>
      <c r="C2706" t="s">
        <v>75</v>
      </c>
      <c r="D2706" t="s">
        <v>63</v>
      </c>
      <c r="E2706">
        <v>12.5</v>
      </c>
      <c r="F2706">
        <v>14.0</v>
      </c>
      <c r="G2706" s="2" t="s">
        <v>67</v>
      </c>
      <c r="H2706" s="2">
        <v>38.0</v>
      </c>
      <c r="I2706" s="2">
        <v>59.0</v>
      </c>
      <c r="J2706" s="37">
        <v>930.1800000000001</v>
      </c>
      <c r="K2706" s="2">
        <v>45.0</v>
      </c>
      <c r="L2706" s="2">
        <v>188.0</v>
      </c>
      <c r="M2706" s="37">
        <v>1255.1000000000001</v>
      </c>
    </row>
    <row r="2707" ht="14.25" customHeight="1">
      <c r="A2707" t="s">
        <v>2768</v>
      </c>
      <c r="B2707" t="s">
        <v>2727</v>
      </c>
      <c r="C2707" t="s">
        <v>75</v>
      </c>
      <c r="D2707" t="s">
        <v>63</v>
      </c>
      <c r="E2707">
        <v>12.5</v>
      </c>
      <c r="F2707">
        <v>14.0</v>
      </c>
      <c r="G2707" s="2" t="s">
        <v>67</v>
      </c>
      <c r="H2707" s="2">
        <v>38.0</v>
      </c>
      <c r="I2707" s="2">
        <v>59.0</v>
      </c>
      <c r="J2707" s="37">
        <v>930.1800000000001</v>
      </c>
      <c r="K2707" s="2">
        <v>45.0</v>
      </c>
      <c r="L2707" s="2">
        <v>188.0</v>
      </c>
      <c r="M2707" s="37">
        <v>1255.1000000000001</v>
      </c>
    </row>
    <row r="2708" ht="14.25" customHeight="1">
      <c r="A2708" t="s">
        <v>2769</v>
      </c>
      <c r="B2708" t="s">
        <v>2727</v>
      </c>
      <c r="C2708" t="s">
        <v>75</v>
      </c>
      <c r="D2708" t="s">
        <v>63</v>
      </c>
      <c r="E2708">
        <v>14.0</v>
      </c>
      <c r="F2708">
        <v>16.0</v>
      </c>
      <c r="G2708" s="2" t="s">
        <v>64</v>
      </c>
      <c r="H2708" s="2">
        <v>0.0</v>
      </c>
      <c r="I2708" s="2">
        <v>0.0</v>
      </c>
      <c r="J2708" s="37">
        <v>0.0</v>
      </c>
      <c r="K2708" s="2">
        <v>0.0</v>
      </c>
      <c r="L2708" s="2">
        <v>0.0</v>
      </c>
      <c r="M2708" s="37">
        <v>0.0</v>
      </c>
    </row>
    <row r="2709" ht="14.25" customHeight="1">
      <c r="A2709" t="s">
        <v>2770</v>
      </c>
      <c r="B2709" t="s">
        <v>2727</v>
      </c>
      <c r="C2709" t="s">
        <v>75</v>
      </c>
      <c r="D2709" t="s">
        <v>63</v>
      </c>
      <c r="E2709">
        <v>14.0</v>
      </c>
      <c r="F2709">
        <v>16.0</v>
      </c>
      <c r="G2709" s="2" t="s">
        <v>64</v>
      </c>
      <c r="H2709" s="2">
        <v>0.0</v>
      </c>
      <c r="I2709" s="2">
        <v>0.0</v>
      </c>
      <c r="J2709" s="37">
        <v>0.0</v>
      </c>
      <c r="K2709" s="2">
        <v>0.0</v>
      </c>
      <c r="L2709" s="2">
        <v>0.0</v>
      </c>
      <c r="M2709" s="37">
        <v>0.0</v>
      </c>
    </row>
    <row r="2710" ht="14.25" customHeight="1">
      <c r="A2710" t="s">
        <v>2771</v>
      </c>
      <c r="B2710" t="s">
        <v>2727</v>
      </c>
      <c r="C2710" t="s">
        <v>75</v>
      </c>
      <c r="D2710" t="s">
        <v>63</v>
      </c>
      <c r="E2710">
        <v>14.0</v>
      </c>
      <c r="F2710">
        <v>16.0</v>
      </c>
      <c r="G2710" s="2" t="s">
        <v>64</v>
      </c>
      <c r="H2710" s="2">
        <v>0.0</v>
      </c>
      <c r="I2710" s="2">
        <v>0.0</v>
      </c>
      <c r="J2710" s="37">
        <v>0.0</v>
      </c>
      <c r="K2710" s="2">
        <v>0.0</v>
      </c>
      <c r="L2710" s="2">
        <v>0.0</v>
      </c>
      <c r="M2710" s="37">
        <v>0.0</v>
      </c>
    </row>
    <row r="2711" ht="14.25" customHeight="1">
      <c r="A2711" t="s">
        <v>2772</v>
      </c>
      <c r="B2711" t="s">
        <v>2727</v>
      </c>
      <c r="C2711" t="s">
        <v>75</v>
      </c>
      <c r="D2711" t="s">
        <v>63</v>
      </c>
      <c r="E2711">
        <v>14.0</v>
      </c>
      <c r="F2711">
        <v>16.0</v>
      </c>
      <c r="G2711" s="2" t="s">
        <v>64</v>
      </c>
      <c r="H2711" s="2">
        <v>0.0</v>
      </c>
      <c r="I2711" s="2">
        <v>0.0</v>
      </c>
      <c r="J2711" s="37">
        <v>0.0</v>
      </c>
      <c r="K2711" s="2">
        <v>0.0</v>
      </c>
      <c r="L2711" s="2">
        <v>0.0</v>
      </c>
      <c r="M2711" s="37">
        <v>0.0</v>
      </c>
    </row>
    <row r="2712" ht="14.25" customHeight="1">
      <c r="A2712" t="s">
        <v>2773</v>
      </c>
      <c r="B2712" t="s">
        <v>2727</v>
      </c>
      <c r="C2712" t="s">
        <v>75</v>
      </c>
      <c r="D2712" t="s">
        <v>63</v>
      </c>
      <c r="E2712">
        <v>14.0</v>
      </c>
      <c r="F2712">
        <v>16.0</v>
      </c>
      <c r="G2712" s="2" t="s">
        <v>64</v>
      </c>
      <c r="H2712" s="2">
        <v>0.0</v>
      </c>
      <c r="I2712" s="2">
        <v>0.0</v>
      </c>
      <c r="J2712" s="37">
        <v>0.0</v>
      </c>
      <c r="K2712" s="2">
        <v>0.0</v>
      </c>
      <c r="L2712" s="2">
        <v>0.0</v>
      </c>
      <c r="M2712" s="37">
        <v>0.0</v>
      </c>
    </row>
    <row r="2713" ht="14.25" customHeight="1">
      <c r="A2713" t="s">
        <v>2774</v>
      </c>
      <c r="B2713" t="s">
        <v>2727</v>
      </c>
      <c r="C2713" t="s">
        <v>75</v>
      </c>
      <c r="D2713" t="s">
        <v>63</v>
      </c>
      <c r="E2713">
        <v>14.0</v>
      </c>
      <c r="F2713">
        <v>16.0</v>
      </c>
      <c r="G2713" s="2" t="s">
        <v>64</v>
      </c>
      <c r="H2713" s="2">
        <v>0.0</v>
      </c>
      <c r="I2713" s="2">
        <v>0.0</v>
      </c>
      <c r="J2713" s="37">
        <v>0.0</v>
      </c>
      <c r="K2713" s="2">
        <v>0.0</v>
      </c>
      <c r="L2713" s="2">
        <v>0.0</v>
      </c>
      <c r="M2713" s="37">
        <v>0.0</v>
      </c>
    </row>
    <row r="2714" ht="14.25" customHeight="1">
      <c r="A2714" t="s">
        <v>2775</v>
      </c>
      <c r="B2714" t="s">
        <v>2727</v>
      </c>
      <c r="C2714" t="s">
        <v>75</v>
      </c>
      <c r="D2714" t="s">
        <v>63</v>
      </c>
      <c r="E2714">
        <v>12.5</v>
      </c>
      <c r="F2714">
        <v>14.0</v>
      </c>
      <c r="G2714" s="2" t="s">
        <v>64</v>
      </c>
      <c r="H2714" s="2">
        <v>0.0</v>
      </c>
      <c r="I2714" s="2">
        <v>0.0</v>
      </c>
      <c r="J2714" s="37">
        <v>0.0</v>
      </c>
      <c r="K2714" s="2">
        <v>0.0</v>
      </c>
      <c r="L2714" s="2">
        <v>0.0</v>
      </c>
      <c r="M2714" s="37">
        <v>0.0</v>
      </c>
    </row>
    <row r="2715" ht="14.25" customHeight="1">
      <c r="A2715" t="s">
        <v>2776</v>
      </c>
      <c r="B2715" t="s">
        <v>2727</v>
      </c>
      <c r="C2715" t="s">
        <v>75</v>
      </c>
      <c r="D2715" t="s">
        <v>63</v>
      </c>
      <c r="E2715">
        <v>12.5</v>
      </c>
      <c r="F2715">
        <v>14.0</v>
      </c>
      <c r="G2715" s="2" t="s">
        <v>64</v>
      </c>
      <c r="H2715" s="2">
        <v>0.0</v>
      </c>
      <c r="I2715" s="2">
        <v>0.0</v>
      </c>
      <c r="J2715" s="37">
        <v>0.0</v>
      </c>
      <c r="K2715" s="2">
        <v>0.0</v>
      </c>
      <c r="L2715" s="2">
        <v>0.0</v>
      </c>
      <c r="M2715" s="37">
        <v>0.0</v>
      </c>
    </row>
    <row r="2716" ht="14.25" customHeight="1">
      <c r="A2716" t="s">
        <v>2777</v>
      </c>
      <c r="B2716" t="s">
        <v>2727</v>
      </c>
      <c r="C2716" t="s">
        <v>75</v>
      </c>
      <c r="D2716" t="s">
        <v>63</v>
      </c>
      <c r="E2716">
        <v>12.5</v>
      </c>
      <c r="F2716">
        <v>14.0</v>
      </c>
      <c r="G2716" s="2" t="s">
        <v>64</v>
      </c>
      <c r="H2716" s="2">
        <v>0.0</v>
      </c>
      <c r="I2716" s="2">
        <v>0.0</v>
      </c>
      <c r="J2716" s="37">
        <v>0.0</v>
      </c>
      <c r="K2716" s="2">
        <v>0.0</v>
      </c>
      <c r="L2716" s="2">
        <v>0.0</v>
      </c>
      <c r="M2716" s="37">
        <v>0.0</v>
      </c>
    </row>
    <row r="2717" ht="14.25" customHeight="1">
      <c r="A2717" t="s">
        <v>2778</v>
      </c>
      <c r="B2717" t="s">
        <v>2727</v>
      </c>
      <c r="C2717" t="s">
        <v>75</v>
      </c>
      <c r="D2717" t="s">
        <v>63</v>
      </c>
      <c r="E2717">
        <v>12.5</v>
      </c>
      <c r="F2717">
        <v>14.0</v>
      </c>
      <c r="G2717" s="2" t="s">
        <v>64</v>
      </c>
      <c r="H2717" s="2">
        <v>0.0</v>
      </c>
      <c r="I2717" s="2">
        <v>0.0</v>
      </c>
      <c r="J2717" s="37">
        <v>0.0</v>
      </c>
      <c r="K2717" s="2">
        <v>0.0</v>
      </c>
      <c r="L2717" s="2">
        <v>0.0</v>
      </c>
      <c r="M2717" s="37">
        <v>0.0</v>
      </c>
    </row>
    <row r="2718" ht="14.25" customHeight="1">
      <c r="A2718" t="s">
        <v>2779</v>
      </c>
      <c r="B2718" t="s">
        <v>2727</v>
      </c>
      <c r="C2718" t="s">
        <v>75</v>
      </c>
      <c r="D2718" t="s">
        <v>63</v>
      </c>
      <c r="E2718">
        <v>12.5</v>
      </c>
      <c r="F2718">
        <v>14.0</v>
      </c>
      <c r="G2718" s="2" t="s">
        <v>64</v>
      </c>
      <c r="H2718" s="2">
        <v>0.0</v>
      </c>
      <c r="I2718" s="2">
        <v>0.0</v>
      </c>
      <c r="J2718" s="37">
        <v>0.0</v>
      </c>
      <c r="K2718" s="2">
        <v>0.0</v>
      </c>
      <c r="L2718" s="2">
        <v>0.0</v>
      </c>
      <c r="M2718" s="37">
        <v>0.0</v>
      </c>
    </row>
    <row r="2719" ht="14.25" customHeight="1">
      <c r="A2719" t="s">
        <v>2780</v>
      </c>
      <c r="B2719" t="s">
        <v>2727</v>
      </c>
      <c r="C2719" t="s">
        <v>75</v>
      </c>
      <c r="D2719" t="s">
        <v>63</v>
      </c>
      <c r="E2719">
        <v>12.5</v>
      </c>
      <c r="F2719">
        <v>14.0</v>
      </c>
      <c r="G2719" s="2" t="s">
        <v>64</v>
      </c>
      <c r="H2719" s="2">
        <v>0.0</v>
      </c>
      <c r="I2719" s="2">
        <v>0.0</v>
      </c>
      <c r="J2719" s="37">
        <v>0.0</v>
      </c>
      <c r="K2719" s="2">
        <v>0.0</v>
      </c>
      <c r="L2719" s="2">
        <v>0.0</v>
      </c>
      <c r="M2719" s="37">
        <v>0.0</v>
      </c>
    </row>
    <row r="2720" ht="14.25" customHeight="1">
      <c r="A2720" t="s">
        <v>2781</v>
      </c>
      <c r="B2720" t="s">
        <v>2727</v>
      </c>
      <c r="C2720" t="s">
        <v>75</v>
      </c>
      <c r="D2720" t="s">
        <v>63</v>
      </c>
      <c r="E2720">
        <v>16.0</v>
      </c>
      <c r="F2720">
        <v>18.0</v>
      </c>
      <c r="G2720" s="2" t="s">
        <v>64</v>
      </c>
      <c r="H2720" s="2">
        <v>0.0</v>
      </c>
      <c r="I2720" s="2">
        <v>0.0</v>
      </c>
      <c r="J2720" s="37">
        <v>0.0</v>
      </c>
      <c r="K2720" s="2">
        <v>0.0</v>
      </c>
      <c r="L2720" s="2">
        <v>0.0</v>
      </c>
      <c r="M2720" s="37">
        <v>0.0</v>
      </c>
    </row>
    <row r="2721" ht="14.25" customHeight="1">
      <c r="A2721" t="s">
        <v>2782</v>
      </c>
      <c r="B2721" t="s">
        <v>2727</v>
      </c>
      <c r="C2721" t="s">
        <v>75</v>
      </c>
      <c r="D2721" t="s">
        <v>63</v>
      </c>
      <c r="E2721">
        <v>20.0</v>
      </c>
      <c r="F2721">
        <v>22.4</v>
      </c>
      <c r="G2721" s="2" t="s">
        <v>64</v>
      </c>
      <c r="H2721" s="2">
        <v>0.0</v>
      </c>
      <c r="I2721" s="2">
        <v>0.0</v>
      </c>
      <c r="J2721" s="37">
        <v>0.0</v>
      </c>
      <c r="K2721" s="2">
        <v>0.0</v>
      </c>
      <c r="L2721" s="2">
        <v>0.0</v>
      </c>
      <c r="M2721" s="37">
        <v>0.0</v>
      </c>
    </row>
    <row r="2722" ht="14.25" customHeight="1">
      <c r="A2722" t="s">
        <v>2783</v>
      </c>
      <c r="B2722" t="s">
        <v>2727</v>
      </c>
      <c r="C2722" t="s">
        <v>62</v>
      </c>
      <c r="D2722" t="s">
        <v>63</v>
      </c>
      <c r="E2722">
        <v>10.0</v>
      </c>
      <c r="F2722">
        <v>11.2</v>
      </c>
      <c r="G2722" s="2" t="s">
        <v>64</v>
      </c>
      <c r="H2722" s="2">
        <v>0.0</v>
      </c>
      <c r="I2722" s="2">
        <v>0.0</v>
      </c>
      <c r="J2722" s="37">
        <v>0.0</v>
      </c>
      <c r="K2722" s="2">
        <v>0.0</v>
      </c>
      <c r="L2722" s="2">
        <v>0.0</v>
      </c>
      <c r="M2722" s="37">
        <v>0.0</v>
      </c>
    </row>
    <row r="2723" ht="14.25" customHeight="1">
      <c r="A2723" t="s">
        <v>2784</v>
      </c>
      <c r="B2723" t="s">
        <v>2727</v>
      </c>
      <c r="C2723" t="s">
        <v>62</v>
      </c>
      <c r="D2723" t="s">
        <v>63</v>
      </c>
      <c r="E2723">
        <v>10.0</v>
      </c>
      <c r="F2723">
        <v>11.2</v>
      </c>
      <c r="G2723" s="2" t="s">
        <v>64</v>
      </c>
      <c r="H2723" s="2">
        <v>0.0</v>
      </c>
      <c r="I2723" s="2">
        <v>0.0</v>
      </c>
      <c r="J2723" s="37">
        <v>0.0</v>
      </c>
      <c r="K2723" s="2">
        <v>0.0</v>
      </c>
      <c r="L2723" s="2">
        <v>0.0</v>
      </c>
      <c r="M2723" s="37">
        <v>0.0</v>
      </c>
    </row>
    <row r="2724" ht="14.25" customHeight="1">
      <c r="A2724" t="s">
        <v>2785</v>
      </c>
      <c r="B2724" t="s">
        <v>2727</v>
      </c>
      <c r="C2724" t="s">
        <v>62</v>
      </c>
      <c r="D2724" t="s">
        <v>63</v>
      </c>
      <c r="E2724">
        <v>10.0</v>
      </c>
      <c r="F2724">
        <v>11.2</v>
      </c>
      <c r="G2724" s="2" t="s">
        <v>64</v>
      </c>
      <c r="H2724" s="2">
        <v>0.0</v>
      </c>
      <c r="I2724" s="2">
        <v>0.0</v>
      </c>
      <c r="J2724" s="37">
        <v>0.0</v>
      </c>
      <c r="K2724" s="2">
        <v>0.0</v>
      </c>
      <c r="L2724" s="2">
        <v>0.0</v>
      </c>
      <c r="M2724" s="37">
        <v>0.0</v>
      </c>
    </row>
    <row r="2725" ht="14.25" customHeight="1">
      <c r="A2725" t="s">
        <v>2786</v>
      </c>
      <c r="B2725" t="s">
        <v>2727</v>
      </c>
      <c r="C2725" t="s">
        <v>62</v>
      </c>
      <c r="D2725" t="s">
        <v>63</v>
      </c>
      <c r="E2725">
        <v>10.0</v>
      </c>
      <c r="F2725">
        <v>11.2</v>
      </c>
      <c r="G2725" s="2" t="s">
        <v>64</v>
      </c>
      <c r="H2725" s="2">
        <v>0.0</v>
      </c>
      <c r="I2725" s="2">
        <v>0.0</v>
      </c>
      <c r="J2725" s="37">
        <v>0.0</v>
      </c>
      <c r="K2725" s="2">
        <v>0.0</v>
      </c>
      <c r="L2725" s="2">
        <v>0.0</v>
      </c>
      <c r="M2725" s="37">
        <v>0.0</v>
      </c>
    </row>
    <row r="2726" ht="14.25" customHeight="1">
      <c r="A2726" t="s">
        <v>2787</v>
      </c>
      <c r="B2726" t="s">
        <v>2727</v>
      </c>
      <c r="C2726" t="s">
        <v>62</v>
      </c>
      <c r="D2726" t="s">
        <v>63</v>
      </c>
      <c r="E2726">
        <v>10.0</v>
      </c>
      <c r="F2726">
        <v>11.2</v>
      </c>
      <c r="G2726" s="2" t="s">
        <v>64</v>
      </c>
      <c r="H2726" s="2">
        <v>0.0</v>
      </c>
      <c r="I2726" s="2">
        <v>0.0</v>
      </c>
      <c r="J2726" s="37">
        <v>0.0</v>
      </c>
      <c r="K2726" s="2">
        <v>0.0</v>
      </c>
      <c r="L2726" s="2">
        <v>0.0</v>
      </c>
      <c r="M2726" s="37">
        <v>0.0</v>
      </c>
    </row>
    <row r="2727" ht="14.25" customHeight="1">
      <c r="A2727" t="s">
        <v>2788</v>
      </c>
      <c r="B2727" t="s">
        <v>2727</v>
      </c>
      <c r="C2727" t="s">
        <v>62</v>
      </c>
      <c r="D2727" t="s">
        <v>63</v>
      </c>
      <c r="E2727">
        <v>10.0</v>
      </c>
      <c r="F2727">
        <v>11.2</v>
      </c>
      <c r="G2727" s="2" t="s">
        <v>64</v>
      </c>
      <c r="H2727" s="2">
        <v>0.0</v>
      </c>
      <c r="I2727" s="2">
        <v>0.0</v>
      </c>
      <c r="J2727" s="37">
        <v>0.0</v>
      </c>
      <c r="K2727" s="2">
        <v>0.0</v>
      </c>
      <c r="L2727" s="2">
        <v>0.0</v>
      </c>
      <c r="M2727" s="37">
        <v>0.0</v>
      </c>
    </row>
    <row r="2728" ht="14.25" customHeight="1">
      <c r="A2728" t="s">
        <v>2789</v>
      </c>
      <c r="B2728" t="s">
        <v>2727</v>
      </c>
      <c r="C2728" t="s">
        <v>75</v>
      </c>
      <c r="D2728" t="s">
        <v>63</v>
      </c>
      <c r="E2728">
        <v>20.0</v>
      </c>
      <c r="F2728">
        <v>22.4</v>
      </c>
      <c r="G2728" s="2" t="s">
        <v>64</v>
      </c>
      <c r="H2728" s="2">
        <v>0.0</v>
      </c>
      <c r="I2728" s="2">
        <v>0.0</v>
      </c>
      <c r="J2728" s="37">
        <v>0.0</v>
      </c>
      <c r="K2728" s="2">
        <v>0.0</v>
      </c>
      <c r="L2728" s="2">
        <v>0.0</v>
      </c>
      <c r="M2728" s="37">
        <v>0.0</v>
      </c>
    </row>
    <row r="2729" ht="14.25" customHeight="1">
      <c r="A2729" t="s">
        <v>2790</v>
      </c>
      <c r="B2729" t="s">
        <v>2727</v>
      </c>
      <c r="C2729" t="s">
        <v>75</v>
      </c>
      <c r="D2729" t="s">
        <v>63</v>
      </c>
      <c r="E2729">
        <v>16.0</v>
      </c>
      <c r="F2729">
        <v>18.0</v>
      </c>
      <c r="G2729" s="2" t="s">
        <v>64</v>
      </c>
      <c r="H2729" s="2">
        <v>0.0</v>
      </c>
      <c r="I2729" s="2">
        <v>0.0</v>
      </c>
      <c r="J2729" s="37">
        <v>0.0</v>
      </c>
      <c r="K2729" s="2">
        <v>0.0</v>
      </c>
      <c r="L2729" s="2">
        <v>0.0</v>
      </c>
      <c r="M2729" s="37">
        <v>0.0</v>
      </c>
    </row>
    <row r="2730" ht="14.25" customHeight="1">
      <c r="A2730" t="s">
        <v>2791</v>
      </c>
      <c r="B2730" t="s">
        <v>2727</v>
      </c>
      <c r="C2730" t="s">
        <v>62</v>
      </c>
      <c r="D2730" t="s">
        <v>63</v>
      </c>
      <c r="E2730">
        <v>12.1</v>
      </c>
      <c r="F2730">
        <v>12.1</v>
      </c>
      <c r="G2730" s="2" t="s">
        <v>64</v>
      </c>
      <c r="H2730" s="2">
        <v>0.0</v>
      </c>
      <c r="I2730" s="2">
        <v>0.0</v>
      </c>
      <c r="J2730" s="37">
        <v>0.0</v>
      </c>
      <c r="K2730" s="2">
        <v>0.0</v>
      </c>
      <c r="L2730" s="2">
        <v>0.0</v>
      </c>
      <c r="M2730" s="37">
        <v>0.0</v>
      </c>
    </row>
    <row r="2731" ht="14.25" customHeight="1">
      <c r="A2731" t="s">
        <v>2792</v>
      </c>
      <c r="B2731" t="s">
        <v>2727</v>
      </c>
      <c r="C2731" t="s">
        <v>62</v>
      </c>
      <c r="D2731" t="s">
        <v>63</v>
      </c>
      <c r="E2731">
        <v>12.1</v>
      </c>
      <c r="F2731">
        <v>12.1</v>
      </c>
      <c r="G2731" s="2" t="s">
        <v>64</v>
      </c>
      <c r="H2731" s="2">
        <v>0.0</v>
      </c>
      <c r="I2731" s="2">
        <v>0.0</v>
      </c>
      <c r="J2731" s="37">
        <v>0.0</v>
      </c>
      <c r="K2731" s="2">
        <v>0.0</v>
      </c>
      <c r="L2731" s="2">
        <v>0.0</v>
      </c>
      <c r="M2731" s="37">
        <v>0.0</v>
      </c>
    </row>
    <row r="2732" ht="14.25" customHeight="1">
      <c r="A2732" t="s">
        <v>2793</v>
      </c>
      <c r="B2732" t="s">
        <v>2727</v>
      </c>
      <c r="C2732" t="s">
        <v>62</v>
      </c>
      <c r="D2732" t="s">
        <v>63</v>
      </c>
      <c r="E2732">
        <v>12.1</v>
      </c>
      <c r="F2732">
        <v>12.1</v>
      </c>
      <c r="G2732" s="2" t="s">
        <v>64</v>
      </c>
      <c r="H2732" s="2">
        <v>0.0</v>
      </c>
      <c r="I2732" s="2">
        <v>0.0</v>
      </c>
      <c r="J2732" s="37">
        <v>0.0</v>
      </c>
      <c r="K2732" s="2">
        <v>0.0</v>
      </c>
      <c r="L2732" s="2">
        <v>0.0</v>
      </c>
      <c r="M2732" s="37">
        <v>0.0</v>
      </c>
    </row>
    <row r="2733" ht="14.25" customHeight="1">
      <c r="A2733" t="s">
        <v>2794</v>
      </c>
      <c r="B2733" t="s">
        <v>2727</v>
      </c>
      <c r="C2733" t="s">
        <v>62</v>
      </c>
      <c r="D2733" t="s">
        <v>63</v>
      </c>
      <c r="E2733">
        <v>12.1</v>
      </c>
      <c r="F2733">
        <v>12.1</v>
      </c>
      <c r="G2733" s="2" t="s">
        <v>64</v>
      </c>
      <c r="H2733" s="2">
        <v>0.0</v>
      </c>
      <c r="I2733" s="2">
        <v>0.0</v>
      </c>
      <c r="J2733" s="37">
        <v>0.0</v>
      </c>
      <c r="K2733" s="2">
        <v>0.0</v>
      </c>
      <c r="L2733" s="2">
        <v>0.0</v>
      </c>
      <c r="M2733" s="37">
        <v>0.0</v>
      </c>
    </row>
    <row r="2734" ht="14.25" customHeight="1">
      <c r="A2734" t="s">
        <v>2795</v>
      </c>
      <c r="B2734" t="s">
        <v>2727</v>
      </c>
      <c r="C2734" t="s">
        <v>62</v>
      </c>
      <c r="D2734" t="s">
        <v>63</v>
      </c>
      <c r="E2734">
        <v>12.1</v>
      </c>
      <c r="F2734">
        <v>12.1</v>
      </c>
      <c r="G2734" s="2" t="s">
        <v>64</v>
      </c>
      <c r="H2734" s="2">
        <v>0.0</v>
      </c>
      <c r="I2734" s="2">
        <v>0.0</v>
      </c>
      <c r="J2734" s="37">
        <v>0.0</v>
      </c>
      <c r="K2734" s="2">
        <v>0.0</v>
      </c>
      <c r="L2734" s="2">
        <v>0.0</v>
      </c>
      <c r="M2734" s="37">
        <v>0.0</v>
      </c>
    </row>
    <row r="2735" ht="14.25" customHeight="1">
      <c r="A2735" t="s">
        <v>2796</v>
      </c>
      <c r="B2735" t="s">
        <v>2727</v>
      </c>
      <c r="C2735" t="s">
        <v>62</v>
      </c>
      <c r="D2735" t="s">
        <v>63</v>
      </c>
      <c r="E2735">
        <v>12.1</v>
      </c>
      <c r="F2735">
        <v>12.1</v>
      </c>
      <c r="G2735" s="2" t="s">
        <v>64</v>
      </c>
      <c r="H2735" s="2">
        <v>0.0</v>
      </c>
      <c r="I2735" s="2">
        <v>0.0</v>
      </c>
      <c r="J2735" s="37">
        <v>0.0</v>
      </c>
      <c r="K2735" s="2">
        <v>0.0</v>
      </c>
      <c r="L2735" s="2">
        <v>0.0</v>
      </c>
      <c r="M2735" s="37">
        <v>0.0</v>
      </c>
    </row>
    <row r="2736" ht="14.25" customHeight="1">
      <c r="A2736" t="s">
        <v>2797</v>
      </c>
      <c r="B2736" t="s">
        <v>2727</v>
      </c>
      <c r="C2736" t="s">
        <v>75</v>
      </c>
      <c r="D2736" t="s">
        <v>63</v>
      </c>
      <c r="E2736">
        <v>12.1</v>
      </c>
      <c r="F2736">
        <v>12.1</v>
      </c>
      <c r="G2736" s="2" t="s">
        <v>64</v>
      </c>
      <c r="H2736" s="2">
        <v>0.0</v>
      </c>
      <c r="I2736" s="2">
        <v>0.0</v>
      </c>
      <c r="J2736" s="37">
        <v>0.0</v>
      </c>
      <c r="K2736" s="2">
        <v>0.0</v>
      </c>
      <c r="L2736" s="2">
        <v>0.0</v>
      </c>
      <c r="M2736" s="37">
        <v>0.0</v>
      </c>
    </row>
    <row r="2737" ht="14.25" customHeight="1">
      <c r="A2737" t="s">
        <v>2798</v>
      </c>
      <c r="B2737" t="s">
        <v>2727</v>
      </c>
      <c r="C2737" t="s">
        <v>75</v>
      </c>
      <c r="D2737" t="s">
        <v>63</v>
      </c>
      <c r="E2737">
        <v>12.1</v>
      </c>
      <c r="F2737">
        <v>12.1</v>
      </c>
      <c r="G2737" s="2" t="s">
        <v>64</v>
      </c>
      <c r="H2737" s="2">
        <v>0.0</v>
      </c>
      <c r="I2737" s="2">
        <v>0.0</v>
      </c>
      <c r="J2737" s="37">
        <v>0.0</v>
      </c>
      <c r="K2737" s="2">
        <v>0.0</v>
      </c>
      <c r="L2737" s="2">
        <v>0.0</v>
      </c>
      <c r="M2737" s="37">
        <v>0.0</v>
      </c>
    </row>
    <row r="2738" ht="14.25" customHeight="1">
      <c r="A2738" t="s">
        <v>2799</v>
      </c>
      <c r="B2738" t="s">
        <v>2727</v>
      </c>
      <c r="C2738" t="s">
        <v>75</v>
      </c>
      <c r="D2738" t="s">
        <v>63</v>
      </c>
      <c r="E2738">
        <v>12.1</v>
      </c>
      <c r="F2738">
        <v>12.1</v>
      </c>
      <c r="G2738" s="2" t="s">
        <v>64</v>
      </c>
      <c r="H2738" s="2">
        <v>0.0</v>
      </c>
      <c r="I2738" s="2">
        <v>0.0</v>
      </c>
      <c r="J2738" s="37">
        <v>0.0</v>
      </c>
      <c r="K2738" s="2">
        <v>0.0</v>
      </c>
      <c r="L2738" s="2">
        <v>0.0</v>
      </c>
      <c r="M2738" s="37">
        <v>0.0</v>
      </c>
    </row>
    <row r="2739" ht="14.25" customHeight="1">
      <c r="A2739" t="s">
        <v>2800</v>
      </c>
      <c r="B2739" t="s">
        <v>2727</v>
      </c>
      <c r="C2739" t="s">
        <v>75</v>
      </c>
      <c r="D2739" t="s">
        <v>63</v>
      </c>
      <c r="E2739">
        <v>12.1</v>
      </c>
      <c r="F2739">
        <v>12.1</v>
      </c>
      <c r="G2739" s="2" t="s">
        <v>64</v>
      </c>
      <c r="H2739" s="2">
        <v>0.0</v>
      </c>
      <c r="I2739" s="2">
        <v>0.0</v>
      </c>
      <c r="J2739" s="37">
        <v>0.0</v>
      </c>
      <c r="K2739" s="2">
        <v>0.0</v>
      </c>
      <c r="L2739" s="2">
        <v>0.0</v>
      </c>
      <c r="M2739" s="37">
        <v>0.0</v>
      </c>
    </row>
    <row r="2740" ht="14.25" customHeight="1">
      <c r="A2740" t="s">
        <v>2801</v>
      </c>
      <c r="B2740" t="s">
        <v>2727</v>
      </c>
      <c r="C2740" t="s">
        <v>75</v>
      </c>
      <c r="D2740" t="s">
        <v>63</v>
      </c>
      <c r="E2740">
        <v>12.1</v>
      </c>
      <c r="F2740">
        <v>12.1</v>
      </c>
      <c r="G2740" s="2" t="s">
        <v>64</v>
      </c>
      <c r="H2740" s="2">
        <v>0.0</v>
      </c>
      <c r="I2740" s="2">
        <v>0.0</v>
      </c>
      <c r="J2740" s="37">
        <v>0.0</v>
      </c>
      <c r="K2740" s="2">
        <v>0.0</v>
      </c>
      <c r="L2740" s="2">
        <v>0.0</v>
      </c>
      <c r="M2740" s="37">
        <v>0.0</v>
      </c>
    </row>
    <row r="2741" ht="14.25" customHeight="1">
      <c r="A2741" t="s">
        <v>2802</v>
      </c>
      <c r="B2741" t="s">
        <v>2727</v>
      </c>
      <c r="C2741" t="s">
        <v>75</v>
      </c>
      <c r="D2741" t="s">
        <v>63</v>
      </c>
      <c r="E2741">
        <v>12.1</v>
      </c>
      <c r="F2741">
        <v>12.1</v>
      </c>
      <c r="G2741" s="2" t="s">
        <v>64</v>
      </c>
      <c r="H2741" s="2">
        <v>0.0</v>
      </c>
      <c r="I2741" s="2">
        <v>0.0</v>
      </c>
      <c r="J2741" s="37">
        <v>0.0</v>
      </c>
      <c r="K2741" s="2">
        <v>0.0</v>
      </c>
      <c r="L2741" s="2">
        <v>0.0</v>
      </c>
      <c r="M2741" s="37">
        <v>0.0</v>
      </c>
    </row>
    <row r="2742" ht="14.25" customHeight="1">
      <c r="A2742" t="s">
        <v>2803</v>
      </c>
      <c r="B2742" t="s">
        <v>2727</v>
      </c>
      <c r="C2742" t="s">
        <v>62</v>
      </c>
      <c r="D2742" t="s">
        <v>63</v>
      </c>
      <c r="E2742">
        <v>5.0</v>
      </c>
      <c r="F2742">
        <v>5.4</v>
      </c>
      <c r="G2742" s="2" t="s">
        <v>64</v>
      </c>
      <c r="H2742" s="2">
        <v>0.0</v>
      </c>
      <c r="I2742" s="2">
        <v>0.0</v>
      </c>
      <c r="J2742" s="37">
        <v>0.0</v>
      </c>
      <c r="K2742" s="2">
        <v>0.0</v>
      </c>
      <c r="L2742" s="2">
        <v>0.0</v>
      </c>
      <c r="M2742" s="37">
        <v>0.0</v>
      </c>
    </row>
    <row r="2743" ht="14.25" customHeight="1">
      <c r="A2743" t="s">
        <v>2804</v>
      </c>
      <c r="B2743" t="s">
        <v>2727</v>
      </c>
      <c r="C2743" t="s">
        <v>62</v>
      </c>
      <c r="D2743" t="s">
        <v>63</v>
      </c>
      <c r="E2743">
        <v>5.6</v>
      </c>
      <c r="F2743">
        <v>6.7</v>
      </c>
      <c r="G2743" s="2" t="s">
        <v>64</v>
      </c>
      <c r="H2743" s="2">
        <v>0.0</v>
      </c>
      <c r="I2743" s="2">
        <v>0.0</v>
      </c>
      <c r="J2743" s="37">
        <v>0.0</v>
      </c>
      <c r="K2743" s="2">
        <v>0.0</v>
      </c>
      <c r="L2743" s="2">
        <v>0.0</v>
      </c>
      <c r="M2743" s="37">
        <v>0.0</v>
      </c>
    </row>
    <row r="2744" ht="14.25" customHeight="1">
      <c r="A2744" t="s">
        <v>2805</v>
      </c>
      <c r="B2744" t="s">
        <v>2727</v>
      </c>
      <c r="C2744" t="s">
        <v>62</v>
      </c>
      <c r="D2744" t="s">
        <v>63</v>
      </c>
      <c r="E2744">
        <v>1.5</v>
      </c>
      <c r="F2744">
        <v>2.0</v>
      </c>
      <c r="G2744" s="2" t="s">
        <v>64</v>
      </c>
      <c r="H2744" s="2">
        <v>0.0</v>
      </c>
      <c r="I2744" s="2">
        <v>0.0</v>
      </c>
      <c r="J2744" s="37">
        <v>0.0</v>
      </c>
      <c r="K2744" s="2">
        <v>0.0</v>
      </c>
      <c r="L2744" s="2">
        <v>0.0</v>
      </c>
      <c r="M2744" s="37">
        <v>0.0</v>
      </c>
    </row>
    <row r="2745" ht="14.25" customHeight="1">
      <c r="A2745" t="s">
        <v>2806</v>
      </c>
      <c r="B2745" t="s">
        <v>2727</v>
      </c>
      <c r="C2745" t="s">
        <v>62</v>
      </c>
      <c r="D2745" t="s">
        <v>63</v>
      </c>
      <c r="E2745">
        <v>1.5</v>
      </c>
      <c r="F2745">
        <v>2.0</v>
      </c>
      <c r="G2745" s="2" t="s">
        <v>64</v>
      </c>
      <c r="H2745" s="2">
        <v>0.0</v>
      </c>
      <c r="I2745" s="2">
        <v>0.0</v>
      </c>
      <c r="J2745" s="37">
        <v>0.0</v>
      </c>
      <c r="K2745" s="2">
        <v>0.0</v>
      </c>
      <c r="L2745" s="2">
        <v>0.0</v>
      </c>
      <c r="M2745" s="37">
        <v>0.0</v>
      </c>
    </row>
    <row r="2746" ht="14.25" customHeight="1">
      <c r="A2746" t="s">
        <v>2807</v>
      </c>
      <c r="B2746" t="s">
        <v>2727</v>
      </c>
      <c r="C2746" t="s">
        <v>62</v>
      </c>
      <c r="D2746" t="s">
        <v>63</v>
      </c>
      <c r="E2746">
        <v>1.5</v>
      </c>
      <c r="F2746">
        <v>2.0</v>
      </c>
      <c r="G2746" s="2" t="s">
        <v>64</v>
      </c>
      <c r="H2746" s="2">
        <v>0.0</v>
      </c>
      <c r="I2746" s="2">
        <v>0.0</v>
      </c>
      <c r="J2746" s="37">
        <v>0.0</v>
      </c>
      <c r="K2746" s="2">
        <v>0.0</v>
      </c>
      <c r="L2746" s="2">
        <v>0.0</v>
      </c>
      <c r="M2746" s="37">
        <v>0.0</v>
      </c>
    </row>
    <row r="2747" ht="14.25" customHeight="1">
      <c r="A2747" t="s">
        <v>2808</v>
      </c>
      <c r="B2747" t="s">
        <v>2727</v>
      </c>
      <c r="C2747" t="s">
        <v>62</v>
      </c>
      <c r="D2747" t="s">
        <v>63</v>
      </c>
      <c r="E2747">
        <v>1.5</v>
      </c>
      <c r="F2747">
        <v>2.0</v>
      </c>
      <c r="G2747" s="2" t="s">
        <v>64</v>
      </c>
      <c r="H2747" s="2">
        <v>0.0</v>
      </c>
      <c r="I2747" s="2">
        <v>0.0</v>
      </c>
      <c r="J2747" s="37">
        <v>0.0</v>
      </c>
      <c r="K2747" s="2">
        <v>0.0</v>
      </c>
      <c r="L2747" s="2">
        <v>0.0</v>
      </c>
      <c r="M2747" s="37">
        <v>0.0</v>
      </c>
    </row>
    <row r="2748" ht="14.25" customHeight="1">
      <c r="A2748" t="s">
        <v>2809</v>
      </c>
      <c r="B2748" t="s">
        <v>2727</v>
      </c>
      <c r="C2748" t="s">
        <v>62</v>
      </c>
      <c r="D2748" t="s">
        <v>63</v>
      </c>
      <c r="E2748">
        <v>1.5</v>
      </c>
      <c r="F2748">
        <v>2.0</v>
      </c>
      <c r="G2748" s="2" t="s">
        <v>64</v>
      </c>
      <c r="H2748" s="2">
        <v>0.0</v>
      </c>
      <c r="I2748" s="2">
        <v>0.0</v>
      </c>
      <c r="J2748" s="37">
        <v>0.0</v>
      </c>
      <c r="K2748" s="2">
        <v>0.0</v>
      </c>
      <c r="L2748" s="2">
        <v>0.0</v>
      </c>
      <c r="M2748" s="37">
        <v>0.0</v>
      </c>
    </row>
    <row r="2749" ht="14.25" customHeight="1">
      <c r="A2749" t="s">
        <v>2810</v>
      </c>
      <c r="B2749" t="s">
        <v>2727</v>
      </c>
      <c r="C2749" t="s">
        <v>62</v>
      </c>
      <c r="D2749" t="s">
        <v>63</v>
      </c>
      <c r="E2749">
        <v>2.0</v>
      </c>
      <c r="F2749">
        <v>2.7</v>
      </c>
      <c r="G2749" s="2" t="s">
        <v>64</v>
      </c>
      <c r="H2749" s="2">
        <v>0.0</v>
      </c>
      <c r="I2749" s="2">
        <v>0.0</v>
      </c>
      <c r="J2749" s="37">
        <v>0.0</v>
      </c>
      <c r="K2749" s="2">
        <v>0.0</v>
      </c>
      <c r="L2749" s="2">
        <v>0.0</v>
      </c>
      <c r="M2749" s="37">
        <v>0.0</v>
      </c>
    </row>
    <row r="2750" ht="14.25" customHeight="1">
      <c r="A2750" t="s">
        <v>2811</v>
      </c>
      <c r="B2750" t="s">
        <v>2727</v>
      </c>
      <c r="C2750" t="s">
        <v>62</v>
      </c>
      <c r="D2750" t="s">
        <v>63</v>
      </c>
      <c r="E2750">
        <v>2.0</v>
      </c>
      <c r="F2750">
        <v>2.7</v>
      </c>
      <c r="G2750" s="2" t="s">
        <v>64</v>
      </c>
      <c r="H2750" s="2">
        <v>0.0</v>
      </c>
      <c r="I2750" s="2">
        <v>0.0</v>
      </c>
      <c r="J2750" s="37">
        <v>0.0</v>
      </c>
      <c r="K2750" s="2">
        <v>0.0</v>
      </c>
      <c r="L2750" s="2">
        <v>0.0</v>
      </c>
      <c r="M2750" s="37">
        <v>0.0</v>
      </c>
    </row>
    <row r="2751" ht="14.25" customHeight="1">
      <c r="A2751" t="s">
        <v>2812</v>
      </c>
      <c r="B2751" t="s">
        <v>2727</v>
      </c>
      <c r="C2751" t="s">
        <v>62</v>
      </c>
      <c r="D2751" t="s">
        <v>63</v>
      </c>
      <c r="E2751">
        <v>2.0</v>
      </c>
      <c r="F2751">
        <v>2.7</v>
      </c>
      <c r="G2751" s="2" t="s">
        <v>64</v>
      </c>
      <c r="H2751" s="2">
        <v>0.0</v>
      </c>
      <c r="I2751" s="2">
        <v>0.0</v>
      </c>
      <c r="J2751" s="37">
        <v>0.0</v>
      </c>
      <c r="K2751" s="2">
        <v>0.0</v>
      </c>
      <c r="L2751" s="2">
        <v>0.0</v>
      </c>
      <c r="M2751" s="37">
        <v>0.0</v>
      </c>
    </row>
    <row r="2752" ht="14.25" customHeight="1">
      <c r="A2752" t="s">
        <v>2813</v>
      </c>
      <c r="B2752" t="s">
        <v>2727</v>
      </c>
      <c r="C2752" t="s">
        <v>62</v>
      </c>
      <c r="D2752" t="s">
        <v>63</v>
      </c>
      <c r="E2752">
        <v>2.0</v>
      </c>
      <c r="F2752">
        <v>2.7</v>
      </c>
      <c r="G2752" s="2" t="s">
        <v>64</v>
      </c>
      <c r="H2752" s="2">
        <v>0.0</v>
      </c>
      <c r="I2752" s="2">
        <v>0.0</v>
      </c>
      <c r="J2752" s="37">
        <v>0.0</v>
      </c>
      <c r="K2752" s="2">
        <v>0.0</v>
      </c>
      <c r="L2752" s="2">
        <v>0.0</v>
      </c>
      <c r="M2752" s="37">
        <v>0.0</v>
      </c>
    </row>
    <row r="2753" ht="14.25" customHeight="1">
      <c r="A2753" t="s">
        <v>2814</v>
      </c>
      <c r="B2753" t="s">
        <v>2727</v>
      </c>
      <c r="C2753" t="s">
        <v>62</v>
      </c>
      <c r="D2753" t="s">
        <v>63</v>
      </c>
      <c r="E2753">
        <v>2.0</v>
      </c>
      <c r="F2753">
        <v>2.7</v>
      </c>
      <c r="G2753" s="2" t="s">
        <v>64</v>
      </c>
      <c r="H2753" s="2">
        <v>0.0</v>
      </c>
      <c r="I2753" s="2">
        <v>0.0</v>
      </c>
      <c r="J2753" s="37">
        <v>0.0</v>
      </c>
      <c r="K2753" s="2">
        <v>0.0</v>
      </c>
      <c r="L2753" s="2">
        <v>0.0</v>
      </c>
      <c r="M2753" s="37">
        <v>0.0</v>
      </c>
    </row>
    <row r="2754" ht="14.25" customHeight="1">
      <c r="A2754" t="s">
        <v>2815</v>
      </c>
      <c r="B2754" t="s">
        <v>2727</v>
      </c>
      <c r="C2754" t="s">
        <v>62</v>
      </c>
      <c r="D2754" t="s">
        <v>63</v>
      </c>
      <c r="E2754">
        <v>2.5</v>
      </c>
      <c r="F2754">
        <v>3.0</v>
      </c>
      <c r="G2754" s="2" t="s">
        <v>64</v>
      </c>
      <c r="H2754" s="2">
        <v>0.0</v>
      </c>
      <c r="I2754" s="2">
        <v>0.0</v>
      </c>
      <c r="J2754" s="37">
        <v>0.0</v>
      </c>
      <c r="K2754" s="2">
        <v>0.0</v>
      </c>
      <c r="L2754" s="2">
        <v>0.0</v>
      </c>
      <c r="M2754" s="37">
        <v>0.0</v>
      </c>
    </row>
    <row r="2755" ht="14.25" customHeight="1">
      <c r="A2755" t="s">
        <v>2816</v>
      </c>
      <c r="B2755" t="s">
        <v>2727</v>
      </c>
      <c r="C2755" t="s">
        <v>62</v>
      </c>
      <c r="D2755" t="s">
        <v>63</v>
      </c>
      <c r="E2755">
        <v>2.5</v>
      </c>
      <c r="F2755">
        <v>3.0</v>
      </c>
      <c r="G2755" s="2" t="s">
        <v>64</v>
      </c>
      <c r="H2755" s="2">
        <v>0.0</v>
      </c>
      <c r="I2755" s="2">
        <v>0.0</v>
      </c>
      <c r="J2755" s="37">
        <v>0.0</v>
      </c>
      <c r="K2755" s="2">
        <v>0.0</v>
      </c>
      <c r="L2755" s="2">
        <v>0.0</v>
      </c>
      <c r="M2755" s="37">
        <v>0.0</v>
      </c>
    </row>
    <row r="2756" ht="14.25" customHeight="1">
      <c r="A2756" t="s">
        <v>2817</v>
      </c>
      <c r="B2756" t="s">
        <v>2727</v>
      </c>
      <c r="C2756" t="s">
        <v>62</v>
      </c>
      <c r="D2756" t="s">
        <v>63</v>
      </c>
      <c r="E2756">
        <v>2.5</v>
      </c>
      <c r="F2756">
        <v>3.0</v>
      </c>
      <c r="G2756" s="2" t="s">
        <v>64</v>
      </c>
      <c r="H2756" s="2">
        <v>0.0</v>
      </c>
      <c r="I2756" s="2">
        <v>0.0</v>
      </c>
      <c r="J2756" s="37">
        <v>0.0</v>
      </c>
      <c r="K2756" s="2">
        <v>0.0</v>
      </c>
      <c r="L2756" s="2">
        <v>0.0</v>
      </c>
      <c r="M2756" s="37">
        <v>0.0</v>
      </c>
    </row>
    <row r="2757" ht="14.25" customHeight="1">
      <c r="A2757" t="s">
        <v>2818</v>
      </c>
      <c r="B2757" t="s">
        <v>2727</v>
      </c>
      <c r="C2757" t="s">
        <v>62</v>
      </c>
      <c r="D2757" t="s">
        <v>63</v>
      </c>
      <c r="E2757">
        <v>2.5</v>
      </c>
      <c r="F2757">
        <v>3.0</v>
      </c>
      <c r="G2757" s="2" t="s">
        <v>64</v>
      </c>
      <c r="H2757" s="2">
        <v>0.0</v>
      </c>
      <c r="I2757" s="2">
        <v>0.0</v>
      </c>
      <c r="J2757" s="37">
        <v>0.0</v>
      </c>
      <c r="K2757" s="2">
        <v>0.0</v>
      </c>
      <c r="L2757" s="2">
        <v>0.0</v>
      </c>
      <c r="M2757" s="37">
        <v>0.0</v>
      </c>
    </row>
    <row r="2758" ht="14.25" customHeight="1">
      <c r="A2758" t="s">
        <v>2819</v>
      </c>
      <c r="B2758" t="s">
        <v>2727</v>
      </c>
      <c r="C2758" t="s">
        <v>62</v>
      </c>
      <c r="D2758" t="s">
        <v>63</v>
      </c>
      <c r="E2758">
        <v>2.5</v>
      </c>
      <c r="F2758">
        <v>3.0</v>
      </c>
      <c r="G2758" s="2" t="s">
        <v>64</v>
      </c>
      <c r="H2758" s="2">
        <v>0.0</v>
      </c>
      <c r="I2758" s="2">
        <v>0.0</v>
      </c>
      <c r="J2758" s="37">
        <v>0.0</v>
      </c>
      <c r="K2758" s="2">
        <v>0.0</v>
      </c>
      <c r="L2758" s="2">
        <v>0.0</v>
      </c>
      <c r="M2758" s="37">
        <v>0.0</v>
      </c>
    </row>
    <row r="2759" ht="14.25" customHeight="1">
      <c r="A2759" t="s">
        <v>2820</v>
      </c>
      <c r="B2759" t="s">
        <v>2727</v>
      </c>
      <c r="C2759" t="s">
        <v>62</v>
      </c>
      <c r="D2759" t="s">
        <v>63</v>
      </c>
      <c r="E2759">
        <v>5.0</v>
      </c>
      <c r="F2759">
        <v>5.8</v>
      </c>
      <c r="G2759" s="2" t="s">
        <v>64</v>
      </c>
      <c r="H2759" s="2">
        <v>0.0</v>
      </c>
      <c r="I2759" s="2">
        <v>0.0</v>
      </c>
      <c r="J2759" s="37">
        <v>0.0</v>
      </c>
      <c r="K2759" s="2">
        <v>0.0</v>
      </c>
      <c r="L2759" s="2">
        <v>0.0</v>
      </c>
      <c r="M2759" s="37">
        <v>0.0</v>
      </c>
    </row>
    <row r="2760" ht="14.25" customHeight="1">
      <c r="A2760" t="s">
        <v>2821</v>
      </c>
      <c r="B2760" t="s">
        <v>2727</v>
      </c>
      <c r="C2760" t="s">
        <v>62</v>
      </c>
      <c r="D2760" t="s">
        <v>63</v>
      </c>
      <c r="E2760">
        <v>5.0</v>
      </c>
      <c r="F2760">
        <v>5.8</v>
      </c>
      <c r="G2760" s="2" t="s">
        <v>64</v>
      </c>
      <c r="H2760" s="2">
        <v>0.0</v>
      </c>
      <c r="I2760" s="2">
        <v>0.0</v>
      </c>
      <c r="J2760" s="37">
        <v>0.0</v>
      </c>
      <c r="K2760" s="2">
        <v>0.0</v>
      </c>
      <c r="L2760" s="2">
        <v>0.0</v>
      </c>
      <c r="M2760" s="37">
        <v>0.0</v>
      </c>
    </row>
    <row r="2761" ht="14.25" customHeight="1">
      <c r="A2761" t="s">
        <v>2822</v>
      </c>
      <c r="B2761" t="s">
        <v>2727</v>
      </c>
      <c r="C2761" t="s">
        <v>62</v>
      </c>
      <c r="D2761" t="s">
        <v>63</v>
      </c>
      <c r="E2761">
        <v>5.0</v>
      </c>
      <c r="F2761">
        <v>5.8</v>
      </c>
      <c r="G2761" s="2" t="s">
        <v>64</v>
      </c>
      <c r="H2761" s="2">
        <v>0.0</v>
      </c>
      <c r="I2761" s="2">
        <v>0.0</v>
      </c>
      <c r="J2761" s="37">
        <v>0.0</v>
      </c>
      <c r="K2761" s="2">
        <v>0.0</v>
      </c>
      <c r="L2761" s="2">
        <v>0.0</v>
      </c>
      <c r="M2761" s="37">
        <v>0.0</v>
      </c>
    </row>
    <row r="2762" ht="14.25" customHeight="1">
      <c r="A2762" t="s">
        <v>2823</v>
      </c>
      <c r="B2762" t="s">
        <v>2727</v>
      </c>
      <c r="C2762" t="s">
        <v>62</v>
      </c>
      <c r="D2762" t="s">
        <v>63</v>
      </c>
      <c r="E2762">
        <v>5.0</v>
      </c>
      <c r="F2762">
        <v>5.8</v>
      </c>
      <c r="G2762" s="2" t="s">
        <v>64</v>
      </c>
      <c r="H2762" s="2">
        <v>0.0</v>
      </c>
      <c r="I2762" s="2">
        <v>0.0</v>
      </c>
      <c r="J2762" s="37">
        <v>0.0</v>
      </c>
      <c r="K2762" s="2">
        <v>0.0</v>
      </c>
      <c r="L2762" s="2">
        <v>0.0</v>
      </c>
      <c r="M2762" s="37">
        <v>0.0</v>
      </c>
    </row>
    <row r="2763" ht="14.25" customHeight="1">
      <c r="A2763" t="s">
        <v>2824</v>
      </c>
      <c r="B2763" t="s">
        <v>2727</v>
      </c>
      <c r="C2763" t="s">
        <v>62</v>
      </c>
      <c r="D2763" t="s">
        <v>63</v>
      </c>
      <c r="E2763">
        <v>5.0</v>
      </c>
      <c r="F2763">
        <v>5.8</v>
      </c>
      <c r="G2763" s="2" t="s">
        <v>64</v>
      </c>
      <c r="H2763" s="2">
        <v>0.0</v>
      </c>
      <c r="I2763" s="2">
        <v>0.0</v>
      </c>
      <c r="J2763" s="37">
        <v>0.0</v>
      </c>
      <c r="K2763" s="2">
        <v>0.0</v>
      </c>
      <c r="L2763" s="2">
        <v>0.0</v>
      </c>
      <c r="M2763" s="37">
        <v>0.0</v>
      </c>
    </row>
    <row r="2764" ht="14.25" customHeight="1">
      <c r="A2764" t="s">
        <v>2825</v>
      </c>
      <c r="B2764" t="s">
        <v>2727</v>
      </c>
      <c r="C2764" t="s">
        <v>62</v>
      </c>
      <c r="D2764" t="s">
        <v>63</v>
      </c>
      <c r="E2764">
        <v>7.1</v>
      </c>
      <c r="F2764">
        <v>8.0</v>
      </c>
      <c r="G2764" s="2" t="s">
        <v>67</v>
      </c>
      <c r="H2764" s="2">
        <v>21.0</v>
      </c>
      <c r="I2764" s="2">
        <v>-19.0</v>
      </c>
      <c r="J2764" s="37">
        <v>471.66</v>
      </c>
      <c r="K2764" s="2">
        <v>24.0</v>
      </c>
      <c r="L2764" s="2">
        <v>45.0</v>
      </c>
      <c r="M2764" s="37">
        <v>597.54</v>
      </c>
    </row>
    <row r="2765" ht="14.25" customHeight="1">
      <c r="A2765" t="s">
        <v>2826</v>
      </c>
      <c r="B2765" t="s">
        <v>2727</v>
      </c>
      <c r="C2765" t="s">
        <v>62</v>
      </c>
      <c r="D2765" t="s">
        <v>63</v>
      </c>
      <c r="E2765">
        <v>7.1</v>
      </c>
      <c r="F2765">
        <v>8.0</v>
      </c>
      <c r="G2765" s="2" t="s">
        <v>67</v>
      </c>
      <c r="H2765" s="2">
        <v>21.0</v>
      </c>
      <c r="I2765" s="2">
        <v>-19.0</v>
      </c>
      <c r="J2765" s="37">
        <v>471.66</v>
      </c>
      <c r="K2765" s="2">
        <v>24.0</v>
      </c>
      <c r="L2765" s="2">
        <v>45.0</v>
      </c>
      <c r="M2765" s="37">
        <v>597.54</v>
      </c>
    </row>
    <row r="2766" ht="14.25" customHeight="1">
      <c r="A2766" t="s">
        <v>2827</v>
      </c>
      <c r="B2766" t="s">
        <v>2727</v>
      </c>
      <c r="C2766" t="s">
        <v>62</v>
      </c>
      <c r="D2766" t="s">
        <v>63</v>
      </c>
      <c r="E2766">
        <v>7.1</v>
      </c>
      <c r="F2766">
        <v>8.0</v>
      </c>
      <c r="G2766" s="2" t="s">
        <v>67</v>
      </c>
      <c r="H2766" s="2">
        <v>21.0</v>
      </c>
      <c r="I2766" s="2">
        <v>-19.0</v>
      </c>
      <c r="J2766" s="37">
        <v>471.66</v>
      </c>
      <c r="K2766" s="2">
        <v>24.0</v>
      </c>
      <c r="L2766" s="2">
        <v>45.0</v>
      </c>
      <c r="M2766" s="37">
        <v>597.54</v>
      </c>
    </row>
    <row r="2767" ht="14.25" customHeight="1">
      <c r="A2767" t="s">
        <v>2828</v>
      </c>
      <c r="B2767" t="s">
        <v>2727</v>
      </c>
      <c r="C2767" t="s">
        <v>62</v>
      </c>
      <c r="D2767" t="s">
        <v>63</v>
      </c>
      <c r="E2767">
        <v>7.1</v>
      </c>
      <c r="F2767">
        <v>8.0</v>
      </c>
      <c r="G2767" s="2" t="s">
        <v>67</v>
      </c>
      <c r="H2767" s="2">
        <v>21.0</v>
      </c>
      <c r="I2767" s="2">
        <v>-19.0</v>
      </c>
      <c r="J2767" s="37">
        <v>471.66</v>
      </c>
      <c r="K2767" s="2">
        <v>24.0</v>
      </c>
      <c r="L2767" s="2">
        <v>45.0</v>
      </c>
      <c r="M2767" s="37">
        <v>597.54</v>
      </c>
    </row>
    <row r="2768" ht="14.25" customHeight="1">
      <c r="A2768" t="s">
        <v>2829</v>
      </c>
      <c r="B2768" t="s">
        <v>2727</v>
      </c>
      <c r="C2768" t="s">
        <v>62</v>
      </c>
      <c r="D2768" t="s">
        <v>63</v>
      </c>
      <c r="E2768">
        <v>7.1</v>
      </c>
      <c r="F2768">
        <v>8.0</v>
      </c>
      <c r="G2768" s="2" t="s">
        <v>67</v>
      </c>
      <c r="H2768" s="2">
        <v>21.0</v>
      </c>
      <c r="I2768" s="2">
        <v>-19.0</v>
      </c>
      <c r="J2768" s="37">
        <v>471.66</v>
      </c>
      <c r="K2768" s="2">
        <v>24.0</v>
      </c>
      <c r="L2768" s="2">
        <v>45.0</v>
      </c>
      <c r="M2768" s="37">
        <v>597.54</v>
      </c>
    </row>
    <row r="2769" ht="14.25" customHeight="1">
      <c r="A2769" t="s">
        <v>2830</v>
      </c>
      <c r="B2769" t="s">
        <v>2727</v>
      </c>
      <c r="C2769" t="s">
        <v>62</v>
      </c>
      <c r="D2769" t="s">
        <v>63</v>
      </c>
      <c r="E2769">
        <v>3.3</v>
      </c>
      <c r="F2769">
        <v>3.8</v>
      </c>
      <c r="G2769" s="2" t="s">
        <v>64</v>
      </c>
      <c r="H2769" s="2">
        <v>0.0</v>
      </c>
      <c r="I2769" s="2">
        <v>0.0</v>
      </c>
      <c r="J2769" s="37">
        <v>0.0</v>
      </c>
      <c r="K2769" s="2">
        <v>0.0</v>
      </c>
      <c r="L2769" s="2">
        <v>0.0</v>
      </c>
      <c r="M2769" s="37">
        <v>0.0</v>
      </c>
    </row>
    <row r="2770" ht="14.25" customHeight="1">
      <c r="A2770" t="s">
        <v>2831</v>
      </c>
      <c r="B2770" t="s">
        <v>2727</v>
      </c>
      <c r="C2770" t="s">
        <v>62</v>
      </c>
      <c r="D2770" t="s">
        <v>63</v>
      </c>
      <c r="E2770">
        <v>3.3</v>
      </c>
      <c r="F2770">
        <v>3.8</v>
      </c>
      <c r="G2770" s="2" t="s">
        <v>64</v>
      </c>
      <c r="H2770" s="2">
        <v>0.0</v>
      </c>
      <c r="I2770" s="2">
        <v>0.0</v>
      </c>
      <c r="J2770" s="37">
        <v>0.0</v>
      </c>
      <c r="K2770" s="2">
        <v>0.0</v>
      </c>
      <c r="L2770" s="2">
        <v>0.0</v>
      </c>
      <c r="M2770" s="37">
        <v>0.0</v>
      </c>
    </row>
    <row r="2771" ht="14.25" customHeight="1">
      <c r="A2771" t="s">
        <v>2832</v>
      </c>
      <c r="B2771" t="s">
        <v>2727</v>
      </c>
      <c r="C2771" t="s">
        <v>62</v>
      </c>
      <c r="D2771" t="s">
        <v>63</v>
      </c>
      <c r="E2771">
        <v>3.3</v>
      </c>
      <c r="F2771">
        <v>3.8</v>
      </c>
      <c r="G2771" s="2" t="s">
        <v>64</v>
      </c>
      <c r="H2771" s="2">
        <v>0.0</v>
      </c>
      <c r="I2771" s="2">
        <v>0.0</v>
      </c>
      <c r="J2771" s="37">
        <v>0.0</v>
      </c>
      <c r="K2771" s="2">
        <v>0.0</v>
      </c>
      <c r="L2771" s="2">
        <v>0.0</v>
      </c>
      <c r="M2771" s="37">
        <v>0.0</v>
      </c>
    </row>
    <row r="2772" ht="14.25" customHeight="1">
      <c r="A2772" t="s">
        <v>2833</v>
      </c>
      <c r="B2772" t="s">
        <v>2727</v>
      </c>
      <c r="C2772" t="s">
        <v>62</v>
      </c>
      <c r="D2772" t="s">
        <v>63</v>
      </c>
      <c r="E2772">
        <v>3.3</v>
      </c>
      <c r="F2772">
        <v>3.8</v>
      </c>
      <c r="G2772" s="2" t="s">
        <v>64</v>
      </c>
      <c r="H2772" s="2">
        <v>0.0</v>
      </c>
      <c r="I2772" s="2">
        <v>0.0</v>
      </c>
      <c r="J2772" s="37">
        <v>0.0</v>
      </c>
      <c r="K2772" s="2">
        <v>0.0</v>
      </c>
      <c r="L2772" s="2">
        <v>0.0</v>
      </c>
      <c r="M2772" s="37">
        <v>0.0</v>
      </c>
    </row>
    <row r="2773" ht="14.25" customHeight="1">
      <c r="A2773" t="s">
        <v>2834</v>
      </c>
      <c r="B2773" t="s">
        <v>2727</v>
      </c>
      <c r="C2773" t="s">
        <v>62</v>
      </c>
      <c r="D2773" t="s">
        <v>63</v>
      </c>
      <c r="E2773">
        <v>3.3</v>
      </c>
      <c r="F2773">
        <v>3.8</v>
      </c>
      <c r="G2773" s="2" t="s">
        <v>64</v>
      </c>
      <c r="H2773" s="2">
        <v>0.0</v>
      </c>
      <c r="I2773" s="2">
        <v>0.0</v>
      </c>
      <c r="J2773" s="37">
        <v>0.0</v>
      </c>
      <c r="K2773" s="2">
        <v>0.0</v>
      </c>
      <c r="L2773" s="2">
        <v>0.0</v>
      </c>
      <c r="M2773" s="37">
        <v>0.0</v>
      </c>
    </row>
    <row r="2774" ht="14.25" customHeight="1">
      <c r="A2774" t="s">
        <v>2835</v>
      </c>
      <c r="B2774" t="s">
        <v>2727</v>
      </c>
      <c r="C2774" t="s">
        <v>62</v>
      </c>
      <c r="D2774" t="s">
        <v>63</v>
      </c>
      <c r="E2774">
        <v>6.3</v>
      </c>
      <c r="F2774">
        <v>7.1</v>
      </c>
      <c r="G2774" s="2" t="s">
        <v>67</v>
      </c>
      <c r="H2774" s="2">
        <v>19.0</v>
      </c>
      <c r="I2774" s="2">
        <v>34.0</v>
      </c>
      <c r="J2774" s="37">
        <v>470.94</v>
      </c>
      <c r="K2774" s="2">
        <v>22.0</v>
      </c>
      <c r="L2774" s="2">
        <v>91.0</v>
      </c>
      <c r="M2774" s="37">
        <v>612.42</v>
      </c>
    </row>
    <row r="2775" ht="14.25" customHeight="1">
      <c r="A2775" t="s">
        <v>2836</v>
      </c>
      <c r="B2775" t="s">
        <v>2727</v>
      </c>
      <c r="C2775" t="s">
        <v>62</v>
      </c>
      <c r="D2775" t="s">
        <v>63</v>
      </c>
      <c r="E2775">
        <v>6.3</v>
      </c>
      <c r="F2775">
        <v>7.1</v>
      </c>
      <c r="G2775" s="2" t="s">
        <v>67</v>
      </c>
      <c r="H2775" s="2">
        <v>19.0</v>
      </c>
      <c r="I2775" s="2">
        <v>34.0</v>
      </c>
      <c r="J2775" s="37">
        <v>470.94</v>
      </c>
      <c r="K2775" s="2">
        <v>22.0</v>
      </c>
      <c r="L2775" s="2">
        <v>91.0</v>
      </c>
      <c r="M2775" s="37">
        <v>612.42</v>
      </c>
    </row>
    <row r="2776" ht="14.25" customHeight="1">
      <c r="A2776" t="s">
        <v>2837</v>
      </c>
      <c r="B2776" t="s">
        <v>2727</v>
      </c>
      <c r="C2776" t="s">
        <v>62</v>
      </c>
      <c r="D2776" t="s">
        <v>63</v>
      </c>
      <c r="E2776">
        <v>6.3</v>
      </c>
      <c r="F2776">
        <v>7.1</v>
      </c>
      <c r="G2776" s="2" t="s">
        <v>67</v>
      </c>
      <c r="H2776" s="2">
        <v>19.0</v>
      </c>
      <c r="I2776" s="2">
        <v>34.0</v>
      </c>
      <c r="J2776" s="37">
        <v>470.94</v>
      </c>
      <c r="K2776" s="2">
        <v>22.0</v>
      </c>
      <c r="L2776" s="2">
        <v>91.0</v>
      </c>
      <c r="M2776" s="37">
        <v>612.42</v>
      </c>
    </row>
    <row r="2777" ht="14.25" customHeight="1">
      <c r="A2777" t="s">
        <v>2838</v>
      </c>
      <c r="B2777" t="s">
        <v>2727</v>
      </c>
      <c r="C2777" t="s">
        <v>62</v>
      </c>
      <c r="D2777" t="s">
        <v>63</v>
      </c>
      <c r="E2777">
        <v>6.3</v>
      </c>
      <c r="F2777">
        <v>7.1</v>
      </c>
      <c r="G2777" s="2" t="s">
        <v>67</v>
      </c>
      <c r="H2777" s="2">
        <v>19.0</v>
      </c>
      <c r="I2777" s="2">
        <v>34.0</v>
      </c>
      <c r="J2777" s="37">
        <v>470.94</v>
      </c>
      <c r="K2777" s="2">
        <v>22.0</v>
      </c>
      <c r="L2777" s="2">
        <v>91.0</v>
      </c>
      <c r="M2777" s="37">
        <v>612.42</v>
      </c>
    </row>
    <row r="2778" ht="14.25" customHeight="1">
      <c r="A2778" t="s">
        <v>2839</v>
      </c>
      <c r="B2778" t="s">
        <v>2727</v>
      </c>
      <c r="C2778" t="s">
        <v>62</v>
      </c>
      <c r="D2778" t="s">
        <v>63</v>
      </c>
      <c r="E2778">
        <v>6.3</v>
      </c>
      <c r="F2778">
        <v>7.1</v>
      </c>
      <c r="G2778" s="2" t="s">
        <v>67</v>
      </c>
      <c r="H2778" s="2">
        <v>19.0</v>
      </c>
      <c r="I2778" s="2">
        <v>34.0</v>
      </c>
      <c r="J2778" s="37">
        <v>470.94</v>
      </c>
      <c r="K2778" s="2">
        <v>22.0</v>
      </c>
      <c r="L2778" s="2">
        <v>91.0</v>
      </c>
      <c r="M2778" s="37">
        <v>612.42</v>
      </c>
    </row>
    <row r="2779" ht="14.25" customHeight="1">
      <c r="A2779" t="s">
        <v>2840</v>
      </c>
      <c r="B2779" t="s">
        <v>2727</v>
      </c>
      <c r="C2779" t="s">
        <v>62</v>
      </c>
      <c r="D2779" t="s">
        <v>63</v>
      </c>
      <c r="E2779">
        <v>2.0</v>
      </c>
      <c r="F2779">
        <v>2.7</v>
      </c>
      <c r="G2779" s="2" t="s">
        <v>67</v>
      </c>
      <c r="H2779" s="2">
        <v>7.0</v>
      </c>
      <c r="I2779" s="2">
        <v>70.0</v>
      </c>
      <c r="J2779" s="37">
        <v>248.22</v>
      </c>
      <c r="K2779" s="2">
        <v>8.0</v>
      </c>
      <c r="L2779" s="2">
        <v>86.0</v>
      </c>
      <c r="M2779" s="37">
        <v>291.48</v>
      </c>
    </row>
    <row r="2780" ht="14.25" customHeight="1">
      <c r="A2780" t="s">
        <v>2841</v>
      </c>
      <c r="B2780" t="s">
        <v>2727</v>
      </c>
      <c r="C2780" t="s">
        <v>62</v>
      </c>
      <c r="D2780" t="s">
        <v>63</v>
      </c>
      <c r="E2780">
        <v>2.5</v>
      </c>
      <c r="F2780">
        <v>3.2</v>
      </c>
      <c r="G2780" s="2" t="s">
        <v>67</v>
      </c>
      <c r="H2780" s="2">
        <v>8.0</v>
      </c>
      <c r="I2780" s="2">
        <v>72.0</v>
      </c>
      <c r="J2780" s="37">
        <v>273.28000000000003</v>
      </c>
      <c r="K2780" s="2">
        <v>10.0</v>
      </c>
      <c r="L2780" s="2">
        <v>92.0</v>
      </c>
      <c r="M2780" s="37">
        <v>344.20000000000005</v>
      </c>
    </row>
    <row r="2781" ht="14.25" customHeight="1">
      <c r="A2781" t="s">
        <v>2842</v>
      </c>
      <c r="B2781" t="s">
        <v>2727</v>
      </c>
      <c r="C2781" t="s">
        <v>62</v>
      </c>
      <c r="D2781" t="s">
        <v>63</v>
      </c>
      <c r="E2781">
        <v>3.5</v>
      </c>
      <c r="F2781">
        <v>4.3</v>
      </c>
      <c r="G2781" s="2" t="s">
        <v>67</v>
      </c>
      <c r="H2781" s="2">
        <v>11.0</v>
      </c>
      <c r="I2781" s="2">
        <v>64.0</v>
      </c>
      <c r="J2781" s="37">
        <v>330.26</v>
      </c>
      <c r="K2781" s="2">
        <v>13.0</v>
      </c>
      <c r="L2781" s="2">
        <v>92.0</v>
      </c>
      <c r="M2781" s="37">
        <v>411.58000000000004</v>
      </c>
    </row>
    <row r="2782" ht="14.25" customHeight="1">
      <c r="A2782" t="s">
        <v>2843</v>
      </c>
      <c r="B2782" t="s">
        <v>2727</v>
      </c>
      <c r="C2782" t="s">
        <v>62</v>
      </c>
      <c r="D2782" t="s">
        <v>63</v>
      </c>
      <c r="E2782">
        <v>5.0</v>
      </c>
      <c r="F2782">
        <v>6.0</v>
      </c>
      <c r="G2782" s="2" t="s">
        <v>67</v>
      </c>
      <c r="H2782" s="2">
        <v>18.0</v>
      </c>
      <c r="I2782" s="2">
        <v>92.0</v>
      </c>
      <c r="J2782" s="37">
        <v>523.88</v>
      </c>
      <c r="K2782" s="2">
        <v>20.0</v>
      </c>
      <c r="L2782" s="2">
        <v>138.0</v>
      </c>
      <c r="M2782" s="37">
        <v>628.6</v>
      </c>
    </row>
    <row r="2783" ht="14.25" customHeight="1">
      <c r="A2783" t="s">
        <v>2844</v>
      </c>
      <c r="B2783" t="s">
        <v>2727</v>
      </c>
      <c r="C2783" t="s">
        <v>62</v>
      </c>
      <c r="D2783" t="s">
        <v>63</v>
      </c>
      <c r="E2783">
        <v>6.1</v>
      </c>
      <c r="F2783">
        <v>6.8</v>
      </c>
      <c r="G2783" s="2" t="s">
        <v>67</v>
      </c>
      <c r="H2783" s="2">
        <v>19.0</v>
      </c>
      <c r="I2783" s="2">
        <v>54.0</v>
      </c>
      <c r="J2783" s="37">
        <v>496.94</v>
      </c>
      <c r="K2783" s="2">
        <v>22.0</v>
      </c>
      <c r="L2783" s="2">
        <v>110.0</v>
      </c>
      <c r="M2783" s="37">
        <v>637.12</v>
      </c>
    </row>
    <row r="2784" ht="14.25" customHeight="1">
      <c r="A2784" t="s">
        <v>2845</v>
      </c>
      <c r="B2784" t="s">
        <v>2727</v>
      </c>
      <c r="C2784" t="s">
        <v>62</v>
      </c>
      <c r="D2784" t="s">
        <v>63</v>
      </c>
      <c r="E2784">
        <v>2.0</v>
      </c>
      <c r="F2784">
        <v>2.7</v>
      </c>
      <c r="G2784" s="2" t="s">
        <v>67</v>
      </c>
      <c r="H2784" s="2">
        <v>6.0</v>
      </c>
      <c r="I2784" s="2">
        <v>40.0</v>
      </c>
      <c r="J2784" s="37">
        <v>186.76</v>
      </c>
      <c r="K2784" s="2">
        <v>7.0</v>
      </c>
      <c r="L2784" s="2">
        <v>56.0</v>
      </c>
      <c r="M2784" s="37">
        <v>230.01999999999998</v>
      </c>
    </row>
    <row r="2785" ht="14.25" customHeight="1">
      <c r="A2785" t="s">
        <v>2846</v>
      </c>
      <c r="B2785" t="s">
        <v>2727</v>
      </c>
      <c r="C2785" t="s">
        <v>62</v>
      </c>
      <c r="D2785" t="s">
        <v>63</v>
      </c>
      <c r="E2785">
        <v>2.0</v>
      </c>
      <c r="F2785">
        <v>2.7</v>
      </c>
      <c r="G2785" s="2" t="s">
        <v>67</v>
      </c>
      <c r="H2785" s="2">
        <v>6.0</v>
      </c>
      <c r="I2785" s="2">
        <v>40.0</v>
      </c>
      <c r="J2785" s="37">
        <v>186.76</v>
      </c>
      <c r="K2785" s="2">
        <v>7.0</v>
      </c>
      <c r="L2785" s="2">
        <v>56.0</v>
      </c>
      <c r="M2785" s="37">
        <v>230.01999999999998</v>
      </c>
    </row>
    <row r="2786" ht="14.25" customHeight="1">
      <c r="A2786" t="s">
        <v>2847</v>
      </c>
      <c r="B2786" t="s">
        <v>2727</v>
      </c>
      <c r="C2786" t="s">
        <v>62</v>
      </c>
      <c r="D2786" t="s">
        <v>63</v>
      </c>
      <c r="E2786">
        <v>2.0</v>
      </c>
      <c r="F2786">
        <v>2.7</v>
      </c>
      <c r="G2786" s="2" t="s">
        <v>67</v>
      </c>
      <c r="H2786" s="2">
        <v>6.0</v>
      </c>
      <c r="I2786" s="2">
        <v>40.0</v>
      </c>
      <c r="J2786" s="37">
        <v>186.76</v>
      </c>
      <c r="K2786" s="2">
        <v>7.0</v>
      </c>
      <c r="L2786" s="2">
        <v>56.0</v>
      </c>
      <c r="M2786" s="37">
        <v>230.01999999999998</v>
      </c>
    </row>
    <row r="2787" ht="14.25" customHeight="1">
      <c r="A2787" t="s">
        <v>2848</v>
      </c>
      <c r="B2787" t="s">
        <v>2727</v>
      </c>
      <c r="C2787" t="s">
        <v>62</v>
      </c>
      <c r="D2787" t="s">
        <v>63</v>
      </c>
      <c r="E2787">
        <v>2.5</v>
      </c>
      <c r="F2787">
        <v>3.2</v>
      </c>
      <c r="G2787" s="2" t="s">
        <v>64</v>
      </c>
      <c r="H2787" s="2">
        <v>0.0</v>
      </c>
      <c r="I2787" s="2">
        <v>0.0</v>
      </c>
      <c r="J2787" s="37">
        <v>0.0</v>
      </c>
      <c r="K2787" s="2">
        <v>0.0</v>
      </c>
      <c r="L2787" s="2">
        <v>0.0</v>
      </c>
      <c r="M2787" s="37">
        <v>0.0</v>
      </c>
    </row>
    <row r="2788" ht="14.25" customHeight="1">
      <c r="A2788" t="s">
        <v>2849</v>
      </c>
      <c r="B2788" t="s">
        <v>2727</v>
      </c>
      <c r="C2788" t="s">
        <v>62</v>
      </c>
      <c r="D2788" t="s">
        <v>63</v>
      </c>
      <c r="E2788">
        <v>2.5</v>
      </c>
      <c r="F2788">
        <v>3.2</v>
      </c>
      <c r="G2788" s="2" t="s">
        <v>64</v>
      </c>
      <c r="H2788" s="2">
        <v>0.0</v>
      </c>
      <c r="I2788" s="2">
        <v>0.0</v>
      </c>
      <c r="J2788" s="37">
        <v>0.0</v>
      </c>
      <c r="K2788" s="2">
        <v>0.0</v>
      </c>
      <c r="L2788" s="2">
        <v>0.0</v>
      </c>
      <c r="M2788" s="37">
        <v>0.0</v>
      </c>
    </row>
    <row r="2789" ht="14.25" customHeight="1">
      <c r="A2789" t="s">
        <v>2850</v>
      </c>
      <c r="B2789" t="s">
        <v>2727</v>
      </c>
      <c r="C2789" t="s">
        <v>62</v>
      </c>
      <c r="D2789" t="s">
        <v>63</v>
      </c>
      <c r="E2789">
        <v>2.5</v>
      </c>
      <c r="F2789">
        <v>3.2</v>
      </c>
      <c r="G2789" s="2" t="s">
        <v>64</v>
      </c>
      <c r="H2789" s="2">
        <v>0.0</v>
      </c>
      <c r="I2789" s="2">
        <v>0.0</v>
      </c>
      <c r="J2789" s="37">
        <v>0.0</v>
      </c>
      <c r="K2789" s="2">
        <v>0.0</v>
      </c>
      <c r="L2789" s="2">
        <v>0.0</v>
      </c>
      <c r="M2789" s="37">
        <v>0.0</v>
      </c>
    </row>
    <row r="2790" ht="14.25" customHeight="1">
      <c r="A2790" t="s">
        <v>2851</v>
      </c>
      <c r="B2790" t="s">
        <v>2727</v>
      </c>
      <c r="C2790" t="s">
        <v>62</v>
      </c>
      <c r="D2790" t="s">
        <v>63</v>
      </c>
      <c r="E2790">
        <v>3.5</v>
      </c>
      <c r="F2790">
        <v>3.7</v>
      </c>
      <c r="G2790" s="2" t="s">
        <v>64</v>
      </c>
      <c r="H2790" s="2">
        <v>0.0</v>
      </c>
      <c r="I2790" s="2">
        <v>0.0</v>
      </c>
      <c r="J2790" s="37">
        <v>0.0</v>
      </c>
      <c r="K2790" s="2">
        <v>0.0</v>
      </c>
      <c r="L2790" s="2">
        <v>0.0</v>
      </c>
      <c r="M2790" s="37">
        <v>0.0</v>
      </c>
    </row>
    <row r="2791" ht="14.25" customHeight="1">
      <c r="A2791" t="s">
        <v>2852</v>
      </c>
      <c r="B2791" t="s">
        <v>2727</v>
      </c>
      <c r="C2791" t="s">
        <v>62</v>
      </c>
      <c r="D2791" t="s">
        <v>63</v>
      </c>
      <c r="E2791">
        <v>3.5</v>
      </c>
      <c r="F2791">
        <v>3.7</v>
      </c>
      <c r="G2791" s="2" t="s">
        <v>64</v>
      </c>
      <c r="H2791" s="2">
        <v>0.0</v>
      </c>
      <c r="I2791" s="2">
        <v>0.0</v>
      </c>
      <c r="J2791" s="37">
        <v>0.0</v>
      </c>
      <c r="K2791" s="2">
        <v>0.0</v>
      </c>
      <c r="L2791" s="2">
        <v>0.0</v>
      </c>
      <c r="M2791" s="37">
        <v>0.0</v>
      </c>
    </row>
    <row r="2792" ht="14.25" customHeight="1">
      <c r="A2792" t="s">
        <v>2853</v>
      </c>
      <c r="B2792" t="s">
        <v>2727</v>
      </c>
      <c r="C2792" t="s">
        <v>62</v>
      </c>
      <c r="D2792" t="s">
        <v>63</v>
      </c>
      <c r="E2792">
        <v>3.5</v>
      </c>
      <c r="F2792">
        <v>3.7</v>
      </c>
      <c r="G2792" s="2" t="s">
        <v>64</v>
      </c>
      <c r="H2792" s="2">
        <v>0.0</v>
      </c>
      <c r="I2792" s="2">
        <v>0.0</v>
      </c>
      <c r="J2792" s="37">
        <v>0.0</v>
      </c>
      <c r="K2792" s="2">
        <v>0.0</v>
      </c>
      <c r="L2792" s="2">
        <v>0.0</v>
      </c>
      <c r="M2792" s="37">
        <v>0.0</v>
      </c>
    </row>
    <row r="2793" ht="14.25" customHeight="1">
      <c r="A2793" t="s">
        <v>2854</v>
      </c>
      <c r="B2793" t="s">
        <v>2727</v>
      </c>
      <c r="C2793" t="s">
        <v>62</v>
      </c>
      <c r="D2793" t="s">
        <v>63</v>
      </c>
      <c r="E2793">
        <v>5.0</v>
      </c>
      <c r="F2793">
        <v>5.8</v>
      </c>
      <c r="G2793" s="2" t="s">
        <v>64</v>
      </c>
      <c r="H2793" s="2">
        <v>0.0</v>
      </c>
      <c r="I2793" s="2">
        <v>0.0</v>
      </c>
      <c r="J2793" s="37">
        <v>0.0</v>
      </c>
      <c r="K2793" s="2">
        <v>0.0</v>
      </c>
      <c r="L2793" s="2">
        <v>0.0</v>
      </c>
      <c r="M2793" s="37">
        <v>0.0</v>
      </c>
    </row>
    <row r="2794" ht="14.25" customHeight="1">
      <c r="A2794" t="s">
        <v>2855</v>
      </c>
      <c r="B2794" t="s">
        <v>2727</v>
      </c>
      <c r="C2794" t="s">
        <v>62</v>
      </c>
      <c r="D2794" t="s">
        <v>63</v>
      </c>
      <c r="E2794">
        <v>5.0</v>
      </c>
      <c r="F2794">
        <v>5.8</v>
      </c>
      <c r="G2794" s="2" t="s">
        <v>64</v>
      </c>
      <c r="H2794" s="2">
        <v>0.0</v>
      </c>
      <c r="I2794" s="2">
        <v>0.0</v>
      </c>
      <c r="J2794" s="37">
        <v>0.0</v>
      </c>
      <c r="K2794" s="2">
        <v>0.0</v>
      </c>
      <c r="L2794" s="2">
        <v>0.0</v>
      </c>
      <c r="M2794" s="37">
        <v>0.0</v>
      </c>
    </row>
    <row r="2795" ht="14.25" customHeight="1">
      <c r="A2795" t="s">
        <v>2856</v>
      </c>
      <c r="B2795" t="s">
        <v>2727</v>
      </c>
      <c r="C2795" t="s">
        <v>62</v>
      </c>
      <c r="D2795" t="s">
        <v>63</v>
      </c>
      <c r="E2795">
        <v>5.0</v>
      </c>
      <c r="F2795">
        <v>5.8</v>
      </c>
      <c r="G2795" s="2" t="s">
        <v>64</v>
      </c>
      <c r="H2795" s="2">
        <v>0.0</v>
      </c>
      <c r="I2795" s="2">
        <v>0.0</v>
      </c>
      <c r="J2795" s="37">
        <v>0.0</v>
      </c>
      <c r="K2795" s="2">
        <v>0.0</v>
      </c>
      <c r="L2795" s="2">
        <v>0.0</v>
      </c>
      <c r="M2795" s="37">
        <v>0.0</v>
      </c>
    </row>
    <row r="2796" ht="14.25" customHeight="1">
      <c r="A2796" t="s">
        <v>2857</v>
      </c>
      <c r="B2796" t="s">
        <v>2727</v>
      </c>
      <c r="C2796" t="s">
        <v>62</v>
      </c>
      <c r="D2796" t="s">
        <v>63</v>
      </c>
      <c r="E2796">
        <v>6.3</v>
      </c>
      <c r="F2796">
        <v>7.1</v>
      </c>
      <c r="G2796" s="2" t="s">
        <v>67</v>
      </c>
      <c r="H2796" s="2">
        <v>21.0</v>
      </c>
      <c r="I2796" s="2">
        <v>111.0</v>
      </c>
      <c r="J2796" s="37">
        <v>615.96</v>
      </c>
      <c r="K2796" s="2">
        <v>24.0</v>
      </c>
      <c r="L2796" s="2">
        <v>169.0</v>
      </c>
      <c r="M2796" s="37">
        <v>758.74</v>
      </c>
    </row>
    <row r="2797" ht="14.25" customHeight="1">
      <c r="A2797" t="s">
        <v>2858</v>
      </c>
      <c r="B2797" t="s">
        <v>2727</v>
      </c>
      <c r="C2797" t="s">
        <v>62</v>
      </c>
      <c r="D2797" t="s">
        <v>63</v>
      </c>
      <c r="E2797">
        <v>6.3</v>
      </c>
      <c r="F2797">
        <v>7.1</v>
      </c>
      <c r="G2797" s="2" t="s">
        <v>67</v>
      </c>
      <c r="H2797" s="2">
        <v>21.0</v>
      </c>
      <c r="I2797" s="2">
        <v>111.0</v>
      </c>
      <c r="J2797" s="37">
        <v>615.96</v>
      </c>
      <c r="K2797" s="2">
        <v>24.0</v>
      </c>
      <c r="L2797" s="2">
        <v>169.0</v>
      </c>
      <c r="M2797" s="37">
        <v>758.74</v>
      </c>
    </row>
    <row r="2798" ht="14.25" customHeight="1">
      <c r="A2798" t="s">
        <v>2859</v>
      </c>
      <c r="B2798" t="s">
        <v>2727</v>
      </c>
      <c r="C2798" t="s">
        <v>62</v>
      </c>
      <c r="D2798" t="s">
        <v>63</v>
      </c>
      <c r="E2798">
        <v>6.3</v>
      </c>
      <c r="F2798">
        <v>7.1</v>
      </c>
      <c r="G2798" s="2" t="s">
        <v>67</v>
      </c>
      <c r="H2798" s="2">
        <v>21.0</v>
      </c>
      <c r="I2798" s="2">
        <v>111.0</v>
      </c>
      <c r="J2798" s="37">
        <v>615.96</v>
      </c>
      <c r="K2798" s="2">
        <v>24.0</v>
      </c>
      <c r="L2798" s="2">
        <v>169.0</v>
      </c>
      <c r="M2798" s="37">
        <v>758.74</v>
      </c>
    </row>
    <row r="2799" ht="14.25" customHeight="1">
      <c r="A2799" t="s">
        <v>2860</v>
      </c>
      <c r="B2799" t="s">
        <v>2727</v>
      </c>
      <c r="C2799" t="s">
        <v>62</v>
      </c>
      <c r="D2799" t="s">
        <v>63</v>
      </c>
      <c r="E2799">
        <v>7.1</v>
      </c>
      <c r="F2799">
        <v>8.0</v>
      </c>
      <c r="G2799" s="2" t="s">
        <v>67</v>
      </c>
      <c r="H2799" s="2">
        <v>23.0</v>
      </c>
      <c r="I2799" s="2">
        <v>108.0</v>
      </c>
      <c r="J2799" s="37">
        <v>656.98</v>
      </c>
      <c r="K2799" s="2">
        <v>26.0</v>
      </c>
      <c r="L2799" s="2">
        <v>172.0</v>
      </c>
      <c r="M2799" s="37">
        <v>807.5600000000001</v>
      </c>
    </row>
    <row r="2800" ht="14.25" customHeight="1">
      <c r="A2800" t="s">
        <v>2861</v>
      </c>
      <c r="B2800" t="s">
        <v>2727</v>
      </c>
      <c r="C2800" t="s">
        <v>62</v>
      </c>
      <c r="D2800" t="s">
        <v>63</v>
      </c>
      <c r="E2800">
        <v>7.1</v>
      </c>
      <c r="F2800">
        <v>8.0</v>
      </c>
      <c r="G2800" s="2" t="s">
        <v>67</v>
      </c>
      <c r="H2800" s="2">
        <v>23.0</v>
      </c>
      <c r="I2800" s="2">
        <v>108.0</v>
      </c>
      <c r="J2800" s="37">
        <v>656.98</v>
      </c>
      <c r="K2800" s="2">
        <v>26.0</v>
      </c>
      <c r="L2800" s="2">
        <v>172.0</v>
      </c>
      <c r="M2800" s="37">
        <v>807.5600000000001</v>
      </c>
    </row>
    <row r="2801" ht="14.25" customHeight="1">
      <c r="A2801" t="s">
        <v>2862</v>
      </c>
      <c r="B2801" t="s">
        <v>2727</v>
      </c>
      <c r="C2801" t="s">
        <v>62</v>
      </c>
      <c r="D2801" t="s">
        <v>63</v>
      </c>
      <c r="E2801">
        <v>7.1</v>
      </c>
      <c r="F2801">
        <v>8.0</v>
      </c>
      <c r="G2801" s="2" t="s">
        <v>67</v>
      </c>
      <c r="H2801" s="2">
        <v>23.0</v>
      </c>
      <c r="I2801" s="2">
        <v>108.0</v>
      </c>
      <c r="J2801" s="37">
        <v>656.98</v>
      </c>
      <c r="K2801" s="2">
        <v>26.0</v>
      </c>
      <c r="L2801" s="2">
        <v>172.0</v>
      </c>
      <c r="M2801" s="37">
        <v>807.5600000000001</v>
      </c>
    </row>
    <row r="2802" ht="14.25" customHeight="1">
      <c r="A2802" t="s">
        <v>2863</v>
      </c>
      <c r="B2802" t="s">
        <v>2727</v>
      </c>
      <c r="C2802" t="s">
        <v>62</v>
      </c>
      <c r="D2802" t="s">
        <v>63</v>
      </c>
      <c r="E2802">
        <v>8.0</v>
      </c>
      <c r="F2802">
        <v>9.0</v>
      </c>
      <c r="G2802" s="2" t="s">
        <v>67</v>
      </c>
      <c r="H2802" s="2">
        <v>25.0</v>
      </c>
      <c r="I2802" s="2">
        <v>78.0</v>
      </c>
      <c r="J2802" s="37">
        <v>662.9</v>
      </c>
      <c r="K2802" s="2">
        <v>29.0</v>
      </c>
      <c r="L2802" s="2">
        <v>151.0</v>
      </c>
      <c r="M2802" s="37">
        <v>847.6400000000001</v>
      </c>
    </row>
    <row r="2803" ht="14.25" customHeight="1">
      <c r="A2803" t="s">
        <v>2864</v>
      </c>
      <c r="B2803" t="s">
        <v>2727</v>
      </c>
      <c r="C2803" t="s">
        <v>62</v>
      </c>
      <c r="D2803" t="s">
        <v>63</v>
      </c>
      <c r="E2803">
        <v>8.0</v>
      </c>
      <c r="F2803">
        <v>9.0</v>
      </c>
      <c r="G2803" s="2" t="s">
        <v>67</v>
      </c>
      <c r="H2803" s="2">
        <v>25.0</v>
      </c>
      <c r="I2803" s="2">
        <v>78.0</v>
      </c>
      <c r="J2803" s="37">
        <v>662.9</v>
      </c>
      <c r="K2803" s="2">
        <v>29.0</v>
      </c>
      <c r="L2803" s="2">
        <v>151.0</v>
      </c>
      <c r="M2803" s="37">
        <v>847.6400000000001</v>
      </c>
    </row>
    <row r="2804" ht="14.25" customHeight="1">
      <c r="A2804" t="s">
        <v>2865</v>
      </c>
      <c r="B2804" t="s">
        <v>2727</v>
      </c>
      <c r="C2804" t="s">
        <v>62</v>
      </c>
      <c r="D2804" t="s">
        <v>63</v>
      </c>
      <c r="E2804">
        <v>8.0</v>
      </c>
      <c r="F2804">
        <v>9.0</v>
      </c>
      <c r="G2804" s="2" t="s">
        <v>67</v>
      </c>
      <c r="H2804" s="2">
        <v>25.0</v>
      </c>
      <c r="I2804" s="2">
        <v>78.0</v>
      </c>
      <c r="J2804" s="37">
        <v>662.9</v>
      </c>
      <c r="K2804" s="2">
        <v>29.0</v>
      </c>
      <c r="L2804" s="2">
        <v>151.0</v>
      </c>
      <c r="M2804" s="37">
        <v>847.6400000000001</v>
      </c>
    </row>
    <row r="2805" ht="14.25" customHeight="1">
      <c r="A2805" t="s">
        <v>2866</v>
      </c>
      <c r="B2805" t="s">
        <v>2727</v>
      </c>
      <c r="C2805" t="s">
        <v>62</v>
      </c>
      <c r="D2805" t="s">
        <v>63</v>
      </c>
      <c r="E2805">
        <v>9.5</v>
      </c>
      <c r="F2805">
        <v>10.3</v>
      </c>
      <c r="G2805" s="2" t="s">
        <v>67</v>
      </c>
      <c r="H2805" s="2">
        <v>29.0</v>
      </c>
      <c r="I2805" s="2">
        <v>115.0</v>
      </c>
      <c r="J2805" s="37">
        <v>800.84</v>
      </c>
      <c r="K2805" s="2">
        <v>34.0</v>
      </c>
      <c r="L2805" s="2">
        <v>202.0</v>
      </c>
      <c r="M2805" s="37">
        <v>1026.24</v>
      </c>
    </row>
    <row r="2806" ht="14.25" customHeight="1">
      <c r="A2806" t="s">
        <v>2867</v>
      </c>
      <c r="B2806" t="s">
        <v>2727</v>
      </c>
      <c r="C2806" t="s">
        <v>62</v>
      </c>
      <c r="D2806" t="s">
        <v>63</v>
      </c>
      <c r="E2806">
        <v>9.5</v>
      </c>
      <c r="F2806">
        <v>10.3</v>
      </c>
      <c r="G2806" s="2" t="s">
        <v>67</v>
      </c>
      <c r="H2806" s="2">
        <v>29.0</v>
      </c>
      <c r="I2806" s="2">
        <v>115.0</v>
      </c>
      <c r="J2806" s="37">
        <v>800.84</v>
      </c>
      <c r="K2806" s="2">
        <v>34.0</v>
      </c>
      <c r="L2806" s="2">
        <v>202.0</v>
      </c>
      <c r="M2806" s="37">
        <v>1026.24</v>
      </c>
    </row>
    <row r="2807" ht="14.25" customHeight="1">
      <c r="A2807" t="s">
        <v>2868</v>
      </c>
      <c r="B2807" t="s">
        <v>2727</v>
      </c>
      <c r="C2807" t="s">
        <v>62</v>
      </c>
      <c r="D2807" t="s">
        <v>63</v>
      </c>
      <c r="E2807">
        <v>9.5</v>
      </c>
      <c r="F2807">
        <v>10.3</v>
      </c>
      <c r="G2807" s="2" t="s">
        <v>67</v>
      </c>
      <c r="H2807" s="2">
        <v>29.0</v>
      </c>
      <c r="I2807" s="2">
        <v>115.0</v>
      </c>
      <c r="J2807" s="37">
        <v>800.84</v>
      </c>
      <c r="K2807" s="2">
        <v>34.0</v>
      </c>
      <c r="L2807" s="2">
        <v>202.0</v>
      </c>
      <c r="M2807" s="37">
        <v>1026.24</v>
      </c>
    </row>
    <row r="2808" ht="14.25" customHeight="1">
      <c r="A2808" t="s">
        <v>2869</v>
      </c>
      <c r="B2808" t="s">
        <v>2727</v>
      </c>
      <c r="C2808" t="s">
        <v>75</v>
      </c>
      <c r="D2808" t="s">
        <v>63</v>
      </c>
      <c r="E2808">
        <v>23.5</v>
      </c>
      <c r="F2808">
        <v>28.0</v>
      </c>
      <c r="G2808" s="2" t="s">
        <v>64</v>
      </c>
      <c r="H2808" s="2">
        <v>0.0</v>
      </c>
      <c r="I2808" s="2">
        <v>0.0</v>
      </c>
      <c r="J2808" s="37">
        <v>0.0</v>
      </c>
      <c r="K2808" s="2">
        <v>0.0</v>
      </c>
      <c r="L2808" s="2">
        <v>0.0</v>
      </c>
      <c r="M2808" s="37">
        <v>0.0</v>
      </c>
    </row>
    <row r="2809" ht="14.25" customHeight="1">
      <c r="A2809" t="s">
        <v>2870</v>
      </c>
      <c r="B2809" t="s">
        <v>2727</v>
      </c>
      <c r="C2809" t="s">
        <v>62</v>
      </c>
      <c r="D2809" t="s">
        <v>63</v>
      </c>
      <c r="E2809">
        <v>7.1</v>
      </c>
      <c r="F2809">
        <v>8.0</v>
      </c>
      <c r="G2809" s="2" t="s">
        <v>67</v>
      </c>
      <c r="H2809" s="2">
        <v>23.0</v>
      </c>
      <c r="I2809" s="2">
        <v>108.0</v>
      </c>
      <c r="J2809" s="37">
        <v>656.98</v>
      </c>
      <c r="K2809" s="2">
        <v>26.0</v>
      </c>
      <c r="L2809" s="2">
        <v>172.0</v>
      </c>
      <c r="M2809" s="37">
        <v>807.5600000000001</v>
      </c>
    </row>
    <row r="2810" ht="14.25" customHeight="1">
      <c r="A2810" t="s">
        <v>2871</v>
      </c>
      <c r="B2810" t="s">
        <v>2727</v>
      </c>
      <c r="C2810" t="s">
        <v>62</v>
      </c>
      <c r="D2810" t="s">
        <v>63</v>
      </c>
      <c r="E2810">
        <v>7.1</v>
      </c>
      <c r="F2810">
        <v>8.0</v>
      </c>
      <c r="G2810" s="2" t="s">
        <v>67</v>
      </c>
      <c r="H2810" s="2">
        <v>23.0</v>
      </c>
      <c r="I2810" s="2">
        <v>108.0</v>
      </c>
      <c r="J2810" s="37">
        <v>656.98</v>
      </c>
      <c r="K2810" s="2">
        <v>26.0</v>
      </c>
      <c r="L2810" s="2">
        <v>172.0</v>
      </c>
      <c r="M2810" s="37">
        <v>807.5600000000001</v>
      </c>
    </row>
    <row r="2811" ht="14.25" customHeight="1">
      <c r="A2811" t="s">
        <v>2872</v>
      </c>
      <c r="B2811" t="s">
        <v>2727</v>
      </c>
      <c r="C2811" t="s">
        <v>62</v>
      </c>
      <c r="D2811" t="s">
        <v>63</v>
      </c>
      <c r="E2811">
        <v>7.1</v>
      </c>
      <c r="F2811">
        <v>8.0</v>
      </c>
      <c r="G2811" s="2" t="s">
        <v>67</v>
      </c>
      <c r="H2811" s="2">
        <v>23.0</v>
      </c>
      <c r="I2811" s="2">
        <v>108.0</v>
      </c>
      <c r="J2811" s="37">
        <v>656.98</v>
      </c>
      <c r="K2811" s="2">
        <v>26.0</v>
      </c>
      <c r="L2811" s="2">
        <v>172.0</v>
      </c>
      <c r="M2811" s="37">
        <v>807.5600000000001</v>
      </c>
    </row>
    <row r="2812" ht="14.25" customHeight="1">
      <c r="A2812" t="s">
        <v>2873</v>
      </c>
      <c r="B2812" t="s">
        <v>2727</v>
      </c>
      <c r="C2812" t="s">
        <v>62</v>
      </c>
      <c r="D2812" t="s">
        <v>63</v>
      </c>
      <c r="E2812">
        <v>8.0</v>
      </c>
      <c r="F2812">
        <v>9.0</v>
      </c>
      <c r="G2812" s="2" t="s">
        <v>67</v>
      </c>
      <c r="H2812" s="2">
        <v>25.0</v>
      </c>
      <c r="I2812" s="2">
        <v>78.0</v>
      </c>
      <c r="J2812" s="37">
        <v>662.9</v>
      </c>
      <c r="K2812" s="2">
        <v>29.0</v>
      </c>
      <c r="L2812" s="2">
        <v>151.0</v>
      </c>
      <c r="M2812" s="37">
        <v>847.6400000000001</v>
      </c>
    </row>
    <row r="2813" ht="14.25" customHeight="1">
      <c r="A2813" t="s">
        <v>2874</v>
      </c>
      <c r="B2813" t="s">
        <v>2727</v>
      </c>
      <c r="C2813" t="s">
        <v>62</v>
      </c>
      <c r="D2813" t="s">
        <v>63</v>
      </c>
      <c r="E2813">
        <v>8.0</v>
      </c>
      <c r="F2813">
        <v>9.0</v>
      </c>
      <c r="G2813" s="2" t="s">
        <v>67</v>
      </c>
      <c r="H2813" s="2">
        <v>25.0</v>
      </c>
      <c r="I2813" s="2">
        <v>78.0</v>
      </c>
      <c r="J2813" s="37">
        <v>662.9</v>
      </c>
      <c r="K2813" s="2">
        <v>29.0</v>
      </c>
      <c r="L2813" s="2">
        <v>151.0</v>
      </c>
      <c r="M2813" s="37">
        <v>847.6400000000001</v>
      </c>
    </row>
    <row r="2814" ht="14.25" customHeight="1">
      <c r="A2814" t="s">
        <v>2875</v>
      </c>
      <c r="B2814" t="s">
        <v>2727</v>
      </c>
      <c r="C2814" t="s">
        <v>62</v>
      </c>
      <c r="D2814" t="s">
        <v>63</v>
      </c>
      <c r="E2814">
        <v>8.0</v>
      </c>
      <c r="F2814">
        <v>9.0</v>
      </c>
      <c r="G2814" s="2" t="s">
        <v>67</v>
      </c>
      <c r="H2814" s="2">
        <v>25.0</v>
      </c>
      <c r="I2814" s="2">
        <v>78.0</v>
      </c>
      <c r="J2814" s="37">
        <v>662.9</v>
      </c>
      <c r="K2814" s="2">
        <v>29.0</v>
      </c>
      <c r="L2814" s="2">
        <v>151.0</v>
      </c>
      <c r="M2814" s="37">
        <v>847.6400000000001</v>
      </c>
    </row>
    <row r="2815" ht="14.25" customHeight="1">
      <c r="A2815" t="s">
        <v>2875</v>
      </c>
      <c r="B2815" t="s">
        <v>2727</v>
      </c>
      <c r="C2815" t="s">
        <v>62</v>
      </c>
      <c r="D2815" t="s">
        <v>63</v>
      </c>
      <c r="E2815">
        <v>8.0</v>
      </c>
      <c r="F2815">
        <v>9.0</v>
      </c>
      <c r="G2815" s="2" t="s">
        <v>67</v>
      </c>
      <c r="H2815" s="2">
        <v>25.0</v>
      </c>
      <c r="I2815" s="2">
        <v>78.0</v>
      </c>
      <c r="J2815" s="37">
        <v>662.9</v>
      </c>
      <c r="K2815" s="2">
        <v>29.0</v>
      </c>
      <c r="L2815" s="2">
        <v>151.0</v>
      </c>
      <c r="M2815" s="37">
        <v>847.6400000000001</v>
      </c>
    </row>
    <row r="2816" ht="14.25" customHeight="1">
      <c r="A2816" t="s">
        <v>2876</v>
      </c>
      <c r="B2816" t="s">
        <v>2727</v>
      </c>
      <c r="C2816" t="s">
        <v>62</v>
      </c>
      <c r="D2816" t="s">
        <v>63</v>
      </c>
      <c r="E2816">
        <v>2.0</v>
      </c>
      <c r="F2816">
        <v>2.7</v>
      </c>
      <c r="G2816" s="2" t="s">
        <v>67</v>
      </c>
      <c r="H2816" s="2">
        <v>6.0</v>
      </c>
      <c r="I2816" s="2">
        <v>40.0</v>
      </c>
      <c r="J2816" s="37">
        <v>186.76</v>
      </c>
      <c r="K2816" s="2">
        <v>7.0</v>
      </c>
      <c r="L2816" s="2">
        <v>56.0</v>
      </c>
      <c r="M2816" s="37">
        <v>230.01999999999998</v>
      </c>
    </row>
    <row r="2817" ht="14.25" customHeight="1">
      <c r="A2817" t="s">
        <v>2877</v>
      </c>
      <c r="B2817" t="s">
        <v>2727</v>
      </c>
      <c r="C2817" t="s">
        <v>62</v>
      </c>
      <c r="D2817" t="s">
        <v>63</v>
      </c>
      <c r="E2817">
        <v>2.0</v>
      </c>
      <c r="F2817">
        <v>2.7</v>
      </c>
      <c r="G2817" s="2" t="s">
        <v>67</v>
      </c>
      <c r="H2817" s="2">
        <v>6.0</v>
      </c>
      <c r="I2817" s="2">
        <v>40.0</v>
      </c>
      <c r="J2817" s="37">
        <v>186.76</v>
      </c>
      <c r="K2817" s="2">
        <v>7.0</v>
      </c>
      <c r="L2817" s="2">
        <v>56.0</v>
      </c>
      <c r="M2817" s="37">
        <v>230.01999999999998</v>
      </c>
    </row>
    <row r="2818" ht="14.25" customHeight="1">
      <c r="A2818" t="s">
        <v>2878</v>
      </c>
      <c r="B2818" t="s">
        <v>2727</v>
      </c>
      <c r="C2818" t="s">
        <v>62</v>
      </c>
      <c r="D2818" t="s">
        <v>63</v>
      </c>
      <c r="E2818">
        <v>2.0</v>
      </c>
      <c r="F2818">
        <v>2.7</v>
      </c>
      <c r="G2818" s="2" t="s">
        <v>67</v>
      </c>
      <c r="H2818" s="2">
        <v>6.0</v>
      </c>
      <c r="I2818" s="2">
        <v>40.0</v>
      </c>
      <c r="J2818" s="37">
        <v>186.76</v>
      </c>
      <c r="K2818" s="2">
        <v>7.0</v>
      </c>
      <c r="L2818" s="2">
        <v>56.0</v>
      </c>
      <c r="M2818" s="37">
        <v>230.01999999999998</v>
      </c>
    </row>
    <row r="2819" ht="14.25" customHeight="1">
      <c r="A2819" t="s">
        <v>2879</v>
      </c>
      <c r="B2819" t="s">
        <v>2727</v>
      </c>
      <c r="C2819" t="s">
        <v>62</v>
      </c>
      <c r="D2819" t="s">
        <v>63</v>
      </c>
      <c r="E2819">
        <v>9.5</v>
      </c>
      <c r="F2819">
        <v>10.3</v>
      </c>
      <c r="G2819" s="2" t="s">
        <v>67</v>
      </c>
      <c r="H2819" s="2">
        <v>30.0</v>
      </c>
      <c r="I2819" s="2">
        <v>115.0</v>
      </c>
      <c r="J2819" s="37">
        <v>823.3000000000001</v>
      </c>
      <c r="K2819" s="2">
        <v>34.0</v>
      </c>
      <c r="L2819" s="2">
        <v>202.0</v>
      </c>
      <c r="M2819" s="37">
        <v>1026.24</v>
      </c>
    </row>
    <row r="2820" ht="14.25" customHeight="1">
      <c r="A2820" t="s">
        <v>2880</v>
      </c>
      <c r="B2820" t="s">
        <v>2727</v>
      </c>
      <c r="C2820" t="s">
        <v>62</v>
      </c>
      <c r="D2820" t="s">
        <v>63</v>
      </c>
      <c r="E2820">
        <v>9.5</v>
      </c>
      <c r="F2820">
        <v>10.3</v>
      </c>
      <c r="G2820" s="2" t="s">
        <v>67</v>
      </c>
      <c r="H2820" s="2">
        <v>30.0</v>
      </c>
      <c r="I2820" s="2">
        <v>115.0</v>
      </c>
      <c r="J2820" s="37">
        <v>823.3000000000001</v>
      </c>
      <c r="K2820" s="2">
        <v>34.0</v>
      </c>
      <c r="L2820" s="2">
        <v>202.0</v>
      </c>
      <c r="M2820" s="37">
        <v>1026.24</v>
      </c>
    </row>
    <row r="2821" ht="14.25" customHeight="1">
      <c r="A2821" t="s">
        <v>2881</v>
      </c>
      <c r="B2821" t="s">
        <v>2727</v>
      </c>
      <c r="C2821" t="s">
        <v>62</v>
      </c>
      <c r="D2821" t="s">
        <v>63</v>
      </c>
      <c r="E2821">
        <v>9.5</v>
      </c>
      <c r="F2821">
        <v>10.3</v>
      </c>
      <c r="G2821" s="2" t="s">
        <v>67</v>
      </c>
      <c r="H2821" s="2">
        <v>30.0</v>
      </c>
      <c r="I2821" s="2">
        <v>115.0</v>
      </c>
      <c r="J2821" s="37">
        <v>823.3000000000001</v>
      </c>
      <c r="K2821" s="2">
        <v>34.0</v>
      </c>
      <c r="L2821" s="2">
        <v>202.0</v>
      </c>
      <c r="M2821" s="37">
        <v>1026.24</v>
      </c>
    </row>
    <row r="2822" ht="14.25" customHeight="1">
      <c r="A2822" t="s">
        <v>2882</v>
      </c>
      <c r="B2822" t="s">
        <v>2727</v>
      </c>
      <c r="C2822" t="s">
        <v>62</v>
      </c>
      <c r="D2822" t="s">
        <v>63</v>
      </c>
      <c r="E2822">
        <v>2.5</v>
      </c>
      <c r="F2822">
        <v>3.2</v>
      </c>
      <c r="G2822" s="2" t="s">
        <v>67</v>
      </c>
      <c r="H2822" s="2">
        <v>8.0</v>
      </c>
      <c r="I2822" s="2">
        <v>51.0</v>
      </c>
      <c r="J2822" s="37">
        <v>245.98000000000002</v>
      </c>
      <c r="K2822" s="2">
        <v>9.0</v>
      </c>
      <c r="L2822" s="2">
        <v>71.0</v>
      </c>
      <c r="M2822" s="37">
        <v>294.44</v>
      </c>
    </row>
    <row r="2823" ht="14.25" customHeight="1">
      <c r="A2823" t="s">
        <v>2883</v>
      </c>
      <c r="B2823" t="s">
        <v>2727</v>
      </c>
      <c r="C2823" t="s">
        <v>62</v>
      </c>
      <c r="D2823" t="s">
        <v>63</v>
      </c>
      <c r="E2823">
        <v>2.5</v>
      </c>
      <c r="F2823">
        <v>3.2</v>
      </c>
      <c r="G2823" s="2" t="s">
        <v>67</v>
      </c>
      <c r="H2823" s="2">
        <v>8.0</v>
      </c>
      <c r="I2823" s="2">
        <v>51.0</v>
      </c>
      <c r="J2823" s="37">
        <v>245.98000000000002</v>
      </c>
      <c r="K2823" s="2">
        <v>9.0</v>
      </c>
      <c r="L2823" s="2">
        <v>71.0</v>
      </c>
      <c r="M2823" s="37">
        <v>294.44</v>
      </c>
    </row>
    <row r="2824" ht="14.25" customHeight="1">
      <c r="A2824" t="s">
        <v>2884</v>
      </c>
      <c r="B2824" t="s">
        <v>2727</v>
      </c>
      <c r="C2824" t="s">
        <v>62</v>
      </c>
      <c r="D2824" t="s">
        <v>63</v>
      </c>
      <c r="E2824">
        <v>2.5</v>
      </c>
      <c r="F2824">
        <v>3.2</v>
      </c>
      <c r="G2824" s="2" t="s">
        <v>67</v>
      </c>
      <c r="H2824" s="2">
        <v>8.0</v>
      </c>
      <c r="I2824" s="2">
        <v>51.0</v>
      </c>
      <c r="J2824" s="37">
        <v>245.98000000000002</v>
      </c>
      <c r="K2824" s="2">
        <v>9.0</v>
      </c>
      <c r="L2824" s="2">
        <v>71.0</v>
      </c>
      <c r="M2824" s="37">
        <v>294.44</v>
      </c>
    </row>
    <row r="2825" ht="14.25" customHeight="1">
      <c r="A2825" t="s">
        <v>2885</v>
      </c>
      <c r="B2825" t="s">
        <v>2727</v>
      </c>
      <c r="C2825" t="s">
        <v>62</v>
      </c>
      <c r="D2825" t="s">
        <v>63</v>
      </c>
      <c r="E2825">
        <v>6.3</v>
      </c>
      <c r="F2825">
        <v>7.1</v>
      </c>
      <c r="G2825" s="2" t="s">
        <v>67</v>
      </c>
      <c r="H2825" s="2">
        <v>21.0</v>
      </c>
      <c r="I2825" s="2">
        <v>111.0</v>
      </c>
      <c r="J2825" s="37">
        <v>615.96</v>
      </c>
      <c r="K2825" s="2">
        <v>24.0</v>
      </c>
      <c r="L2825" s="2">
        <v>169.0</v>
      </c>
      <c r="M2825" s="37">
        <v>758.74</v>
      </c>
    </row>
    <row r="2826" ht="14.25" customHeight="1">
      <c r="A2826" t="s">
        <v>2886</v>
      </c>
      <c r="B2826" t="s">
        <v>2727</v>
      </c>
      <c r="C2826" t="s">
        <v>62</v>
      </c>
      <c r="D2826" t="s">
        <v>63</v>
      </c>
      <c r="E2826">
        <v>6.3</v>
      </c>
      <c r="F2826">
        <v>7.1</v>
      </c>
      <c r="G2826" s="2" t="s">
        <v>67</v>
      </c>
      <c r="H2826" s="2">
        <v>21.0</v>
      </c>
      <c r="I2826" s="2">
        <v>111.0</v>
      </c>
      <c r="J2826" s="37">
        <v>615.96</v>
      </c>
      <c r="K2826" s="2">
        <v>24.0</v>
      </c>
      <c r="L2826" s="2">
        <v>169.0</v>
      </c>
      <c r="M2826" s="37">
        <v>758.74</v>
      </c>
    </row>
    <row r="2827" ht="14.25" customHeight="1">
      <c r="A2827" t="s">
        <v>2887</v>
      </c>
      <c r="B2827" t="s">
        <v>2727</v>
      </c>
      <c r="C2827" t="s">
        <v>62</v>
      </c>
      <c r="D2827" t="s">
        <v>63</v>
      </c>
      <c r="E2827">
        <v>6.3</v>
      </c>
      <c r="F2827">
        <v>7.1</v>
      </c>
      <c r="G2827" s="2" t="s">
        <v>67</v>
      </c>
      <c r="H2827" s="2">
        <v>21.0</v>
      </c>
      <c r="I2827" s="2">
        <v>111.0</v>
      </c>
      <c r="J2827" s="37">
        <v>615.96</v>
      </c>
      <c r="K2827" s="2">
        <v>24.0</v>
      </c>
      <c r="L2827" s="2">
        <v>169.0</v>
      </c>
      <c r="M2827" s="37">
        <v>758.74</v>
      </c>
    </row>
    <row r="2828" ht="14.25" customHeight="1">
      <c r="A2828" t="s">
        <v>2888</v>
      </c>
      <c r="B2828" t="s">
        <v>2727</v>
      </c>
      <c r="C2828" t="s">
        <v>62</v>
      </c>
      <c r="D2828" t="s">
        <v>63</v>
      </c>
      <c r="E2828">
        <v>3.5</v>
      </c>
      <c r="F2828">
        <v>3.7</v>
      </c>
      <c r="G2828" s="2" t="s">
        <v>64</v>
      </c>
      <c r="H2828" s="2">
        <v>0.0</v>
      </c>
      <c r="I2828" s="2">
        <v>0.0</v>
      </c>
      <c r="J2828" s="37">
        <v>0.0</v>
      </c>
      <c r="K2828" s="2">
        <v>0.0</v>
      </c>
      <c r="L2828" s="2">
        <v>0.0</v>
      </c>
      <c r="M2828" s="37">
        <v>0.0</v>
      </c>
    </row>
    <row r="2829" ht="14.25" customHeight="1">
      <c r="A2829" t="s">
        <v>2889</v>
      </c>
      <c r="B2829" t="s">
        <v>2727</v>
      </c>
      <c r="C2829" t="s">
        <v>62</v>
      </c>
      <c r="D2829" t="s">
        <v>63</v>
      </c>
      <c r="E2829">
        <v>3.5</v>
      </c>
      <c r="F2829">
        <v>3.7</v>
      </c>
      <c r="G2829" s="2" t="s">
        <v>64</v>
      </c>
      <c r="H2829" s="2">
        <v>0.0</v>
      </c>
      <c r="I2829" s="2">
        <v>0.0</v>
      </c>
      <c r="J2829" s="37">
        <v>0.0</v>
      </c>
      <c r="K2829" s="2">
        <v>0.0</v>
      </c>
      <c r="L2829" s="2">
        <v>0.0</v>
      </c>
      <c r="M2829" s="37">
        <v>0.0</v>
      </c>
    </row>
    <row r="2830" ht="14.25" customHeight="1">
      <c r="A2830" t="s">
        <v>2890</v>
      </c>
      <c r="B2830" t="s">
        <v>2727</v>
      </c>
      <c r="C2830" t="s">
        <v>62</v>
      </c>
      <c r="D2830" t="s">
        <v>63</v>
      </c>
      <c r="E2830">
        <v>3.5</v>
      </c>
      <c r="F2830">
        <v>3.7</v>
      </c>
      <c r="G2830" s="2" t="s">
        <v>64</v>
      </c>
      <c r="H2830" s="2">
        <v>0.0</v>
      </c>
      <c r="I2830" s="2">
        <v>0.0</v>
      </c>
      <c r="J2830" s="37">
        <v>0.0</v>
      </c>
      <c r="K2830" s="2">
        <v>0.0</v>
      </c>
      <c r="L2830" s="2">
        <v>0.0</v>
      </c>
      <c r="M2830" s="37">
        <v>0.0</v>
      </c>
    </row>
    <row r="2831" ht="14.25" customHeight="1">
      <c r="A2831" t="s">
        <v>2891</v>
      </c>
      <c r="B2831" t="s">
        <v>2727</v>
      </c>
      <c r="C2831" t="s">
        <v>62</v>
      </c>
      <c r="D2831" t="s">
        <v>63</v>
      </c>
      <c r="E2831">
        <v>5.0</v>
      </c>
      <c r="F2831">
        <v>5.8</v>
      </c>
      <c r="G2831" s="2" t="s">
        <v>64</v>
      </c>
      <c r="H2831" s="2">
        <v>0.0</v>
      </c>
      <c r="I2831" s="2">
        <v>0.0</v>
      </c>
      <c r="J2831" s="37">
        <v>0.0</v>
      </c>
      <c r="K2831" s="2">
        <v>0.0</v>
      </c>
      <c r="L2831" s="2">
        <v>0.0</v>
      </c>
      <c r="M2831" s="37">
        <v>0.0</v>
      </c>
    </row>
    <row r="2832" ht="14.25" customHeight="1">
      <c r="A2832" t="s">
        <v>2892</v>
      </c>
      <c r="B2832" t="s">
        <v>2727</v>
      </c>
      <c r="C2832" t="s">
        <v>62</v>
      </c>
      <c r="D2832" t="s">
        <v>63</v>
      </c>
      <c r="E2832">
        <v>5.0</v>
      </c>
      <c r="F2832">
        <v>5.8</v>
      </c>
      <c r="G2832" s="2" t="s">
        <v>64</v>
      </c>
      <c r="H2832" s="2">
        <v>0.0</v>
      </c>
      <c r="I2832" s="2">
        <v>0.0</v>
      </c>
      <c r="J2832" s="37">
        <v>0.0</v>
      </c>
      <c r="K2832" s="2">
        <v>0.0</v>
      </c>
      <c r="L2832" s="2">
        <v>0.0</v>
      </c>
      <c r="M2832" s="37">
        <v>0.0</v>
      </c>
    </row>
    <row r="2833" ht="14.25" customHeight="1">
      <c r="A2833" t="s">
        <v>2893</v>
      </c>
      <c r="B2833" t="s">
        <v>2727</v>
      </c>
      <c r="C2833" t="s">
        <v>62</v>
      </c>
      <c r="D2833" t="s">
        <v>63</v>
      </c>
      <c r="E2833">
        <v>5.0</v>
      </c>
      <c r="F2833">
        <v>5.8</v>
      </c>
      <c r="G2833" s="2" t="s">
        <v>64</v>
      </c>
      <c r="H2833" s="2">
        <v>0.0</v>
      </c>
      <c r="I2833" s="2">
        <v>0.0</v>
      </c>
      <c r="J2833" s="37">
        <v>0.0</v>
      </c>
      <c r="K2833" s="2">
        <v>0.0</v>
      </c>
      <c r="L2833" s="2">
        <v>0.0</v>
      </c>
      <c r="M2833" s="37">
        <v>0.0</v>
      </c>
    </row>
    <row r="2834" ht="14.25" customHeight="1">
      <c r="A2834" t="s">
        <v>2894</v>
      </c>
      <c r="B2834" t="s">
        <v>2727</v>
      </c>
      <c r="C2834" t="s">
        <v>62</v>
      </c>
      <c r="D2834" t="s">
        <v>63</v>
      </c>
      <c r="E2834">
        <v>5.0</v>
      </c>
      <c r="F2834">
        <v>5.8</v>
      </c>
      <c r="G2834" s="2" t="s">
        <v>64</v>
      </c>
      <c r="H2834" s="2">
        <v>0.0</v>
      </c>
      <c r="I2834" s="2">
        <v>0.0</v>
      </c>
      <c r="J2834" s="37">
        <v>0.0</v>
      </c>
      <c r="K2834" s="2">
        <v>0.0</v>
      </c>
      <c r="L2834" s="2">
        <v>0.0</v>
      </c>
      <c r="M2834" s="37">
        <v>0.0</v>
      </c>
    </row>
    <row r="2835" ht="14.25" customHeight="1">
      <c r="A2835" t="s">
        <v>2895</v>
      </c>
      <c r="B2835" t="s">
        <v>2727</v>
      </c>
      <c r="C2835" t="s">
        <v>62</v>
      </c>
      <c r="D2835" t="s">
        <v>63</v>
      </c>
      <c r="E2835">
        <v>5.0</v>
      </c>
      <c r="F2835">
        <v>5.8</v>
      </c>
      <c r="G2835" s="2" t="s">
        <v>64</v>
      </c>
      <c r="H2835" s="2">
        <v>0.0</v>
      </c>
      <c r="I2835" s="2">
        <v>0.0</v>
      </c>
      <c r="J2835" s="37">
        <v>0.0</v>
      </c>
      <c r="K2835" s="2">
        <v>0.0</v>
      </c>
      <c r="L2835" s="2">
        <v>0.0</v>
      </c>
      <c r="M2835" s="37">
        <v>0.0</v>
      </c>
    </row>
    <row r="2836" ht="14.25" customHeight="1">
      <c r="A2836" t="s">
        <v>2896</v>
      </c>
      <c r="B2836" t="s">
        <v>2727</v>
      </c>
      <c r="C2836" t="s">
        <v>62</v>
      </c>
      <c r="D2836" t="s">
        <v>63</v>
      </c>
      <c r="E2836">
        <v>5.0</v>
      </c>
      <c r="F2836">
        <v>5.8</v>
      </c>
      <c r="G2836" s="2" t="s">
        <v>64</v>
      </c>
      <c r="H2836" s="2">
        <v>0.0</v>
      </c>
      <c r="I2836" s="2">
        <v>0.0</v>
      </c>
      <c r="J2836" s="37">
        <v>0.0</v>
      </c>
      <c r="K2836" s="2">
        <v>0.0</v>
      </c>
      <c r="L2836" s="2">
        <v>0.0</v>
      </c>
      <c r="M2836" s="37">
        <v>0.0</v>
      </c>
    </row>
    <row r="2837" ht="14.25" customHeight="1">
      <c r="A2837" t="s">
        <v>2897</v>
      </c>
      <c r="B2837" t="s">
        <v>2727</v>
      </c>
      <c r="C2837" t="s">
        <v>62</v>
      </c>
      <c r="D2837" t="s">
        <v>63</v>
      </c>
      <c r="E2837">
        <v>2.0</v>
      </c>
      <c r="F2837">
        <v>2.7</v>
      </c>
      <c r="G2837" s="2" t="s">
        <v>67</v>
      </c>
      <c r="H2837" s="2">
        <v>6.0</v>
      </c>
      <c r="I2837" s="2">
        <v>40.0</v>
      </c>
      <c r="J2837" s="37">
        <v>186.76</v>
      </c>
      <c r="K2837" s="2">
        <v>7.0</v>
      </c>
      <c r="L2837" s="2">
        <v>56.0</v>
      </c>
      <c r="M2837" s="37">
        <v>230.01999999999998</v>
      </c>
    </row>
    <row r="2838" ht="14.25" customHeight="1">
      <c r="A2838" t="s">
        <v>2898</v>
      </c>
      <c r="B2838" t="s">
        <v>2727</v>
      </c>
      <c r="C2838" t="s">
        <v>62</v>
      </c>
      <c r="D2838" t="s">
        <v>63</v>
      </c>
      <c r="E2838">
        <v>2.0</v>
      </c>
      <c r="F2838">
        <v>2.7</v>
      </c>
      <c r="G2838" s="2" t="s">
        <v>67</v>
      </c>
      <c r="H2838" s="2">
        <v>6.0</v>
      </c>
      <c r="I2838" s="2">
        <v>40.0</v>
      </c>
      <c r="J2838" s="37">
        <v>186.76</v>
      </c>
      <c r="K2838" s="2">
        <v>7.0</v>
      </c>
      <c r="L2838" s="2">
        <v>56.0</v>
      </c>
      <c r="M2838" s="37">
        <v>230.01999999999998</v>
      </c>
    </row>
    <row r="2839" ht="14.25" customHeight="1">
      <c r="A2839" t="s">
        <v>2899</v>
      </c>
      <c r="B2839" t="s">
        <v>2727</v>
      </c>
      <c r="C2839" t="s">
        <v>62</v>
      </c>
      <c r="D2839" t="s">
        <v>63</v>
      </c>
      <c r="E2839">
        <v>2.0</v>
      </c>
      <c r="F2839">
        <v>2.7</v>
      </c>
      <c r="G2839" s="2" t="s">
        <v>67</v>
      </c>
      <c r="H2839" s="2">
        <v>6.0</v>
      </c>
      <c r="I2839" s="2">
        <v>40.0</v>
      </c>
      <c r="J2839" s="37">
        <v>186.76</v>
      </c>
      <c r="K2839" s="2">
        <v>7.0</v>
      </c>
      <c r="L2839" s="2">
        <v>56.0</v>
      </c>
      <c r="M2839" s="37">
        <v>230.01999999999998</v>
      </c>
    </row>
    <row r="2840" ht="14.25" customHeight="1">
      <c r="A2840" t="s">
        <v>2900</v>
      </c>
      <c r="B2840" t="s">
        <v>2727</v>
      </c>
      <c r="C2840" t="s">
        <v>62</v>
      </c>
      <c r="D2840" t="s">
        <v>63</v>
      </c>
      <c r="E2840">
        <v>3.5</v>
      </c>
      <c r="F2840">
        <v>3.7</v>
      </c>
      <c r="G2840" s="2" t="s">
        <v>64</v>
      </c>
      <c r="H2840" s="2">
        <v>0.0</v>
      </c>
      <c r="I2840" s="2">
        <v>0.0</v>
      </c>
      <c r="J2840" s="37">
        <v>0.0</v>
      </c>
      <c r="K2840" s="2">
        <v>0.0</v>
      </c>
      <c r="L2840" s="2">
        <v>0.0</v>
      </c>
      <c r="M2840" s="37">
        <v>0.0</v>
      </c>
    </row>
    <row r="2841" ht="14.25" customHeight="1">
      <c r="A2841" t="s">
        <v>2901</v>
      </c>
      <c r="B2841" t="s">
        <v>2727</v>
      </c>
      <c r="C2841" t="s">
        <v>62</v>
      </c>
      <c r="D2841" t="s">
        <v>63</v>
      </c>
      <c r="E2841">
        <v>3.5</v>
      </c>
      <c r="F2841">
        <v>3.7</v>
      </c>
      <c r="G2841" s="2" t="s">
        <v>64</v>
      </c>
      <c r="H2841" s="2">
        <v>0.0</v>
      </c>
      <c r="I2841" s="2">
        <v>0.0</v>
      </c>
      <c r="J2841" s="37">
        <v>0.0</v>
      </c>
      <c r="K2841" s="2">
        <v>0.0</v>
      </c>
      <c r="L2841" s="2">
        <v>0.0</v>
      </c>
      <c r="M2841" s="37">
        <v>0.0</v>
      </c>
    </row>
    <row r="2842" ht="14.25" customHeight="1">
      <c r="A2842" t="s">
        <v>2902</v>
      </c>
      <c r="B2842" t="s">
        <v>2727</v>
      </c>
      <c r="C2842" t="s">
        <v>62</v>
      </c>
      <c r="D2842" t="s">
        <v>63</v>
      </c>
      <c r="E2842">
        <v>3.5</v>
      </c>
      <c r="F2842">
        <v>3.7</v>
      </c>
      <c r="G2842" s="2" t="s">
        <v>64</v>
      </c>
      <c r="H2842" s="2">
        <v>0.0</v>
      </c>
      <c r="I2842" s="2">
        <v>0.0</v>
      </c>
      <c r="J2842" s="37">
        <v>0.0</v>
      </c>
      <c r="K2842" s="2">
        <v>0.0</v>
      </c>
      <c r="L2842" s="2">
        <v>0.0</v>
      </c>
      <c r="M2842" s="37">
        <v>0.0</v>
      </c>
    </row>
    <row r="2843" ht="14.25" customHeight="1">
      <c r="A2843" t="s">
        <v>2903</v>
      </c>
      <c r="B2843" t="s">
        <v>2727</v>
      </c>
      <c r="C2843" t="s">
        <v>62</v>
      </c>
      <c r="D2843" t="s">
        <v>63</v>
      </c>
      <c r="E2843">
        <v>2.5</v>
      </c>
      <c r="F2843">
        <v>3.2</v>
      </c>
      <c r="G2843" s="2" t="s">
        <v>64</v>
      </c>
      <c r="H2843" s="2">
        <v>0.0</v>
      </c>
      <c r="I2843" s="2">
        <v>0.0</v>
      </c>
      <c r="J2843" s="37">
        <v>0.0</v>
      </c>
      <c r="K2843" s="2">
        <v>0.0</v>
      </c>
      <c r="L2843" s="2">
        <v>0.0</v>
      </c>
      <c r="M2843" s="37">
        <v>0.0</v>
      </c>
    </row>
    <row r="2844" ht="14.25" customHeight="1">
      <c r="A2844" t="s">
        <v>2904</v>
      </c>
      <c r="B2844" t="s">
        <v>2727</v>
      </c>
      <c r="C2844" t="s">
        <v>62</v>
      </c>
      <c r="D2844" t="s">
        <v>63</v>
      </c>
      <c r="E2844">
        <v>2.5</v>
      </c>
      <c r="F2844">
        <v>3.2</v>
      </c>
      <c r="G2844" s="2" t="s">
        <v>64</v>
      </c>
      <c r="H2844" s="2">
        <v>0.0</v>
      </c>
      <c r="I2844" s="2">
        <v>0.0</v>
      </c>
      <c r="J2844" s="37">
        <v>0.0</v>
      </c>
      <c r="K2844" s="2">
        <v>0.0</v>
      </c>
      <c r="L2844" s="2">
        <v>0.0</v>
      </c>
      <c r="M2844" s="37">
        <v>0.0</v>
      </c>
    </row>
    <row r="2845" ht="14.25" customHeight="1">
      <c r="A2845" t="s">
        <v>2905</v>
      </c>
      <c r="B2845" t="s">
        <v>2727</v>
      </c>
      <c r="C2845" t="s">
        <v>62</v>
      </c>
      <c r="D2845" t="s">
        <v>63</v>
      </c>
      <c r="E2845">
        <v>2.5</v>
      </c>
      <c r="F2845">
        <v>3.2</v>
      </c>
      <c r="G2845" s="2" t="s">
        <v>64</v>
      </c>
      <c r="H2845" s="2">
        <v>0.0</v>
      </c>
      <c r="I2845" s="2">
        <v>0.0</v>
      </c>
      <c r="J2845" s="37">
        <v>0.0</v>
      </c>
      <c r="K2845" s="2">
        <v>0.0</v>
      </c>
      <c r="L2845" s="2">
        <v>0.0</v>
      </c>
      <c r="M2845" s="37">
        <v>0.0</v>
      </c>
    </row>
    <row r="2846" ht="14.25" customHeight="1">
      <c r="A2846" t="s">
        <v>2906</v>
      </c>
      <c r="B2846" t="s">
        <v>2727</v>
      </c>
      <c r="C2846" t="s">
        <v>62</v>
      </c>
      <c r="D2846" t="s">
        <v>63</v>
      </c>
      <c r="E2846">
        <v>3.5</v>
      </c>
      <c r="F2846">
        <v>4.2</v>
      </c>
      <c r="G2846" s="2" t="s">
        <v>64</v>
      </c>
      <c r="H2846" s="2">
        <v>0.0</v>
      </c>
      <c r="I2846" s="2">
        <v>0.0</v>
      </c>
      <c r="J2846" s="37">
        <v>0.0</v>
      </c>
      <c r="K2846" s="2">
        <v>0.0</v>
      </c>
      <c r="L2846" s="2">
        <v>0.0</v>
      </c>
      <c r="M2846" s="37">
        <v>0.0</v>
      </c>
    </row>
    <row r="2847" ht="14.25" customHeight="1">
      <c r="A2847" t="s">
        <v>2907</v>
      </c>
      <c r="B2847" t="s">
        <v>2727</v>
      </c>
      <c r="C2847" t="s">
        <v>62</v>
      </c>
      <c r="D2847" t="s">
        <v>63</v>
      </c>
      <c r="E2847">
        <v>2.5</v>
      </c>
      <c r="F2847">
        <v>3.4</v>
      </c>
      <c r="G2847" s="2" t="s">
        <v>64</v>
      </c>
      <c r="H2847" s="2">
        <v>0.0</v>
      </c>
      <c r="I2847" s="2">
        <v>0.0</v>
      </c>
      <c r="J2847" s="37">
        <v>0.0</v>
      </c>
      <c r="K2847" s="2">
        <v>0.0</v>
      </c>
      <c r="L2847" s="2">
        <v>0.0</v>
      </c>
      <c r="M2847" s="37">
        <v>0.0</v>
      </c>
    </row>
    <row r="2848" ht="14.25" customHeight="1">
      <c r="A2848" t="s">
        <v>2908</v>
      </c>
      <c r="B2848" t="s">
        <v>2727</v>
      </c>
      <c r="C2848" t="s">
        <v>62</v>
      </c>
      <c r="D2848" t="s">
        <v>63</v>
      </c>
      <c r="E2848">
        <v>2.0</v>
      </c>
      <c r="F2848">
        <v>2.7</v>
      </c>
      <c r="G2848" s="2" t="s">
        <v>67</v>
      </c>
      <c r="H2848" s="2">
        <v>7.0</v>
      </c>
      <c r="I2848" s="2">
        <v>70.0</v>
      </c>
      <c r="J2848" s="37">
        <v>248.22</v>
      </c>
      <c r="K2848" s="2">
        <v>8.0</v>
      </c>
      <c r="L2848" s="2">
        <v>86.0</v>
      </c>
      <c r="M2848" s="37">
        <v>291.48</v>
      </c>
    </row>
    <row r="2849" ht="14.25" customHeight="1">
      <c r="A2849" t="s">
        <v>2909</v>
      </c>
      <c r="B2849" t="s">
        <v>2727</v>
      </c>
      <c r="C2849" t="s">
        <v>62</v>
      </c>
      <c r="D2849" t="s">
        <v>63</v>
      </c>
      <c r="E2849">
        <v>2.5</v>
      </c>
      <c r="F2849">
        <v>3.2</v>
      </c>
      <c r="G2849" s="2" t="s">
        <v>67</v>
      </c>
      <c r="H2849" s="2">
        <v>8.0</v>
      </c>
      <c r="I2849" s="2">
        <v>72.0</v>
      </c>
      <c r="J2849" s="37">
        <v>273.28000000000003</v>
      </c>
      <c r="K2849" s="2">
        <v>10.0</v>
      </c>
      <c r="L2849" s="2">
        <v>92.0</v>
      </c>
      <c r="M2849" s="37">
        <v>344.20000000000005</v>
      </c>
    </row>
    <row r="2850" ht="14.25" customHeight="1">
      <c r="A2850" t="s">
        <v>2910</v>
      </c>
      <c r="B2850" t="s">
        <v>2727</v>
      </c>
      <c r="C2850" t="s">
        <v>62</v>
      </c>
      <c r="D2850" t="s">
        <v>63</v>
      </c>
      <c r="E2850">
        <v>6.1</v>
      </c>
      <c r="F2850">
        <v>6.8</v>
      </c>
      <c r="G2850" s="2" t="s">
        <v>67</v>
      </c>
      <c r="H2850" s="2">
        <v>19.0</v>
      </c>
      <c r="I2850" s="2">
        <v>54.0</v>
      </c>
      <c r="J2850" s="37">
        <v>496.94</v>
      </c>
      <c r="K2850" s="2">
        <v>22.0</v>
      </c>
      <c r="L2850" s="2">
        <v>110.0</v>
      </c>
      <c r="M2850" s="37">
        <v>637.12</v>
      </c>
    </row>
    <row r="2851" ht="14.25" customHeight="1">
      <c r="A2851" t="s">
        <v>2911</v>
      </c>
      <c r="B2851" t="s">
        <v>2727</v>
      </c>
      <c r="C2851" t="s">
        <v>62</v>
      </c>
      <c r="D2851" t="s">
        <v>63</v>
      </c>
      <c r="E2851">
        <v>3.5</v>
      </c>
      <c r="F2851">
        <v>4.3</v>
      </c>
      <c r="G2851" s="2" t="s">
        <v>67</v>
      </c>
      <c r="H2851" s="2">
        <v>11.0</v>
      </c>
      <c r="I2851" s="2">
        <v>64.0</v>
      </c>
      <c r="J2851" s="37">
        <v>330.26</v>
      </c>
      <c r="K2851" s="2">
        <v>13.0</v>
      </c>
      <c r="L2851" s="2">
        <v>92.0</v>
      </c>
      <c r="M2851" s="37">
        <v>411.58000000000004</v>
      </c>
    </row>
    <row r="2852" ht="14.25" customHeight="1">
      <c r="A2852" t="s">
        <v>2912</v>
      </c>
      <c r="B2852" t="s">
        <v>2727</v>
      </c>
      <c r="C2852" t="s">
        <v>62</v>
      </c>
      <c r="D2852" t="s">
        <v>63</v>
      </c>
      <c r="E2852">
        <v>5.0</v>
      </c>
      <c r="F2852">
        <v>6.0</v>
      </c>
      <c r="G2852" s="2" t="s">
        <v>67</v>
      </c>
      <c r="H2852" s="2">
        <v>18.0</v>
      </c>
      <c r="I2852" s="2">
        <v>92.0</v>
      </c>
      <c r="J2852" s="37">
        <v>523.88</v>
      </c>
      <c r="K2852" s="2">
        <v>20.0</v>
      </c>
      <c r="L2852" s="2">
        <v>138.0</v>
      </c>
      <c r="M2852" s="37">
        <v>628.6</v>
      </c>
    </row>
    <row r="2853" ht="14.25" customHeight="1">
      <c r="A2853" t="s">
        <v>2913</v>
      </c>
      <c r="B2853" t="s">
        <v>2727</v>
      </c>
      <c r="C2853" t="s">
        <v>62</v>
      </c>
      <c r="D2853" t="s">
        <v>63</v>
      </c>
      <c r="E2853">
        <v>9.5</v>
      </c>
      <c r="F2853">
        <v>10.3</v>
      </c>
      <c r="G2853" s="2" t="s">
        <v>67</v>
      </c>
      <c r="H2853" s="2">
        <v>29.0</v>
      </c>
      <c r="I2853" s="2">
        <v>115.0</v>
      </c>
      <c r="J2853" s="37">
        <v>800.84</v>
      </c>
      <c r="K2853" s="2">
        <v>34.0</v>
      </c>
      <c r="L2853" s="2">
        <v>202.0</v>
      </c>
      <c r="M2853" s="37">
        <v>1026.24</v>
      </c>
    </row>
    <row r="2854" ht="14.25" customHeight="1">
      <c r="A2854" t="s">
        <v>2914</v>
      </c>
      <c r="B2854" t="s">
        <v>2727</v>
      </c>
      <c r="C2854" t="s">
        <v>62</v>
      </c>
      <c r="D2854" t="s">
        <v>63</v>
      </c>
      <c r="E2854">
        <v>9.5</v>
      </c>
      <c r="F2854">
        <v>10.3</v>
      </c>
      <c r="G2854" s="2" t="s">
        <v>67</v>
      </c>
      <c r="H2854" s="2">
        <v>29.0</v>
      </c>
      <c r="I2854" s="2">
        <v>115.0</v>
      </c>
      <c r="J2854" s="37">
        <v>800.84</v>
      </c>
      <c r="K2854" s="2">
        <v>34.0</v>
      </c>
      <c r="L2854" s="2">
        <v>202.0</v>
      </c>
      <c r="M2854" s="37">
        <v>1026.24</v>
      </c>
    </row>
    <row r="2855" ht="14.25" customHeight="1">
      <c r="A2855" t="s">
        <v>2915</v>
      </c>
      <c r="B2855" t="s">
        <v>2727</v>
      </c>
      <c r="C2855" t="s">
        <v>62</v>
      </c>
      <c r="D2855" t="s">
        <v>63</v>
      </c>
      <c r="E2855">
        <v>9.5</v>
      </c>
      <c r="F2855">
        <v>10.3</v>
      </c>
      <c r="G2855" s="2" t="s">
        <v>67</v>
      </c>
      <c r="H2855" s="2">
        <v>29.0</v>
      </c>
      <c r="I2855" s="2">
        <v>115.0</v>
      </c>
      <c r="J2855" s="37">
        <v>800.84</v>
      </c>
      <c r="K2855" s="2">
        <v>34.0</v>
      </c>
      <c r="L2855" s="2">
        <v>202.0</v>
      </c>
      <c r="M2855" s="37">
        <v>1026.24</v>
      </c>
    </row>
    <row r="2856" ht="14.25" customHeight="1">
      <c r="A2856" t="s">
        <v>2916</v>
      </c>
      <c r="B2856" t="s">
        <v>2727</v>
      </c>
      <c r="C2856" t="s">
        <v>62</v>
      </c>
      <c r="D2856" t="s">
        <v>63</v>
      </c>
      <c r="E2856">
        <v>7.1</v>
      </c>
      <c r="F2856">
        <v>8.0</v>
      </c>
      <c r="G2856" s="2" t="s">
        <v>67</v>
      </c>
      <c r="H2856" s="2">
        <v>23.0</v>
      </c>
      <c r="I2856" s="2">
        <v>108.0</v>
      </c>
      <c r="J2856" s="37">
        <v>656.98</v>
      </c>
      <c r="K2856" s="2">
        <v>26.0</v>
      </c>
      <c r="L2856" s="2">
        <v>172.0</v>
      </c>
      <c r="M2856" s="37">
        <v>807.5600000000001</v>
      </c>
    </row>
    <row r="2857" ht="14.25" customHeight="1">
      <c r="A2857" t="s">
        <v>2917</v>
      </c>
      <c r="B2857" t="s">
        <v>2727</v>
      </c>
      <c r="C2857" t="s">
        <v>62</v>
      </c>
      <c r="D2857" t="s">
        <v>63</v>
      </c>
      <c r="E2857">
        <v>7.1</v>
      </c>
      <c r="F2857">
        <v>8.0</v>
      </c>
      <c r="G2857" s="2" t="s">
        <v>67</v>
      </c>
      <c r="H2857" s="2">
        <v>23.0</v>
      </c>
      <c r="I2857" s="2">
        <v>108.0</v>
      </c>
      <c r="J2857" s="37">
        <v>656.98</v>
      </c>
      <c r="K2857" s="2">
        <v>26.0</v>
      </c>
      <c r="L2857" s="2">
        <v>172.0</v>
      </c>
      <c r="M2857" s="37">
        <v>807.5600000000001</v>
      </c>
    </row>
    <row r="2858" ht="14.25" customHeight="1">
      <c r="A2858" t="s">
        <v>2918</v>
      </c>
      <c r="B2858" t="s">
        <v>2727</v>
      </c>
      <c r="C2858" t="s">
        <v>62</v>
      </c>
      <c r="D2858" t="s">
        <v>63</v>
      </c>
      <c r="E2858">
        <v>7.1</v>
      </c>
      <c r="F2858">
        <v>8.0</v>
      </c>
      <c r="G2858" s="2" t="s">
        <v>67</v>
      </c>
      <c r="H2858" s="2">
        <v>23.0</v>
      </c>
      <c r="I2858" s="2">
        <v>108.0</v>
      </c>
      <c r="J2858" s="37">
        <v>656.98</v>
      </c>
      <c r="K2858" s="2">
        <v>26.0</v>
      </c>
      <c r="L2858" s="2">
        <v>172.0</v>
      </c>
      <c r="M2858" s="37">
        <v>807.5600000000001</v>
      </c>
    </row>
    <row r="2859" ht="14.25" customHeight="1">
      <c r="A2859" t="s">
        <v>2919</v>
      </c>
      <c r="B2859" t="s">
        <v>2727</v>
      </c>
      <c r="C2859" t="s">
        <v>62</v>
      </c>
      <c r="D2859" t="s">
        <v>63</v>
      </c>
      <c r="E2859">
        <v>6.3</v>
      </c>
      <c r="F2859">
        <v>7.1</v>
      </c>
      <c r="G2859" s="2" t="s">
        <v>67</v>
      </c>
      <c r="H2859" s="2">
        <v>21.0</v>
      </c>
      <c r="I2859" s="2">
        <v>111.0</v>
      </c>
      <c r="J2859" s="37">
        <v>615.96</v>
      </c>
      <c r="K2859" s="2">
        <v>24.0</v>
      </c>
      <c r="L2859" s="2">
        <v>169.0</v>
      </c>
      <c r="M2859" s="37">
        <v>758.74</v>
      </c>
    </row>
    <row r="2860" ht="14.25" customHeight="1">
      <c r="A2860" t="s">
        <v>2920</v>
      </c>
      <c r="B2860" t="s">
        <v>2727</v>
      </c>
      <c r="C2860" t="s">
        <v>62</v>
      </c>
      <c r="D2860" t="s">
        <v>63</v>
      </c>
      <c r="E2860">
        <v>6.3</v>
      </c>
      <c r="F2860">
        <v>7.1</v>
      </c>
      <c r="G2860" s="2" t="s">
        <v>67</v>
      </c>
      <c r="H2860" s="2">
        <v>21.0</v>
      </c>
      <c r="I2860" s="2">
        <v>111.0</v>
      </c>
      <c r="J2860" s="37">
        <v>615.96</v>
      </c>
      <c r="K2860" s="2">
        <v>24.0</v>
      </c>
      <c r="L2860" s="2">
        <v>169.0</v>
      </c>
      <c r="M2860" s="37">
        <v>758.74</v>
      </c>
    </row>
    <row r="2861" ht="14.25" customHeight="1">
      <c r="A2861" t="s">
        <v>2921</v>
      </c>
      <c r="B2861" t="s">
        <v>2727</v>
      </c>
      <c r="C2861" t="s">
        <v>62</v>
      </c>
      <c r="D2861" t="s">
        <v>63</v>
      </c>
      <c r="E2861">
        <v>6.3</v>
      </c>
      <c r="F2861">
        <v>7.1</v>
      </c>
      <c r="G2861" s="2" t="s">
        <v>67</v>
      </c>
      <c r="H2861" s="2">
        <v>21.0</v>
      </c>
      <c r="I2861" s="2">
        <v>111.0</v>
      </c>
      <c r="J2861" s="37">
        <v>615.96</v>
      </c>
      <c r="K2861" s="2">
        <v>24.0</v>
      </c>
      <c r="L2861" s="2">
        <v>169.0</v>
      </c>
      <c r="M2861" s="37">
        <v>758.74</v>
      </c>
    </row>
    <row r="2862" ht="14.25" customHeight="1">
      <c r="A2862" t="s">
        <v>2922</v>
      </c>
      <c r="B2862" t="s">
        <v>2727</v>
      </c>
      <c r="C2862" t="s">
        <v>62</v>
      </c>
      <c r="D2862" t="s">
        <v>63</v>
      </c>
      <c r="E2862">
        <v>3.5</v>
      </c>
      <c r="F2862">
        <v>4.25</v>
      </c>
      <c r="G2862" s="2" t="s">
        <v>64</v>
      </c>
      <c r="H2862" s="2">
        <v>0.0</v>
      </c>
      <c r="I2862" s="2">
        <v>0.0</v>
      </c>
      <c r="J2862" s="37">
        <v>0.0</v>
      </c>
      <c r="K2862" s="2">
        <v>0.0</v>
      </c>
      <c r="L2862" s="2">
        <v>0.0</v>
      </c>
      <c r="M2862" s="37">
        <v>0.0</v>
      </c>
    </row>
    <row r="2863" ht="14.25" customHeight="1">
      <c r="A2863" t="s">
        <v>2923</v>
      </c>
      <c r="B2863" t="s">
        <v>2727</v>
      </c>
      <c r="C2863" t="s">
        <v>62</v>
      </c>
      <c r="D2863" t="s">
        <v>63</v>
      </c>
      <c r="E2863">
        <v>8.0</v>
      </c>
      <c r="F2863">
        <v>9.0</v>
      </c>
      <c r="G2863" s="2" t="s">
        <v>67</v>
      </c>
      <c r="H2863" s="2">
        <v>25.0</v>
      </c>
      <c r="I2863" s="2">
        <v>78.0</v>
      </c>
      <c r="J2863" s="37">
        <v>662.9</v>
      </c>
      <c r="K2863" s="2">
        <v>29.0</v>
      </c>
      <c r="L2863" s="2">
        <v>151.0</v>
      </c>
      <c r="M2863" s="37">
        <v>847.6400000000001</v>
      </c>
    </row>
    <row r="2864" ht="14.25" customHeight="1">
      <c r="A2864" t="s">
        <v>2924</v>
      </c>
      <c r="B2864" t="s">
        <v>2727</v>
      </c>
      <c r="C2864" t="s">
        <v>62</v>
      </c>
      <c r="D2864" t="s">
        <v>63</v>
      </c>
      <c r="E2864">
        <v>8.0</v>
      </c>
      <c r="F2864">
        <v>9.0</v>
      </c>
      <c r="G2864" s="2" t="s">
        <v>67</v>
      </c>
      <c r="H2864" s="2">
        <v>25.0</v>
      </c>
      <c r="I2864" s="2">
        <v>78.0</v>
      </c>
      <c r="J2864" s="37">
        <v>662.9</v>
      </c>
      <c r="K2864" s="2">
        <v>29.0</v>
      </c>
      <c r="L2864" s="2">
        <v>151.0</v>
      </c>
      <c r="M2864" s="37">
        <v>847.6400000000001</v>
      </c>
    </row>
    <row r="2865" ht="14.25" customHeight="1">
      <c r="A2865" t="s">
        <v>2925</v>
      </c>
      <c r="B2865" t="s">
        <v>2727</v>
      </c>
      <c r="C2865" t="s">
        <v>62</v>
      </c>
      <c r="D2865" t="s">
        <v>63</v>
      </c>
      <c r="E2865">
        <v>8.0</v>
      </c>
      <c r="F2865">
        <v>9.0</v>
      </c>
      <c r="G2865" s="2" t="s">
        <v>67</v>
      </c>
      <c r="H2865" s="2">
        <v>25.0</v>
      </c>
      <c r="I2865" s="2">
        <v>78.0</v>
      </c>
      <c r="J2865" s="37">
        <v>662.9</v>
      </c>
      <c r="K2865" s="2">
        <v>29.0</v>
      </c>
      <c r="L2865" s="2">
        <v>151.0</v>
      </c>
      <c r="M2865" s="37">
        <v>847.6400000000001</v>
      </c>
    </row>
    <row r="2866" ht="14.25" customHeight="1">
      <c r="A2866" t="s">
        <v>2926</v>
      </c>
      <c r="B2866" t="s">
        <v>2727</v>
      </c>
      <c r="C2866" t="s">
        <v>62</v>
      </c>
      <c r="D2866" t="s">
        <v>63</v>
      </c>
      <c r="E2866">
        <v>2.5</v>
      </c>
      <c r="F2866">
        <v>3.4</v>
      </c>
      <c r="G2866" s="2" t="s">
        <v>64</v>
      </c>
      <c r="H2866" s="2">
        <v>0.0</v>
      </c>
      <c r="I2866" s="2">
        <v>0.0</v>
      </c>
      <c r="J2866" s="37">
        <v>0.0</v>
      </c>
      <c r="K2866" s="2">
        <v>0.0</v>
      </c>
      <c r="L2866" s="2">
        <v>0.0</v>
      </c>
      <c r="M2866" s="37">
        <v>0.0</v>
      </c>
    </row>
    <row r="2867" ht="14.25" customHeight="1">
      <c r="A2867" t="s">
        <v>2927</v>
      </c>
      <c r="B2867" t="s">
        <v>2727</v>
      </c>
      <c r="C2867" t="s">
        <v>62</v>
      </c>
      <c r="D2867" t="s">
        <v>63</v>
      </c>
      <c r="E2867">
        <v>5.0</v>
      </c>
      <c r="F2867">
        <v>6.0</v>
      </c>
      <c r="G2867" s="2" t="s">
        <v>64</v>
      </c>
      <c r="H2867" s="2">
        <v>0.0</v>
      </c>
      <c r="I2867" s="2">
        <v>0.0</v>
      </c>
      <c r="J2867" s="37">
        <v>0.0</v>
      </c>
      <c r="K2867" s="2">
        <v>0.0</v>
      </c>
      <c r="L2867" s="2">
        <v>0.0</v>
      </c>
      <c r="M2867" s="37">
        <v>0.0</v>
      </c>
    </row>
    <row r="2868" ht="14.25" customHeight="1">
      <c r="A2868" t="s">
        <v>2928</v>
      </c>
      <c r="B2868" t="s">
        <v>2727</v>
      </c>
      <c r="C2868" t="s">
        <v>62</v>
      </c>
      <c r="D2868" t="s">
        <v>63</v>
      </c>
      <c r="E2868">
        <v>2.5</v>
      </c>
      <c r="F2868">
        <v>3.4</v>
      </c>
      <c r="G2868" s="2" t="s">
        <v>64</v>
      </c>
      <c r="H2868" s="2">
        <v>0.0</v>
      </c>
      <c r="I2868" s="2">
        <v>0.0</v>
      </c>
      <c r="J2868" s="37">
        <v>0.0</v>
      </c>
      <c r="K2868" s="2">
        <v>0.0</v>
      </c>
      <c r="L2868" s="2">
        <v>0.0</v>
      </c>
      <c r="M2868" s="37">
        <v>0.0</v>
      </c>
    </row>
    <row r="2869" ht="14.25" customHeight="1">
      <c r="A2869" t="s">
        <v>2929</v>
      </c>
      <c r="B2869" t="s">
        <v>2727</v>
      </c>
      <c r="C2869" t="s">
        <v>62</v>
      </c>
      <c r="D2869" t="s">
        <v>63</v>
      </c>
      <c r="E2869">
        <v>3.5</v>
      </c>
      <c r="F2869">
        <v>4.5</v>
      </c>
      <c r="G2869" s="2" t="s">
        <v>64</v>
      </c>
      <c r="H2869" s="2">
        <v>0.0</v>
      </c>
      <c r="I2869" s="2">
        <v>0.0</v>
      </c>
      <c r="J2869" s="37">
        <v>0.0</v>
      </c>
      <c r="K2869" s="2">
        <v>0.0</v>
      </c>
      <c r="L2869" s="2">
        <v>0.0</v>
      </c>
      <c r="M2869" s="37">
        <v>0.0</v>
      </c>
    </row>
    <row r="2870" ht="14.25" customHeight="1">
      <c r="A2870" t="s">
        <v>2930</v>
      </c>
      <c r="B2870" t="s">
        <v>2727</v>
      </c>
      <c r="C2870" t="s">
        <v>62</v>
      </c>
      <c r="D2870" t="s">
        <v>63</v>
      </c>
      <c r="E2870">
        <v>2.0</v>
      </c>
      <c r="F2870">
        <v>2.7</v>
      </c>
      <c r="G2870" s="2" t="s">
        <v>64</v>
      </c>
      <c r="H2870" s="2">
        <v>0.0</v>
      </c>
      <c r="I2870" s="2">
        <v>0.0</v>
      </c>
      <c r="J2870" s="37">
        <v>0.0</v>
      </c>
      <c r="K2870" s="2">
        <v>0.0</v>
      </c>
      <c r="L2870" s="2">
        <v>0.0</v>
      </c>
      <c r="M2870" s="37">
        <v>0.0</v>
      </c>
    </row>
    <row r="2871" ht="14.25" customHeight="1">
      <c r="A2871" t="s">
        <v>2931</v>
      </c>
      <c r="B2871" t="s">
        <v>2727</v>
      </c>
      <c r="C2871" t="s">
        <v>62</v>
      </c>
      <c r="D2871" t="s">
        <v>63</v>
      </c>
      <c r="E2871">
        <v>3.3</v>
      </c>
      <c r="F2871">
        <v>3.8</v>
      </c>
      <c r="G2871" s="2" t="s">
        <v>64</v>
      </c>
      <c r="H2871" s="2">
        <v>0.0</v>
      </c>
      <c r="I2871" s="2">
        <v>0.0</v>
      </c>
      <c r="J2871" s="37">
        <v>0.0</v>
      </c>
      <c r="K2871" s="2">
        <v>0.0</v>
      </c>
      <c r="L2871" s="2">
        <v>0.0</v>
      </c>
      <c r="M2871" s="37">
        <v>0.0</v>
      </c>
    </row>
    <row r="2872" ht="14.25" customHeight="1">
      <c r="A2872" t="s">
        <v>2932</v>
      </c>
      <c r="B2872" t="s">
        <v>2727</v>
      </c>
      <c r="C2872" t="s">
        <v>62</v>
      </c>
      <c r="D2872" t="s">
        <v>63</v>
      </c>
      <c r="E2872">
        <v>5.0</v>
      </c>
      <c r="F2872">
        <v>5.8</v>
      </c>
      <c r="G2872" s="2" t="s">
        <v>64</v>
      </c>
      <c r="H2872" s="2">
        <v>0.0</v>
      </c>
      <c r="I2872" s="2">
        <v>0.0</v>
      </c>
      <c r="J2872" s="37">
        <v>0.0</v>
      </c>
      <c r="K2872" s="2">
        <v>0.0</v>
      </c>
      <c r="L2872" s="2">
        <v>0.0</v>
      </c>
      <c r="M2872" s="37">
        <v>0.0</v>
      </c>
    </row>
    <row r="2873" ht="14.25" customHeight="1">
      <c r="A2873" t="s">
        <v>2933</v>
      </c>
      <c r="B2873" t="s">
        <v>2727</v>
      </c>
      <c r="C2873" t="s">
        <v>62</v>
      </c>
      <c r="D2873" t="s">
        <v>63</v>
      </c>
      <c r="E2873">
        <v>10.0</v>
      </c>
      <c r="F2873">
        <v>11.2</v>
      </c>
      <c r="G2873" s="2" t="s">
        <v>67</v>
      </c>
      <c r="H2873" s="2">
        <v>34.0</v>
      </c>
      <c r="I2873" s="2">
        <v>111.0</v>
      </c>
      <c r="J2873" s="37">
        <v>907.94</v>
      </c>
      <c r="K2873" s="2">
        <v>39.0</v>
      </c>
      <c r="L2873" s="2">
        <v>213.0</v>
      </c>
      <c r="M2873" s="37">
        <v>1152.8400000000001</v>
      </c>
    </row>
    <row r="2874" ht="14.25" customHeight="1">
      <c r="A2874" t="s">
        <v>2934</v>
      </c>
      <c r="B2874" t="s">
        <v>2727</v>
      </c>
      <c r="C2874" t="s">
        <v>62</v>
      </c>
      <c r="D2874" t="s">
        <v>63</v>
      </c>
      <c r="E2874">
        <v>10.0</v>
      </c>
      <c r="F2874">
        <v>11.2</v>
      </c>
      <c r="G2874" s="2" t="s">
        <v>67</v>
      </c>
      <c r="H2874" s="2">
        <v>34.0</v>
      </c>
      <c r="I2874" s="2">
        <v>111.0</v>
      </c>
      <c r="J2874" s="37">
        <v>907.94</v>
      </c>
      <c r="K2874" s="2">
        <v>39.0</v>
      </c>
      <c r="L2874" s="2">
        <v>213.0</v>
      </c>
      <c r="M2874" s="37">
        <v>1152.8400000000001</v>
      </c>
    </row>
    <row r="2875" ht="14.25" customHeight="1">
      <c r="A2875" t="s">
        <v>2935</v>
      </c>
      <c r="B2875" t="s">
        <v>2727</v>
      </c>
      <c r="C2875" t="s">
        <v>62</v>
      </c>
      <c r="D2875" t="s">
        <v>63</v>
      </c>
      <c r="E2875">
        <v>10.0</v>
      </c>
      <c r="F2875">
        <v>11.2</v>
      </c>
      <c r="G2875" s="2" t="s">
        <v>67</v>
      </c>
      <c r="H2875" s="2">
        <v>34.0</v>
      </c>
      <c r="I2875" s="2">
        <v>111.0</v>
      </c>
      <c r="J2875" s="37">
        <v>907.94</v>
      </c>
      <c r="K2875" s="2">
        <v>39.0</v>
      </c>
      <c r="L2875" s="2">
        <v>213.0</v>
      </c>
      <c r="M2875" s="37">
        <v>1152.8400000000001</v>
      </c>
    </row>
    <row r="2876" ht="14.25" customHeight="1">
      <c r="A2876" t="s">
        <v>2936</v>
      </c>
      <c r="B2876" t="s">
        <v>2727</v>
      </c>
      <c r="C2876" t="s">
        <v>75</v>
      </c>
      <c r="D2876" t="s">
        <v>63</v>
      </c>
      <c r="E2876">
        <v>10.0</v>
      </c>
      <c r="F2876">
        <v>11.2</v>
      </c>
      <c r="G2876" s="2" t="s">
        <v>67</v>
      </c>
      <c r="H2876" s="2">
        <v>31.0</v>
      </c>
      <c r="I2876" s="2">
        <v>52.0</v>
      </c>
      <c r="J2876" s="37">
        <v>763.86</v>
      </c>
      <c r="K2876" s="2">
        <v>37.0</v>
      </c>
      <c r="L2876" s="2">
        <v>154.0</v>
      </c>
      <c r="M2876" s="37">
        <v>1031.22</v>
      </c>
    </row>
    <row r="2877" ht="14.25" customHeight="1">
      <c r="A2877" t="s">
        <v>2937</v>
      </c>
      <c r="B2877" t="s">
        <v>2727</v>
      </c>
      <c r="C2877" t="s">
        <v>75</v>
      </c>
      <c r="D2877" t="s">
        <v>63</v>
      </c>
      <c r="E2877">
        <v>10.0</v>
      </c>
      <c r="F2877">
        <v>11.2</v>
      </c>
      <c r="G2877" s="2" t="s">
        <v>67</v>
      </c>
      <c r="H2877" s="2">
        <v>31.0</v>
      </c>
      <c r="I2877" s="2">
        <v>52.0</v>
      </c>
      <c r="J2877" s="37">
        <v>763.86</v>
      </c>
      <c r="K2877" s="2">
        <v>37.0</v>
      </c>
      <c r="L2877" s="2">
        <v>154.0</v>
      </c>
      <c r="M2877" s="37">
        <v>1031.22</v>
      </c>
    </row>
    <row r="2878" ht="14.25" customHeight="1">
      <c r="A2878" t="s">
        <v>2938</v>
      </c>
      <c r="B2878" t="s">
        <v>2727</v>
      </c>
      <c r="C2878" t="s">
        <v>75</v>
      </c>
      <c r="D2878" t="s">
        <v>63</v>
      </c>
      <c r="E2878">
        <v>10.0</v>
      </c>
      <c r="F2878">
        <v>11.2</v>
      </c>
      <c r="G2878" s="2" t="s">
        <v>67</v>
      </c>
      <c r="H2878" s="2">
        <v>31.0</v>
      </c>
      <c r="I2878" s="2">
        <v>52.0</v>
      </c>
      <c r="J2878" s="37">
        <v>763.86</v>
      </c>
      <c r="K2878" s="2">
        <v>37.0</v>
      </c>
      <c r="L2878" s="2">
        <v>154.0</v>
      </c>
      <c r="M2878" s="37">
        <v>1031.22</v>
      </c>
    </row>
    <row r="2879" ht="14.25" customHeight="1">
      <c r="A2879" t="s">
        <v>2939</v>
      </c>
      <c r="B2879" t="s">
        <v>2727</v>
      </c>
      <c r="C2879" t="s">
        <v>62</v>
      </c>
      <c r="D2879" t="s">
        <v>63</v>
      </c>
      <c r="E2879">
        <v>10.0</v>
      </c>
      <c r="F2879">
        <v>11.2</v>
      </c>
      <c r="G2879" s="2" t="s">
        <v>67</v>
      </c>
      <c r="H2879" s="2">
        <v>34.0</v>
      </c>
      <c r="I2879" s="2">
        <v>147.0</v>
      </c>
      <c r="J2879" s="37">
        <v>954.74</v>
      </c>
      <c r="K2879" s="2">
        <v>40.0</v>
      </c>
      <c r="L2879" s="2">
        <v>249.0</v>
      </c>
      <c r="M2879" s="37">
        <v>1222.1000000000001</v>
      </c>
    </row>
    <row r="2880" ht="14.25" customHeight="1">
      <c r="A2880" t="s">
        <v>2940</v>
      </c>
      <c r="B2880" t="s">
        <v>2727</v>
      </c>
      <c r="C2880" t="s">
        <v>62</v>
      </c>
      <c r="D2880" t="s">
        <v>63</v>
      </c>
      <c r="E2880">
        <v>10.0</v>
      </c>
      <c r="F2880">
        <v>11.2</v>
      </c>
      <c r="G2880" s="2" t="s">
        <v>67</v>
      </c>
      <c r="H2880" s="2">
        <v>34.0</v>
      </c>
      <c r="I2880" s="2">
        <v>147.0</v>
      </c>
      <c r="J2880" s="37">
        <v>954.74</v>
      </c>
      <c r="K2880" s="2">
        <v>40.0</v>
      </c>
      <c r="L2880" s="2">
        <v>249.0</v>
      </c>
      <c r="M2880" s="37">
        <v>1222.1000000000001</v>
      </c>
    </row>
    <row r="2881" ht="14.25" customHeight="1">
      <c r="A2881" t="s">
        <v>2941</v>
      </c>
      <c r="B2881" t="s">
        <v>2727</v>
      </c>
      <c r="C2881" t="s">
        <v>62</v>
      </c>
      <c r="D2881" t="s">
        <v>63</v>
      </c>
      <c r="E2881">
        <v>10.0</v>
      </c>
      <c r="F2881">
        <v>11.2</v>
      </c>
      <c r="G2881" s="2" t="s">
        <v>67</v>
      </c>
      <c r="H2881" s="2">
        <v>34.0</v>
      </c>
      <c r="I2881" s="2">
        <v>147.0</v>
      </c>
      <c r="J2881" s="37">
        <v>954.74</v>
      </c>
      <c r="K2881" s="2">
        <v>40.0</v>
      </c>
      <c r="L2881" s="2">
        <v>249.0</v>
      </c>
      <c r="M2881" s="37">
        <v>1222.1000000000001</v>
      </c>
    </row>
    <row r="2882" ht="14.25" customHeight="1">
      <c r="A2882" t="s">
        <v>2942</v>
      </c>
      <c r="B2882" t="s">
        <v>2727</v>
      </c>
      <c r="C2882" t="s">
        <v>62</v>
      </c>
      <c r="D2882" t="s">
        <v>63</v>
      </c>
      <c r="E2882">
        <v>10.0</v>
      </c>
      <c r="F2882">
        <v>11.2</v>
      </c>
      <c r="G2882" s="2" t="s">
        <v>67</v>
      </c>
      <c r="H2882" s="2">
        <v>34.0</v>
      </c>
      <c r="I2882" s="2">
        <v>111.0</v>
      </c>
      <c r="J2882" s="37">
        <v>907.94</v>
      </c>
      <c r="K2882" s="2">
        <v>39.0</v>
      </c>
      <c r="L2882" s="2">
        <v>213.0</v>
      </c>
      <c r="M2882" s="37">
        <v>1152.8400000000001</v>
      </c>
    </row>
    <row r="2883" ht="14.25" customHeight="1">
      <c r="A2883" t="s">
        <v>2943</v>
      </c>
      <c r="B2883" t="s">
        <v>2727</v>
      </c>
      <c r="C2883" t="s">
        <v>62</v>
      </c>
      <c r="D2883" t="s">
        <v>63</v>
      </c>
      <c r="E2883">
        <v>10.0</v>
      </c>
      <c r="F2883">
        <v>11.2</v>
      </c>
      <c r="G2883" s="2" t="s">
        <v>67</v>
      </c>
      <c r="H2883" s="2">
        <v>34.0</v>
      </c>
      <c r="I2883" s="2">
        <v>111.0</v>
      </c>
      <c r="J2883" s="37">
        <v>907.94</v>
      </c>
      <c r="K2883" s="2">
        <v>39.0</v>
      </c>
      <c r="L2883" s="2">
        <v>213.0</v>
      </c>
      <c r="M2883" s="37">
        <v>1152.8400000000001</v>
      </c>
    </row>
    <row r="2884" ht="14.25" customHeight="1">
      <c r="A2884" t="s">
        <v>2944</v>
      </c>
      <c r="B2884" t="s">
        <v>2727</v>
      </c>
      <c r="C2884" t="s">
        <v>62</v>
      </c>
      <c r="D2884" t="s">
        <v>63</v>
      </c>
      <c r="E2884">
        <v>10.0</v>
      </c>
      <c r="F2884">
        <v>11.2</v>
      </c>
      <c r="G2884" s="2" t="s">
        <v>67</v>
      </c>
      <c r="H2884" s="2">
        <v>34.0</v>
      </c>
      <c r="I2884" s="2">
        <v>111.0</v>
      </c>
      <c r="J2884" s="37">
        <v>907.94</v>
      </c>
      <c r="K2884" s="2">
        <v>39.0</v>
      </c>
      <c r="L2884" s="2">
        <v>213.0</v>
      </c>
      <c r="M2884" s="37">
        <v>1152.8400000000001</v>
      </c>
    </row>
    <row r="2885" ht="14.25" customHeight="1">
      <c r="A2885" t="s">
        <v>2945</v>
      </c>
      <c r="B2885" t="s">
        <v>2727</v>
      </c>
      <c r="C2885" t="s">
        <v>75</v>
      </c>
      <c r="D2885" t="s">
        <v>63</v>
      </c>
      <c r="E2885">
        <v>10.0</v>
      </c>
      <c r="F2885">
        <v>11.2</v>
      </c>
      <c r="G2885" s="2" t="s">
        <v>67</v>
      </c>
      <c r="H2885" s="2">
        <v>31.0</v>
      </c>
      <c r="I2885" s="2">
        <v>69.0</v>
      </c>
      <c r="J2885" s="37">
        <v>785.96</v>
      </c>
      <c r="K2885" s="2">
        <v>37.0</v>
      </c>
      <c r="L2885" s="2">
        <v>172.0</v>
      </c>
      <c r="M2885" s="37">
        <v>1054.62</v>
      </c>
    </row>
    <row r="2886" ht="14.25" customHeight="1">
      <c r="A2886" t="s">
        <v>2946</v>
      </c>
      <c r="B2886" t="s">
        <v>2727</v>
      </c>
      <c r="C2886" t="s">
        <v>75</v>
      </c>
      <c r="D2886" t="s">
        <v>63</v>
      </c>
      <c r="E2886">
        <v>10.0</v>
      </c>
      <c r="F2886">
        <v>11.2</v>
      </c>
      <c r="G2886" s="2" t="s">
        <v>67</v>
      </c>
      <c r="H2886" s="2">
        <v>31.0</v>
      </c>
      <c r="I2886" s="2">
        <v>69.0</v>
      </c>
      <c r="J2886" s="37">
        <v>785.96</v>
      </c>
      <c r="K2886" s="2">
        <v>37.0</v>
      </c>
      <c r="L2886" s="2">
        <v>172.0</v>
      </c>
      <c r="M2886" s="37">
        <v>1054.62</v>
      </c>
    </row>
    <row r="2887" ht="14.25" customHeight="1">
      <c r="A2887" t="s">
        <v>2947</v>
      </c>
      <c r="B2887" t="s">
        <v>2727</v>
      </c>
      <c r="C2887" t="s">
        <v>75</v>
      </c>
      <c r="D2887" t="s">
        <v>63</v>
      </c>
      <c r="E2887">
        <v>10.0</v>
      </c>
      <c r="F2887">
        <v>11.2</v>
      </c>
      <c r="G2887" s="2" t="s">
        <v>67</v>
      </c>
      <c r="H2887" s="2">
        <v>31.0</v>
      </c>
      <c r="I2887" s="2">
        <v>69.0</v>
      </c>
      <c r="J2887" s="37">
        <v>785.96</v>
      </c>
      <c r="K2887" s="2">
        <v>37.0</v>
      </c>
      <c r="L2887" s="2">
        <v>172.0</v>
      </c>
      <c r="M2887" s="37">
        <v>1054.62</v>
      </c>
    </row>
    <row r="2888" ht="14.25" customHeight="1">
      <c r="A2888" t="s">
        <v>2948</v>
      </c>
      <c r="B2888" t="s">
        <v>2727</v>
      </c>
      <c r="C2888" t="s">
        <v>75</v>
      </c>
      <c r="D2888" t="s">
        <v>63</v>
      </c>
      <c r="E2888">
        <v>10.0</v>
      </c>
      <c r="F2888">
        <v>11.2</v>
      </c>
      <c r="G2888" s="2" t="s">
        <v>67</v>
      </c>
      <c r="H2888" s="2">
        <v>31.0</v>
      </c>
      <c r="I2888" s="2">
        <v>52.0</v>
      </c>
      <c r="J2888" s="37">
        <v>763.86</v>
      </c>
      <c r="K2888" s="2">
        <v>37.0</v>
      </c>
      <c r="L2888" s="2">
        <v>154.0</v>
      </c>
      <c r="M2888" s="37">
        <v>1031.22</v>
      </c>
    </row>
    <row r="2889" ht="14.25" customHeight="1">
      <c r="A2889" t="s">
        <v>2949</v>
      </c>
      <c r="B2889" t="s">
        <v>2727</v>
      </c>
      <c r="C2889" t="s">
        <v>75</v>
      </c>
      <c r="D2889" t="s">
        <v>63</v>
      </c>
      <c r="E2889">
        <v>10.0</v>
      </c>
      <c r="F2889">
        <v>11.2</v>
      </c>
      <c r="G2889" s="2" t="s">
        <v>67</v>
      </c>
      <c r="H2889" s="2">
        <v>31.0</v>
      </c>
      <c r="I2889" s="2">
        <v>52.0</v>
      </c>
      <c r="J2889" s="37">
        <v>763.86</v>
      </c>
      <c r="K2889" s="2">
        <v>37.0</v>
      </c>
      <c r="L2889" s="2">
        <v>154.0</v>
      </c>
      <c r="M2889" s="37">
        <v>1031.22</v>
      </c>
    </row>
    <row r="2890" ht="14.25" customHeight="1">
      <c r="A2890" t="s">
        <v>2950</v>
      </c>
      <c r="B2890" t="s">
        <v>2727</v>
      </c>
      <c r="C2890" t="s">
        <v>75</v>
      </c>
      <c r="D2890" t="s">
        <v>63</v>
      </c>
      <c r="E2890">
        <v>10.0</v>
      </c>
      <c r="F2890">
        <v>11.2</v>
      </c>
      <c r="G2890" s="2" t="s">
        <v>67</v>
      </c>
      <c r="H2890" s="2">
        <v>32.0</v>
      </c>
      <c r="I2890" s="2">
        <v>69.0</v>
      </c>
      <c r="J2890" s="37">
        <v>808.4200000000001</v>
      </c>
      <c r="K2890" s="2">
        <v>37.0</v>
      </c>
      <c r="L2890" s="2">
        <v>172.0</v>
      </c>
      <c r="M2890" s="37">
        <v>1054.62</v>
      </c>
    </row>
    <row r="2891" ht="14.25" customHeight="1">
      <c r="A2891" t="s">
        <v>2951</v>
      </c>
      <c r="B2891" t="s">
        <v>2727</v>
      </c>
      <c r="C2891" t="s">
        <v>75</v>
      </c>
      <c r="D2891" t="s">
        <v>63</v>
      </c>
      <c r="E2891">
        <v>10.0</v>
      </c>
      <c r="F2891">
        <v>11.2</v>
      </c>
      <c r="G2891" s="2" t="s">
        <v>67</v>
      </c>
      <c r="H2891" s="2">
        <v>32.0</v>
      </c>
      <c r="I2891" s="2">
        <v>69.0</v>
      </c>
      <c r="J2891" s="37">
        <v>808.4200000000001</v>
      </c>
      <c r="K2891" s="2">
        <v>37.0</v>
      </c>
      <c r="L2891" s="2">
        <v>172.0</v>
      </c>
      <c r="M2891" s="37">
        <v>1054.62</v>
      </c>
    </row>
    <row r="2892" ht="14.25" customHeight="1">
      <c r="A2892" t="s">
        <v>2952</v>
      </c>
      <c r="B2892" t="s">
        <v>2727</v>
      </c>
      <c r="C2892" t="s">
        <v>75</v>
      </c>
      <c r="D2892" t="s">
        <v>63</v>
      </c>
      <c r="E2892">
        <v>10.0</v>
      </c>
      <c r="F2892">
        <v>11.2</v>
      </c>
      <c r="G2892" s="2" t="s">
        <v>67</v>
      </c>
      <c r="H2892" s="2">
        <v>32.0</v>
      </c>
      <c r="I2892" s="2">
        <v>69.0</v>
      </c>
      <c r="J2892" s="37">
        <v>808.4200000000001</v>
      </c>
      <c r="K2892" s="2">
        <v>37.0</v>
      </c>
      <c r="L2892" s="2">
        <v>172.0</v>
      </c>
      <c r="M2892" s="37">
        <v>1054.62</v>
      </c>
    </row>
    <row r="2893" ht="14.25" customHeight="1">
      <c r="A2893" t="s">
        <v>2953</v>
      </c>
      <c r="B2893" t="s">
        <v>2727</v>
      </c>
      <c r="C2893" t="s">
        <v>62</v>
      </c>
      <c r="D2893" t="s">
        <v>63</v>
      </c>
      <c r="E2893">
        <v>7.1</v>
      </c>
      <c r="F2893">
        <v>8.0</v>
      </c>
      <c r="G2893" s="2" t="s">
        <v>67</v>
      </c>
      <c r="H2893" s="2">
        <v>24.0</v>
      </c>
      <c r="I2893" s="2">
        <v>152.0</v>
      </c>
      <c r="J2893" s="37">
        <v>736.64</v>
      </c>
      <c r="K2893" s="2">
        <v>27.0</v>
      </c>
      <c r="L2893" s="2">
        <v>217.0</v>
      </c>
      <c r="M2893" s="37">
        <v>888.5200000000001</v>
      </c>
    </row>
    <row r="2894" ht="14.25" customHeight="1">
      <c r="A2894" t="s">
        <v>2954</v>
      </c>
      <c r="B2894" t="s">
        <v>2727</v>
      </c>
      <c r="C2894" t="s">
        <v>62</v>
      </c>
      <c r="D2894" t="s">
        <v>63</v>
      </c>
      <c r="E2894">
        <v>7.1</v>
      </c>
      <c r="F2894">
        <v>8.0</v>
      </c>
      <c r="G2894" s="2" t="s">
        <v>67</v>
      </c>
      <c r="H2894" s="2">
        <v>24.0</v>
      </c>
      <c r="I2894" s="2">
        <v>152.0</v>
      </c>
      <c r="J2894" s="37">
        <v>736.64</v>
      </c>
      <c r="K2894" s="2">
        <v>27.0</v>
      </c>
      <c r="L2894" s="2">
        <v>217.0</v>
      </c>
      <c r="M2894" s="37">
        <v>888.5200000000001</v>
      </c>
    </row>
    <row r="2895" ht="14.25" customHeight="1">
      <c r="A2895" t="s">
        <v>2955</v>
      </c>
      <c r="B2895" t="s">
        <v>2727</v>
      </c>
      <c r="C2895" t="s">
        <v>75</v>
      </c>
      <c r="D2895" t="s">
        <v>63</v>
      </c>
      <c r="E2895">
        <v>7.1</v>
      </c>
      <c r="F2895">
        <v>8.0</v>
      </c>
      <c r="G2895" s="2" t="s">
        <v>67</v>
      </c>
      <c r="H2895" s="2">
        <v>22.0</v>
      </c>
      <c r="I2895" s="2">
        <v>154.0</v>
      </c>
      <c r="J2895" s="37">
        <v>694.32</v>
      </c>
      <c r="K2895" s="2">
        <v>26.0</v>
      </c>
      <c r="L2895" s="2">
        <v>227.0</v>
      </c>
      <c r="M2895" s="37">
        <v>879.0600000000001</v>
      </c>
    </row>
    <row r="2896" ht="14.25" customHeight="1">
      <c r="A2896" t="s">
        <v>2956</v>
      </c>
      <c r="B2896" t="s">
        <v>2727</v>
      </c>
      <c r="C2896" t="s">
        <v>75</v>
      </c>
      <c r="D2896" t="s">
        <v>63</v>
      </c>
      <c r="E2896">
        <v>7.1</v>
      </c>
      <c r="F2896">
        <v>8.0</v>
      </c>
      <c r="G2896" s="2" t="s">
        <v>67</v>
      </c>
      <c r="H2896" s="2">
        <v>22.0</v>
      </c>
      <c r="I2896" s="2">
        <v>154.0</v>
      </c>
      <c r="J2896" s="37">
        <v>694.32</v>
      </c>
      <c r="K2896" s="2">
        <v>26.0</v>
      </c>
      <c r="L2896" s="2">
        <v>227.0</v>
      </c>
      <c r="M2896" s="37">
        <v>879.0600000000001</v>
      </c>
    </row>
    <row r="2897" ht="14.25" customHeight="1">
      <c r="A2897" t="s">
        <v>2957</v>
      </c>
      <c r="B2897" t="s">
        <v>2727</v>
      </c>
      <c r="C2897" t="s">
        <v>62</v>
      </c>
      <c r="D2897" t="s">
        <v>63</v>
      </c>
      <c r="E2897">
        <v>5.6</v>
      </c>
      <c r="F2897">
        <v>6.7</v>
      </c>
      <c r="G2897" s="2" t="s">
        <v>67</v>
      </c>
      <c r="H2897" s="2">
        <v>20.0</v>
      </c>
      <c r="I2897" s="2">
        <v>121.0</v>
      </c>
      <c r="J2897" s="37">
        <v>606.5</v>
      </c>
      <c r="K2897" s="2">
        <v>23.0</v>
      </c>
      <c r="L2897" s="2">
        <v>172.0</v>
      </c>
      <c r="M2897" s="37">
        <v>740.1800000000001</v>
      </c>
    </row>
    <row r="2898" ht="14.25" customHeight="1">
      <c r="A2898" t="s">
        <v>2958</v>
      </c>
      <c r="B2898" t="s">
        <v>2727</v>
      </c>
      <c r="C2898" t="s">
        <v>62</v>
      </c>
      <c r="D2898" t="s">
        <v>63</v>
      </c>
      <c r="E2898">
        <v>5.6</v>
      </c>
      <c r="F2898">
        <v>6.7</v>
      </c>
      <c r="G2898" s="2" t="s">
        <v>67</v>
      </c>
      <c r="H2898" s="2">
        <v>20.0</v>
      </c>
      <c r="I2898" s="2">
        <v>121.0</v>
      </c>
      <c r="J2898" s="37">
        <v>606.5</v>
      </c>
      <c r="K2898" s="2">
        <v>23.0</v>
      </c>
      <c r="L2898" s="2">
        <v>172.0</v>
      </c>
      <c r="M2898" s="37">
        <v>740.1800000000001</v>
      </c>
    </row>
    <row r="2899" ht="14.25" customHeight="1">
      <c r="A2899" t="s">
        <v>2959</v>
      </c>
      <c r="B2899" t="s">
        <v>2727</v>
      </c>
      <c r="C2899" t="s">
        <v>75</v>
      </c>
      <c r="D2899" t="s">
        <v>63</v>
      </c>
      <c r="E2899">
        <v>5.6</v>
      </c>
      <c r="F2899">
        <v>6.7</v>
      </c>
      <c r="G2899" s="2" t="s">
        <v>67</v>
      </c>
      <c r="H2899" s="2">
        <v>19.0</v>
      </c>
      <c r="I2899" s="2">
        <v>79.0</v>
      </c>
      <c r="J2899" s="37">
        <v>529.44</v>
      </c>
      <c r="K2899" s="2">
        <v>22.0</v>
      </c>
      <c r="L2899" s="2">
        <v>136.0</v>
      </c>
      <c r="M2899" s="37">
        <v>670.9200000000001</v>
      </c>
    </row>
    <row r="2900" ht="14.25" customHeight="1">
      <c r="A2900" t="s">
        <v>2960</v>
      </c>
      <c r="B2900" t="s">
        <v>2727</v>
      </c>
      <c r="C2900" t="s">
        <v>75</v>
      </c>
      <c r="D2900" t="s">
        <v>63</v>
      </c>
      <c r="E2900">
        <v>5.6</v>
      </c>
      <c r="F2900">
        <v>6.7</v>
      </c>
      <c r="G2900" s="2" t="s">
        <v>67</v>
      </c>
      <c r="H2900" s="2">
        <v>19.0</v>
      </c>
      <c r="I2900" s="2">
        <v>79.0</v>
      </c>
      <c r="J2900" s="37">
        <v>529.44</v>
      </c>
      <c r="K2900" s="2">
        <v>22.0</v>
      </c>
      <c r="L2900" s="2">
        <v>136.0</v>
      </c>
      <c r="M2900" s="37">
        <v>670.9200000000001</v>
      </c>
    </row>
    <row r="2901" ht="14.25" customHeight="1">
      <c r="A2901" t="s">
        <v>2961</v>
      </c>
      <c r="B2901" t="s">
        <v>2727</v>
      </c>
      <c r="C2901" t="s">
        <v>62</v>
      </c>
      <c r="D2901" t="s">
        <v>63</v>
      </c>
      <c r="E2901">
        <v>7.1</v>
      </c>
      <c r="F2901">
        <v>8.0</v>
      </c>
      <c r="G2901" s="2" t="s">
        <v>64</v>
      </c>
      <c r="H2901" s="2">
        <v>0.0</v>
      </c>
      <c r="I2901" s="2">
        <v>0.0</v>
      </c>
      <c r="J2901" s="37">
        <v>0.0</v>
      </c>
      <c r="K2901" s="2">
        <v>0.0</v>
      </c>
      <c r="L2901" s="2">
        <v>0.0</v>
      </c>
      <c r="M2901" s="37">
        <v>0.0</v>
      </c>
    </row>
    <row r="2902" ht="14.25" customHeight="1">
      <c r="A2902" t="s">
        <v>2962</v>
      </c>
      <c r="B2902" t="s">
        <v>2727</v>
      </c>
      <c r="C2902" t="s">
        <v>62</v>
      </c>
      <c r="D2902" t="s">
        <v>63</v>
      </c>
      <c r="E2902">
        <v>7.1</v>
      </c>
      <c r="F2902">
        <v>8.0</v>
      </c>
      <c r="G2902" s="2" t="s">
        <v>64</v>
      </c>
      <c r="H2902" s="2">
        <v>0.0</v>
      </c>
      <c r="I2902" s="2">
        <v>0.0</v>
      </c>
      <c r="J2902" s="37">
        <v>0.0</v>
      </c>
      <c r="K2902" s="2">
        <v>0.0</v>
      </c>
      <c r="L2902" s="2">
        <v>0.0</v>
      </c>
      <c r="M2902" s="37">
        <v>0.0</v>
      </c>
    </row>
    <row r="2903" ht="14.25" customHeight="1">
      <c r="A2903" t="s">
        <v>2963</v>
      </c>
      <c r="B2903" t="s">
        <v>2727</v>
      </c>
      <c r="C2903" t="s">
        <v>62</v>
      </c>
      <c r="D2903" t="s">
        <v>63</v>
      </c>
      <c r="E2903">
        <v>10.0</v>
      </c>
      <c r="F2903">
        <v>10.0</v>
      </c>
      <c r="G2903" s="2" t="s">
        <v>67</v>
      </c>
      <c r="H2903" s="2">
        <v>31.0</v>
      </c>
      <c r="I2903" s="2">
        <v>114.0</v>
      </c>
      <c r="J2903" s="37">
        <v>844.46</v>
      </c>
      <c r="K2903" s="2">
        <v>36.0</v>
      </c>
      <c r="L2903" s="2">
        <v>216.0</v>
      </c>
      <c r="M2903" s="37">
        <v>1089.3600000000001</v>
      </c>
    </row>
    <row r="2904" ht="14.25" customHeight="1">
      <c r="A2904" t="s">
        <v>2964</v>
      </c>
      <c r="B2904" t="s">
        <v>2727</v>
      </c>
      <c r="C2904" t="s">
        <v>62</v>
      </c>
      <c r="D2904" t="s">
        <v>63</v>
      </c>
      <c r="E2904">
        <v>10.0</v>
      </c>
      <c r="F2904">
        <v>10.0</v>
      </c>
      <c r="G2904" s="2" t="s">
        <v>67</v>
      </c>
      <c r="H2904" s="2">
        <v>31.0</v>
      </c>
      <c r="I2904" s="2">
        <v>114.0</v>
      </c>
      <c r="J2904" s="37">
        <v>844.46</v>
      </c>
      <c r="K2904" s="2">
        <v>36.0</v>
      </c>
      <c r="L2904" s="2">
        <v>216.0</v>
      </c>
      <c r="M2904" s="37">
        <v>1089.3600000000001</v>
      </c>
    </row>
    <row r="2905" ht="14.25" customHeight="1">
      <c r="A2905" t="s">
        <v>2965</v>
      </c>
      <c r="B2905" t="s">
        <v>2727</v>
      </c>
      <c r="C2905" t="s">
        <v>62</v>
      </c>
      <c r="D2905" t="s">
        <v>63</v>
      </c>
      <c r="E2905">
        <v>10.0</v>
      </c>
      <c r="F2905">
        <v>10.0</v>
      </c>
      <c r="G2905" s="2" t="s">
        <v>67</v>
      </c>
      <c r="H2905" s="2">
        <v>31.0</v>
      </c>
      <c r="I2905" s="2">
        <v>114.0</v>
      </c>
      <c r="J2905" s="37">
        <v>844.46</v>
      </c>
      <c r="K2905" s="2">
        <v>36.0</v>
      </c>
      <c r="L2905" s="2">
        <v>216.0</v>
      </c>
      <c r="M2905" s="37">
        <v>1089.3600000000001</v>
      </c>
    </row>
    <row r="2906" ht="14.25" customHeight="1">
      <c r="A2906" t="s">
        <v>2965</v>
      </c>
      <c r="B2906" t="s">
        <v>2727</v>
      </c>
      <c r="C2906" t="s">
        <v>62</v>
      </c>
      <c r="D2906" t="s">
        <v>63</v>
      </c>
      <c r="E2906">
        <v>10.0</v>
      </c>
      <c r="F2906">
        <v>10.0</v>
      </c>
      <c r="G2906" s="2" t="s">
        <v>67</v>
      </c>
      <c r="H2906" s="2">
        <v>31.0</v>
      </c>
      <c r="I2906" s="2">
        <v>114.0</v>
      </c>
      <c r="J2906" s="37">
        <v>844.46</v>
      </c>
      <c r="K2906" s="2">
        <v>36.0</v>
      </c>
      <c r="L2906" s="2">
        <v>216.0</v>
      </c>
      <c r="M2906" s="37">
        <v>1089.3600000000001</v>
      </c>
    </row>
    <row r="2907" ht="14.25" customHeight="1">
      <c r="A2907" t="s">
        <v>2966</v>
      </c>
      <c r="B2907" t="s">
        <v>2727</v>
      </c>
      <c r="C2907" t="s">
        <v>62</v>
      </c>
      <c r="D2907" t="s">
        <v>63</v>
      </c>
      <c r="E2907">
        <v>10.0</v>
      </c>
      <c r="F2907">
        <v>10.0</v>
      </c>
      <c r="G2907" s="2" t="s">
        <v>67</v>
      </c>
      <c r="H2907" s="2">
        <v>31.0</v>
      </c>
      <c r="I2907" s="2">
        <v>66.0</v>
      </c>
      <c r="J2907" s="37">
        <v>782.06</v>
      </c>
      <c r="K2907" s="2">
        <v>36.0</v>
      </c>
      <c r="L2907" s="2">
        <v>169.0</v>
      </c>
      <c r="M2907" s="37">
        <v>1028.26</v>
      </c>
    </row>
    <row r="2908" ht="14.25" customHeight="1">
      <c r="A2908" t="s">
        <v>2967</v>
      </c>
      <c r="B2908" t="s">
        <v>2727</v>
      </c>
      <c r="C2908" t="s">
        <v>62</v>
      </c>
      <c r="D2908" t="s">
        <v>63</v>
      </c>
      <c r="E2908">
        <v>10.0</v>
      </c>
      <c r="F2908">
        <v>10.0</v>
      </c>
      <c r="G2908" s="2" t="s">
        <v>67</v>
      </c>
      <c r="H2908" s="2">
        <v>31.0</v>
      </c>
      <c r="I2908" s="2">
        <v>66.0</v>
      </c>
      <c r="J2908" s="37">
        <v>782.06</v>
      </c>
      <c r="K2908" s="2">
        <v>36.0</v>
      </c>
      <c r="L2908" s="2">
        <v>169.0</v>
      </c>
      <c r="M2908" s="37">
        <v>1028.26</v>
      </c>
    </row>
    <row r="2909" ht="14.25" customHeight="1">
      <c r="A2909" t="s">
        <v>2967</v>
      </c>
      <c r="B2909" t="s">
        <v>2727</v>
      </c>
      <c r="C2909" t="s">
        <v>62</v>
      </c>
      <c r="D2909" t="s">
        <v>63</v>
      </c>
      <c r="E2909">
        <v>10.0</v>
      </c>
      <c r="F2909">
        <v>10.0</v>
      </c>
      <c r="G2909" s="2" t="s">
        <v>67</v>
      </c>
      <c r="H2909" s="2">
        <v>31.0</v>
      </c>
      <c r="I2909" s="2">
        <v>66.0</v>
      </c>
      <c r="J2909" s="37">
        <v>782.06</v>
      </c>
      <c r="K2909" s="2">
        <v>36.0</v>
      </c>
      <c r="L2909" s="2">
        <v>169.0</v>
      </c>
      <c r="M2909" s="37">
        <v>1028.26</v>
      </c>
    </row>
    <row r="2910" ht="14.25" customHeight="1">
      <c r="A2910" t="s">
        <v>2968</v>
      </c>
      <c r="B2910" t="s">
        <v>2727</v>
      </c>
      <c r="C2910" t="s">
        <v>62</v>
      </c>
      <c r="D2910" t="s">
        <v>63</v>
      </c>
      <c r="E2910">
        <v>10.0</v>
      </c>
      <c r="F2910">
        <v>10.0</v>
      </c>
      <c r="G2910" s="2" t="s">
        <v>67</v>
      </c>
      <c r="H2910" s="2">
        <v>31.0</v>
      </c>
      <c r="I2910" s="2">
        <v>66.0</v>
      </c>
      <c r="J2910" s="37">
        <v>782.06</v>
      </c>
      <c r="K2910" s="2">
        <v>36.0</v>
      </c>
      <c r="L2910" s="2">
        <v>169.0</v>
      </c>
      <c r="M2910" s="37">
        <v>1028.26</v>
      </c>
    </row>
    <row r="2911" ht="14.25" customHeight="1">
      <c r="A2911" t="s">
        <v>2969</v>
      </c>
      <c r="B2911" t="s">
        <v>2727</v>
      </c>
      <c r="C2911" t="s">
        <v>75</v>
      </c>
      <c r="D2911" t="s">
        <v>63</v>
      </c>
      <c r="E2911">
        <v>10.0</v>
      </c>
      <c r="F2911">
        <v>10.0</v>
      </c>
      <c r="G2911" s="2" t="s">
        <v>67</v>
      </c>
      <c r="H2911" s="2">
        <v>28.0</v>
      </c>
      <c r="I2911" s="2">
        <v>43.0</v>
      </c>
      <c r="J2911" s="37">
        <v>684.78</v>
      </c>
      <c r="K2911" s="2">
        <v>33.0</v>
      </c>
      <c r="L2911" s="2">
        <v>145.0</v>
      </c>
      <c r="M2911" s="37">
        <v>929.6800000000001</v>
      </c>
    </row>
    <row r="2912" ht="14.25" customHeight="1">
      <c r="A2912" t="s">
        <v>2970</v>
      </c>
      <c r="B2912" t="s">
        <v>2727</v>
      </c>
      <c r="C2912" t="s">
        <v>75</v>
      </c>
      <c r="D2912" t="s">
        <v>63</v>
      </c>
      <c r="E2912">
        <v>10.0</v>
      </c>
      <c r="F2912">
        <v>10.0</v>
      </c>
      <c r="G2912" s="2" t="s">
        <v>67</v>
      </c>
      <c r="H2912" s="2">
        <v>28.0</v>
      </c>
      <c r="I2912" s="2">
        <v>43.0</v>
      </c>
      <c r="J2912" s="37">
        <v>684.78</v>
      </c>
      <c r="K2912" s="2">
        <v>33.0</v>
      </c>
      <c r="L2912" s="2">
        <v>145.0</v>
      </c>
      <c r="M2912" s="37">
        <v>929.6800000000001</v>
      </c>
    </row>
    <row r="2913" ht="14.25" customHeight="1">
      <c r="A2913" t="s">
        <v>2971</v>
      </c>
      <c r="B2913" t="s">
        <v>2727</v>
      </c>
      <c r="C2913" t="s">
        <v>75</v>
      </c>
      <c r="D2913" t="s">
        <v>63</v>
      </c>
      <c r="E2913">
        <v>10.0</v>
      </c>
      <c r="F2913">
        <v>10.0</v>
      </c>
      <c r="G2913" s="2" t="s">
        <v>67</v>
      </c>
      <c r="H2913" s="2">
        <v>28.0</v>
      </c>
      <c r="I2913" s="2">
        <v>43.0</v>
      </c>
      <c r="J2913" s="37">
        <v>684.78</v>
      </c>
      <c r="K2913" s="2">
        <v>33.0</v>
      </c>
      <c r="L2913" s="2">
        <v>145.0</v>
      </c>
      <c r="M2913" s="37">
        <v>929.6800000000001</v>
      </c>
    </row>
    <row r="2914" ht="14.25" customHeight="1">
      <c r="A2914" t="s">
        <v>2971</v>
      </c>
      <c r="B2914" t="s">
        <v>2727</v>
      </c>
      <c r="C2914" t="s">
        <v>75</v>
      </c>
      <c r="D2914" t="s">
        <v>63</v>
      </c>
      <c r="E2914">
        <v>10.0</v>
      </c>
      <c r="F2914">
        <v>10.0</v>
      </c>
      <c r="G2914" s="2" t="s">
        <v>67</v>
      </c>
      <c r="H2914" s="2">
        <v>28.0</v>
      </c>
      <c r="I2914" s="2">
        <v>43.0</v>
      </c>
      <c r="J2914" s="37">
        <v>684.78</v>
      </c>
      <c r="K2914" s="2">
        <v>33.0</v>
      </c>
      <c r="L2914" s="2">
        <v>145.0</v>
      </c>
      <c r="M2914" s="37">
        <v>929.6800000000001</v>
      </c>
    </row>
    <row r="2915" ht="14.25" customHeight="1">
      <c r="A2915" t="s">
        <v>2972</v>
      </c>
      <c r="B2915" t="s">
        <v>2727</v>
      </c>
      <c r="C2915" t="s">
        <v>62</v>
      </c>
      <c r="D2915" t="s">
        <v>63</v>
      </c>
      <c r="E2915">
        <v>5.0</v>
      </c>
      <c r="F2915">
        <v>5.4</v>
      </c>
      <c r="G2915" s="2" t="s">
        <v>64</v>
      </c>
      <c r="H2915" s="2">
        <v>0.0</v>
      </c>
      <c r="I2915" s="2">
        <v>0.0</v>
      </c>
      <c r="J2915" s="37">
        <v>0.0</v>
      </c>
      <c r="K2915" s="2">
        <v>0.0</v>
      </c>
      <c r="L2915" s="2">
        <v>0.0</v>
      </c>
      <c r="M2915" s="37">
        <v>0.0</v>
      </c>
    </row>
    <row r="2916" ht="14.25" customHeight="1">
      <c r="A2916" t="s">
        <v>2973</v>
      </c>
      <c r="B2916" t="s">
        <v>2727</v>
      </c>
      <c r="C2916" t="s">
        <v>62</v>
      </c>
      <c r="D2916" t="s">
        <v>63</v>
      </c>
      <c r="E2916">
        <v>5.0</v>
      </c>
      <c r="F2916">
        <v>5.4</v>
      </c>
      <c r="G2916" s="2" t="s">
        <v>64</v>
      </c>
      <c r="H2916" s="2">
        <v>0.0</v>
      </c>
      <c r="I2916" s="2">
        <v>0.0</v>
      </c>
      <c r="J2916" s="37">
        <v>0.0</v>
      </c>
      <c r="K2916" s="2">
        <v>0.0</v>
      </c>
      <c r="L2916" s="2">
        <v>0.0</v>
      </c>
      <c r="M2916" s="37">
        <v>0.0</v>
      </c>
    </row>
    <row r="2917" ht="14.25" customHeight="1">
      <c r="A2917" t="s">
        <v>2974</v>
      </c>
      <c r="B2917" t="s">
        <v>2727</v>
      </c>
      <c r="C2917" t="s">
        <v>75</v>
      </c>
      <c r="D2917" t="s">
        <v>63</v>
      </c>
      <c r="E2917">
        <v>5.0</v>
      </c>
      <c r="F2917">
        <v>5.4</v>
      </c>
      <c r="G2917" s="2" t="s">
        <v>64</v>
      </c>
      <c r="H2917" s="2">
        <v>0.0</v>
      </c>
      <c r="I2917" s="2">
        <v>0.0</v>
      </c>
      <c r="J2917" s="37">
        <v>0.0</v>
      </c>
      <c r="K2917" s="2">
        <v>0.0</v>
      </c>
      <c r="L2917" s="2">
        <v>0.0</v>
      </c>
      <c r="M2917" s="37">
        <v>0.0</v>
      </c>
    </row>
    <row r="2918" ht="14.25" customHeight="1">
      <c r="A2918" t="s">
        <v>2975</v>
      </c>
      <c r="B2918" t="s">
        <v>2727</v>
      </c>
      <c r="C2918" t="s">
        <v>75</v>
      </c>
      <c r="D2918" t="s">
        <v>63</v>
      </c>
      <c r="E2918">
        <v>5.0</v>
      </c>
      <c r="F2918">
        <v>5.4</v>
      </c>
      <c r="G2918" s="2" t="s">
        <v>64</v>
      </c>
      <c r="H2918" s="2">
        <v>0.0</v>
      </c>
      <c r="I2918" s="2">
        <v>0.0</v>
      </c>
      <c r="J2918" s="37">
        <v>0.0</v>
      </c>
      <c r="K2918" s="2">
        <v>0.0</v>
      </c>
      <c r="L2918" s="2">
        <v>0.0</v>
      </c>
      <c r="M2918" s="37">
        <v>0.0</v>
      </c>
    </row>
    <row r="2919" ht="14.25" customHeight="1">
      <c r="A2919" t="s">
        <v>2976</v>
      </c>
      <c r="B2919" t="s">
        <v>2727</v>
      </c>
      <c r="C2919" t="s">
        <v>62</v>
      </c>
      <c r="D2919" t="s">
        <v>63</v>
      </c>
      <c r="E2919">
        <v>5.6</v>
      </c>
      <c r="F2919">
        <v>6.7</v>
      </c>
      <c r="G2919" s="2" t="s">
        <v>64</v>
      </c>
      <c r="H2919" s="2">
        <v>0.0</v>
      </c>
      <c r="I2919" s="2">
        <v>0.0</v>
      </c>
      <c r="J2919" s="37">
        <v>0.0</v>
      </c>
      <c r="K2919" s="2">
        <v>0.0</v>
      </c>
      <c r="L2919" s="2">
        <v>0.0</v>
      </c>
      <c r="M2919" s="37">
        <v>0.0</v>
      </c>
    </row>
    <row r="2920" ht="14.25" customHeight="1">
      <c r="A2920" t="s">
        <v>2977</v>
      </c>
      <c r="B2920" t="s">
        <v>2727</v>
      </c>
      <c r="C2920" t="s">
        <v>62</v>
      </c>
      <c r="D2920" t="s">
        <v>63</v>
      </c>
      <c r="E2920">
        <v>5.6</v>
      </c>
      <c r="F2920">
        <v>6.7</v>
      </c>
      <c r="G2920" s="2" t="s">
        <v>64</v>
      </c>
      <c r="H2920" s="2">
        <v>0.0</v>
      </c>
      <c r="I2920" s="2">
        <v>0.0</v>
      </c>
      <c r="J2920" s="37">
        <v>0.0</v>
      </c>
      <c r="K2920" s="2">
        <v>0.0</v>
      </c>
      <c r="L2920" s="2">
        <v>0.0</v>
      </c>
      <c r="M2920" s="37">
        <v>0.0</v>
      </c>
    </row>
    <row r="2921" ht="14.25" customHeight="1">
      <c r="A2921" t="s">
        <v>2978</v>
      </c>
      <c r="B2921" t="s">
        <v>2727</v>
      </c>
      <c r="C2921" t="s">
        <v>75</v>
      </c>
      <c r="D2921" t="s">
        <v>63</v>
      </c>
      <c r="E2921">
        <v>10.0</v>
      </c>
      <c r="F2921">
        <v>10.0</v>
      </c>
      <c r="G2921" s="2" t="s">
        <v>67</v>
      </c>
      <c r="H2921" s="2">
        <v>28.0</v>
      </c>
      <c r="I2921" s="2">
        <v>69.0</v>
      </c>
      <c r="J2921" s="37">
        <v>718.58</v>
      </c>
      <c r="K2921" s="2">
        <v>33.0</v>
      </c>
      <c r="L2921" s="2">
        <v>172.0</v>
      </c>
      <c r="M2921" s="37">
        <v>964.7800000000001</v>
      </c>
    </row>
    <row r="2922" ht="14.25" customHeight="1">
      <c r="A2922" t="s">
        <v>2979</v>
      </c>
      <c r="B2922" t="s">
        <v>2727</v>
      </c>
      <c r="C2922" t="s">
        <v>75</v>
      </c>
      <c r="D2922" t="s">
        <v>63</v>
      </c>
      <c r="E2922">
        <v>10.0</v>
      </c>
      <c r="F2922">
        <v>10.0</v>
      </c>
      <c r="G2922" s="2" t="s">
        <v>67</v>
      </c>
      <c r="H2922" s="2">
        <v>28.0</v>
      </c>
      <c r="I2922" s="2">
        <v>69.0</v>
      </c>
      <c r="J2922" s="37">
        <v>718.58</v>
      </c>
      <c r="K2922" s="2">
        <v>33.0</v>
      </c>
      <c r="L2922" s="2">
        <v>172.0</v>
      </c>
      <c r="M2922" s="37">
        <v>964.7800000000001</v>
      </c>
    </row>
    <row r="2923" ht="14.25" customHeight="1">
      <c r="A2923" t="s">
        <v>2980</v>
      </c>
      <c r="B2923" t="s">
        <v>2727</v>
      </c>
      <c r="C2923" t="s">
        <v>75</v>
      </c>
      <c r="D2923" t="s">
        <v>63</v>
      </c>
      <c r="E2923">
        <v>10.0</v>
      </c>
      <c r="F2923">
        <v>10.0</v>
      </c>
      <c r="G2923" s="2" t="s">
        <v>67</v>
      </c>
      <c r="H2923" s="2">
        <v>28.0</v>
      </c>
      <c r="I2923" s="2">
        <v>69.0</v>
      </c>
      <c r="J2923" s="37">
        <v>718.58</v>
      </c>
      <c r="K2923" s="2">
        <v>33.0</v>
      </c>
      <c r="L2923" s="2">
        <v>172.0</v>
      </c>
      <c r="M2923" s="37">
        <v>964.7800000000001</v>
      </c>
    </row>
    <row r="2924" ht="14.25" customHeight="1">
      <c r="A2924" t="s">
        <v>2981</v>
      </c>
      <c r="B2924" t="s">
        <v>2727</v>
      </c>
      <c r="C2924" t="s">
        <v>75</v>
      </c>
      <c r="D2924" t="s">
        <v>63</v>
      </c>
      <c r="E2924">
        <v>10.0</v>
      </c>
      <c r="F2924">
        <v>10.0</v>
      </c>
      <c r="G2924" s="2" t="s">
        <v>67</v>
      </c>
      <c r="H2924" s="2">
        <v>28.0</v>
      </c>
      <c r="I2924" s="2">
        <v>69.0</v>
      </c>
      <c r="J2924" s="37">
        <v>718.58</v>
      </c>
      <c r="K2924" s="2">
        <v>33.0</v>
      </c>
      <c r="L2924" s="2">
        <v>172.0</v>
      </c>
      <c r="M2924" s="37">
        <v>964.7800000000001</v>
      </c>
    </row>
    <row r="2925" ht="14.25" customHeight="1">
      <c r="A2925" t="s">
        <v>2981</v>
      </c>
      <c r="B2925" t="s">
        <v>2727</v>
      </c>
      <c r="C2925" t="s">
        <v>75</v>
      </c>
      <c r="D2925" t="s">
        <v>63</v>
      </c>
      <c r="E2925">
        <v>10.0</v>
      </c>
      <c r="F2925">
        <v>10.0</v>
      </c>
      <c r="G2925" s="2" t="s">
        <v>67</v>
      </c>
      <c r="H2925" s="2">
        <v>28.0</v>
      </c>
      <c r="I2925" s="2">
        <v>69.0</v>
      </c>
      <c r="J2925" s="37">
        <v>718.58</v>
      </c>
      <c r="K2925" s="2">
        <v>33.0</v>
      </c>
      <c r="L2925" s="2">
        <v>172.0</v>
      </c>
      <c r="M2925" s="37">
        <v>964.7800000000001</v>
      </c>
    </row>
    <row r="2926" ht="14.25" customHeight="1">
      <c r="A2926" t="s">
        <v>2982</v>
      </c>
      <c r="B2926" t="s">
        <v>2727</v>
      </c>
      <c r="C2926" t="s">
        <v>62</v>
      </c>
      <c r="D2926" t="s">
        <v>63</v>
      </c>
      <c r="E2926">
        <v>1.5</v>
      </c>
      <c r="F2926">
        <v>2.0</v>
      </c>
      <c r="G2926" s="2" t="s">
        <v>64</v>
      </c>
      <c r="H2926" s="2">
        <v>0.0</v>
      </c>
      <c r="I2926" s="2">
        <v>0.0</v>
      </c>
      <c r="J2926" s="37">
        <v>0.0</v>
      </c>
      <c r="K2926" s="2">
        <v>0.0</v>
      </c>
      <c r="L2926" s="2">
        <v>0.0</v>
      </c>
      <c r="M2926" s="37">
        <v>0.0</v>
      </c>
    </row>
    <row r="2927" ht="14.25" customHeight="1">
      <c r="A2927" t="s">
        <v>2983</v>
      </c>
      <c r="B2927" t="s">
        <v>2727</v>
      </c>
      <c r="C2927" t="s">
        <v>62</v>
      </c>
      <c r="D2927" t="s">
        <v>63</v>
      </c>
      <c r="E2927">
        <v>2.5</v>
      </c>
      <c r="F2927">
        <v>3.0</v>
      </c>
      <c r="G2927" s="2" t="s">
        <v>64</v>
      </c>
      <c r="H2927" s="2">
        <v>0.0</v>
      </c>
      <c r="I2927" s="2">
        <v>0.0</v>
      </c>
      <c r="J2927" s="37">
        <v>0.0</v>
      </c>
      <c r="K2927" s="2">
        <v>0.0</v>
      </c>
      <c r="L2927" s="2">
        <v>0.0</v>
      </c>
      <c r="M2927" s="37">
        <v>0.0</v>
      </c>
    </row>
    <row r="2928" ht="14.25" customHeight="1">
      <c r="A2928" t="s">
        <v>2984</v>
      </c>
      <c r="B2928" t="s">
        <v>2727</v>
      </c>
      <c r="C2928" t="s">
        <v>62</v>
      </c>
      <c r="D2928" t="s">
        <v>63</v>
      </c>
      <c r="E2928">
        <v>6.3</v>
      </c>
      <c r="F2928">
        <v>7.1</v>
      </c>
      <c r="G2928" s="2" t="s">
        <v>67</v>
      </c>
      <c r="H2928" s="2">
        <v>19.0</v>
      </c>
      <c r="I2928" s="2">
        <v>34.0</v>
      </c>
      <c r="J2928" s="37">
        <v>470.94</v>
      </c>
      <c r="K2928" s="2">
        <v>22.0</v>
      </c>
      <c r="L2928" s="2">
        <v>91.0</v>
      </c>
      <c r="M2928" s="37">
        <v>612.42</v>
      </c>
    </row>
    <row r="2929" ht="14.25" customHeight="1">
      <c r="A2929" t="s">
        <v>2985</v>
      </c>
      <c r="B2929" t="s">
        <v>2727</v>
      </c>
      <c r="C2929" t="s">
        <v>62</v>
      </c>
      <c r="D2929" t="s">
        <v>63</v>
      </c>
      <c r="E2929">
        <v>7.1</v>
      </c>
      <c r="F2929">
        <v>8.0</v>
      </c>
      <c r="G2929" s="2" t="s">
        <v>67</v>
      </c>
      <c r="H2929" s="2">
        <v>21.0</v>
      </c>
      <c r="I2929" s="2">
        <v>-19.0</v>
      </c>
      <c r="J2929" s="37">
        <v>471.66</v>
      </c>
      <c r="K2929" s="2">
        <v>24.0</v>
      </c>
      <c r="L2929" s="2">
        <v>45.0</v>
      </c>
      <c r="M2929" s="37">
        <v>597.54</v>
      </c>
    </row>
    <row r="2930" ht="14.25" customHeight="1">
      <c r="A2930" t="s">
        <v>2986</v>
      </c>
      <c r="B2930" t="s">
        <v>2727</v>
      </c>
      <c r="C2930" t="s">
        <v>62</v>
      </c>
      <c r="D2930" t="s">
        <v>63</v>
      </c>
      <c r="E2930">
        <v>10.0</v>
      </c>
      <c r="F2930">
        <v>11.2</v>
      </c>
      <c r="G2930" s="2" t="s">
        <v>64</v>
      </c>
      <c r="H2930" s="2">
        <v>0.0</v>
      </c>
      <c r="I2930" s="2">
        <v>0.0</v>
      </c>
      <c r="J2930" s="37">
        <v>0.0</v>
      </c>
      <c r="K2930" s="2">
        <v>0.0</v>
      </c>
      <c r="L2930" s="2">
        <v>0.0</v>
      </c>
      <c r="M2930" s="37">
        <v>0.0</v>
      </c>
    </row>
    <row r="2931" ht="14.25" customHeight="1">
      <c r="A2931" t="s">
        <v>2987</v>
      </c>
      <c r="B2931" t="s">
        <v>2727</v>
      </c>
      <c r="C2931" t="s">
        <v>62</v>
      </c>
      <c r="D2931" t="s">
        <v>63</v>
      </c>
      <c r="E2931">
        <v>10.0</v>
      </c>
      <c r="F2931">
        <v>11.2</v>
      </c>
      <c r="G2931" s="2" t="s">
        <v>64</v>
      </c>
      <c r="H2931" s="2">
        <v>0.0</v>
      </c>
      <c r="I2931" s="2">
        <v>0.0</v>
      </c>
      <c r="J2931" s="37">
        <v>0.0</v>
      </c>
      <c r="K2931" s="2">
        <v>0.0</v>
      </c>
      <c r="L2931" s="2">
        <v>0.0</v>
      </c>
      <c r="M2931" s="37">
        <v>0.0</v>
      </c>
    </row>
    <row r="2932" ht="14.25" customHeight="1">
      <c r="A2932" t="s">
        <v>2988</v>
      </c>
      <c r="B2932" t="s">
        <v>2727</v>
      </c>
      <c r="C2932" t="s">
        <v>62</v>
      </c>
      <c r="D2932" t="s">
        <v>63</v>
      </c>
      <c r="E2932">
        <v>10.0</v>
      </c>
      <c r="F2932">
        <v>11.2</v>
      </c>
      <c r="G2932" s="2" t="s">
        <v>64</v>
      </c>
      <c r="H2932" s="2">
        <v>0.0</v>
      </c>
      <c r="I2932" s="2">
        <v>0.0</v>
      </c>
      <c r="J2932" s="37">
        <v>0.0</v>
      </c>
      <c r="K2932" s="2">
        <v>0.0</v>
      </c>
      <c r="L2932" s="2">
        <v>0.0</v>
      </c>
      <c r="M2932" s="37">
        <v>0.0</v>
      </c>
    </row>
    <row r="2933" ht="14.25" customHeight="1">
      <c r="A2933" t="s">
        <v>2989</v>
      </c>
      <c r="B2933" t="s">
        <v>2727</v>
      </c>
      <c r="C2933" t="s">
        <v>62</v>
      </c>
      <c r="D2933" t="s">
        <v>63</v>
      </c>
      <c r="E2933">
        <v>10.0</v>
      </c>
      <c r="F2933">
        <v>11.2</v>
      </c>
      <c r="G2933" s="2" t="s">
        <v>64</v>
      </c>
      <c r="H2933" s="2">
        <v>0.0</v>
      </c>
      <c r="I2933" s="2">
        <v>0.0</v>
      </c>
      <c r="J2933" s="37">
        <v>0.0</v>
      </c>
      <c r="K2933" s="2">
        <v>0.0</v>
      </c>
      <c r="L2933" s="2">
        <v>0.0</v>
      </c>
      <c r="M2933" s="37">
        <v>0.0</v>
      </c>
    </row>
    <row r="2934" ht="14.25" customHeight="1">
      <c r="A2934" t="s">
        <v>2990</v>
      </c>
      <c r="B2934" t="s">
        <v>2727</v>
      </c>
      <c r="C2934" t="s">
        <v>62</v>
      </c>
      <c r="D2934" t="s">
        <v>63</v>
      </c>
      <c r="E2934">
        <v>10.0</v>
      </c>
      <c r="F2934">
        <v>11.2</v>
      </c>
      <c r="G2934" s="2" t="s">
        <v>64</v>
      </c>
      <c r="H2934" s="2">
        <v>0.0</v>
      </c>
      <c r="I2934" s="2">
        <v>0.0</v>
      </c>
      <c r="J2934" s="37">
        <v>0.0</v>
      </c>
      <c r="K2934" s="2">
        <v>0.0</v>
      </c>
      <c r="L2934" s="2">
        <v>0.0</v>
      </c>
      <c r="M2934" s="37">
        <v>0.0</v>
      </c>
    </row>
    <row r="2935" ht="14.25" customHeight="1">
      <c r="A2935" t="s">
        <v>2991</v>
      </c>
      <c r="B2935" t="s">
        <v>2727</v>
      </c>
      <c r="C2935" t="s">
        <v>62</v>
      </c>
      <c r="D2935" t="s">
        <v>63</v>
      </c>
      <c r="E2935">
        <v>10.0</v>
      </c>
      <c r="F2935">
        <v>11.2</v>
      </c>
      <c r="G2935" s="2" t="s">
        <v>64</v>
      </c>
      <c r="H2935" s="2">
        <v>0.0</v>
      </c>
      <c r="I2935" s="2">
        <v>0.0</v>
      </c>
      <c r="J2935" s="37">
        <v>0.0</v>
      </c>
      <c r="K2935" s="2">
        <v>0.0</v>
      </c>
      <c r="L2935" s="2">
        <v>0.0</v>
      </c>
      <c r="M2935" s="37">
        <v>0.0</v>
      </c>
    </row>
    <row r="2936" ht="14.25" customHeight="1">
      <c r="A2936" t="s">
        <v>2992</v>
      </c>
      <c r="B2936" t="s">
        <v>2993</v>
      </c>
      <c r="C2936" t="s">
        <v>62</v>
      </c>
      <c r="D2936" t="s">
        <v>63</v>
      </c>
      <c r="E2936">
        <v>2.48</v>
      </c>
      <c r="F2936">
        <v>3.24</v>
      </c>
      <c r="G2936" s="2" t="s">
        <v>64</v>
      </c>
      <c r="H2936" s="2">
        <v>0.0</v>
      </c>
      <c r="I2936" s="2">
        <v>0.0</v>
      </c>
      <c r="J2936" s="37">
        <v>0.0</v>
      </c>
      <c r="K2936" s="2">
        <v>0.0</v>
      </c>
      <c r="L2936" s="2">
        <v>0.0</v>
      </c>
      <c r="M2936" s="37">
        <v>0.0</v>
      </c>
    </row>
    <row r="2937" ht="14.25" customHeight="1">
      <c r="A2937" t="s">
        <v>2994</v>
      </c>
      <c r="B2937" t="s">
        <v>2993</v>
      </c>
      <c r="C2937" t="s">
        <v>62</v>
      </c>
      <c r="D2937" t="s">
        <v>63</v>
      </c>
      <c r="E2937">
        <v>3.45</v>
      </c>
      <c r="F2937">
        <v>4.02</v>
      </c>
      <c r="G2937" s="2" t="s">
        <v>64</v>
      </c>
      <c r="H2937" s="2">
        <v>0.0</v>
      </c>
      <c r="I2937" s="2">
        <v>0.0</v>
      </c>
      <c r="J2937" s="37">
        <v>0.0</v>
      </c>
      <c r="K2937" s="2">
        <v>0.0</v>
      </c>
      <c r="L2937" s="2">
        <v>0.0</v>
      </c>
      <c r="M2937" s="37">
        <v>0.0</v>
      </c>
    </row>
    <row r="2938" ht="14.25" customHeight="1">
      <c r="A2938" t="s">
        <v>2995</v>
      </c>
      <c r="B2938" t="s">
        <v>2993</v>
      </c>
      <c r="C2938" t="s">
        <v>62</v>
      </c>
      <c r="D2938" t="s">
        <v>63</v>
      </c>
      <c r="E2938">
        <v>5.14</v>
      </c>
      <c r="F2938">
        <v>5.95</v>
      </c>
      <c r="G2938" s="2" t="s">
        <v>67</v>
      </c>
      <c r="H2938" s="2">
        <v>18.0</v>
      </c>
      <c r="I2938" s="2">
        <v>111.0</v>
      </c>
      <c r="J2938" s="37">
        <v>548.58</v>
      </c>
      <c r="K2938" s="2">
        <v>20.0</v>
      </c>
      <c r="L2938" s="2">
        <v>158.0</v>
      </c>
      <c r="M2938" s="37">
        <v>654.6</v>
      </c>
    </row>
    <row r="2939" ht="14.25" customHeight="1">
      <c r="A2939" t="s">
        <v>2996</v>
      </c>
      <c r="B2939" t="s">
        <v>2993</v>
      </c>
      <c r="C2939" t="s">
        <v>62</v>
      </c>
      <c r="D2939" t="s">
        <v>63</v>
      </c>
      <c r="E2939">
        <v>7.07</v>
      </c>
      <c r="F2939">
        <v>7.94</v>
      </c>
      <c r="G2939" s="2" t="s">
        <v>64</v>
      </c>
      <c r="H2939" s="2">
        <v>0.0</v>
      </c>
      <c r="I2939" s="2">
        <v>0.0</v>
      </c>
      <c r="J2939" s="37">
        <v>0.0</v>
      </c>
      <c r="K2939" s="2">
        <v>0.0</v>
      </c>
      <c r="L2939" s="2">
        <v>0.0</v>
      </c>
      <c r="M2939" s="37">
        <v>0.0</v>
      </c>
    </row>
    <row r="2940" ht="14.25" customHeight="1">
      <c r="A2940">
        <v>2404.0</v>
      </c>
      <c r="B2940" t="s">
        <v>2993</v>
      </c>
      <c r="C2940" t="s">
        <v>62</v>
      </c>
      <c r="D2940" t="s">
        <v>268</v>
      </c>
      <c r="E2940">
        <v>3.5</v>
      </c>
      <c r="F2940">
        <v>2.93</v>
      </c>
      <c r="G2940" s="2" t="s">
        <v>64</v>
      </c>
      <c r="H2940" s="2">
        <v>0.0</v>
      </c>
      <c r="I2940" s="2">
        <v>0.0</v>
      </c>
      <c r="J2940" s="37">
        <v>0.0</v>
      </c>
      <c r="K2940" s="2">
        <v>0.0</v>
      </c>
      <c r="L2940" s="2">
        <v>0.0</v>
      </c>
      <c r="M2940" s="37">
        <v>0.0</v>
      </c>
    </row>
    <row r="2941" ht="14.25" customHeight="1">
      <c r="A2941" t="s">
        <v>2997</v>
      </c>
      <c r="B2941" t="s">
        <v>2993</v>
      </c>
      <c r="C2941" t="s">
        <v>62</v>
      </c>
      <c r="D2941" t="s">
        <v>258</v>
      </c>
      <c r="E2941">
        <v>2.12</v>
      </c>
      <c r="F2941">
        <v>2.0</v>
      </c>
      <c r="G2941" s="2" t="s">
        <v>64</v>
      </c>
      <c r="H2941" s="2">
        <v>0.0</v>
      </c>
      <c r="I2941" s="2">
        <v>0.0</v>
      </c>
      <c r="J2941" s="37">
        <v>0.0</v>
      </c>
      <c r="K2941" s="2">
        <v>0.0</v>
      </c>
      <c r="L2941" s="2">
        <v>0.0</v>
      </c>
      <c r="M2941" s="37">
        <v>0.0</v>
      </c>
    </row>
    <row r="2942" ht="14.25" customHeight="1">
      <c r="A2942" t="s">
        <v>2998</v>
      </c>
      <c r="B2942" t="s">
        <v>2993</v>
      </c>
      <c r="C2942" t="s">
        <v>62</v>
      </c>
      <c r="D2942" t="s">
        <v>258</v>
      </c>
      <c r="E2942">
        <v>2.04</v>
      </c>
      <c r="F2942">
        <v>2.088</v>
      </c>
      <c r="G2942" s="2" t="s">
        <v>64</v>
      </c>
      <c r="H2942" s="2">
        <v>0.0</v>
      </c>
      <c r="I2942" s="2">
        <v>0.0</v>
      </c>
      <c r="J2942" s="37">
        <v>0.0</v>
      </c>
      <c r="K2942" s="2">
        <v>0.0</v>
      </c>
      <c r="L2942" s="2">
        <v>0.0</v>
      </c>
      <c r="M2942" s="37">
        <v>0.0</v>
      </c>
    </row>
    <row r="2943" ht="14.25" customHeight="1">
      <c r="A2943" t="s">
        <v>2999</v>
      </c>
      <c r="B2943" t="s">
        <v>3000</v>
      </c>
      <c r="C2943" t="s">
        <v>62</v>
      </c>
      <c r="D2943" t="s">
        <v>268</v>
      </c>
      <c r="E2943">
        <v>3.517</v>
      </c>
      <c r="F2943">
        <v>2.872</v>
      </c>
      <c r="G2943" s="2" t="s">
        <v>64</v>
      </c>
      <c r="H2943" s="2">
        <v>0.0</v>
      </c>
      <c r="I2943" s="2">
        <v>0.0</v>
      </c>
      <c r="J2943" s="37">
        <v>0.0</v>
      </c>
      <c r="K2943" s="2">
        <v>0.0</v>
      </c>
      <c r="L2943" s="2">
        <v>0.0</v>
      </c>
      <c r="M2943" s="37">
        <v>0.0</v>
      </c>
    </row>
    <row r="2944" ht="14.25" customHeight="1">
      <c r="A2944" t="s">
        <v>3001</v>
      </c>
      <c r="B2944" t="s">
        <v>3000</v>
      </c>
      <c r="C2944" t="s">
        <v>62</v>
      </c>
      <c r="D2944" t="s">
        <v>268</v>
      </c>
      <c r="E2944">
        <v>3.517</v>
      </c>
      <c r="F2944">
        <v>2.872</v>
      </c>
      <c r="G2944" s="2" t="s">
        <v>64</v>
      </c>
      <c r="H2944" s="2">
        <v>0.0</v>
      </c>
      <c r="I2944" s="2">
        <v>0.0</v>
      </c>
      <c r="J2944" s="37">
        <v>0.0</v>
      </c>
      <c r="K2944" s="2">
        <v>0.0</v>
      </c>
      <c r="L2944" s="2">
        <v>0.0</v>
      </c>
      <c r="M2944" s="37">
        <v>0.0</v>
      </c>
    </row>
    <row r="2945" ht="14.25" customHeight="1">
      <c r="A2945" t="s">
        <v>3002</v>
      </c>
      <c r="B2945" t="s">
        <v>3003</v>
      </c>
      <c r="C2945" t="s">
        <v>75</v>
      </c>
      <c r="D2945" t="s">
        <v>63</v>
      </c>
      <c r="E2945">
        <v>6.0</v>
      </c>
      <c r="F2945">
        <v>6.0</v>
      </c>
      <c r="G2945" s="2" t="s">
        <v>64</v>
      </c>
      <c r="H2945" s="2">
        <v>0.0</v>
      </c>
      <c r="I2945" s="2">
        <v>0.0</v>
      </c>
      <c r="J2945" s="37">
        <v>0.0</v>
      </c>
      <c r="K2945" s="2">
        <v>0.0</v>
      </c>
      <c r="L2945" s="2">
        <v>0.0</v>
      </c>
      <c r="M2945" s="37">
        <v>0.0</v>
      </c>
    </row>
    <row r="2946" ht="14.25" customHeight="1">
      <c r="A2946" t="s">
        <v>3004</v>
      </c>
      <c r="B2946" t="s">
        <v>3003</v>
      </c>
      <c r="C2946" t="s">
        <v>75</v>
      </c>
      <c r="D2946" t="s">
        <v>63</v>
      </c>
      <c r="E2946">
        <v>7.1</v>
      </c>
      <c r="F2946">
        <v>7.1</v>
      </c>
      <c r="G2946" s="2" t="s">
        <v>64</v>
      </c>
      <c r="H2946" s="2">
        <v>0.0</v>
      </c>
      <c r="I2946" s="2">
        <v>0.0</v>
      </c>
      <c r="J2946" s="37">
        <v>0.0</v>
      </c>
      <c r="K2946" s="2">
        <v>0.0</v>
      </c>
      <c r="L2946" s="2">
        <v>0.0</v>
      </c>
      <c r="M2946" s="37">
        <v>0.0</v>
      </c>
    </row>
    <row r="2947" ht="14.25" customHeight="1">
      <c r="A2947" t="s">
        <v>3005</v>
      </c>
      <c r="B2947" t="s">
        <v>3003</v>
      </c>
      <c r="C2947" t="s">
        <v>75</v>
      </c>
      <c r="D2947" t="s">
        <v>63</v>
      </c>
      <c r="E2947">
        <v>10.0</v>
      </c>
      <c r="F2947">
        <v>10.0</v>
      </c>
      <c r="G2947" s="2" t="s">
        <v>64</v>
      </c>
      <c r="H2947" s="2">
        <v>0.0</v>
      </c>
      <c r="I2947" s="2">
        <v>0.0</v>
      </c>
      <c r="J2947" s="37">
        <v>0.0</v>
      </c>
      <c r="K2947" s="2">
        <v>0.0</v>
      </c>
      <c r="L2947" s="2">
        <v>0.0</v>
      </c>
      <c r="M2947" s="37">
        <v>0.0</v>
      </c>
    </row>
    <row r="2948" ht="14.25" customHeight="1">
      <c r="A2948" t="s">
        <v>3006</v>
      </c>
      <c r="B2948" t="s">
        <v>3003</v>
      </c>
      <c r="C2948" t="s">
        <v>75</v>
      </c>
      <c r="D2948" t="s">
        <v>63</v>
      </c>
      <c r="E2948">
        <v>10.0</v>
      </c>
      <c r="F2948">
        <v>10.0</v>
      </c>
      <c r="G2948" s="2" t="s">
        <v>64</v>
      </c>
      <c r="H2948" s="2">
        <v>0.0</v>
      </c>
      <c r="I2948" s="2">
        <v>0.0</v>
      </c>
      <c r="J2948" s="37">
        <v>0.0</v>
      </c>
      <c r="K2948" s="2">
        <v>0.0</v>
      </c>
      <c r="L2948" s="2">
        <v>0.0</v>
      </c>
      <c r="M2948" s="37">
        <v>0.0</v>
      </c>
    </row>
    <row r="2949" ht="14.25" customHeight="1">
      <c r="A2949" t="s">
        <v>3007</v>
      </c>
      <c r="B2949" t="s">
        <v>3003</v>
      </c>
      <c r="C2949" t="s">
        <v>75</v>
      </c>
      <c r="D2949" t="s">
        <v>63</v>
      </c>
      <c r="E2949">
        <v>12.5</v>
      </c>
      <c r="F2949">
        <v>12.5</v>
      </c>
      <c r="G2949" s="2" t="s">
        <v>64</v>
      </c>
      <c r="H2949" s="2">
        <v>0.0</v>
      </c>
      <c r="I2949" s="2">
        <v>0.0</v>
      </c>
      <c r="J2949" s="37">
        <v>0.0</v>
      </c>
      <c r="K2949" s="2">
        <v>0.0</v>
      </c>
      <c r="L2949" s="2">
        <v>0.0</v>
      </c>
      <c r="M2949" s="37">
        <v>0.0</v>
      </c>
    </row>
    <row r="2950" ht="14.25" customHeight="1">
      <c r="A2950" t="s">
        <v>3008</v>
      </c>
      <c r="B2950" t="s">
        <v>3003</v>
      </c>
      <c r="C2950" t="s">
        <v>75</v>
      </c>
      <c r="D2950" t="s">
        <v>63</v>
      </c>
      <c r="E2950">
        <v>12.5</v>
      </c>
      <c r="F2950">
        <v>12.5</v>
      </c>
      <c r="G2950" s="2" t="s">
        <v>64</v>
      </c>
      <c r="H2950" s="2">
        <v>0.0</v>
      </c>
      <c r="I2950" s="2">
        <v>0.0</v>
      </c>
      <c r="J2950" s="37">
        <v>0.0</v>
      </c>
      <c r="K2950" s="2">
        <v>0.0</v>
      </c>
      <c r="L2950" s="2">
        <v>0.0</v>
      </c>
      <c r="M2950" s="37">
        <v>0.0</v>
      </c>
    </row>
    <row r="2951" ht="14.25" customHeight="1">
      <c r="A2951" t="s">
        <v>3009</v>
      </c>
      <c r="B2951" t="s">
        <v>3003</v>
      </c>
      <c r="C2951" t="s">
        <v>75</v>
      </c>
      <c r="D2951" t="s">
        <v>63</v>
      </c>
      <c r="E2951">
        <v>14.0</v>
      </c>
      <c r="F2951">
        <v>14.0</v>
      </c>
      <c r="G2951" s="2" t="s">
        <v>64</v>
      </c>
      <c r="H2951" s="2">
        <v>0.0</v>
      </c>
      <c r="I2951" s="2">
        <v>0.0</v>
      </c>
      <c r="J2951" s="37">
        <v>0.0</v>
      </c>
      <c r="K2951" s="2">
        <v>0.0</v>
      </c>
      <c r="L2951" s="2">
        <v>0.0</v>
      </c>
      <c r="M2951" s="37">
        <v>0.0</v>
      </c>
    </row>
    <row r="2952" ht="14.25" customHeight="1">
      <c r="A2952" t="s">
        <v>3010</v>
      </c>
      <c r="B2952" t="s">
        <v>3003</v>
      </c>
      <c r="C2952" t="s">
        <v>75</v>
      </c>
      <c r="D2952" t="s">
        <v>63</v>
      </c>
      <c r="E2952">
        <v>7.1</v>
      </c>
      <c r="F2952">
        <v>8.0</v>
      </c>
      <c r="G2952" s="2" t="s">
        <v>67</v>
      </c>
      <c r="H2952" s="2">
        <v>22.0</v>
      </c>
      <c r="I2952" s="2">
        <v>74.0</v>
      </c>
      <c r="J2952" s="37">
        <v>590.32</v>
      </c>
      <c r="K2952" s="2">
        <v>26.0</v>
      </c>
      <c r="L2952" s="2">
        <v>146.0</v>
      </c>
      <c r="M2952" s="37">
        <v>773.76</v>
      </c>
    </row>
    <row r="2953" ht="14.25" customHeight="1">
      <c r="A2953" t="s">
        <v>3011</v>
      </c>
      <c r="B2953" t="s">
        <v>3003</v>
      </c>
      <c r="C2953" t="s">
        <v>75</v>
      </c>
      <c r="D2953" t="s">
        <v>63</v>
      </c>
      <c r="E2953">
        <v>10.0</v>
      </c>
      <c r="F2953">
        <v>11.2</v>
      </c>
      <c r="G2953" s="2" t="s">
        <v>67</v>
      </c>
      <c r="H2953" s="2">
        <v>32.0</v>
      </c>
      <c r="I2953" s="2">
        <v>173.0</v>
      </c>
      <c r="J2953" s="37">
        <v>943.62</v>
      </c>
      <c r="K2953" s="2">
        <v>38.0</v>
      </c>
      <c r="L2953" s="2">
        <v>276.0</v>
      </c>
      <c r="M2953" s="37">
        <v>1212.28</v>
      </c>
    </row>
    <row r="2954" ht="14.25" customHeight="1">
      <c r="A2954" t="s">
        <v>3012</v>
      </c>
      <c r="B2954" t="s">
        <v>3003</v>
      </c>
      <c r="C2954" t="s">
        <v>75</v>
      </c>
      <c r="D2954" t="s">
        <v>63</v>
      </c>
      <c r="E2954">
        <v>10.0</v>
      </c>
      <c r="F2954">
        <v>11.2</v>
      </c>
      <c r="G2954" s="2" t="s">
        <v>67</v>
      </c>
      <c r="H2954" s="2">
        <v>32.0</v>
      </c>
      <c r="I2954" s="2">
        <v>173.0</v>
      </c>
      <c r="J2954" s="37">
        <v>943.62</v>
      </c>
      <c r="K2954" s="2">
        <v>38.0</v>
      </c>
      <c r="L2954" s="2">
        <v>276.0</v>
      </c>
      <c r="M2954" s="37">
        <v>1212.28</v>
      </c>
    </row>
    <row r="2955" ht="14.25" customHeight="1">
      <c r="A2955" t="s">
        <v>3013</v>
      </c>
      <c r="B2955" t="s">
        <v>3003</v>
      </c>
      <c r="C2955" t="s">
        <v>75</v>
      </c>
      <c r="D2955" t="s">
        <v>63</v>
      </c>
      <c r="E2955">
        <v>12.5</v>
      </c>
      <c r="F2955">
        <v>14.0</v>
      </c>
      <c r="G2955" s="2" t="s">
        <v>67</v>
      </c>
      <c r="H2955" s="2">
        <v>41.0</v>
      </c>
      <c r="I2955" s="2">
        <v>157.0</v>
      </c>
      <c r="J2955" s="37">
        <v>1124.96</v>
      </c>
      <c r="K2955" s="2">
        <v>48.0</v>
      </c>
      <c r="L2955" s="2">
        <v>285.0</v>
      </c>
      <c r="M2955" s="37">
        <v>1448.58</v>
      </c>
    </row>
    <row r="2956" ht="14.25" customHeight="1">
      <c r="A2956" t="s">
        <v>3014</v>
      </c>
      <c r="B2956" t="s">
        <v>3003</v>
      </c>
      <c r="C2956" t="s">
        <v>75</v>
      </c>
      <c r="D2956" t="s">
        <v>63</v>
      </c>
      <c r="E2956">
        <v>12.5</v>
      </c>
      <c r="F2956">
        <v>14.0</v>
      </c>
      <c r="G2956" s="2" t="s">
        <v>67</v>
      </c>
      <c r="H2956" s="2">
        <v>41.0</v>
      </c>
      <c r="I2956" s="2">
        <v>157.0</v>
      </c>
      <c r="J2956" s="37">
        <v>1124.96</v>
      </c>
      <c r="K2956" s="2">
        <v>48.0</v>
      </c>
      <c r="L2956" s="2">
        <v>285.0</v>
      </c>
      <c r="M2956" s="37">
        <v>1448.58</v>
      </c>
    </row>
    <row r="2957" ht="14.25" customHeight="1">
      <c r="A2957" t="s">
        <v>3015</v>
      </c>
      <c r="B2957" t="s">
        <v>3003</v>
      </c>
      <c r="C2957" t="s">
        <v>75</v>
      </c>
      <c r="D2957" t="s">
        <v>63</v>
      </c>
      <c r="E2957">
        <v>14.0</v>
      </c>
      <c r="F2957">
        <v>16.0</v>
      </c>
      <c r="G2957" s="2" t="s">
        <v>64</v>
      </c>
      <c r="H2957" s="2">
        <v>0.0</v>
      </c>
      <c r="I2957" s="2">
        <v>0.0</v>
      </c>
      <c r="J2957" s="37">
        <v>0.0</v>
      </c>
      <c r="K2957" s="2">
        <v>0.0</v>
      </c>
      <c r="L2957" s="2">
        <v>0.0</v>
      </c>
      <c r="M2957" s="37">
        <v>0.0</v>
      </c>
    </row>
    <row r="2958" ht="14.25" customHeight="1">
      <c r="A2958" t="s">
        <v>3016</v>
      </c>
      <c r="B2958" t="s">
        <v>3003</v>
      </c>
      <c r="C2958" t="s">
        <v>75</v>
      </c>
      <c r="D2958" t="s">
        <v>63</v>
      </c>
      <c r="E2958">
        <v>14.0</v>
      </c>
      <c r="F2958">
        <v>16.0</v>
      </c>
      <c r="G2958" s="2" t="s">
        <v>64</v>
      </c>
      <c r="H2958" s="2">
        <v>0.0</v>
      </c>
      <c r="I2958" s="2">
        <v>0.0</v>
      </c>
      <c r="J2958" s="37">
        <v>0.0</v>
      </c>
      <c r="K2958" s="2">
        <v>0.0</v>
      </c>
      <c r="L2958" s="2">
        <v>0.0</v>
      </c>
      <c r="M2958" s="37">
        <v>0.0</v>
      </c>
    </row>
    <row r="2959" ht="14.25" customHeight="1">
      <c r="A2959" t="s">
        <v>3017</v>
      </c>
      <c r="B2959" t="s">
        <v>3003</v>
      </c>
      <c r="C2959" t="s">
        <v>75</v>
      </c>
      <c r="D2959" t="s">
        <v>63</v>
      </c>
      <c r="E2959">
        <v>18.0</v>
      </c>
      <c r="F2959">
        <v>20.0</v>
      </c>
      <c r="G2959" s="2" t="s">
        <v>64</v>
      </c>
      <c r="H2959" s="2">
        <v>0.0</v>
      </c>
      <c r="I2959" s="2">
        <v>0.0</v>
      </c>
      <c r="J2959" s="37">
        <v>0.0</v>
      </c>
      <c r="K2959" s="2">
        <v>0.0</v>
      </c>
      <c r="L2959" s="2">
        <v>0.0</v>
      </c>
      <c r="M2959" s="37">
        <v>0.0</v>
      </c>
    </row>
    <row r="2960" ht="14.25" customHeight="1">
      <c r="A2960" t="s">
        <v>3018</v>
      </c>
      <c r="B2960" t="s">
        <v>3003</v>
      </c>
      <c r="C2960" t="s">
        <v>75</v>
      </c>
      <c r="D2960" t="s">
        <v>63</v>
      </c>
      <c r="E2960">
        <v>20.0</v>
      </c>
      <c r="F2960">
        <v>22.4</v>
      </c>
      <c r="G2960" s="2" t="s">
        <v>64</v>
      </c>
      <c r="H2960" s="2">
        <v>0.0</v>
      </c>
      <c r="I2960" s="2">
        <v>0.0</v>
      </c>
      <c r="J2960" s="37">
        <v>0.0</v>
      </c>
      <c r="K2960" s="2">
        <v>0.0</v>
      </c>
      <c r="L2960" s="2">
        <v>0.0</v>
      </c>
      <c r="M2960" s="37">
        <v>0.0</v>
      </c>
    </row>
    <row r="2961" ht="14.25" customHeight="1">
      <c r="A2961" t="s">
        <v>3019</v>
      </c>
      <c r="B2961" t="s">
        <v>3003</v>
      </c>
      <c r="C2961" t="s">
        <v>75</v>
      </c>
      <c r="D2961" t="s">
        <v>63</v>
      </c>
      <c r="E2961">
        <v>22.4</v>
      </c>
      <c r="F2961">
        <v>25.0</v>
      </c>
      <c r="G2961" s="2" t="s">
        <v>64</v>
      </c>
      <c r="H2961" s="2">
        <v>0.0</v>
      </c>
      <c r="I2961" s="2">
        <v>0.0</v>
      </c>
      <c r="J2961" s="37">
        <v>0.0</v>
      </c>
      <c r="K2961" s="2">
        <v>0.0</v>
      </c>
      <c r="L2961" s="2">
        <v>0.0</v>
      </c>
      <c r="M2961" s="37">
        <v>0.0</v>
      </c>
    </row>
    <row r="2962" ht="14.25" customHeight="1">
      <c r="A2962" t="s">
        <v>3020</v>
      </c>
      <c r="B2962" t="s">
        <v>3003</v>
      </c>
      <c r="C2962" t="s">
        <v>62</v>
      </c>
      <c r="D2962" t="s">
        <v>63</v>
      </c>
      <c r="E2962">
        <v>9.5</v>
      </c>
      <c r="F2962">
        <v>9.5</v>
      </c>
      <c r="G2962" s="2" t="s">
        <v>67</v>
      </c>
      <c r="H2962" s="2">
        <v>28.0</v>
      </c>
      <c r="I2962" s="2">
        <v>11.0</v>
      </c>
      <c r="J2962" s="37">
        <v>643.18</v>
      </c>
      <c r="K2962" s="2">
        <v>32.0</v>
      </c>
      <c r="L2962" s="2">
        <v>98.0</v>
      </c>
      <c r="M2962" s="37">
        <v>846.12</v>
      </c>
    </row>
    <row r="2963" ht="14.25" customHeight="1">
      <c r="A2963" t="s">
        <v>3021</v>
      </c>
      <c r="B2963" t="s">
        <v>3003</v>
      </c>
      <c r="C2963" t="s">
        <v>62</v>
      </c>
      <c r="D2963" t="s">
        <v>63</v>
      </c>
      <c r="E2963">
        <v>9.5</v>
      </c>
      <c r="F2963">
        <v>9.5</v>
      </c>
      <c r="G2963" s="2" t="s">
        <v>67</v>
      </c>
      <c r="H2963" s="2">
        <v>28.0</v>
      </c>
      <c r="I2963" s="2">
        <v>11.0</v>
      </c>
      <c r="J2963" s="37">
        <v>643.18</v>
      </c>
      <c r="K2963" s="2">
        <v>32.0</v>
      </c>
      <c r="L2963" s="2">
        <v>98.0</v>
      </c>
      <c r="M2963" s="37">
        <v>846.12</v>
      </c>
    </row>
    <row r="2964" ht="14.25" customHeight="1">
      <c r="A2964" t="s">
        <v>3022</v>
      </c>
      <c r="B2964" t="s">
        <v>3003</v>
      </c>
      <c r="C2964" t="s">
        <v>62</v>
      </c>
      <c r="D2964" t="s">
        <v>63</v>
      </c>
      <c r="E2964">
        <v>9.0</v>
      </c>
      <c r="F2964">
        <v>9.0</v>
      </c>
      <c r="G2964" s="2" t="s">
        <v>64</v>
      </c>
      <c r="H2964" s="2">
        <v>0.0</v>
      </c>
      <c r="I2964" s="2">
        <v>0.0</v>
      </c>
      <c r="J2964" s="37">
        <v>0.0</v>
      </c>
      <c r="K2964" s="2">
        <v>0.0</v>
      </c>
      <c r="L2964" s="2">
        <v>0.0</v>
      </c>
      <c r="M2964" s="37">
        <v>0.0</v>
      </c>
    </row>
    <row r="2965" ht="14.25" customHeight="1">
      <c r="A2965" t="s">
        <v>3023</v>
      </c>
      <c r="B2965" t="s">
        <v>3003</v>
      </c>
      <c r="C2965" t="s">
        <v>62</v>
      </c>
      <c r="D2965" t="s">
        <v>63</v>
      </c>
      <c r="E2965">
        <v>9.0</v>
      </c>
      <c r="F2965">
        <v>9.0</v>
      </c>
      <c r="G2965" s="2" t="s">
        <v>64</v>
      </c>
      <c r="H2965" s="2">
        <v>0.0</v>
      </c>
      <c r="I2965" s="2">
        <v>0.0</v>
      </c>
      <c r="J2965" s="37">
        <v>0.0</v>
      </c>
      <c r="K2965" s="2">
        <v>0.0</v>
      </c>
      <c r="L2965" s="2">
        <v>0.0</v>
      </c>
      <c r="M2965" s="37">
        <v>0.0</v>
      </c>
    </row>
    <row r="2966" ht="14.25" customHeight="1">
      <c r="A2966" t="s">
        <v>3024</v>
      </c>
      <c r="B2966" t="s">
        <v>3003</v>
      </c>
      <c r="C2966" t="s">
        <v>62</v>
      </c>
      <c r="D2966" t="s">
        <v>63</v>
      </c>
      <c r="E2966">
        <v>9.5</v>
      </c>
      <c r="F2966">
        <v>9.5</v>
      </c>
      <c r="G2966" s="2" t="s">
        <v>67</v>
      </c>
      <c r="H2966" s="2">
        <v>28.0</v>
      </c>
      <c r="I2966" s="2">
        <v>11.0</v>
      </c>
      <c r="J2966" s="37">
        <v>643.18</v>
      </c>
      <c r="K2966" s="2">
        <v>32.0</v>
      </c>
      <c r="L2966" s="2">
        <v>98.0</v>
      </c>
      <c r="M2966" s="37">
        <v>846.12</v>
      </c>
    </row>
    <row r="2967" ht="14.25" customHeight="1">
      <c r="A2967" t="s">
        <v>3025</v>
      </c>
      <c r="B2967" t="s">
        <v>3003</v>
      </c>
      <c r="C2967" t="s">
        <v>62</v>
      </c>
      <c r="D2967" t="s">
        <v>63</v>
      </c>
      <c r="E2967">
        <v>9.5</v>
      </c>
      <c r="F2967">
        <v>9.5</v>
      </c>
      <c r="G2967" s="2" t="s">
        <v>67</v>
      </c>
      <c r="H2967" s="2">
        <v>28.0</v>
      </c>
      <c r="I2967" s="2">
        <v>11.0</v>
      </c>
      <c r="J2967" s="37">
        <v>643.18</v>
      </c>
      <c r="K2967" s="2">
        <v>32.0</v>
      </c>
      <c r="L2967" s="2">
        <v>98.0</v>
      </c>
      <c r="M2967" s="37">
        <v>846.12</v>
      </c>
    </row>
    <row r="2968" ht="14.25" customHeight="1">
      <c r="A2968" t="s">
        <v>3026</v>
      </c>
      <c r="B2968" t="s">
        <v>3003</v>
      </c>
      <c r="C2968" t="s">
        <v>62</v>
      </c>
      <c r="D2968" t="s">
        <v>63</v>
      </c>
      <c r="E2968">
        <v>9.0</v>
      </c>
      <c r="F2968">
        <v>9.0</v>
      </c>
      <c r="G2968" s="2" t="s">
        <v>64</v>
      </c>
      <c r="H2968" s="2">
        <v>0.0</v>
      </c>
      <c r="I2968" s="2">
        <v>0.0</v>
      </c>
      <c r="J2968" s="37">
        <v>0.0</v>
      </c>
      <c r="K2968" s="2">
        <v>0.0</v>
      </c>
      <c r="L2968" s="2">
        <v>0.0</v>
      </c>
      <c r="M2968" s="37">
        <v>0.0</v>
      </c>
    </row>
    <row r="2969" ht="14.25" customHeight="1">
      <c r="A2969" t="s">
        <v>3027</v>
      </c>
      <c r="B2969" t="s">
        <v>3003</v>
      </c>
      <c r="C2969" t="s">
        <v>62</v>
      </c>
      <c r="D2969" t="s">
        <v>63</v>
      </c>
      <c r="E2969">
        <v>9.0</v>
      </c>
      <c r="F2969">
        <v>9.0</v>
      </c>
      <c r="G2969" s="2" t="s">
        <v>64</v>
      </c>
      <c r="H2969" s="2">
        <v>0.0</v>
      </c>
      <c r="I2969" s="2">
        <v>0.0</v>
      </c>
      <c r="J2969" s="37">
        <v>0.0</v>
      </c>
      <c r="K2969" s="2">
        <v>0.0</v>
      </c>
      <c r="L2969" s="2">
        <v>0.0</v>
      </c>
      <c r="M2969" s="37">
        <v>0.0</v>
      </c>
    </row>
    <row r="2970" ht="14.25" customHeight="1">
      <c r="A2970" t="s">
        <v>3028</v>
      </c>
      <c r="B2970" t="s">
        <v>3003</v>
      </c>
      <c r="C2970" t="s">
        <v>75</v>
      </c>
      <c r="D2970" t="s">
        <v>63</v>
      </c>
      <c r="E2970">
        <v>7.1</v>
      </c>
      <c r="F2970">
        <v>8.0</v>
      </c>
      <c r="G2970" s="2" t="s">
        <v>67</v>
      </c>
      <c r="H2970" s="2">
        <v>22.0</v>
      </c>
      <c r="I2970" s="2">
        <v>74.0</v>
      </c>
      <c r="J2970" s="37">
        <v>590.32</v>
      </c>
      <c r="K2970" s="2">
        <v>26.0</v>
      </c>
      <c r="L2970" s="2">
        <v>146.0</v>
      </c>
      <c r="M2970" s="37">
        <v>773.76</v>
      </c>
    </row>
    <row r="2971" ht="14.25" customHeight="1">
      <c r="A2971" t="s">
        <v>3029</v>
      </c>
      <c r="B2971" t="s">
        <v>3003</v>
      </c>
      <c r="C2971" t="s">
        <v>75</v>
      </c>
      <c r="D2971" t="s">
        <v>63</v>
      </c>
      <c r="E2971">
        <v>10.0</v>
      </c>
      <c r="F2971">
        <v>11.2</v>
      </c>
      <c r="G2971" s="2" t="s">
        <v>67</v>
      </c>
      <c r="H2971" s="2">
        <v>32.0</v>
      </c>
      <c r="I2971" s="2">
        <v>173.0</v>
      </c>
      <c r="J2971" s="37">
        <v>943.62</v>
      </c>
      <c r="K2971" s="2">
        <v>38.0</v>
      </c>
      <c r="L2971" s="2">
        <v>276.0</v>
      </c>
      <c r="M2971" s="37">
        <v>1212.28</v>
      </c>
    </row>
    <row r="2972" ht="14.25" customHeight="1">
      <c r="A2972" t="s">
        <v>3030</v>
      </c>
      <c r="B2972" t="s">
        <v>3003</v>
      </c>
      <c r="C2972" t="s">
        <v>75</v>
      </c>
      <c r="D2972" t="s">
        <v>63</v>
      </c>
      <c r="E2972">
        <v>10.0</v>
      </c>
      <c r="F2972">
        <v>11.2</v>
      </c>
      <c r="G2972" s="2" t="s">
        <v>67</v>
      </c>
      <c r="H2972" s="2">
        <v>32.0</v>
      </c>
      <c r="I2972" s="2">
        <v>173.0</v>
      </c>
      <c r="J2972" s="37">
        <v>943.62</v>
      </c>
      <c r="K2972" s="2">
        <v>38.0</v>
      </c>
      <c r="L2972" s="2">
        <v>276.0</v>
      </c>
      <c r="M2972" s="37">
        <v>1212.28</v>
      </c>
    </row>
    <row r="2973" ht="14.25" customHeight="1">
      <c r="A2973" t="s">
        <v>3031</v>
      </c>
      <c r="B2973" t="s">
        <v>3003</v>
      </c>
      <c r="C2973" t="s">
        <v>75</v>
      </c>
      <c r="D2973" t="s">
        <v>63</v>
      </c>
      <c r="E2973">
        <v>12.5</v>
      </c>
      <c r="F2973">
        <v>14.0</v>
      </c>
      <c r="G2973" s="2" t="s">
        <v>67</v>
      </c>
      <c r="H2973" s="2">
        <v>41.0</v>
      </c>
      <c r="I2973" s="2">
        <v>140.0</v>
      </c>
      <c r="J2973" s="37">
        <v>1102.8600000000001</v>
      </c>
      <c r="K2973" s="2">
        <v>48.0</v>
      </c>
      <c r="L2973" s="2">
        <v>268.0</v>
      </c>
      <c r="M2973" s="37">
        <v>1426.48</v>
      </c>
    </row>
    <row r="2974" ht="14.25" customHeight="1">
      <c r="A2974" t="s">
        <v>3032</v>
      </c>
      <c r="B2974" t="s">
        <v>3003</v>
      </c>
      <c r="C2974" t="s">
        <v>75</v>
      </c>
      <c r="D2974" t="s">
        <v>63</v>
      </c>
      <c r="E2974">
        <v>12.5</v>
      </c>
      <c r="F2974">
        <v>14.0</v>
      </c>
      <c r="G2974" s="2" t="s">
        <v>67</v>
      </c>
      <c r="H2974" s="2">
        <v>41.0</v>
      </c>
      <c r="I2974" s="2">
        <v>140.0</v>
      </c>
      <c r="J2974" s="37">
        <v>1102.8600000000001</v>
      </c>
      <c r="K2974" s="2">
        <v>48.0</v>
      </c>
      <c r="L2974" s="2">
        <v>268.0</v>
      </c>
      <c r="M2974" s="37">
        <v>1426.48</v>
      </c>
    </row>
    <row r="2975" ht="14.25" customHeight="1">
      <c r="A2975" t="s">
        <v>3033</v>
      </c>
      <c r="B2975" t="s">
        <v>3003</v>
      </c>
      <c r="C2975" t="s">
        <v>75</v>
      </c>
      <c r="D2975" t="s">
        <v>63</v>
      </c>
      <c r="E2975">
        <v>14.0</v>
      </c>
      <c r="F2975">
        <v>16.0</v>
      </c>
      <c r="G2975" s="2" t="s">
        <v>64</v>
      </c>
      <c r="H2975" s="2">
        <v>0.0</v>
      </c>
      <c r="I2975" s="2">
        <v>0.0</v>
      </c>
      <c r="J2975" s="37">
        <v>0.0</v>
      </c>
      <c r="K2975" s="2">
        <v>0.0</v>
      </c>
      <c r="L2975" s="2">
        <v>0.0</v>
      </c>
      <c r="M2975" s="37">
        <v>0.0</v>
      </c>
    </row>
    <row r="2976" ht="14.25" customHeight="1">
      <c r="A2976" t="s">
        <v>3034</v>
      </c>
      <c r="B2976" t="s">
        <v>3003</v>
      </c>
      <c r="C2976" t="s">
        <v>75</v>
      </c>
      <c r="D2976" t="s">
        <v>63</v>
      </c>
      <c r="E2976">
        <v>14.0</v>
      </c>
      <c r="F2976">
        <v>16.0</v>
      </c>
      <c r="G2976" s="2" t="s">
        <v>64</v>
      </c>
      <c r="H2976" s="2">
        <v>0.0</v>
      </c>
      <c r="I2976" s="2">
        <v>0.0</v>
      </c>
      <c r="J2976" s="37">
        <v>0.0</v>
      </c>
      <c r="K2976" s="2">
        <v>0.0</v>
      </c>
      <c r="L2976" s="2">
        <v>0.0</v>
      </c>
      <c r="M2976" s="37">
        <v>0.0</v>
      </c>
    </row>
    <row r="2977" ht="14.25" customHeight="1">
      <c r="A2977" t="s">
        <v>3035</v>
      </c>
      <c r="B2977" t="s">
        <v>3003</v>
      </c>
      <c r="C2977" t="s">
        <v>75</v>
      </c>
      <c r="D2977" t="s">
        <v>63</v>
      </c>
      <c r="E2977">
        <v>6.0</v>
      </c>
      <c r="F2977">
        <v>6.0</v>
      </c>
      <c r="G2977" s="2" t="s">
        <v>64</v>
      </c>
      <c r="H2977" s="2">
        <v>0.0</v>
      </c>
      <c r="I2977" s="2">
        <v>0.0</v>
      </c>
      <c r="J2977" s="37">
        <v>0.0</v>
      </c>
      <c r="K2977" s="2">
        <v>0.0</v>
      </c>
      <c r="L2977" s="2">
        <v>0.0</v>
      </c>
      <c r="M2977" s="37">
        <v>0.0</v>
      </c>
    </row>
    <row r="2978" ht="14.25" customHeight="1">
      <c r="A2978" t="s">
        <v>3036</v>
      </c>
      <c r="B2978" t="s">
        <v>3003</v>
      </c>
      <c r="C2978" t="s">
        <v>75</v>
      </c>
      <c r="D2978" t="s">
        <v>63</v>
      </c>
      <c r="E2978">
        <v>7.1</v>
      </c>
      <c r="F2978">
        <v>7.1</v>
      </c>
      <c r="G2978" s="2" t="s">
        <v>64</v>
      </c>
      <c r="H2978" s="2">
        <v>0.0</v>
      </c>
      <c r="I2978" s="2">
        <v>0.0</v>
      </c>
      <c r="J2978" s="37">
        <v>0.0</v>
      </c>
      <c r="K2978" s="2">
        <v>0.0</v>
      </c>
      <c r="L2978" s="2">
        <v>0.0</v>
      </c>
      <c r="M2978" s="37">
        <v>0.0</v>
      </c>
    </row>
    <row r="2979" ht="14.25" customHeight="1">
      <c r="A2979" t="s">
        <v>3037</v>
      </c>
      <c r="B2979" t="s">
        <v>3003</v>
      </c>
      <c r="C2979" t="s">
        <v>75</v>
      </c>
      <c r="D2979" t="s">
        <v>63</v>
      </c>
      <c r="E2979">
        <v>10.0</v>
      </c>
      <c r="F2979">
        <v>10.0</v>
      </c>
      <c r="G2979" s="2" t="s">
        <v>64</v>
      </c>
      <c r="H2979" s="2">
        <v>0.0</v>
      </c>
      <c r="I2979" s="2">
        <v>0.0</v>
      </c>
      <c r="J2979" s="37">
        <v>0.0</v>
      </c>
      <c r="K2979" s="2">
        <v>0.0</v>
      </c>
      <c r="L2979" s="2">
        <v>0.0</v>
      </c>
      <c r="M2979" s="37">
        <v>0.0</v>
      </c>
    </row>
    <row r="2980" ht="14.25" customHeight="1">
      <c r="A2980" t="s">
        <v>3038</v>
      </c>
      <c r="B2980" t="s">
        <v>3003</v>
      </c>
      <c r="C2980" t="s">
        <v>75</v>
      </c>
      <c r="D2980" t="s">
        <v>63</v>
      </c>
      <c r="E2980">
        <v>10.0</v>
      </c>
      <c r="F2980">
        <v>10.0</v>
      </c>
      <c r="G2980" s="2" t="s">
        <v>64</v>
      </c>
      <c r="H2980" s="2">
        <v>0.0</v>
      </c>
      <c r="I2980" s="2">
        <v>0.0</v>
      </c>
      <c r="J2980" s="37">
        <v>0.0</v>
      </c>
      <c r="K2980" s="2">
        <v>0.0</v>
      </c>
      <c r="L2980" s="2">
        <v>0.0</v>
      </c>
      <c r="M2980" s="37">
        <v>0.0</v>
      </c>
    </row>
    <row r="2981" ht="14.25" customHeight="1">
      <c r="A2981" t="s">
        <v>3039</v>
      </c>
      <c r="B2981" t="s">
        <v>3003</v>
      </c>
      <c r="C2981" t="s">
        <v>75</v>
      </c>
      <c r="D2981" t="s">
        <v>63</v>
      </c>
      <c r="E2981">
        <v>12.5</v>
      </c>
      <c r="F2981">
        <v>12.5</v>
      </c>
      <c r="G2981" s="2" t="s">
        <v>64</v>
      </c>
      <c r="H2981" s="2">
        <v>0.0</v>
      </c>
      <c r="I2981" s="2">
        <v>0.0</v>
      </c>
      <c r="J2981" s="37">
        <v>0.0</v>
      </c>
      <c r="K2981" s="2">
        <v>0.0</v>
      </c>
      <c r="L2981" s="2">
        <v>0.0</v>
      </c>
      <c r="M2981" s="37">
        <v>0.0</v>
      </c>
    </row>
    <row r="2982" ht="14.25" customHeight="1">
      <c r="A2982" t="s">
        <v>3040</v>
      </c>
      <c r="B2982" t="s">
        <v>3003</v>
      </c>
      <c r="C2982" t="s">
        <v>75</v>
      </c>
      <c r="D2982" t="s">
        <v>63</v>
      </c>
      <c r="E2982">
        <v>12.5</v>
      </c>
      <c r="F2982">
        <v>12.5</v>
      </c>
      <c r="G2982" s="2" t="s">
        <v>64</v>
      </c>
      <c r="H2982" s="2">
        <v>0.0</v>
      </c>
      <c r="I2982" s="2">
        <v>0.0</v>
      </c>
      <c r="J2982" s="37">
        <v>0.0</v>
      </c>
      <c r="K2982" s="2">
        <v>0.0</v>
      </c>
      <c r="L2982" s="2">
        <v>0.0</v>
      </c>
      <c r="M2982" s="37">
        <v>0.0</v>
      </c>
    </row>
    <row r="2983" ht="14.25" customHeight="1">
      <c r="A2983" t="s">
        <v>3041</v>
      </c>
      <c r="B2983" t="s">
        <v>3003</v>
      </c>
      <c r="C2983" t="s">
        <v>75</v>
      </c>
      <c r="D2983" t="s">
        <v>63</v>
      </c>
      <c r="E2983">
        <v>14.0</v>
      </c>
      <c r="F2983">
        <v>14.0</v>
      </c>
      <c r="G2983" s="2" t="s">
        <v>64</v>
      </c>
      <c r="H2983" s="2">
        <v>0.0</v>
      </c>
      <c r="I2983" s="2">
        <v>0.0</v>
      </c>
      <c r="J2983" s="37">
        <v>0.0</v>
      </c>
      <c r="K2983" s="2">
        <v>0.0</v>
      </c>
      <c r="L2983" s="2">
        <v>0.0</v>
      </c>
      <c r="M2983" s="37">
        <v>0.0</v>
      </c>
    </row>
    <row r="2984" ht="14.25" customHeight="1">
      <c r="A2984" t="s">
        <v>3042</v>
      </c>
      <c r="B2984" t="s">
        <v>3003</v>
      </c>
      <c r="C2984" t="s">
        <v>75</v>
      </c>
      <c r="D2984" t="s">
        <v>63</v>
      </c>
      <c r="E2984">
        <v>14.0</v>
      </c>
      <c r="F2984">
        <v>14.0</v>
      </c>
      <c r="G2984" s="2" t="s">
        <v>64</v>
      </c>
      <c r="H2984" s="2">
        <v>0.0</v>
      </c>
      <c r="I2984" s="2">
        <v>0.0</v>
      </c>
      <c r="J2984" s="37">
        <v>0.0</v>
      </c>
      <c r="K2984" s="2">
        <v>0.0</v>
      </c>
      <c r="L2984" s="2">
        <v>0.0</v>
      </c>
      <c r="M2984" s="37">
        <v>0.0</v>
      </c>
    </row>
    <row r="2985" ht="14.25" customHeight="1">
      <c r="A2985" t="s">
        <v>3043</v>
      </c>
      <c r="B2985" t="s">
        <v>3003</v>
      </c>
      <c r="C2985" t="s">
        <v>75</v>
      </c>
      <c r="D2985" t="s">
        <v>63</v>
      </c>
      <c r="E2985">
        <v>14.0</v>
      </c>
      <c r="F2985">
        <v>14.0</v>
      </c>
      <c r="G2985" s="2" t="s">
        <v>64</v>
      </c>
      <c r="H2985" s="2">
        <v>0.0</v>
      </c>
      <c r="I2985" s="2">
        <v>0.0</v>
      </c>
      <c r="J2985" s="37">
        <v>0.0</v>
      </c>
      <c r="K2985" s="2">
        <v>0.0</v>
      </c>
      <c r="L2985" s="2">
        <v>0.0</v>
      </c>
      <c r="M2985" s="37">
        <v>0.0</v>
      </c>
    </row>
    <row r="2986" ht="14.25" customHeight="1">
      <c r="A2986" t="s">
        <v>3044</v>
      </c>
      <c r="B2986" t="s">
        <v>3003</v>
      </c>
      <c r="C2986" t="s">
        <v>75</v>
      </c>
      <c r="D2986" t="s">
        <v>63</v>
      </c>
      <c r="E2986">
        <v>16.0</v>
      </c>
      <c r="F2986">
        <v>18.0</v>
      </c>
      <c r="G2986" s="2" t="s">
        <v>64</v>
      </c>
      <c r="H2986" s="2">
        <v>0.0</v>
      </c>
      <c r="I2986" s="2">
        <v>0.0</v>
      </c>
      <c r="J2986" s="37">
        <v>0.0</v>
      </c>
      <c r="K2986" s="2">
        <v>0.0</v>
      </c>
      <c r="L2986" s="2">
        <v>0.0</v>
      </c>
      <c r="M2986" s="37">
        <v>0.0</v>
      </c>
    </row>
    <row r="2987" ht="14.25" customHeight="1">
      <c r="A2987" t="s">
        <v>3045</v>
      </c>
      <c r="B2987" t="s">
        <v>3003</v>
      </c>
      <c r="C2987" t="s">
        <v>75</v>
      </c>
      <c r="D2987" t="s">
        <v>63</v>
      </c>
      <c r="E2987">
        <v>16.0</v>
      </c>
      <c r="F2987">
        <v>18.0</v>
      </c>
      <c r="G2987" s="2" t="s">
        <v>64</v>
      </c>
      <c r="H2987" s="2">
        <v>0.0</v>
      </c>
      <c r="I2987" s="2">
        <v>0.0</v>
      </c>
      <c r="J2987" s="37">
        <v>0.0</v>
      </c>
      <c r="K2987" s="2">
        <v>0.0</v>
      </c>
      <c r="L2987" s="2">
        <v>0.0</v>
      </c>
      <c r="M2987" s="37">
        <v>0.0</v>
      </c>
    </row>
    <row r="2988" ht="14.25" customHeight="1">
      <c r="A2988" t="s">
        <v>3046</v>
      </c>
      <c r="B2988" t="s">
        <v>3003</v>
      </c>
      <c r="C2988" t="s">
        <v>62</v>
      </c>
      <c r="D2988" t="s">
        <v>63</v>
      </c>
      <c r="E2988">
        <v>7.1</v>
      </c>
      <c r="F2988">
        <v>8.0</v>
      </c>
      <c r="G2988" s="2" t="s">
        <v>67</v>
      </c>
      <c r="H2988" s="2">
        <v>24.0</v>
      </c>
      <c r="I2988" s="2">
        <v>134.0</v>
      </c>
      <c r="J2988" s="37">
        <v>713.24</v>
      </c>
      <c r="K2988" s="2">
        <v>27.0</v>
      </c>
      <c r="L2988" s="2">
        <v>199.0</v>
      </c>
      <c r="M2988" s="37">
        <v>865.1200000000001</v>
      </c>
    </row>
    <row r="2989" ht="14.25" customHeight="1">
      <c r="A2989" t="s">
        <v>3047</v>
      </c>
      <c r="B2989" t="s">
        <v>3003</v>
      </c>
      <c r="C2989" t="s">
        <v>62</v>
      </c>
      <c r="D2989" t="s">
        <v>63</v>
      </c>
      <c r="E2989">
        <v>10.0</v>
      </c>
      <c r="F2989">
        <v>11.2</v>
      </c>
      <c r="G2989" s="2" t="s">
        <v>67</v>
      </c>
      <c r="H2989" s="2">
        <v>37.0</v>
      </c>
      <c r="I2989" s="2">
        <v>283.0</v>
      </c>
      <c r="J2989" s="37">
        <v>1198.92</v>
      </c>
      <c r="K2989" s="2">
        <v>43.0</v>
      </c>
      <c r="L2989" s="2">
        <v>385.0</v>
      </c>
      <c r="M2989" s="37">
        <v>1466.2800000000002</v>
      </c>
    </row>
    <row r="2990" ht="14.25" customHeight="1">
      <c r="A2990" t="s">
        <v>3048</v>
      </c>
      <c r="B2990" t="s">
        <v>3003</v>
      </c>
      <c r="C2990" t="s">
        <v>62</v>
      </c>
      <c r="D2990" t="s">
        <v>63</v>
      </c>
      <c r="E2990">
        <v>12.5</v>
      </c>
      <c r="F2990">
        <v>14.0</v>
      </c>
      <c r="G2990" s="2" t="s">
        <v>67</v>
      </c>
      <c r="H2990" s="2">
        <v>45.0</v>
      </c>
      <c r="I2990" s="2">
        <v>220.0</v>
      </c>
      <c r="J2990" s="37">
        <v>1296.7</v>
      </c>
      <c r="K2990" s="2">
        <v>52.0</v>
      </c>
      <c r="L2990" s="2">
        <v>348.0</v>
      </c>
      <c r="M2990" s="37">
        <v>1620.3200000000002</v>
      </c>
    </row>
    <row r="2991" ht="14.25" customHeight="1">
      <c r="A2991" t="s">
        <v>3049</v>
      </c>
      <c r="B2991" t="s">
        <v>3003</v>
      </c>
      <c r="C2991" t="s">
        <v>62</v>
      </c>
      <c r="D2991" t="s">
        <v>63</v>
      </c>
      <c r="E2991">
        <v>14.0</v>
      </c>
      <c r="F2991">
        <v>16.0</v>
      </c>
      <c r="G2991" s="2" t="s">
        <v>67</v>
      </c>
      <c r="H2991" s="2">
        <v>50.0</v>
      </c>
      <c r="I2991" s="2">
        <v>120.0</v>
      </c>
      <c r="J2991" s="37">
        <v>1279.0</v>
      </c>
      <c r="K2991" s="2">
        <v>58.0</v>
      </c>
      <c r="L2991" s="2">
        <v>263.0</v>
      </c>
      <c r="M2991" s="37">
        <v>1644.5800000000002</v>
      </c>
    </row>
    <row r="2992" ht="14.25" customHeight="1">
      <c r="A2992" t="s">
        <v>3050</v>
      </c>
      <c r="B2992" t="s">
        <v>3003</v>
      </c>
      <c r="C2992" t="s">
        <v>62</v>
      </c>
      <c r="D2992" t="s">
        <v>63</v>
      </c>
      <c r="E2992">
        <v>10.0</v>
      </c>
      <c r="F2992">
        <v>11.2</v>
      </c>
      <c r="G2992" s="2" t="s">
        <v>67</v>
      </c>
      <c r="H2992" s="2">
        <v>37.0</v>
      </c>
      <c r="I2992" s="2">
        <v>283.0</v>
      </c>
      <c r="J2992" s="37">
        <v>1198.92</v>
      </c>
      <c r="K2992" s="2">
        <v>43.0</v>
      </c>
      <c r="L2992" s="2">
        <v>385.0</v>
      </c>
      <c r="M2992" s="37">
        <v>1466.2800000000002</v>
      </c>
    </row>
    <row r="2993" ht="14.25" customHeight="1">
      <c r="A2993" t="s">
        <v>3051</v>
      </c>
      <c r="B2993" t="s">
        <v>3003</v>
      </c>
      <c r="C2993" t="s">
        <v>62</v>
      </c>
      <c r="D2993" t="s">
        <v>63</v>
      </c>
      <c r="E2993">
        <v>12.5</v>
      </c>
      <c r="F2993">
        <v>14.0</v>
      </c>
      <c r="G2993" s="2" t="s">
        <v>67</v>
      </c>
      <c r="H2993" s="2">
        <v>45.0</v>
      </c>
      <c r="I2993" s="2">
        <v>220.0</v>
      </c>
      <c r="J2993" s="37">
        <v>1296.7</v>
      </c>
      <c r="K2993" s="2">
        <v>52.0</v>
      </c>
      <c r="L2993" s="2">
        <v>348.0</v>
      </c>
      <c r="M2993" s="37">
        <v>1620.3200000000002</v>
      </c>
    </row>
    <row r="2994" ht="14.25" customHeight="1">
      <c r="A2994" t="s">
        <v>3052</v>
      </c>
      <c r="B2994" t="s">
        <v>3003</v>
      </c>
      <c r="C2994" t="s">
        <v>62</v>
      </c>
      <c r="D2994" t="s">
        <v>63</v>
      </c>
      <c r="E2994">
        <v>14.0</v>
      </c>
      <c r="F2994">
        <v>16.0</v>
      </c>
      <c r="G2994" s="2" t="s">
        <v>67</v>
      </c>
      <c r="H2994" s="2">
        <v>50.0</v>
      </c>
      <c r="I2994" s="2">
        <v>120.0</v>
      </c>
      <c r="J2994" s="37">
        <v>1279.0</v>
      </c>
      <c r="K2994" s="2">
        <v>58.0</v>
      </c>
      <c r="L2994" s="2">
        <v>263.0</v>
      </c>
      <c r="M2994" s="37">
        <v>1644.5800000000002</v>
      </c>
    </row>
    <row r="2995" ht="14.25" customHeight="1">
      <c r="A2995" t="s">
        <v>3053</v>
      </c>
      <c r="B2995" t="s">
        <v>3003</v>
      </c>
      <c r="C2995" t="s">
        <v>75</v>
      </c>
      <c r="D2995" t="s">
        <v>63</v>
      </c>
      <c r="E2995">
        <v>6.8</v>
      </c>
      <c r="F2995">
        <v>7.5</v>
      </c>
      <c r="G2995" s="2" t="s">
        <v>67</v>
      </c>
      <c r="H2995" s="2">
        <v>23.0</v>
      </c>
      <c r="I2995" s="2">
        <v>110.0</v>
      </c>
      <c r="J2995" s="37">
        <v>659.58</v>
      </c>
      <c r="K2995" s="2">
        <v>27.0</v>
      </c>
      <c r="L2995" s="2">
        <v>180.0</v>
      </c>
      <c r="M2995" s="37">
        <v>840.4200000000001</v>
      </c>
    </row>
    <row r="2996" ht="14.25" customHeight="1">
      <c r="A2996" t="s">
        <v>3054</v>
      </c>
      <c r="B2996" t="s">
        <v>3003</v>
      </c>
      <c r="C2996" t="s">
        <v>75</v>
      </c>
      <c r="D2996" t="s">
        <v>63</v>
      </c>
      <c r="E2996">
        <v>9.5</v>
      </c>
      <c r="F2996">
        <v>10.8</v>
      </c>
      <c r="G2996" s="2" t="s">
        <v>67</v>
      </c>
      <c r="H2996" s="2">
        <v>34.0</v>
      </c>
      <c r="I2996" s="2">
        <v>232.0</v>
      </c>
      <c r="J2996" s="37">
        <v>1065.24</v>
      </c>
      <c r="K2996" s="2">
        <v>39.0</v>
      </c>
      <c r="L2996" s="2">
        <v>329.0</v>
      </c>
      <c r="M2996" s="37">
        <v>1303.64</v>
      </c>
    </row>
    <row r="2997" ht="14.25" customHeight="1">
      <c r="A2997" t="s">
        <v>3055</v>
      </c>
      <c r="B2997" t="s">
        <v>3003</v>
      </c>
      <c r="C2997" t="s">
        <v>75</v>
      </c>
      <c r="D2997" t="s">
        <v>63</v>
      </c>
      <c r="E2997">
        <v>9.5</v>
      </c>
      <c r="F2997">
        <v>10.8</v>
      </c>
      <c r="G2997" s="2" t="s">
        <v>67</v>
      </c>
      <c r="H2997" s="2">
        <v>34.0</v>
      </c>
      <c r="I2997" s="2">
        <v>232.0</v>
      </c>
      <c r="J2997" s="37">
        <v>1065.24</v>
      </c>
      <c r="K2997" s="2">
        <v>39.0</v>
      </c>
      <c r="L2997" s="2">
        <v>329.0</v>
      </c>
      <c r="M2997" s="37">
        <v>1303.64</v>
      </c>
    </row>
    <row r="2998" ht="14.25" customHeight="1">
      <c r="A2998" t="s">
        <v>3056</v>
      </c>
      <c r="B2998" t="s">
        <v>3003</v>
      </c>
      <c r="C2998" t="s">
        <v>75</v>
      </c>
      <c r="D2998" t="s">
        <v>63</v>
      </c>
      <c r="E2998">
        <v>12.1</v>
      </c>
      <c r="F2998">
        <v>13.5</v>
      </c>
      <c r="G2998" s="2" t="s">
        <v>67</v>
      </c>
      <c r="H2998" s="2">
        <v>40.0</v>
      </c>
      <c r="I2998" s="2">
        <v>155.0</v>
      </c>
      <c r="J2998" s="37">
        <v>1099.9</v>
      </c>
      <c r="K2998" s="2">
        <v>47.0</v>
      </c>
      <c r="L2998" s="2">
        <v>279.0</v>
      </c>
      <c r="M2998" s="37">
        <v>1418.3200000000002</v>
      </c>
    </row>
    <row r="2999" ht="14.25" customHeight="1">
      <c r="A2999" t="s">
        <v>3057</v>
      </c>
      <c r="B2999" t="s">
        <v>3003</v>
      </c>
      <c r="C2999" t="s">
        <v>75</v>
      </c>
      <c r="D2999" t="s">
        <v>63</v>
      </c>
      <c r="E2999">
        <v>12.1</v>
      </c>
      <c r="F2999">
        <v>13.5</v>
      </c>
      <c r="G2999" s="2" t="s">
        <v>67</v>
      </c>
      <c r="H2999" s="2">
        <v>40.0</v>
      </c>
      <c r="I2999" s="2">
        <v>155.0</v>
      </c>
      <c r="J2999" s="37">
        <v>1099.9</v>
      </c>
      <c r="K2999" s="2">
        <v>47.0</v>
      </c>
      <c r="L2999" s="2">
        <v>279.0</v>
      </c>
      <c r="M2999" s="37">
        <v>1418.3200000000002</v>
      </c>
    </row>
    <row r="3000" ht="14.25" customHeight="1">
      <c r="A3000" t="s">
        <v>3058</v>
      </c>
      <c r="B3000" t="s">
        <v>3003</v>
      </c>
      <c r="C3000" t="s">
        <v>75</v>
      </c>
      <c r="D3000" t="s">
        <v>63</v>
      </c>
      <c r="E3000">
        <v>13.4</v>
      </c>
      <c r="F3000">
        <v>15.5</v>
      </c>
      <c r="G3000" s="2" t="s">
        <v>67</v>
      </c>
      <c r="H3000" s="2">
        <v>44.0</v>
      </c>
      <c r="I3000" s="2">
        <v>107.0</v>
      </c>
      <c r="J3000" s="37">
        <v>1127.34</v>
      </c>
      <c r="K3000" s="2">
        <v>51.0</v>
      </c>
      <c r="L3000" s="2">
        <v>244.0</v>
      </c>
      <c r="M3000" s="37">
        <v>1462.66</v>
      </c>
    </row>
    <row r="3001" ht="14.25" customHeight="1">
      <c r="A3001" t="s">
        <v>3059</v>
      </c>
      <c r="B3001" t="s">
        <v>3003</v>
      </c>
      <c r="C3001" t="s">
        <v>75</v>
      </c>
      <c r="D3001" t="s">
        <v>63</v>
      </c>
      <c r="E3001">
        <v>13.4</v>
      </c>
      <c r="F3001">
        <v>15.5</v>
      </c>
      <c r="G3001" s="2" t="s">
        <v>67</v>
      </c>
      <c r="H3001" s="2">
        <v>44.0</v>
      </c>
      <c r="I3001" s="2">
        <v>107.0</v>
      </c>
      <c r="J3001" s="37">
        <v>1127.34</v>
      </c>
      <c r="K3001" s="2">
        <v>51.0</v>
      </c>
      <c r="L3001" s="2">
        <v>244.0</v>
      </c>
      <c r="M3001" s="37">
        <v>1462.66</v>
      </c>
    </row>
    <row r="3002" ht="14.25" customHeight="1">
      <c r="A3002" t="s">
        <v>3060</v>
      </c>
      <c r="B3002" t="s">
        <v>3003</v>
      </c>
      <c r="C3002" t="s">
        <v>62</v>
      </c>
      <c r="D3002" t="s">
        <v>63</v>
      </c>
      <c r="E3002">
        <v>6.0</v>
      </c>
      <c r="F3002">
        <v>6.0</v>
      </c>
      <c r="G3002" s="2" t="s">
        <v>67</v>
      </c>
      <c r="H3002" s="2">
        <v>18.0</v>
      </c>
      <c r="I3002" s="2">
        <v>86.0</v>
      </c>
      <c r="J3002" s="37">
        <v>516.08</v>
      </c>
      <c r="K3002" s="2">
        <v>20.0</v>
      </c>
      <c r="L3002" s="2">
        <v>141.0</v>
      </c>
      <c r="M3002" s="37">
        <v>632.5</v>
      </c>
    </row>
    <row r="3003" ht="14.25" customHeight="1">
      <c r="A3003" t="s">
        <v>3061</v>
      </c>
      <c r="B3003" t="s">
        <v>3003</v>
      </c>
      <c r="C3003" t="s">
        <v>62</v>
      </c>
      <c r="D3003" t="s">
        <v>63</v>
      </c>
      <c r="E3003">
        <v>6.8</v>
      </c>
      <c r="F3003">
        <v>6.8</v>
      </c>
      <c r="G3003" s="2" t="s">
        <v>64</v>
      </c>
      <c r="H3003" s="2">
        <v>0.0</v>
      </c>
      <c r="I3003" s="2">
        <v>0.0</v>
      </c>
      <c r="J3003" s="37">
        <v>0.0</v>
      </c>
      <c r="K3003" s="2">
        <v>0.0</v>
      </c>
      <c r="L3003" s="2">
        <v>0.0</v>
      </c>
      <c r="M3003" s="37">
        <v>0.0</v>
      </c>
    </row>
    <row r="3004" ht="14.25" customHeight="1">
      <c r="A3004" t="s">
        <v>3062</v>
      </c>
      <c r="B3004" t="s">
        <v>3003</v>
      </c>
      <c r="C3004" t="s">
        <v>62</v>
      </c>
      <c r="D3004" t="s">
        <v>63</v>
      </c>
      <c r="E3004">
        <v>10.0</v>
      </c>
      <c r="F3004">
        <v>10.0</v>
      </c>
      <c r="G3004" s="2" t="s">
        <v>67</v>
      </c>
      <c r="H3004" s="2">
        <v>31.0</v>
      </c>
      <c r="I3004" s="2">
        <v>141.0</v>
      </c>
      <c r="J3004" s="37">
        <v>879.56</v>
      </c>
      <c r="K3004" s="2">
        <v>36.0</v>
      </c>
      <c r="L3004" s="2">
        <v>243.0</v>
      </c>
      <c r="M3004" s="37">
        <v>1124.46</v>
      </c>
    </row>
    <row r="3005" ht="14.25" customHeight="1">
      <c r="A3005" t="s">
        <v>3063</v>
      </c>
      <c r="B3005" t="s">
        <v>3003</v>
      </c>
      <c r="C3005" t="s">
        <v>62</v>
      </c>
      <c r="D3005" t="s">
        <v>63</v>
      </c>
      <c r="E3005">
        <v>10.0</v>
      </c>
      <c r="F3005">
        <v>10.0</v>
      </c>
      <c r="G3005" s="2" t="s">
        <v>67</v>
      </c>
      <c r="H3005" s="2">
        <v>31.0</v>
      </c>
      <c r="I3005" s="2">
        <v>141.0</v>
      </c>
      <c r="J3005" s="37">
        <v>879.56</v>
      </c>
      <c r="K3005" s="2">
        <v>36.0</v>
      </c>
      <c r="L3005" s="2">
        <v>243.0</v>
      </c>
      <c r="M3005" s="37">
        <v>1124.46</v>
      </c>
    </row>
    <row r="3006" ht="14.25" customHeight="1">
      <c r="A3006" t="s">
        <v>3064</v>
      </c>
      <c r="B3006" t="s">
        <v>3003</v>
      </c>
      <c r="C3006" t="s">
        <v>62</v>
      </c>
      <c r="D3006" t="s">
        <v>63</v>
      </c>
      <c r="E3006">
        <v>12.5</v>
      </c>
      <c r="F3006">
        <v>12.5</v>
      </c>
      <c r="G3006" s="2" t="s">
        <v>67</v>
      </c>
      <c r="H3006" s="2">
        <v>37.0</v>
      </c>
      <c r="I3006" s="2">
        <v>80.0</v>
      </c>
      <c r="J3006" s="37">
        <v>935.02</v>
      </c>
      <c r="K3006" s="2">
        <v>44.0</v>
      </c>
      <c r="L3006" s="2">
        <v>208.0</v>
      </c>
      <c r="M3006" s="37">
        <v>1258.64</v>
      </c>
    </row>
    <row r="3007" ht="14.25" customHeight="1">
      <c r="A3007" t="s">
        <v>3065</v>
      </c>
      <c r="B3007" t="s">
        <v>3003</v>
      </c>
      <c r="C3007" t="s">
        <v>62</v>
      </c>
      <c r="D3007" t="s">
        <v>63</v>
      </c>
      <c r="E3007">
        <v>12.5</v>
      </c>
      <c r="F3007">
        <v>12.5</v>
      </c>
      <c r="G3007" s="2" t="s">
        <v>67</v>
      </c>
      <c r="H3007" s="2">
        <v>37.0</v>
      </c>
      <c r="I3007" s="2">
        <v>80.0</v>
      </c>
      <c r="J3007" s="37">
        <v>935.02</v>
      </c>
      <c r="K3007" s="2">
        <v>44.0</v>
      </c>
      <c r="L3007" s="2">
        <v>208.0</v>
      </c>
      <c r="M3007" s="37">
        <v>1258.64</v>
      </c>
    </row>
    <row r="3008" ht="14.25" customHeight="1">
      <c r="A3008" t="s">
        <v>3066</v>
      </c>
      <c r="B3008" t="s">
        <v>3003</v>
      </c>
      <c r="C3008" t="s">
        <v>62</v>
      </c>
      <c r="D3008" t="s">
        <v>63</v>
      </c>
      <c r="E3008">
        <v>13.6</v>
      </c>
      <c r="F3008">
        <v>14.0</v>
      </c>
      <c r="G3008" s="2" t="s">
        <v>67</v>
      </c>
      <c r="H3008" s="2">
        <v>40.0</v>
      </c>
      <c r="I3008" s="2">
        <v>19.0</v>
      </c>
      <c r="J3008" s="37">
        <v>923.1000000000001</v>
      </c>
      <c r="K3008" s="2">
        <v>47.0</v>
      </c>
      <c r="L3008" s="2">
        <v>159.0</v>
      </c>
      <c r="M3008" s="37">
        <v>1262.3200000000002</v>
      </c>
    </row>
    <row r="3009" ht="14.25" customHeight="1">
      <c r="A3009" t="s">
        <v>3067</v>
      </c>
      <c r="B3009" t="s">
        <v>3003</v>
      </c>
      <c r="C3009" t="s">
        <v>62</v>
      </c>
      <c r="D3009" t="s">
        <v>63</v>
      </c>
      <c r="E3009">
        <v>13.6</v>
      </c>
      <c r="F3009">
        <v>14.0</v>
      </c>
      <c r="G3009" s="2" t="s">
        <v>67</v>
      </c>
      <c r="H3009" s="2">
        <v>40.0</v>
      </c>
      <c r="I3009" s="2">
        <v>19.0</v>
      </c>
      <c r="J3009" s="37">
        <v>923.1000000000001</v>
      </c>
      <c r="K3009" s="2">
        <v>47.0</v>
      </c>
      <c r="L3009" s="2">
        <v>159.0</v>
      </c>
      <c r="M3009" s="37">
        <v>1262.3200000000002</v>
      </c>
    </row>
    <row r="3010" ht="14.25" customHeight="1">
      <c r="A3010" t="s">
        <v>3068</v>
      </c>
      <c r="B3010" t="s">
        <v>3003</v>
      </c>
      <c r="C3010" t="s">
        <v>62</v>
      </c>
      <c r="D3010" t="s">
        <v>63</v>
      </c>
      <c r="E3010">
        <v>6.8</v>
      </c>
      <c r="F3010">
        <v>8.0</v>
      </c>
      <c r="G3010" s="2" t="s">
        <v>67</v>
      </c>
      <c r="H3010" s="2">
        <v>23.0</v>
      </c>
      <c r="I3010" s="2">
        <v>110.0</v>
      </c>
      <c r="J3010" s="37">
        <v>659.58</v>
      </c>
      <c r="K3010" s="2">
        <v>27.0</v>
      </c>
      <c r="L3010" s="2">
        <v>172.0</v>
      </c>
      <c r="M3010" s="37">
        <v>830.0200000000001</v>
      </c>
    </row>
    <row r="3011" ht="14.25" customHeight="1">
      <c r="A3011" t="s">
        <v>3069</v>
      </c>
      <c r="B3011" t="s">
        <v>3003</v>
      </c>
      <c r="C3011" t="s">
        <v>62</v>
      </c>
      <c r="D3011" t="s">
        <v>63</v>
      </c>
      <c r="E3011">
        <v>9.5</v>
      </c>
      <c r="F3011">
        <v>11.2</v>
      </c>
      <c r="G3011" s="2" t="s">
        <v>67</v>
      </c>
      <c r="H3011" s="2">
        <v>33.0</v>
      </c>
      <c r="I3011" s="2">
        <v>195.0</v>
      </c>
      <c r="J3011" s="37">
        <v>994.6800000000001</v>
      </c>
      <c r="K3011" s="2">
        <v>38.0</v>
      </c>
      <c r="L3011" s="2">
        <v>282.0</v>
      </c>
      <c r="M3011" s="37">
        <v>1220.08</v>
      </c>
    </row>
    <row r="3012" ht="14.25" customHeight="1">
      <c r="A3012" t="s">
        <v>3070</v>
      </c>
      <c r="B3012" t="s">
        <v>3003</v>
      </c>
      <c r="C3012" t="s">
        <v>62</v>
      </c>
      <c r="D3012" t="s">
        <v>63</v>
      </c>
      <c r="E3012">
        <v>9.5</v>
      </c>
      <c r="F3012">
        <v>11.2</v>
      </c>
      <c r="G3012" s="2" t="s">
        <v>67</v>
      </c>
      <c r="H3012" s="2">
        <v>33.0</v>
      </c>
      <c r="I3012" s="2">
        <v>195.0</v>
      </c>
      <c r="J3012" s="37">
        <v>994.6800000000001</v>
      </c>
      <c r="K3012" s="2">
        <v>38.0</v>
      </c>
      <c r="L3012" s="2">
        <v>282.0</v>
      </c>
      <c r="M3012" s="37">
        <v>1220.08</v>
      </c>
    </row>
    <row r="3013" ht="14.25" customHeight="1">
      <c r="A3013" t="s">
        <v>3071</v>
      </c>
      <c r="B3013" t="s">
        <v>3003</v>
      </c>
      <c r="C3013" t="s">
        <v>62</v>
      </c>
      <c r="D3013" t="s">
        <v>63</v>
      </c>
      <c r="E3013">
        <v>12.1</v>
      </c>
      <c r="F3013">
        <v>14.0</v>
      </c>
      <c r="G3013" s="2" t="s">
        <v>67</v>
      </c>
      <c r="H3013" s="2">
        <v>42.0</v>
      </c>
      <c r="I3013" s="2">
        <v>134.0</v>
      </c>
      <c r="J3013" s="37">
        <v>1117.52</v>
      </c>
      <c r="K3013" s="2">
        <v>49.0</v>
      </c>
      <c r="L3013" s="2">
        <v>258.0</v>
      </c>
      <c r="M3013" s="37">
        <v>1435.94</v>
      </c>
    </row>
    <row r="3014" ht="14.25" customHeight="1">
      <c r="A3014" t="s">
        <v>3072</v>
      </c>
      <c r="B3014" t="s">
        <v>3003</v>
      </c>
      <c r="C3014" t="s">
        <v>62</v>
      </c>
      <c r="D3014" t="s">
        <v>63</v>
      </c>
      <c r="E3014">
        <v>12.1</v>
      </c>
      <c r="F3014">
        <v>14.0</v>
      </c>
      <c r="G3014" s="2" t="s">
        <v>67</v>
      </c>
      <c r="H3014" s="2">
        <v>42.0</v>
      </c>
      <c r="I3014" s="2">
        <v>134.0</v>
      </c>
      <c r="J3014" s="37">
        <v>1117.52</v>
      </c>
      <c r="K3014" s="2">
        <v>49.0</v>
      </c>
      <c r="L3014" s="2">
        <v>258.0</v>
      </c>
      <c r="M3014" s="37">
        <v>1435.94</v>
      </c>
    </row>
    <row r="3015" ht="14.25" customHeight="1">
      <c r="A3015" t="s">
        <v>3073</v>
      </c>
      <c r="B3015" t="s">
        <v>3003</v>
      </c>
      <c r="C3015" t="s">
        <v>62</v>
      </c>
      <c r="D3015" t="s">
        <v>63</v>
      </c>
      <c r="E3015">
        <v>13.4</v>
      </c>
      <c r="F3015">
        <v>16.0</v>
      </c>
      <c r="G3015" s="2" t="s">
        <v>67</v>
      </c>
      <c r="H3015" s="2">
        <v>46.0</v>
      </c>
      <c r="I3015" s="2">
        <v>45.0</v>
      </c>
      <c r="J3015" s="37">
        <v>1091.66</v>
      </c>
      <c r="K3015" s="2">
        <v>53.0</v>
      </c>
      <c r="L3015" s="2">
        <v>182.0</v>
      </c>
      <c r="M3015" s="37">
        <v>1426.98</v>
      </c>
    </row>
    <row r="3016" ht="14.25" customHeight="1">
      <c r="A3016" t="s">
        <v>3074</v>
      </c>
      <c r="B3016" t="s">
        <v>3003</v>
      </c>
      <c r="C3016" t="s">
        <v>62</v>
      </c>
      <c r="D3016" t="s">
        <v>63</v>
      </c>
      <c r="E3016">
        <v>13.4</v>
      </c>
      <c r="F3016">
        <v>16.0</v>
      </c>
      <c r="G3016" s="2" t="s">
        <v>67</v>
      </c>
      <c r="H3016" s="2">
        <v>46.0</v>
      </c>
      <c r="I3016" s="2">
        <v>45.0</v>
      </c>
      <c r="J3016" s="37">
        <v>1091.66</v>
      </c>
      <c r="K3016" s="2">
        <v>53.0</v>
      </c>
      <c r="L3016" s="2">
        <v>182.0</v>
      </c>
      <c r="M3016" s="37">
        <v>1426.98</v>
      </c>
    </row>
    <row r="3017" ht="14.25" customHeight="1">
      <c r="A3017" t="s">
        <v>3075</v>
      </c>
      <c r="B3017" t="s">
        <v>3003</v>
      </c>
      <c r="C3017" t="s">
        <v>62</v>
      </c>
      <c r="D3017" t="s">
        <v>63</v>
      </c>
      <c r="E3017">
        <v>6.0</v>
      </c>
      <c r="F3017">
        <v>6.0</v>
      </c>
      <c r="G3017" s="2" t="s">
        <v>67</v>
      </c>
      <c r="H3017" s="2">
        <v>18.0</v>
      </c>
      <c r="I3017" s="2">
        <v>113.0</v>
      </c>
      <c r="J3017" s="37">
        <v>551.1800000000001</v>
      </c>
      <c r="K3017" s="2">
        <v>21.0</v>
      </c>
      <c r="L3017" s="2">
        <v>168.0</v>
      </c>
      <c r="M3017" s="37">
        <v>690.0600000000001</v>
      </c>
    </row>
    <row r="3018" ht="14.25" customHeight="1">
      <c r="A3018" t="s">
        <v>3076</v>
      </c>
      <c r="B3018" t="s">
        <v>3003</v>
      </c>
      <c r="C3018" t="s">
        <v>62</v>
      </c>
      <c r="D3018" t="s">
        <v>63</v>
      </c>
      <c r="E3018">
        <v>7.1</v>
      </c>
      <c r="F3018">
        <v>7.1</v>
      </c>
      <c r="G3018" s="2" t="s">
        <v>67</v>
      </c>
      <c r="H3018" s="2">
        <v>21.0</v>
      </c>
      <c r="I3018" s="2">
        <v>81.0</v>
      </c>
      <c r="J3018" s="37">
        <v>576.96</v>
      </c>
      <c r="K3018" s="2">
        <v>24.0</v>
      </c>
      <c r="L3018" s="2">
        <v>146.0</v>
      </c>
      <c r="M3018" s="37">
        <v>728.8399999999999</v>
      </c>
    </row>
    <row r="3019" ht="14.25" customHeight="1">
      <c r="A3019" t="s">
        <v>3077</v>
      </c>
      <c r="B3019" t="s">
        <v>3003</v>
      </c>
      <c r="C3019" t="s">
        <v>62</v>
      </c>
      <c r="D3019" t="s">
        <v>63</v>
      </c>
      <c r="E3019">
        <v>10.0</v>
      </c>
      <c r="F3019">
        <v>10.0</v>
      </c>
      <c r="G3019" s="2" t="s">
        <v>67</v>
      </c>
      <c r="H3019" s="2">
        <v>31.0</v>
      </c>
      <c r="I3019" s="2">
        <v>141.0</v>
      </c>
      <c r="J3019" s="37">
        <v>879.56</v>
      </c>
      <c r="K3019" s="2">
        <v>36.0</v>
      </c>
      <c r="L3019" s="2">
        <v>243.0</v>
      </c>
      <c r="M3019" s="37">
        <v>1124.46</v>
      </c>
    </row>
    <row r="3020" ht="14.25" customHeight="1">
      <c r="A3020" t="s">
        <v>3078</v>
      </c>
      <c r="B3020" t="s">
        <v>3003</v>
      </c>
      <c r="C3020" t="s">
        <v>62</v>
      </c>
      <c r="D3020" t="s">
        <v>63</v>
      </c>
      <c r="E3020">
        <v>10.0</v>
      </c>
      <c r="F3020">
        <v>10.0</v>
      </c>
      <c r="G3020" s="2" t="s">
        <v>67</v>
      </c>
      <c r="H3020" s="2">
        <v>31.0</v>
      </c>
      <c r="I3020" s="2">
        <v>141.0</v>
      </c>
      <c r="J3020" s="37">
        <v>879.56</v>
      </c>
      <c r="K3020" s="2">
        <v>36.0</v>
      </c>
      <c r="L3020" s="2">
        <v>243.0</v>
      </c>
      <c r="M3020" s="37">
        <v>1124.46</v>
      </c>
    </row>
    <row r="3021" ht="14.25" customHeight="1">
      <c r="A3021" t="s">
        <v>3079</v>
      </c>
      <c r="B3021" t="s">
        <v>3003</v>
      </c>
      <c r="C3021" t="s">
        <v>62</v>
      </c>
      <c r="D3021" t="s">
        <v>63</v>
      </c>
      <c r="E3021">
        <v>12.5</v>
      </c>
      <c r="F3021">
        <v>12.5</v>
      </c>
      <c r="G3021" s="2" t="s">
        <v>67</v>
      </c>
      <c r="H3021" s="2">
        <v>37.0</v>
      </c>
      <c r="I3021" s="2">
        <v>80.0</v>
      </c>
      <c r="J3021" s="37">
        <v>935.02</v>
      </c>
      <c r="K3021" s="2">
        <v>44.0</v>
      </c>
      <c r="L3021" s="2">
        <v>208.0</v>
      </c>
      <c r="M3021" s="37">
        <v>1258.64</v>
      </c>
    </row>
    <row r="3022" ht="14.25" customHeight="1">
      <c r="A3022" t="s">
        <v>3080</v>
      </c>
      <c r="B3022" t="s">
        <v>3003</v>
      </c>
      <c r="C3022" t="s">
        <v>62</v>
      </c>
      <c r="D3022" t="s">
        <v>63</v>
      </c>
      <c r="E3022">
        <v>12.5</v>
      </c>
      <c r="F3022">
        <v>12.5</v>
      </c>
      <c r="G3022" s="2" t="s">
        <v>67</v>
      </c>
      <c r="H3022" s="2">
        <v>37.0</v>
      </c>
      <c r="I3022" s="2">
        <v>80.0</v>
      </c>
      <c r="J3022" s="37">
        <v>935.02</v>
      </c>
      <c r="K3022" s="2">
        <v>44.0</v>
      </c>
      <c r="L3022" s="2">
        <v>208.0</v>
      </c>
      <c r="M3022" s="37">
        <v>1258.64</v>
      </c>
    </row>
    <row r="3023" ht="14.25" customHeight="1">
      <c r="A3023" t="s">
        <v>3081</v>
      </c>
      <c r="B3023" t="s">
        <v>3003</v>
      </c>
      <c r="C3023" t="s">
        <v>62</v>
      </c>
      <c r="D3023" t="s">
        <v>63</v>
      </c>
      <c r="E3023">
        <v>13.6</v>
      </c>
      <c r="F3023">
        <v>14.0</v>
      </c>
      <c r="G3023" s="2" t="s">
        <v>67</v>
      </c>
      <c r="H3023" s="2">
        <v>40.0</v>
      </c>
      <c r="I3023" s="2">
        <v>19.0</v>
      </c>
      <c r="J3023" s="37">
        <v>923.1000000000001</v>
      </c>
      <c r="K3023" s="2">
        <v>47.0</v>
      </c>
      <c r="L3023" s="2">
        <v>159.0</v>
      </c>
      <c r="M3023" s="37">
        <v>1262.3200000000002</v>
      </c>
    </row>
    <row r="3024" ht="14.25" customHeight="1">
      <c r="A3024" t="s">
        <v>3082</v>
      </c>
      <c r="B3024" t="s">
        <v>3003</v>
      </c>
      <c r="C3024" t="s">
        <v>62</v>
      </c>
      <c r="D3024" t="s">
        <v>63</v>
      </c>
      <c r="E3024">
        <v>13.6</v>
      </c>
      <c r="F3024">
        <v>14.0</v>
      </c>
      <c r="G3024" s="2" t="s">
        <v>67</v>
      </c>
      <c r="H3024" s="2">
        <v>40.0</v>
      </c>
      <c r="I3024" s="2">
        <v>19.0</v>
      </c>
      <c r="J3024" s="37">
        <v>923.1000000000001</v>
      </c>
      <c r="K3024" s="2">
        <v>47.0</v>
      </c>
      <c r="L3024" s="2">
        <v>159.0</v>
      </c>
      <c r="M3024" s="37">
        <v>1262.3200000000002</v>
      </c>
    </row>
    <row r="3025" ht="14.25" customHeight="1">
      <c r="A3025" t="s">
        <v>3083</v>
      </c>
      <c r="B3025" t="s">
        <v>3003</v>
      </c>
      <c r="C3025" t="s">
        <v>62</v>
      </c>
      <c r="D3025" t="s">
        <v>63</v>
      </c>
      <c r="E3025">
        <v>6.8</v>
      </c>
      <c r="F3025">
        <v>8.0</v>
      </c>
      <c r="G3025" s="2" t="s">
        <v>67</v>
      </c>
      <c r="H3025" s="2">
        <v>23.0</v>
      </c>
      <c r="I3025" s="2">
        <v>110.0</v>
      </c>
      <c r="J3025" s="37">
        <v>659.58</v>
      </c>
      <c r="K3025" s="2">
        <v>27.0</v>
      </c>
      <c r="L3025" s="2">
        <v>172.0</v>
      </c>
      <c r="M3025" s="37">
        <v>830.0200000000001</v>
      </c>
    </row>
    <row r="3026" ht="14.25" customHeight="1">
      <c r="A3026" t="s">
        <v>3084</v>
      </c>
      <c r="B3026" t="s">
        <v>3003</v>
      </c>
      <c r="C3026" t="s">
        <v>62</v>
      </c>
      <c r="D3026" t="s">
        <v>63</v>
      </c>
      <c r="E3026">
        <v>9.5</v>
      </c>
      <c r="F3026">
        <v>11.2</v>
      </c>
      <c r="G3026" s="2" t="s">
        <v>67</v>
      </c>
      <c r="H3026" s="2">
        <v>33.0</v>
      </c>
      <c r="I3026" s="2">
        <v>195.0</v>
      </c>
      <c r="J3026" s="37">
        <v>994.6800000000001</v>
      </c>
      <c r="K3026" s="2">
        <v>38.0</v>
      </c>
      <c r="L3026" s="2">
        <v>282.0</v>
      </c>
      <c r="M3026" s="37">
        <v>1220.08</v>
      </c>
    </row>
    <row r="3027" ht="14.25" customHeight="1">
      <c r="A3027" t="s">
        <v>3085</v>
      </c>
      <c r="B3027" t="s">
        <v>3003</v>
      </c>
      <c r="C3027" t="s">
        <v>62</v>
      </c>
      <c r="D3027" t="s">
        <v>63</v>
      </c>
      <c r="E3027">
        <v>9.5</v>
      </c>
      <c r="F3027">
        <v>11.2</v>
      </c>
      <c r="G3027" s="2" t="s">
        <v>67</v>
      </c>
      <c r="H3027" s="2">
        <v>33.0</v>
      </c>
      <c r="I3027" s="2">
        <v>195.0</v>
      </c>
      <c r="J3027" s="37">
        <v>994.6800000000001</v>
      </c>
      <c r="K3027" s="2">
        <v>38.0</v>
      </c>
      <c r="L3027" s="2">
        <v>282.0</v>
      </c>
      <c r="M3027" s="37">
        <v>1220.08</v>
      </c>
    </row>
    <row r="3028" ht="14.25" customHeight="1">
      <c r="A3028" t="s">
        <v>3086</v>
      </c>
      <c r="B3028" t="s">
        <v>3003</v>
      </c>
      <c r="C3028" t="s">
        <v>62</v>
      </c>
      <c r="D3028" t="s">
        <v>63</v>
      </c>
      <c r="E3028">
        <v>12.1</v>
      </c>
      <c r="F3028">
        <v>14.0</v>
      </c>
      <c r="G3028" s="2" t="s">
        <v>67</v>
      </c>
      <c r="H3028" s="2">
        <v>42.0</v>
      </c>
      <c r="I3028" s="2">
        <v>134.0</v>
      </c>
      <c r="J3028" s="37">
        <v>1117.52</v>
      </c>
      <c r="K3028" s="2">
        <v>49.0</v>
      </c>
      <c r="L3028" s="2">
        <v>258.0</v>
      </c>
      <c r="M3028" s="37">
        <v>1435.94</v>
      </c>
    </row>
    <row r="3029" ht="14.25" customHeight="1">
      <c r="A3029" t="s">
        <v>3087</v>
      </c>
      <c r="B3029" t="s">
        <v>3003</v>
      </c>
      <c r="C3029" t="s">
        <v>62</v>
      </c>
      <c r="D3029" t="s">
        <v>63</v>
      </c>
      <c r="E3029">
        <v>12.1</v>
      </c>
      <c r="F3029">
        <v>14.0</v>
      </c>
      <c r="G3029" s="2" t="s">
        <v>67</v>
      </c>
      <c r="H3029" s="2">
        <v>42.0</v>
      </c>
      <c r="I3029" s="2">
        <v>134.0</v>
      </c>
      <c r="J3029" s="37">
        <v>1117.52</v>
      </c>
      <c r="K3029" s="2">
        <v>49.0</v>
      </c>
      <c r="L3029" s="2">
        <v>258.0</v>
      </c>
      <c r="M3029" s="37">
        <v>1435.94</v>
      </c>
    </row>
    <row r="3030" ht="14.25" customHeight="1">
      <c r="A3030" t="s">
        <v>3088</v>
      </c>
      <c r="B3030" t="s">
        <v>3003</v>
      </c>
      <c r="C3030" t="s">
        <v>62</v>
      </c>
      <c r="D3030" t="s">
        <v>63</v>
      </c>
      <c r="E3030">
        <v>13.4</v>
      </c>
      <c r="F3030">
        <v>16.0</v>
      </c>
      <c r="G3030" s="2" t="s">
        <v>67</v>
      </c>
      <c r="H3030" s="2">
        <v>46.0</v>
      </c>
      <c r="I3030" s="2">
        <v>45.0</v>
      </c>
      <c r="J3030" s="37">
        <v>1091.66</v>
      </c>
      <c r="K3030" s="2">
        <v>53.0</v>
      </c>
      <c r="L3030" s="2">
        <v>182.0</v>
      </c>
      <c r="M3030" s="37">
        <v>1426.98</v>
      </c>
    </row>
    <row r="3031" ht="14.25" customHeight="1">
      <c r="A3031" t="s">
        <v>3089</v>
      </c>
      <c r="B3031" t="s">
        <v>3003</v>
      </c>
      <c r="C3031" t="s">
        <v>62</v>
      </c>
      <c r="D3031" t="s">
        <v>63</v>
      </c>
      <c r="E3031">
        <v>13.4</v>
      </c>
      <c r="F3031">
        <v>16.0</v>
      </c>
      <c r="G3031" s="2" t="s">
        <v>67</v>
      </c>
      <c r="H3031" s="2">
        <v>46.0</v>
      </c>
      <c r="I3031" s="2">
        <v>45.0</v>
      </c>
      <c r="J3031" s="37">
        <v>1091.66</v>
      </c>
      <c r="K3031" s="2">
        <v>53.0</v>
      </c>
      <c r="L3031" s="2">
        <v>182.0</v>
      </c>
      <c r="M3031" s="37">
        <v>1426.98</v>
      </c>
    </row>
    <row r="3032" ht="14.25" customHeight="1">
      <c r="A3032" t="s">
        <v>3090</v>
      </c>
      <c r="B3032" t="s">
        <v>3091</v>
      </c>
      <c r="C3032" t="s">
        <v>62</v>
      </c>
      <c r="D3032" t="s">
        <v>63</v>
      </c>
      <c r="E3032">
        <v>2.05</v>
      </c>
      <c r="F3032">
        <v>2.8</v>
      </c>
      <c r="G3032" s="2" t="s">
        <v>64</v>
      </c>
      <c r="H3032" s="2">
        <v>0.0</v>
      </c>
      <c r="I3032" s="2">
        <v>0.0</v>
      </c>
      <c r="J3032" s="37">
        <v>0.0</v>
      </c>
      <c r="K3032" s="2">
        <v>0.0</v>
      </c>
      <c r="L3032" s="2">
        <v>0.0</v>
      </c>
      <c r="M3032" s="37">
        <v>0.0</v>
      </c>
    </row>
    <row r="3033" ht="14.25" customHeight="1">
      <c r="A3033" t="s">
        <v>3092</v>
      </c>
      <c r="B3033" t="s">
        <v>3091</v>
      </c>
      <c r="C3033" t="s">
        <v>62</v>
      </c>
      <c r="D3033" t="s">
        <v>63</v>
      </c>
      <c r="E3033">
        <v>4.2</v>
      </c>
      <c r="F3033">
        <v>5.1</v>
      </c>
      <c r="G3033" s="2" t="s">
        <v>67</v>
      </c>
      <c r="H3033" s="2">
        <v>14.0</v>
      </c>
      <c r="I3033" s="2">
        <v>36.0</v>
      </c>
      <c r="J3033" s="37">
        <v>361.24</v>
      </c>
      <c r="K3033" s="2">
        <v>16.0</v>
      </c>
      <c r="L3033" s="2">
        <v>75.0</v>
      </c>
      <c r="M3033" s="37">
        <v>456.86</v>
      </c>
    </row>
    <row r="3034" ht="14.25" customHeight="1">
      <c r="A3034" t="s">
        <v>3093</v>
      </c>
      <c r="B3034" t="s">
        <v>3091</v>
      </c>
      <c r="C3034" t="s">
        <v>62</v>
      </c>
      <c r="D3034" t="s">
        <v>63</v>
      </c>
      <c r="E3034">
        <v>4.2</v>
      </c>
      <c r="F3034">
        <v>5.1</v>
      </c>
      <c r="G3034" s="2" t="s">
        <v>67</v>
      </c>
      <c r="H3034" s="2">
        <v>14.0</v>
      </c>
      <c r="I3034" s="2">
        <v>36.0</v>
      </c>
      <c r="J3034" s="37">
        <v>361.24</v>
      </c>
      <c r="K3034" s="2">
        <v>16.0</v>
      </c>
      <c r="L3034" s="2">
        <v>75.0</v>
      </c>
      <c r="M3034" s="37">
        <v>456.86</v>
      </c>
    </row>
    <row r="3035" ht="14.25" customHeight="1">
      <c r="A3035" t="s">
        <v>3094</v>
      </c>
      <c r="B3035" t="s">
        <v>3091</v>
      </c>
      <c r="C3035" t="s">
        <v>62</v>
      </c>
      <c r="D3035" t="s">
        <v>63</v>
      </c>
      <c r="E3035">
        <v>4.2</v>
      </c>
      <c r="F3035">
        <v>5.1</v>
      </c>
      <c r="G3035" s="2" t="s">
        <v>67</v>
      </c>
      <c r="H3035" s="2">
        <v>14.0</v>
      </c>
      <c r="I3035" s="2">
        <v>36.0</v>
      </c>
      <c r="J3035" s="37">
        <v>361.24</v>
      </c>
      <c r="K3035" s="2">
        <v>16.0</v>
      </c>
      <c r="L3035" s="2">
        <v>75.0</v>
      </c>
      <c r="M3035" s="37">
        <v>456.86</v>
      </c>
    </row>
    <row r="3036" ht="14.25" customHeight="1">
      <c r="A3036" t="s">
        <v>3095</v>
      </c>
      <c r="B3036" t="s">
        <v>3091</v>
      </c>
      <c r="C3036" t="s">
        <v>62</v>
      </c>
      <c r="D3036" t="s">
        <v>63</v>
      </c>
      <c r="E3036">
        <v>2.5</v>
      </c>
      <c r="F3036">
        <v>3.0</v>
      </c>
      <c r="G3036" s="2" t="s">
        <v>67</v>
      </c>
      <c r="H3036" s="2">
        <v>7.0</v>
      </c>
      <c r="I3036" s="2">
        <v>33.0</v>
      </c>
      <c r="J3036" s="37">
        <v>200.12</v>
      </c>
      <c r="K3036" s="2">
        <v>8.0</v>
      </c>
      <c r="L3036" s="2">
        <v>53.0</v>
      </c>
      <c r="M3036" s="37">
        <v>248.58</v>
      </c>
    </row>
    <row r="3037" ht="14.25" customHeight="1">
      <c r="A3037" t="s">
        <v>3096</v>
      </c>
      <c r="B3037" t="s">
        <v>3091</v>
      </c>
      <c r="C3037" t="s">
        <v>62</v>
      </c>
      <c r="D3037" t="s">
        <v>63</v>
      </c>
      <c r="E3037">
        <v>2.5</v>
      </c>
      <c r="F3037">
        <v>3.0</v>
      </c>
      <c r="G3037" s="2" t="s">
        <v>67</v>
      </c>
      <c r="H3037" s="2">
        <v>7.0</v>
      </c>
      <c r="I3037" s="2">
        <v>33.0</v>
      </c>
      <c r="J3037" s="37">
        <v>200.12</v>
      </c>
      <c r="K3037" s="2">
        <v>8.0</v>
      </c>
      <c r="L3037" s="2">
        <v>53.0</v>
      </c>
      <c r="M3037" s="37">
        <v>248.58</v>
      </c>
    </row>
    <row r="3038" ht="14.25" customHeight="1">
      <c r="A3038" t="s">
        <v>3097</v>
      </c>
      <c r="B3038" t="s">
        <v>3091</v>
      </c>
      <c r="C3038" t="s">
        <v>62</v>
      </c>
      <c r="D3038" t="s">
        <v>63</v>
      </c>
      <c r="E3038">
        <v>2.5</v>
      </c>
      <c r="F3038">
        <v>3.0</v>
      </c>
      <c r="G3038" s="2" t="s">
        <v>67</v>
      </c>
      <c r="H3038" s="2">
        <v>7.0</v>
      </c>
      <c r="I3038" s="2">
        <v>33.0</v>
      </c>
      <c r="J3038" s="37">
        <v>200.12</v>
      </c>
      <c r="K3038" s="2">
        <v>8.0</v>
      </c>
      <c r="L3038" s="2">
        <v>53.0</v>
      </c>
      <c r="M3038" s="37">
        <v>248.58</v>
      </c>
    </row>
    <row r="3039" ht="14.25" customHeight="1">
      <c r="A3039" t="s">
        <v>3098</v>
      </c>
      <c r="B3039" t="s">
        <v>3091</v>
      </c>
      <c r="C3039" t="s">
        <v>62</v>
      </c>
      <c r="D3039" t="s">
        <v>63</v>
      </c>
      <c r="E3039">
        <v>2.5</v>
      </c>
      <c r="F3039">
        <v>3.2</v>
      </c>
      <c r="G3039" s="2" t="s">
        <v>64</v>
      </c>
      <c r="H3039" s="2">
        <v>0.0</v>
      </c>
      <c r="I3039" s="2">
        <v>0.0</v>
      </c>
      <c r="J3039" s="37">
        <v>0.0</v>
      </c>
      <c r="K3039" s="2">
        <v>0.0</v>
      </c>
      <c r="L3039" s="2">
        <v>0.0</v>
      </c>
      <c r="M3039" s="37">
        <v>0.0</v>
      </c>
    </row>
    <row r="3040" ht="14.25" customHeight="1">
      <c r="A3040" t="s">
        <v>3099</v>
      </c>
      <c r="B3040" t="s">
        <v>3091</v>
      </c>
      <c r="C3040" t="s">
        <v>62</v>
      </c>
      <c r="D3040" t="s">
        <v>63</v>
      </c>
      <c r="E3040">
        <v>3.5</v>
      </c>
      <c r="F3040">
        <v>4.0</v>
      </c>
      <c r="G3040" s="2" t="s">
        <v>67</v>
      </c>
      <c r="H3040" s="2">
        <v>10.0</v>
      </c>
      <c r="I3040" s="2">
        <v>46.0</v>
      </c>
      <c r="J3040" s="37">
        <v>284.40000000000003</v>
      </c>
      <c r="K3040" s="2">
        <v>12.0</v>
      </c>
      <c r="L3040" s="2">
        <v>74.0</v>
      </c>
      <c r="M3040" s="37">
        <v>365.71999999999997</v>
      </c>
    </row>
    <row r="3041" ht="14.25" customHeight="1">
      <c r="A3041" t="s">
        <v>3100</v>
      </c>
      <c r="B3041" t="s">
        <v>3091</v>
      </c>
      <c r="C3041" t="s">
        <v>62</v>
      </c>
      <c r="D3041" t="s">
        <v>63</v>
      </c>
      <c r="E3041">
        <v>3.5</v>
      </c>
      <c r="F3041">
        <v>4.0</v>
      </c>
      <c r="G3041" s="2" t="s">
        <v>67</v>
      </c>
      <c r="H3041" s="2">
        <v>10.0</v>
      </c>
      <c r="I3041" s="2">
        <v>46.0</v>
      </c>
      <c r="J3041" s="37">
        <v>284.40000000000003</v>
      </c>
      <c r="K3041" s="2">
        <v>12.0</v>
      </c>
      <c r="L3041" s="2">
        <v>74.0</v>
      </c>
      <c r="M3041" s="37">
        <v>365.71999999999997</v>
      </c>
    </row>
    <row r="3042" ht="14.25" customHeight="1">
      <c r="A3042" t="s">
        <v>3101</v>
      </c>
      <c r="B3042" t="s">
        <v>3091</v>
      </c>
      <c r="C3042" t="s">
        <v>62</v>
      </c>
      <c r="D3042" t="s">
        <v>63</v>
      </c>
      <c r="E3042">
        <v>3.5</v>
      </c>
      <c r="F3042">
        <v>4.0</v>
      </c>
      <c r="G3042" s="2" t="s">
        <v>67</v>
      </c>
      <c r="H3042" s="2">
        <v>10.0</v>
      </c>
      <c r="I3042" s="2">
        <v>46.0</v>
      </c>
      <c r="J3042" s="37">
        <v>284.40000000000003</v>
      </c>
      <c r="K3042" s="2">
        <v>12.0</v>
      </c>
      <c r="L3042" s="2">
        <v>74.0</v>
      </c>
      <c r="M3042" s="37">
        <v>365.71999999999997</v>
      </c>
    </row>
    <row r="3043" ht="14.25" customHeight="1">
      <c r="A3043" t="s">
        <v>3102</v>
      </c>
      <c r="B3043" t="s">
        <v>3091</v>
      </c>
      <c r="C3043" t="s">
        <v>62</v>
      </c>
      <c r="D3043" t="s">
        <v>63</v>
      </c>
      <c r="E3043">
        <v>8.0</v>
      </c>
      <c r="F3043">
        <v>9.0</v>
      </c>
      <c r="G3043" s="2" t="s">
        <v>67</v>
      </c>
      <c r="H3043" s="2">
        <v>25.0</v>
      </c>
      <c r="I3043" s="2">
        <v>13.0</v>
      </c>
      <c r="J3043" s="37">
        <v>578.4</v>
      </c>
      <c r="K3043" s="2">
        <v>29.0</v>
      </c>
      <c r="L3043" s="2">
        <v>86.0</v>
      </c>
      <c r="M3043" s="37">
        <v>763.14</v>
      </c>
    </row>
    <row r="3044" ht="14.25" customHeight="1">
      <c r="A3044" t="s">
        <v>3103</v>
      </c>
      <c r="B3044" t="s">
        <v>3091</v>
      </c>
      <c r="C3044" t="s">
        <v>62</v>
      </c>
      <c r="D3044" t="s">
        <v>63</v>
      </c>
      <c r="E3044">
        <v>8.0</v>
      </c>
      <c r="F3044">
        <v>9.0</v>
      </c>
      <c r="G3044" s="2" t="s">
        <v>67</v>
      </c>
      <c r="H3044" s="2">
        <v>25.0</v>
      </c>
      <c r="I3044" s="2">
        <v>13.0</v>
      </c>
      <c r="J3044" s="37">
        <v>578.4</v>
      </c>
      <c r="K3044" s="2">
        <v>29.0</v>
      </c>
      <c r="L3044" s="2">
        <v>86.0</v>
      </c>
      <c r="M3044" s="37">
        <v>763.14</v>
      </c>
    </row>
    <row r="3045" ht="14.25" customHeight="1">
      <c r="A3045" t="s">
        <v>3104</v>
      </c>
      <c r="B3045" t="s">
        <v>3091</v>
      </c>
      <c r="C3045" t="s">
        <v>62</v>
      </c>
      <c r="D3045" t="s">
        <v>63</v>
      </c>
      <c r="E3045">
        <v>8.0</v>
      </c>
      <c r="F3045">
        <v>9.0</v>
      </c>
      <c r="G3045" s="2" t="s">
        <v>67</v>
      </c>
      <c r="H3045" s="2">
        <v>25.0</v>
      </c>
      <c r="I3045" s="2">
        <v>13.0</v>
      </c>
      <c r="J3045" s="37">
        <v>578.4</v>
      </c>
      <c r="K3045" s="2">
        <v>29.0</v>
      </c>
      <c r="L3045" s="2">
        <v>86.0</v>
      </c>
      <c r="M3045" s="37">
        <v>763.14</v>
      </c>
    </row>
    <row r="3046" ht="14.25" customHeight="1">
      <c r="A3046" t="s">
        <v>3105</v>
      </c>
      <c r="B3046" t="s">
        <v>3003</v>
      </c>
      <c r="C3046" t="s">
        <v>62</v>
      </c>
      <c r="D3046" t="s">
        <v>63</v>
      </c>
      <c r="E3046">
        <v>2.5</v>
      </c>
      <c r="F3046">
        <v>3.2</v>
      </c>
      <c r="G3046" s="2" t="s">
        <v>64</v>
      </c>
      <c r="H3046" s="2">
        <v>0.0</v>
      </c>
      <c r="I3046" s="2">
        <v>0.0</v>
      </c>
      <c r="J3046" s="37">
        <v>0.0</v>
      </c>
      <c r="K3046" s="2">
        <v>0.0</v>
      </c>
      <c r="L3046" s="2">
        <v>0.0</v>
      </c>
      <c r="M3046" s="37">
        <v>0.0</v>
      </c>
    </row>
    <row r="3047" ht="14.25" customHeight="1">
      <c r="A3047" t="s">
        <v>3106</v>
      </c>
      <c r="B3047" t="s">
        <v>3003</v>
      </c>
      <c r="C3047" t="s">
        <v>62</v>
      </c>
      <c r="D3047" t="s">
        <v>63</v>
      </c>
      <c r="E3047">
        <v>3.6</v>
      </c>
      <c r="F3047">
        <v>3.6</v>
      </c>
      <c r="G3047" s="2" t="s">
        <v>64</v>
      </c>
      <c r="H3047" s="2">
        <v>0.0</v>
      </c>
      <c r="I3047" s="2">
        <v>0.0</v>
      </c>
      <c r="J3047" s="37">
        <v>0.0</v>
      </c>
      <c r="K3047" s="2">
        <v>0.0</v>
      </c>
      <c r="L3047" s="2">
        <v>0.0</v>
      </c>
      <c r="M3047" s="37">
        <v>0.0</v>
      </c>
    </row>
    <row r="3048" ht="14.25" customHeight="1">
      <c r="A3048" t="s">
        <v>3107</v>
      </c>
      <c r="B3048" t="s">
        <v>3003</v>
      </c>
      <c r="C3048" t="s">
        <v>62</v>
      </c>
      <c r="D3048" t="s">
        <v>63</v>
      </c>
      <c r="E3048">
        <v>5.0</v>
      </c>
      <c r="F3048">
        <v>5.0</v>
      </c>
      <c r="G3048" s="2" t="s">
        <v>64</v>
      </c>
      <c r="H3048" s="2">
        <v>0.0</v>
      </c>
      <c r="I3048" s="2">
        <v>0.0</v>
      </c>
      <c r="J3048" s="37">
        <v>0.0</v>
      </c>
      <c r="K3048" s="2">
        <v>0.0</v>
      </c>
      <c r="L3048" s="2">
        <v>0.0</v>
      </c>
      <c r="M3048" s="37">
        <v>0.0</v>
      </c>
    </row>
    <row r="3049" ht="14.25" customHeight="1">
      <c r="A3049" t="s">
        <v>3108</v>
      </c>
      <c r="B3049" t="s">
        <v>3003</v>
      </c>
      <c r="C3049" t="s">
        <v>62</v>
      </c>
      <c r="D3049" t="s">
        <v>63</v>
      </c>
      <c r="E3049">
        <v>6.0</v>
      </c>
      <c r="F3049">
        <v>6.0</v>
      </c>
      <c r="G3049" s="2" t="s">
        <v>64</v>
      </c>
      <c r="H3049" s="2">
        <v>0.0</v>
      </c>
      <c r="I3049" s="2">
        <v>0.0</v>
      </c>
      <c r="J3049" s="37">
        <v>0.0</v>
      </c>
      <c r="K3049" s="2">
        <v>0.0</v>
      </c>
      <c r="L3049" s="2">
        <v>0.0</v>
      </c>
      <c r="M3049" s="37">
        <v>0.0</v>
      </c>
    </row>
    <row r="3050" ht="14.25" customHeight="1">
      <c r="A3050" t="s">
        <v>3109</v>
      </c>
      <c r="B3050" t="s">
        <v>3091</v>
      </c>
      <c r="C3050" t="s">
        <v>62</v>
      </c>
      <c r="D3050" t="s">
        <v>63</v>
      </c>
      <c r="E3050">
        <v>2.5</v>
      </c>
      <c r="F3050">
        <v>3.2</v>
      </c>
      <c r="G3050" s="2" t="s">
        <v>67</v>
      </c>
      <c r="H3050" s="2">
        <v>8.0</v>
      </c>
      <c r="I3050" s="2">
        <v>57.0</v>
      </c>
      <c r="J3050" s="37">
        <v>253.78000000000003</v>
      </c>
      <c r="K3050" s="2">
        <v>9.0</v>
      </c>
      <c r="L3050" s="2">
        <v>77.0</v>
      </c>
      <c r="M3050" s="37">
        <v>302.24</v>
      </c>
    </row>
    <row r="3051" ht="14.25" customHeight="1">
      <c r="A3051" t="s">
        <v>3110</v>
      </c>
      <c r="B3051" t="s">
        <v>3091</v>
      </c>
      <c r="C3051" t="s">
        <v>62</v>
      </c>
      <c r="D3051" t="s">
        <v>63</v>
      </c>
      <c r="E3051">
        <v>3.5</v>
      </c>
      <c r="F3051">
        <v>4.1</v>
      </c>
      <c r="G3051" s="2" t="s">
        <v>67</v>
      </c>
      <c r="H3051" s="2">
        <v>11.0</v>
      </c>
      <c r="I3051" s="2">
        <v>52.0</v>
      </c>
      <c r="J3051" s="37">
        <v>314.66</v>
      </c>
      <c r="K3051" s="2">
        <v>13.0</v>
      </c>
      <c r="L3051" s="2">
        <v>80.0</v>
      </c>
      <c r="M3051" s="37">
        <v>395.98</v>
      </c>
    </row>
    <row r="3052" ht="14.25" customHeight="1">
      <c r="A3052" t="s">
        <v>3111</v>
      </c>
      <c r="B3052" t="s">
        <v>3091</v>
      </c>
      <c r="C3052" t="s">
        <v>62</v>
      </c>
      <c r="D3052" t="s">
        <v>63</v>
      </c>
      <c r="E3052">
        <v>5.0</v>
      </c>
      <c r="F3052">
        <v>6.0</v>
      </c>
      <c r="G3052" s="2" t="s">
        <v>67</v>
      </c>
      <c r="H3052" s="2">
        <v>19.0</v>
      </c>
      <c r="I3052" s="2">
        <v>95.0</v>
      </c>
      <c r="J3052" s="37">
        <v>550.24</v>
      </c>
      <c r="K3052" s="2">
        <v>21.0</v>
      </c>
      <c r="L3052" s="2">
        <v>141.0</v>
      </c>
      <c r="M3052" s="37">
        <v>654.96</v>
      </c>
    </row>
    <row r="3053" ht="14.25" customHeight="1">
      <c r="A3053" t="s">
        <v>3112</v>
      </c>
      <c r="B3053" t="s">
        <v>3091</v>
      </c>
      <c r="C3053" t="s">
        <v>62</v>
      </c>
      <c r="D3053" t="s">
        <v>63</v>
      </c>
      <c r="E3053">
        <v>8.0</v>
      </c>
      <c r="F3053">
        <v>9.0</v>
      </c>
      <c r="G3053" s="2" t="s">
        <v>67</v>
      </c>
      <c r="H3053" s="2">
        <v>26.0</v>
      </c>
      <c r="I3053" s="2">
        <v>28.0</v>
      </c>
      <c r="J3053" s="37">
        <v>620.36</v>
      </c>
      <c r="K3053" s="2">
        <v>30.0</v>
      </c>
      <c r="L3053" s="2">
        <v>100.0</v>
      </c>
      <c r="M3053" s="37">
        <v>803.8000000000001</v>
      </c>
    </row>
    <row r="3054" ht="14.25" customHeight="1">
      <c r="A3054" t="s">
        <v>3113</v>
      </c>
      <c r="B3054" t="s">
        <v>3091</v>
      </c>
      <c r="C3054" t="s">
        <v>62</v>
      </c>
      <c r="D3054" t="s">
        <v>63</v>
      </c>
      <c r="E3054">
        <v>8.0</v>
      </c>
      <c r="F3054">
        <v>9.0</v>
      </c>
      <c r="G3054" s="2" t="s">
        <v>67</v>
      </c>
      <c r="H3054" s="2">
        <v>26.0</v>
      </c>
      <c r="I3054" s="2">
        <v>28.0</v>
      </c>
      <c r="J3054" s="37">
        <v>620.36</v>
      </c>
      <c r="K3054" s="2">
        <v>30.0</v>
      </c>
      <c r="L3054" s="2">
        <v>100.0</v>
      </c>
      <c r="M3054" s="37">
        <v>803.8000000000001</v>
      </c>
    </row>
    <row r="3055" ht="14.25" customHeight="1">
      <c r="A3055" t="s">
        <v>3114</v>
      </c>
      <c r="B3055" t="s">
        <v>3091</v>
      </c>
      <c r="C3055" t="s">
        <v>62</v>
      </c>
      <c r="D3055" t="s">
        <v>63</v>
      </c>
      <c r="E3055">
        <v>8.0</v>
      </c>
      <c r="F3055">
        <v>9.0</v>
      </c>
      <c r="G3055" s="2" t="s">
        <v>67</v>
      </c>
      <c r="H3055" s="2">
        <v>26.0</v>
      </c>
      <c r="I3055" s="2">
        <v>28.0</v>
      </c>
      <c r="J3055" s="37">
        <v>620.36</v>
      </c>
      <c r="K3055" s="2">
        <v>30.0</v>
      </c>
      <c r="L3055" s="2">
        <v>100.0</v>
      </c>
      <c r="M3055" s="37">
        <v>803.8000000000001</v>
      </c>
    </row>
    <row r="3056" ht="14.25" customHeight="1">
      <c r="A3056" t="s">
        <v>3115</v>
      </c>
      <c r="B3056" t="s">
        <v>3091</v>
      </c>
      <c r="C3056" t="s">
        <v>62</v>
      </c>
      <c r="D3056" t="s">
        <v>63</v>
      </c>
      <c r="E3056">
        <v>8.0</v>
      </c>
      <c r="F3056">
        <v>9.0</v>
      </c>
      <c r="G3056" s="2" t="s">
        <v>67</v>
      </c>
      <c r="H3056" s="2">
        <v>26.0</v>
      </c>
      <c r="I3056" s="2">
        <v>28.0</v>
      </c>
      <c r="J3056" s="37">
        <v>620.36</v>
      </c>
      <c r="K3056" s="2">
        <v>30.0</v>
      </c>
      <c r="L3056" s="2">
        <v>100.0</v>
      </c>
      <c r="M3056" s="37">
        <v>803.8000000000001</v>
      </c>
    </row>
    <row r="3057" ht="14.25" customHeight="1">
      <c r="A3057" t="s">
        <v>3116</v>
      </c>
      <c r="B3057" t="s">
        <v>3091</v>
      </c>
      <c r="C3057" t="s">
        <v>62</v>
      </c>
      <c r="D3057" t="s">
        <v>63</v>
      </c>
      <c r="E3057">
        <v>7.1</v>
      </c>
      <c r="F3057">
        <v>8.0</v>
      </c>
      <c r="G3057" s="2" t="s">
        <v>67</v>
      </c>
      <c r="H3057" s="2">
        <v>24.0</v>
      </c>
      <c r="I3057" s="2">
        <v>81.0</v>
      </c>
      <c r="J3057" s="37">
        <v>644.3399999999999</v>
      </c>
      <c r="K3057" s="2">
        <v>27.0</v>
      </c>
      <c r="L3057" s="2">
        <v>146.0</v>
      </c>
      <c r="M3057" s="37">
        <v>796.22</v>
      </c>
    </row>
    <row r="3058" ht="14.25" customHeight="1">
      <c r="A3058" t="s">
        <v>3117</v>
      </c>
      <c r="B3058" t="s">
        <v>3091</v>
      </c>
      <c r="C3058" t="s">
        <v>62</v>
      </c>
      <c r="D3058" t="s">
        <v>63</v>
      </c>
      <c r="E3058">
        <v>7.1</v>
      </c>
      <c r="F3058">
        <v>8.0</v>
      </c>
      <c r="G3058" s="2" t="s">
        <v>67</v>
      </c>
      <c r="H3058" s="2">
        <v>24.0</v>
      </c>
      <c r="I3058" s="2">
        <v>81.0</v>
      </c>
      <c r="J3058" s="37">
        <v>644.3399999999999</v>
      </c>
      <c r="K3058" s="2">
        <v>27.0</v>
      </c>
      <c r="L3058" s="2">
        <v>146.0</v>
      </c>
      <c r="M3058" s="37">
        <v>796.22</v>
      </c>
    </row>
    <row r="3059" ht="14.25" customHeight="1">
      <c r="A3059" t="s">
        <v>3118</v>
      </c>
      <c r="B3059" t="s">
        <v>3091</v>
      </c>
      <c r="C3059" t="s">
        <v>62</v>
      </c>
      <c r="D3059" t="s">
        <v>63</v>
      </c>
      <c r="E3059">
        <v>7.1</v>
      </c>
      <c r="F3059">
        <v>8.0</v>
      </c>
      <c r="G3059" s="2" t="s">
        <v>67</v>
      </c>
      <c r="H3059" s="2">
        <v>24.0</v>
      </c>
      <c r="I3059" s="2">
        <v>81.0</v>
      </c>
      <c r="J3059" s="37">
        <v>644.3399999999999</v>
      </c>
      <c r="K3059" s="2">
        <v>27.0</v>
      </c>
      <c r="L3059" s="2">
        <v>146.0</v>
      </c>
      <c r="M3059" s="37">
        <v>796.22</v>
      </c>
    </row>
    <row r="3060" ht="14.25" customHeight="1">
      <c r="A3060" t="s">
        <v>3119</v>
      </c>
      <c r="B3060" t="s">
        <v>3091</v>
      </c>
      <c r="C3060" t="s">
        <v>75</v>
      </c>
      <c r="D3060" t="s">
        <v>63</v>
      </c>
      <c r="E3060">
        <v>5.6</v>
      </c>
      <c r="F3060">
        <v>7.0</v>
      </c>
      <c r="G3060" s="2" t="s">
        <v>64</v>
      </c>
      <c r="H3060" s="2">
        <v>0.0</v>
      </c>
      <c r="I3060" s="2">
        <v>0.0</v>
      </c>
      <c r="J3060" s="37">
        <v>0.0</v>
      </c>
      <c r="K3060" s="2">
        <v>0.0</v>
      </c>
      <c r="L3060" s="2">
        <v>0.0</v>
      </c>
      <c r="M3060" s="37">
        <v>0.0</v>
      </c>
    </row>
    <row r="3061" ht="14.25" customHeight="1">
      <c r="A3061" t="s">
        <v>3120</v>
      </c>
      <c r="B3061" t="s">
        <v>3091</v>
      </c>
      <c r="C3061" t="s">
        <v>75</v>
      </c>
      <c r="D3061" t="s">
        <v>63</v>
      </c>
      <c r="E3061">
        <v>2.6</v>
      </c>
      <c r="F3061">
        <v>3.3</v>
      </c>
      <c r="G3061" s="2" t="s">
        <v>67</v>
      </c>
      <c r="H3061" s="2">
        <v>9.0</v>
      </c>
      <c r="I3061" s="2">
        <v>76.0</v>
      </c>
      <c r="J3061" s="37">
        <v>300.94</v>
      </c>
      <c r="K3061" s="2">
        <v>10.0</v>
      </c>
      <c r="L3061" s="2">
        <v>103.0</v>
      </c>
      <c r="M3061" s="37">
        <v>358.5</v>
      </c>
    </row>
    <row r="3062" ht="14.25" customHeight="1">
      <c r="A3062" t="s">
        <v>3121</v>
      </c>
      <c r="B3062" t="s">
        <v>3091</v>
      </c>
      <c r="C3062" t="s">
        <v>75</v>
      </c>
      <c r="D3062" t="s">
        <v>63</v>
      </c>
      <c r="E3062">
        <v>3.7</v>
      </c>
      <c r="F3062">
        <v>4.2</v>
      </c>
      <c r="G3062" s="2" t="s">
        <v>67</v>
      </c>
      <c r="H3062" s="2">
        <v>12.0</v>
      </c>
      <c r="I3062" s="2">
        <v>69.0</v>
      </c>
      <c r="J3062" s="37">
        <v>359.21999999999997</v>
      </c>
      <c r="K3062" s="2">
        <v>14.0</v>
      </c>
      <c r="L3062" s="2">
        <v>107.0</v>
      </c>
      <c r="M3062" s="37">
        <v>453.53999999999996</v>
      </c>
    </row>
    <row r="3063" ht="14.25" customHeight="1">
      <c r="A3063" t="s">
        <v>3122</v>
      </c>
      <c r="B3063" t="s">
        <v>3091</v>
      </c>
      <c r="C3063" t="s">
        <v>75</v>
      </c>
      <c r="D3063" t="s">
        <v>63</v>
      </c>
      <c r="E3063">
        <v>5.0</v>
      </c>
      <c r="F3063">
        <v>6.1</v>
      </c>
      <c r="G3063" s="2" t="s">
        <v>67</v>
      </c>
      <c r="H3063" s="2">
        <v>17.0</v>
      </c>
      <c r="I3063" s="2">
        <v>63.0</v>
      </c>
      <c r="J3063" s="37">
        <v>463.72</v>
      </c>
      <c r="K3063" s="2">
        <v>20.0</v>
      </c>
      <c r="L3063" s="2">
        <v>114.0</v>
      </c>
      <c r="M3063" s="37">
        <v>597.4000000000001</v>
      </c>
    </row>
    <row r="3064" ht="14.25" customHeight="1">
      <c r="A3064" t="s">
        <v>3123</v>
      </c>
      <c r="B3064" t="s">
        <v>3091</v>
      </c>
      <c r="C3064" t="s">
        <v>75</v>
      </c>
      <c r="D3064" t="s">
        <v>63</v>
      </c>
      <c r="E3064">
        <v>16.0</v>
      </c>
      <c r="F3064">
        <v>18.0</v>
      </c>
      <c r="G3064" s="2" t="s">
        <v>67</v>
      </c>
      <c r="H3064" s="2">
        <v>47.0</v>
      </c>
      <c r="I3064" s="2">
        <v>89.0</v>
      </c>
      <c r="J3064" s="37">
        <v>1171.3200000000002</v>
      </c>
      <c r="K3064" s="2">
        <v>56.0</v>
      </c>
      <c r="L3064" s="2">
        <v>253.0</v>
      </c>
      <c r="M3064" s="37">
        <v>1586.66</v>
      </c>
    </row>
    <row r="3065" ht="14.25" customHeight="1">
      <c r="A3065" t="s">
        <v>3124</v>
      </c>
      <c r="B3065" t="s">
        <v>3091</v>
      </c>
      <c r="C3065" t="s">
        <v>75</v>
      </c>
      <c r="D3065" t="s">
        <v>63</v>
      </c>
      <c r="E3065">
        <v>16.0</v>
      </c>
      <c r="F3065">
        <v>18.0</v>
      </c>
      <c r="G3065" s="2" t="s">
        <v>67</v>
      </c>
      <c r="H3065" s="2">
        <v>47.0</v>
      </c>
      <c r="I3065" s="2">
        <v>89.0</v>
      </c>
      <c r="J3065" s="37">
        <v>1171.3200000000002</v>
      </c>
      <c r="K3065" s="2">
        <v>56.0</v>
      </c>
      <c r="L3065" s="2">
        <v>253.0</v>
      </c>
      <c r="M3065" s="37">
        <v>1586.66</v>
      </c>
    </row>
    <row r="3066" ht="14.25" customHeight="1">
      <c r="A3066" t="s">
        <v>3125</v>
      </c>
      <c r="B3066" t="s">
        <v>3091</v>
      </c>
      <c r="C3066" t="s">
        <v>75</v>
      </c>
      <c r="D3066" t="s">
        <v>63</v>
      </c>
      <c r="E3066">
        <v>22.4</v>
      </c>
      <c r="F3066">
        <v>25.0</v>
      </c>
      <c r="G3066" s="2" t="s">
        <v>64</v>
      </c>
      <c r="H3066" s="2">
        <v>0.0</v>
      </c>
      <c r="I3066" s="2">
        <v>0.0</v>
      </c>
      <c r="J3066" s="37">
        <v>0.0</v>
      </c>
      <c r="K3066" s="2">
        <v>0.0</v>
      </c>
      <c r="L3066" s="2">
        <v>0.0</v>
      </c>
      <c r="M3066" s="37">
        <v>0.0</v>
      </c>
    </row>
    <row r="3067" ht="14.25" customHeight="1">
      <c r="A3067" t="s">
        <v>3126</v>
      </c>
      <c r="B3067" t="s">
        <v>3091</v>
      </c>
      <c r="C3067" t="s">
        <v>75</v>
      </c>
      <c r="D3067" t="s">
        <v>63</v>
      </c>
      <c r="E3067">
        <v>18.0</v>
      </c>
      <c r="F3067">
        <v>20.0</v>
      </c>
      <c r="G3067" s="2" t="s">
        <v>67</v>
      </c>
      <c r="H3067" s="2">
        <v>56.0</v>
      </c>
      <c r="I3067" s="2">
        <v>52.0</v>
      </c>
      <c r="J3067" s="37">
        <v>1325.36</v>
      </c>
      <c r="K3067" s="2">
        <v>66.0</v>
      </c>
      <c r="L3067" s="2">
        <v>236.0</v>
      </c>
      <c r="M3067" s="37">
        <v>1789.16</v>
      </c>
    </row>
    <row r="3068" ht="14.25" customHeight="1">
      <c r="A3068" t="s">
        <v>3127</v>
      </c>
      <c r="B3068" t="s">
        <v>3091</v>
      </c>
      <c r="C3068" t="s">
        <v>75</v>
      </c>
      <c r="D3068" t="s">
        <v>63</v>
      </c>
      <c r="E3068">
        <v>18.0</v>
      </c>
      <c r="F3068">
        <v>20.0</v>
      </c>
      <c r="G3068" s="2" t="s">
        <v>67</v>
      </c>
      <c r="H3068" s="2">
        <v>56.0</v>
      </c>
      <c r="I3068" s="2">
        <v>52.0</v>
      </c>
      <c r="J3068" s="37">
        <v>1325.36</v>
      </c>
      <c r="K3068" s="2">
        <v>66.0</v>
      </c>
      <c r="L3068" s="2">
        <v>236.0</v>
      </c>
      <c r="M3068" s="37">
        <v>1789.16</v>
      </c>
    </row>
    <row r="3069" ht="14.25" customHeight="1">
      <c r="A3069" t="s">
        <v>3128</v>
      </c>
      <c r="B3069" t="s">
        <v>3091</v>
      </c>
      <c r="C3069" t="s">
        <v>75</v>
      </c>
      <c r="D3069" t="s">
        <v>63</v>
      </c>
      <c r="E3069">
        <v>20.0</v>
      </c>
      <c r="F3069">
        <v>22.4</v>
      </c>
      <c r="G3069" s="2" t="s">
        <v>67</v>
      </c>
      <c r="H3069" s="2">
        <v>59.0</v>
      </c>
      <c r="I3069" s="2">
        <v>133.0</v>
      </c>
      <c r="J3069" s="37">
        <v>1498.0400000000002</v>
      </c>
      <c r="K3069" s="2">
        <v>69.0</v>
      </c>
      <c r="L3069" s="2">
        <v>338.0</v>
      </c>
      <c r="M3069" s="37">
        <v>1989.14</v>
      </c>
    </row>
    <row r="3070" ht="14.25" customHeight="1">
      <c r="A3070" t="s">
        <v>3017</v>
      </c>
      <c r="B3070" t="s">
        <v>3003</v>
      </c>
      <c r="C3070" t="s">
        <v>75</v>
      </c>
      <c r="D3070" t="s">
        <v>63</v>
      </c>
      <c r="E3070">
        <v>18.0</v>
      </c>
      <c r="F3070">
        <v>20.0</v>
      </c>
      <c r="G3070" s="2" t="s">
        <v>64</v>
      </c>
      <c r="H3070" s="2">
        <v>0.0</v>
      </c>
      <c r="I3070" s="2">
        <v>0.0</v>
      </c>
      <c r="J3070" s="37">
        <v>0.0</v>
      </c>
      <c r="K3070" s="2">
        <v>0.0</v>
      </c>
      <c r="L3070" s="2">
        <v>0.0</v>
      </c>
      <c r="M3070" s="37">
        <v>0.0</v>
      </c>
    </row>
    <row r="3071" ht="14.25" customHeight="1">
      <c r="A3071" t="s">
        <v>3018</v>
      </c>
      <c r="B3071" t="s">
        <v>3003</v>
      </c>
      <c r="C3071" t="s">
        <v>75</v>
      </c>
      <c r="D3071" t="s">
        <v>63</v>
      </c>
      <c r="E3071">
        <v>20.0</v>
      </c>
      <c r="F3071">
        <v>22.4</v>
      </c>
      <c r="G3071" s="2" t="s">
        <v>64</v>
      </c>
      <c r="H3071" s="2">
        <v>0.0</v>
      </c>
      <c r="I3071" s="2">
        <v>0.0</v>
      </c>
      <c r="J3071" s="37">
        <v>0.0</v>
      </c>
      <c r="K3071" s="2">
        <v>0.0</v>
      </c>
      <c r="L3071" s="2">
        <v>0.0</v>
      </c>
      <c r="M3071" s="37">
        <v>0.0</v>
      </c>
    </row>
    <row r="3072" ht="14.25" customHeight="1">
      <c r="A3072" t="s">
        <v>3019</v>
      </c>
      <c r="B3072" t="s">
        <v>3003</v>
      </c>
      <c r="C3072" t="s">
        <v>75</v>
      </c>
      <c r="D3072" t="s">
        <v>63</v>
      </c>
      <c r="E3072">
        <v>22.4</v>
      </c>
      <c r="F3072">
        <v>25.0</v>
      </c>
      <c r="G3072" s="2" t="s">
        <v>64</v>
      </c>
      <c r="H3072" s="2">
        <v>0.0</v>
      </c>
      <c r="I3072" s="2">
        <v>0.0</v>
      </c>
      <c r="J3072" s="37">
        <v>0.0</v>
      </c>
      <c r="K3072" s="2">
        <v>0.0</v>
      </c>
      <c r="L3072" s="2">
        <v>0.0</v>
      </c>
      <c r="M3072" s="37">
        <v>0.0</v>
      </c>
    </row>
    <row r="3073" ht="14.25" customHeight="1">
      <c r="A3073" t="s">
        <v>3129</v>
      </c>
      <c r="B3073" t="s">
        <v>3003</v>
      </c>
      <c r="C3073" t="s">
        <v>75</v>
      </c>
      <c r="D3073" t="s">
        <v>63</v>
      </c>
      <c r="E3073">
        <v>18.0</v>
      </c>
      <c r="F3073">
        <v>20.0</v>
      </c>
      <c r="G3073" s="2" t="s">
        <v>64</v>
      </c>
      <c r="H3073" s="2">
        <v>0.0</v>
      </c>
      <c r="I3073" s="2">
        <v>0.0</v>
      </c>
      <c r="J3073" s="37">
        <v>0.0</v>
      </c>
      <c r="K3073" s="2">
        <v>0.0</v>
      </c>
      <c r="L3073" s="2">
        <v>0.0</v>
      </c>
      <c r="M3073" s="37">
        <v>0.0</v>
      </c>
    </row>
    <row r="3074" ht="14.25" customHeight="1">
      <c r="A3074" t="s">
        <v>3130</v>
      </c>
      <c r="B3074" t="s">
        <v>3003</v>
      </c>
      <c r="C3074" t="s">
        <v>75</v>
      </c>
      <c r="D3074" t="s">
        <v>63</v>
      </c>
      <c r="E3074">
        <v>20.0</v>
      </c>
      <c r="F3074">
        <v>22.4</v>
      </c>
      <c r="G3074" s="2" t="s">
        <v>64</v>
      </c>
      <c r="H3074" s="2">
        <v>0.0</v>
      </c>
      <c r="I3074" s="2">
        <v>0.0</v>
      </c>
      <c r="J3074" s="37">
        <v>0.0</v>
      </c>
      <c r="K3074" s="2">
        <v>0.0</v>
      </c>
      <c r="L3074" s="2">
        <v>0.0</v>
      </c>
      <c r="M3074" s="37">
        <v>0.0</v>
      </c>
    </row>
    <row r="3075" ht="14.25" customHeight="1">
      <c r="A3075" t="s">
        <v>3131</v>
      </c>
      <c r="B3075" t="s">
        <v>3003</v>
      </c>
      <c r="C3075" t="s">
        <v>75</v>
      </c>
      <c r="D3075" t="s">
        <v>63</v>
      </c>
      <c r="E3075">
        <v>22.4</v>
      </c>
      <c r="F3075">
        <v>25.0</v>
      </c>
      <c r="G3075" s="2" t="s">
        <v>64</v>
      </c>
      <c r="H3075" s="2">
        <v>0.0</v>
      </c>
      <c r="I3075" s="2">
        <v>0.0</v>
      </c>
      <c r="J3075" s="37">
        <v>0.0</v>
      </c>
      <c r="K3075" s="2">
        <v>0.0</v>
      </c>
      <c r="L3075" s="2">
        <v>0.0</v>
      </c>
      <c r="M3075" s="37">
        <v>0.0</v>
      </c>
    </row>
    <row r="3076" ht="14.25" customHeight="1">
      <c r="A3076" t="s">
        <v>3132</v>
      </c>
      <c r="B3076" t="s">
        <v>3091</v>
      </c>
      <c r="C3076" t="s">
        <v>62</v>
      </c>
      <c r="D3076" t="s">
        <v>63</v>
      </c>
      <c r="E3076">
        <v>5.0</v>
      </c>
      <c r="F3076">
        <v>6.0</v>
      </c>
      <c r="G3076" s="2" t="s">
        <v>67</v>
      </c>
      <c r="H3076" s="2">
        <v>16.0</v>
      </c>
      <c r="I3076" s="2">
        <v>12.0</v>
      </c>
      <c r="J3076" s="37">
        <v>374.96000000000004</v>
      </c>
      <c r="K3076" s="2">
        <v>18.0</v>
      </c>
      <c r="L3076" s="2">
        <v>58.0</v>
      </c>
      <c r="M3076" s="37">
        <v>479.68000000000006</v>
      </c>
    </row>
    <row r="3077" ht="14.25" customHeight="1">
      <c r="A3077" t="s">
        <v>3133</v>
      </c>
      <c r="B3077" t="s">
        <v>3091</v>
      </c>
      <c r="C3077" t="s">
        <v>62</v>
      </c>
      <c r="D3077" t="s">
        <v>63</v>
      </c>
      <c r="E3077">
        <v>5.0</v>
      </c>
      <c r="F3077">
        <v>6.0</v>
      </c>
      <c r="G3077" s="2" t="s">
        <v>67</v>
      </c>
      <c r="H3077" s="2">
        <v>16.0</v>
      </c>
      <c r="I3077" s="2">
        <v>12.0</v>
      </c>
      <c r="J3077" s="37">
        <v>374.96000000000004</v>
      </c>
      <c r="K3077" s="2">
        <v>18.0</v>
      </c>
      <c r="L3077" s="2">
        <v>58.0</v>
      </c>
      <c r="M3077" s="37">
        <v>479.68000000000006</v>
      </c>
    </row>
    <row r="3078" ht="14.25" customHeight="1">
      <c r="A3078" t="s">
        <v>3134</v>
      </c>
      <c r="B3078" t="s">
        <v>3091</v>
      </c>
      <c r="C3078" t="s">
        <v>62</v>
      </c>
      <c r="D3078" t="s">
        <v>63</v>
      </c>
      <c r="E3078">
        <v>5.0</v>
      </c>
      <c r="F3078">
        <v>6.0</v>
      </c>
      <c r="G3078" s="2" t="s">
        <v>67</v>
      </c>
      <c r="H3078" s="2">
        <v>16.0</v>
      </c>
      <c r="I3078" s="2">
        <v>12.0</v>
      </c>
      <c r="J3078" s="37">
        <v>374.96000000000004</v>
      </c>
      <c r="K3078" s="2">
        <v>18.0</v>
      </c>
      <c r="L3078" s="2">
        <v>58.0</v>
      </c>
      <c r="M3078" s="37">
        <v>479.68000000000006</v>
      </c>
    </row>
    <row r="3079" ht="14.25" customHeight="1">
      <c r="A3079" t="s">
        <v>3135</v>
      </c>
      <c r="B3079" t="s">
        <v>3091</v>
      </c>
      <c r="C3079" t="s">
        <v>62</v>
      </c>
      <c r="D3079" t="s">
        <v>63</v>
      </c>
      <c r="E3079">
        <v>5.0</v>
      </c>
      <c r="F3079">
        <v>6.0</v>
      </c>
      <c r="G3079" s="2" t="s">
        <v>67</v>
      </c>
      <c r="H3079" s="2">
        <v>16.0</v>
      </c>
      <c r="I3079" s="2">
        <v>12.0</v>
      </c>
      <c r="J3079" s="37">
        <v>374.96000000000004</v>
      </c>
      <c r="K3079" s="2">
        <v>18.0</v>
      </c>
      <c r="L3079" s="2">
        <v>58.0</v>
      </c>
      <c r="M3079" s="37">
        <v>479.68000000000006</v>
      </c>
    </row>
    <row r="3080" ht="14.25" customHeight="1">
      <c r="A3080" t="s">
        <v>3136</v>
      </c>
      <c r="B3080" t="s">
        <v>3091</v>
      </c>
      <c r="C3080" t="s">
        <v>62</v>
      </c>
      <c r="D3080" t="s">
        <v>63</v>
      </c>
      <c r="E3080">
        <v>5.0</v>
      </c>
      <c r="F3080">
        <v>6.0</v>
      </c>
      <c r="G3080" s="2" t="s">
        <v>67</v>
      </c>
      <c r="H3080" s="2">
        <v>16.0</v>
      </c>
      <c r="I3080" s="2">
        <v>12.0</v>
      </c>
      <c r="J3080" s="37">
        <v>374.96000000000004</v>
      </c>
      <c r="K3080" s="2">
        <v>18.0</v>
      </c>
      <c r="L3080" s="2">
        <v>58.0</v>
      </c>
      <c r="M3080" s="37">
        <v>479.68000000000006</v>
      </c>
    </row>
    <row r="3081" ht="14.25" customHeight="1">
      <c r="A3081" t="s">
        <v>3137</v>
      </c>
      <c r="B3081" t="s">
        <v>3091</v>
      </c>
      <c r="C3081" t="s">
        <v>62</v>
      </c>
      <c r="D3081" t="s">
        <v>63</v>
      </c>
      <c r="E3081">
        <v>6.0</v>
      </c>
      <c r="F3081">
        <v>7.2</v>
      </c>
      <c r="G3081" s="2" t="s">
        <v>67</v>
      </c>
      <c r="H3081" s="2">
        <v>20.0</v>
      </c>
      <c r="I3081" s="2">
        <v>57.0</v>
      </c>
      <c r="J3081" s="37">
        <v>523.3000000000001</v>
      </c>
      <c r="K3081" s="2">
        <v>23.0</v>
      </c>
      <c r="L3081" s="2">
        <v>112.0</v>
      </c>
      <c r="M3081" s="37">
        <v>662.1800000000001</v>
      </c>
    </row>
    <row r="3082" ht="14.25" customHeight="1">
      <c r="A3082" t="s">
        <v>3138</v>
      </c>
      <c r="B3082" t="s">
        <v>3091</v>
      </c>
      <c r="C3082" t="s">
        <v>62</v>
      </c>
      <c r="D3082" t="s">
        <v>63</v>
      </c>
      <c r="E3082">
        <v>6.0</v>
      </c>
      <c r="F3082">
        <v>7.2</v>
      </c>
      <c r="G3082" s="2" t="s">
        <v>67</v>
      </c>
      <c r="H3082" s="2">
        <v>20.0</v>
      </c>
      <c r="I3082" s="2">
        <v>57.0</v>
      </c>
      <c r="J3082" s="37">
        <v>523.3000000000001</v>
      </c>
      <c r="K3082" s="2">
        <v>23.0</v>
      </c>
      <c r="L3082" s="2">
        <v>112.0</v>
      </c>
      <c r="M3082" s="37">
        <v>662.1800000000001</v>
      </c>
    </row>
    <row r="3083" ht="14.25" customHeight="1">
      <c r="A3083" t="s">
        <v>3139</v>
      </c>
      <c r="B3083" t="s">
        <v>3091</v>
      </c>
      <c r="C3083" t="s">
        <v>62</v>
      </c>
      <c r="D3083" t="s">
        <v>63</v>
      </c>
      <c r="E3083">
        <v>6.0</v>
      </c>
      <c r="F3083">
        <v>7.2</v>
      </c>
      <c r="G3083" s="2" t="s">
        <v>67</v>
      </c>
      <c r="H3083" s="2">
        <v>20.0</v>
      </c>
      <c r="I3083" s="2">
        <v>57.0</v>
      </c>
      <c r="J3083" s="37">
        <v>523.3000000000001</v>
      </c>
      <c r="K3083" s="2">
        <v>23.0</v>
      </c>
      <c r="L3083" s="2">
        <v>112.0</v>
      </c>
      <c r="M3083" s="37">
        <v>662.1800000000001</v>
      </c>
    </row>
    <row r="3084" ht="14.25" customHeight="1">
      <c r="A3084" t="s">
        <v>3140</v>
      </c>
      <c r="B3084" t="s">
        <v>3091</v>
      </c>
      <c r="C3084" t="s">
        <v>62</v>
      </c>
      <c r="D3084" t="s">
        <v>63</v>
      </c>
      <c r="E3084">
        <v>5.0</v>
      </c>
      <c r="F3084">
        <v>6.0</v>
      </c>
      <c r="G3084" s="2" t="s">
        <v>67</v>
      </c>
      <c r="H3084" s="2">
        <v>18.0</v>
      </c>
      <c r="I3084" s="2">
        <v>71.0</v>
      </c>
      <c r="J3084" s="37">
        <v>496.58000000000004</v>
      </c>
      <c r="K3084" s="2">
        <v>20.0</v>
      </c>
      <c r="L3084" s="2">
        <v>117.0</v>
      </c>
      <c r="M3084" s="37">
        <v>601.3000000000001</v>
      </c>
    </row>
    <row r="3085" ht="14.25" customHeight="1">
      <c r="A3085" t="s">
        <v>3141</v>
      </c>
      <c r="B3085" t="s">
        <v>3091</v>
      </c>
      <c r="C3085" t="s">
        <v>62</v>
      </c>
      <c r="D3085" t="s">
        <v>63</v>
      </c>
      <c r="E3085">
        <v>5.0</v>
      </c>
      <c r="F3085">
        <v>6.0</v>
      </c>
      <c r="G3085" s="2" t="s">
        <v>67</v>
      </c>
      <c r="H3085" s="2">
        <v>18.0</v>
      </c>
      <c r="I3085" s="2">
        <v>71.0</v>
      </c>
      <c r="J3085" s="37">
        <v>496.58000000000004</v>
      </c>
      <c r="K3085" s="2">
        <v>20.0</v>
      </c>
      <c r="L3085" s="2">
        <v>117.0</v>
      </c>
      <c r="M3085" s="37">
        <v>601.3000000000001</v>
      </c>
    </row>
    <row r="3086" ht="14.25" customHeight="1">
      <c r="A3086" t="s">
        <v>3142</v>
      </c>
      <c r="B3086" t="s">
        <v>3091</v>
      </c>
      <c r="C3086" t="s">
        <v>62</v>
      </c>
      <c r="D3086" t="s">
        <v>63</v>
      </c>
      <c r="E3086">
        <v>5.0</v>
      </c>
      <c r="F3086">
        <v>6.0</v>
      </c>
      <c r="G3086" s="2" t="s">
        <v>67</v>
      </c>
      <c r="H3086" s="2">
        <v>18.0</v>
      </c>
      <c r="I3086" s="2">
        <v>71.0</v>
      </c>
      <c r="J3086" s="37">
        <v>496.58000000000004</v>
      </c>
      <c r="K3086" s="2">
        <v>20.0</v>
      </c>
      <c r="L3086" s="2">
        <v>117.0</v>
      </c>
      <c r="M3086" s="37">
        <v>601.3000000000001</v>
      </c>
    </row>
    <row r="3087" ht="14.25" customHeight="1">
      <c r="A3087" t="s">
        <v>3143</v>
      </c>
      <c r="B3087" t="s">
        <v>3091</v>
      </c>
      <c r="C3087" t="s">
        <v>62</v>
      </c>
      <c r="D3087" t="s">
        <v>63</v>
      </c>
      <c r="E3087">
        <v>6.0</v>
      </c>
      <c r="F3087">
        <v>6.5</v>
      </c>
      <c r="G3087" s="2" t="s">
        <v>67</v>
      </c>
      <c r="H3087" s="2">
        <v>19.0</v>
      </c>
      <c r="I3087" s="2">
        <v>3.0</v>
      </c>
      <c r="J3087" s="37">
        <v>430.64</v>
      </c>
      <c r="K3087" s="2">
        <v>22.0</v>
      </c>
      <c r="L3087" s="2">
        <v>58.0</v>
      </c>
      <c r="M3087" s="37">
        <v>569.52</v>
      </c>
    </row>
    <row r="3088" ht="14.25" customHeight="1">
      <c r="A3088" t="s">
        <v>3144</v>
      </c>
      <c r="B3088" t="s">
        <v>3091</v>
      </c>
      <c r="C3088" t="s">
        <v>62</v>
      </c>
      <c r="D3088" t="s">
        <v>63</v>
      </c>
      <c r="E3088">
        <v>6.0</v>
      </c>
      <c r="F3088">
        <v>6.5</v>
      </c>
      <c r="G3088" s="2" t="s">
        <v>67</v>
      </c>
      <c r="H3088" s="2">
        <v>19.0</v>
      </c>
      <c r="I3088" s="2">
        <v>3.0</v>
      </c>
      <c r="J3088" s="37">
        <v>430.64</v>
      </c>
      <c r="K3088" s="2">
        <v>22.0</v>
      </c>
      <c r="L3088" s="2">
        <v>58.0</v>
      </c>
      <c r="M3088" s="37">
        <v>569.52</v>
      </c>
    </row>
    <row r="3089" ht="14.25" customHeight="1">
      <c r="A3089" t="s">
        <v>3145</v>
      </c>
      <c r="B3089" t="s">
        <v>3091</v>
      </c>
      <c r="C3089" t="s">
        <v>62</v>
      </c>
      <c r="D3089" t="s">
        <v>63</v>
      </c>
      <c r="E3089">
        <v>6.0</v>
      </c>
      <c r="F3089">
        <v>6.5</v>
      </c>
      <c r="G3089" s="2" t="s">
        <v>67</v>
      </c>
      <c r="H3089" s="2">
        <v>19.0</v>
      </c>
      <c r="I3089" s="2">
        <v>3.0</v>
      </c>
      <c r="J3089" s="37">
        <v>430.64</v>
      </c>
      <c r="K3089" s="2">
        <v>22.0</v>
      </c>
      <c r="L3089" s="2">
        <v>58.0</v>
      </c>
      <c r="M3089" s="37">
        <v>569.52</v>
      </c>
    </row>
    <row r="3090" ht="14.25" customHeight="1">
      <c r="A3090" t="s">
        <v>3146</v>
      </c>
      <c r="B3090" t="s">
        <v>3091</v>
      </c>
      <c r="C3090" t="s">
        <v>62</v>
      </c>
      <c r="D3090" t="s">
        <v>63</v>
      </c>
      <c r="E3090">
        <v>6.0</v>
      </c>
      <c r="F3090">
        <v>6.5</v>
      </c>
      <c r="G3090" s="2" t="s">
        <v>67</v>
      </c>
      <c r="H3090" s="2">
        <v>19.0</v>
      </c>
      <c r="I3090" s="2">
        <v>3.0</v>
      </c>
      <c r="J3090" s="37">
        <v>430.64</v>
      </c>
      <c r="K3090" s="2">
        <v>22.0</v>
      </c>
      <c r="L3090" s="2">
        <v>58.0</v>
      </c>
      <c r="M3090" s="37">
        <v>569.52</v>
      </c>
    </row>
    <row r="3091" ht="14.25" customHeight="1">
      <c r="A3091" t="s">
        <v>3147</v>
      </c>
      <c r="B3091" t="s">
        <v>3091</v>
      </c>
      <c r="C3091" t="s">
        <v>62</v>
      </c>
      <c r="D3091" t="s">
        <v>63</v>
      </c>
      <c r="E3091">
        <v>6.0</v>
      </c>
      <c r="F3091">
        <v>6.5</v>
      </c>
      <c r="G3091" s="2" t="s">
        <v>67</v>
      </c>
      <c r="H3091" s="2">
        <v>19.0</v>
      </c>
      <c r="I3091" s="2">
        <v>3.0</v>
      </c>
      <c r="J3091" s="37">
        <v>430.64</v>
      </c>
      <c r="K3091" s="2">
        <v>22.0</v>
      </c>
      <c r="L3091" s="2">
        <v>58.0</v>
      </c>
      <c r="M3091" s="37">
        <v>569.52</v>
      </c>
    </row>
    <row r="3092" ht="14.25" customHeight="1">
      <c r="A3092" t="s">
        <v>3148</v>
      </c>
      <c r="B3092" t="s">
        <v>3091</v>
      </c>
      <c r="C3092" t="s">
        <v>62</v>
      </c>
      <c r="D3092" t="s">
        <v>63</v>
      </c>
      <c r="E3092">
        <v>7.1</v>
      </c>
      <c r="F3092">
        <v>8.0</v>
      </c>
      <c r="G3092" s="2" t="s">
        <v>67</v>
      </c>
      <c r="H3092" s="2">
        <v>23.0</v>
      </c>
      <c r="I3092" s="2">
        <v>42.0</v>
      </c>
      <c r="J3092" s="37">
        <v>571.1800000000001</v>
      </c>
      <c r="K3092" s="2">
        <v>26.0</v>
      </c>
      <c r="L3092" s="2">
        <v>107.0</v>
      </c>
      <c r="M3092" s="37">
        <v>723.0600000000001</v>
      </c>
    </row>
    <row r="3093" ht="14.25" customHeight="1">
      <c r="A3093" t="s">
        <v>3149</v>
      </c>
      <c r="B3093" t="s">
        <v>3091</v>
      </c>
      <c r="C3093" t="s">
        <v>62</v>
      </c>
      <c r="D3093" t="s">
        <v>63</v>
      </c>
      <c r="E3093">
        <v>7.1</v>
      </c>
      <c r="F3093">
        <v>8.0</v>
      </c>
      <c r="G3093" s="2" t="s">
        <v>67</v>
      </c>
      <c r="H3093" s="2">
        <v>23.0</v>
      </c>
      <c r="I3093" s="2">
        <v>42.0</v>
      </c>
      <c r="J3093" s="37">
        <v>571.1800000000001</v>
      </c>
      <c r="K3093" s="2">
        <v>26.0</v>
      </c>
      <c r="L3093" s="2">
        <v>107.0</v>
      </c>
      <c r="M3093" s="37">
        <v>723.0600000000001</v>
      </c>
    </row>
    <row r="3094" ht="14.25" customHeight="1">
      <c r="A3094" t="s">
        <v>3150</v>
      </c>
      <c r="B3094" t="s">
        <v>3091</v>
      </c>
      <c r="C3094" t="s">
        <v>62</v>
      </c>
      <c r="D3094" t="s">
        <v>63</v>
      </c>
      <c r="E3094">
        <v>7.1</v>
      </c>
      <c r="F3094">
        <v>8.0</v>
      </c>
      <c r="G3094" s="2" t="s">
        <v>67</v>
      </c>
      <c r="H3094" s="2">
        <v>23.0</v>
      </c>
      <c r="I3094" s="2">
        <v>42.0</v>
      </c>
      <c r="J3094" s="37">
        <v>571.1800000000001</v>
      </c>
      <c r="K3094" s="2">
        <v>26.0</v>
      </c>
      <c r="L3094" s="2">
        <v>107.0</v>
      </c>
      <c r="M3094" s="37">
        <v>723.0600000000001</v>
      </c>
    </row>
    <row r="3095" ht="14.25" customHeight="1">
      <c r="A3095" t="s">
        <v>3151</v>
      </c>
      <c r="B3095" t="s">
        <v>3091</v>
      </c>
      <c r="C3095" t="s">
        <v>62</v>
      </c>
      <c r="D3095" t="s">
        <v>63</v>
      </c>
      <c r="E3095">
        <v>7.1</v>
      </c>
      <c r="F3095">
        <v>8.0</v>
      </c>
      <c r="G3095" s="2" t="s">
        <v>67</v>
      </c>
      <c r="H3095" s="2">
        <v>23.0</v>
      </c>
      <c r="I3095" s="2">
        <v>42.0</v>
      </c>
      <c r="J3095" s="37">
        <v>571.1800000000001</v>
      </c>
      <c r="K3095" s="2">
        <v>26.0</v>
      </c>
      <c r="L3095" s="2">
        <v>107.0</v>
      </c>
      <c r="M3095" s="37">
        <v>723.0600000000001</v>
      </c>
    </row>
    <row r="3096" ht="14.25" customHeight="1">
      <c r="A3096" t="s">
        <v>3152</v>
      </c>
      <c r="B3096" t="s">
        <v>3091</v>
      </c>
      <c r="C3096" t="s">
        <v>62</v>
      </c>
      <c r="D3096" t="s">
        <v>63</v>
      </c>
      <c r="E3096">
        <v>7.1</v>
      </c>
      <c r="F3096">
        <v>8.0</v>
      </c>
      <c r="G3096" s="2" t="s">
        <v>67</v>
      </c>
      <c r="H3096" s="2">
        <v>23.0</v>
      </c>
      <c r="I3096" s="2">
        <v>42.0</v>
      </c>
      <c r="J3096" s="37">
        <v>571.1800000000001</v>
      </c>
      <c r="K3096" s="2">
        <v>26.0</v>
      </c>
      <c r="L3096" s="2">
        <v>107.0</v>
      </c>
      <c r="M3096" s="37">
        <v>723.0600000000001</v>
      </c>
    </row>
    <row r="3097" ht="14.25" customHeight="1">
      <c r="A3097" t="s">
        <v>3153</v>
      </c>
      <c r="B3097" t="s">
        <v>3091</v>
      </c>
      <c r="C3097" t="s">
        <v>62</v>
      </c>
      <c r="D3097" t="s">
        <v>63</v>
      </c>
      <c r="E3097">
        <v>9.5</v>
      </c>
      <c r="F3097">
        <v>10.3</v>
      </c>
      <c r="G3097" s="2" t="s">
        <v>67</v>
      </c>
      <c r="H3097" s="2">
        <v>28.0</v>
      </c>
      <c r="I3097" s="2">
        <v>32.0</v>
      </c>
      <c r="J3097" s="37">
        <v>670.48</v>
      </c>
      <c r="K3097" s="2">
        <v>33.0</v>
      </c>
      <c r="L3097" s="2">
        <v>119.0</v>
      </c>
      <c r="M3097" s="37">
        <v>895.8800000000001</v>
      </c>
    </row>
    <row r="3098" ht="14.25" customHeight="1">
      <c r="A3098" t="s">
        <v>3154</v>
      </c>
      <c r="B3098" t="s">
        <v>3091</v>
      </c>
      <c r="C3098" t="s">
        <v>62</v>
      </c>
      <c r="D3098" t="s">
        <v>63</v>
      </c>
      <c r="E3098">
        <v>9.5</v>
      </c>
      <c r="F3098">
        <v>10.3</v>
      </c>
      <c r="G3098" s="2" t="s">
        <v>67</v>
      </c>
      <c r="H3098" s="2">
        <v>28.0</v>
      </c>
      <c r="I3098" s="2">
        <v>32.0</v>
      </c>
      <c r="J3098" s="37">
        <v>670.48</v>
      </c>
      <c r="K3098" s="2">
        <v>33.0</v>
      </c>
      <c r="L3098" s="2">
        <v>119.0</v>
      </c>
      <c r="M3098" s="37">
        <v>895.8800000000001</v>
      </c>
    </row>
    <row r="3099" ht="14.25" customHeight="1">
      <c r="A3099" t="s">
        <v>3155</v>
      </c>
      <c r="B3099" t="s">
        <v>3091</v>
      </c>
      <c r="C3099" t="s">
        <v>62</v>
      </c>
      <c r="D3099" t="s">
        <v>63</v>
      </c>
      <c r="E3099">
        <v>9.5</v>
      </c>
      <c r="F3099">
        <v>10.3</v>
      </c>
      <c r="G3099" s="2" t="s">
        <v>67</v>
      </c>
      <c r="H3099" s="2">
        <v>28.0</v>
      </c>
      <c r="I3099" s="2">
        <v>32.0</v>
      </c>
      <c r="J3099" s="37">
        <v>670.48</v>
      </c>
      <c r="K3099" s="2">
        <v>33.0</v>
      </c>
      <c r="L3099" s="2">
        <v>119.0</v>
      </c>
      <c r="M3099" s="37">
        <v>895.8800000000001</v>
      </c>
    </row>
    <row r="3100" ht="14.25" customHeight="1">
      <c r="A3100" t="s">
        <v>3156</v>
      </c>
      <c r="B3100" t="s">
        <v>3091</v>
      </c>
      <c r="C3100" t="s">
        <v>62</v>
      </c>
      <c r="D3100" t="s">
        <v>63</v>
      </c>
      <c r="E3100">
        <v>2.05</v>
      </c>
      <c r="F3100">
        <v>2.8</v>
      </c>
      <c r="G3100" s="2" t="s">
        <v>64</v>
      </c>
      <c r="H3100" s="2">
        <v>0.0</v>
      </c>
      <c r="I3100" s="2">
        <v>0.0</v>
      </c>
      <c r="J3100" s="37">
        <v>0.0</v>
      </c>
      <c r="K3100" s="2">
        <v>0.0</v>
      </c>
      <c r="L3100" s="2">
        <v>0.0</v>
      </c>
      <c r="M3100" s="37">
        <v>0.0</v>
      </c>
    </row>
    <row r="3101" ht="14.25" customHeight="1">
      <c r="A3101" t="s">
        <v>3157</v>
      </c>
      <c r="B3101" t="s">
        <v>3091</v>
      </c>
      <c r="C3101" t="s">
        <v>62</v>
      </c>
      <c r="D3101" t="s">
        <v>63</v>
      </c>
      <c r="E3101">
        <v>3.5</v>
      </c>
      <c r="F3101">
        <v>4.0</v>
      </c>
      <c r="G3101" s="2" t="s">
        <v>67</v>
      </c>
      <c r="H3101" s="2">
        <v>10.0</v>
      </c>
      <c r="I3101" s="2">
        <v>40.0</v>
      </c>
      <c r="J3101" s="37">
        <v>276.6</v>
      </c>
      <c r="K3101" s="2">
        <v>12.0</v>
      </c>
      <c r="L3101" s="2">
        <v>68.0</v>
      </c>
      <c r="M3101" s="37">
        <v>357.91999999999996</v>
      </c>
    </row>
    <row r="3102" ht="14.25" customHeight="1">
      <c r="A3102" t="s">
        <v>3158</v>
      </c>
      <c r="B3102" t="s">
        <v>3091</v>
      </c>
      <c r="C3102" t="s">
        <v>62</v>
      </c>
      <c r="D3102" t="s">
        <v>63</v>
      </c>
      <c r="E3102">
        <v>3.5</v>
      </c>
      <c r="F3102">
        <v>4.0</v>
      </c>
      <c r="G3102" s="2" t="s">
        <v>67</v>
      </c>
      <c r="H3102" s="2">
        <v>10.0</v>
      </c>
      <c r="I3102" s="2">
        <v>40.0</v>
      </c>
      <c r="J3102" s="37">
        <v>276.6</v>
      </c>
      <c r="K3102" s="2">
        <v>12.0</v>
      </c>
      <c r="L3102" s="2">
        <v>68.0</v>
      </c>
      <c r="M3102" s="37">
        <v>357.91999999999996</v>
      </c>
    </row>
    <row r="3103" ht="14.25" customHeight="1">
      <c r="A3103" t="s">
        <v>3159</v>
      </c>
      <c r="B3103" t="s">
        <v>3091</v>
      </c>
      <c r="C3103" t="s">
        <v>62</v>
      </c>
      <c r="D3103" t="s">
        <v>63</v>
      </c>
      <c r="E3103">
        <v>3.5</v>
      </c>
      <c r="F3103">
        <v>4.0</v>
      </c>
      <c r="G3103" s="2" t="s">
        <v>67</v>
      </c>
      <c r="H3103" s="2">
        <v>10.0</v>
      </c>
      <c r="I3103" s="2">
        <v>40.0</v>
      </c>
      <c r="J3103" s="37">
        <v>276.6</v>
      </c>
      <c r="K3103" s="2">
        <v>12.0</v>
      </c>
      <c r="L3103" s="2">
        <v>68.0</v>
      </c>
      <c r="M3103" s="37">
        <v>357.91999999999996</v>
      </c>
    </row>
    <row r="3104" ht="14.25" customHeight="1">
      <c r="A3104" t="s">
        <v>3160</v>
      </c>
      <c r="B3104" t="s">
        <v>3091</v>
      </c>
      <c r="C3104" t="s">
        <v>62</v>
      </c>
      <c r="D3104" t="s">
        <v>63</v>
      </c>
      <c r="E3104">
        <v>4.2</v>
      </c>
      <c r="F3104">
        <v>5.0</v>
      </c>
      <c r="G3104" s="2" t="s">
        <v>67</v>
      </c>
      <c r="H3104" s="2">
        <v>14.0</v>
      </c>
      <c r="I3104" s="2">
        <v>36.0</v>
      </c>
      <c r="J3104" s="37">
        <v>361.24</v>
      </c>
      <c r="K3104" s="2">
        <v>16.0</v>
      </c>
      <c r="L3104" s="2">
        <v>75.0</v>
      </c>
      <c r="M3104" s="37">
        <v>456.86</v>
      </c>
    </row>
    <row r="3105" ht="14.25" customHeight="1">
      <c r="A3105" t="s">
        <v>3161</v>
      </c>
      <c r="B3105" t="s">
        <v>3091</v>
      </c>
      <c r="C3105" t="s">
        <v>62</v>
      </c>
      <c r="D3105" t="s">
        <v>63</v>
      </c>
      <c r="E3105">
        <v>4.2</v>
      </c>
      <c r="F3105">
        <v>5.0</v>
      </c>
      <c r="G3105" s="2" t="s">
        <v>67</v>
      </c>
      <c r="H3105" s="2">
        <v>14.0</v>
      </c>
      <c r="I3105" s="2">
        <v>36.0</v>
      </c>
      <c r="J3105" s="37">
        <v>361.24</v>
      </c>
      <c r="K3105" s="2">
        <v>16.0</v>
      </c>
      <c r="L3105" s="2">
        <v>75.0</v>
      </c>
      <c r="M3105" s="37">
        <v>456.86</v>
      </c>
    </row>
    <row r="3106" ht="14.25" customHeight="1">
      <c r="A3106" t="s">
        <v>3162</v>
      </c>
      <c r="B3106" t="s">
        <v>3091</v>
      </c>
      <c r="C3106" t="s">
        <v>62</v>
      </c>
      <c r="D3106" t="s">
        <v>63</v>
      </c>
      <c r="E3106">
        <v>4.2</v>
      </c>
      <c r="F3106">
        <v>5.0</v>
      </c>
      <c r="G3106" s="2" t="s">
        <v>67</v>
      </c>
      <c r="H3106" s="2">
        <v>14.0</v>
      </c>
      <c r="I3106" s="2">
        <v>36.0</v>
      </c>
      <c r="J3106" s="37">
        <v>361.24</v>
      </c>
      <c r="K3106" s="2">
        <v>16.0</v>
      </c>
      <c r="L3106" s="2">
        <v>75.0</v>
      </c>
      <c r="M3106" s="37">
        <v>456.86</v>
      </c>
    </row>
    <row r="3107" ht="14.25" customHeight="1">
      <c r="A3107" t="s">
        <v>3163</v>
      </c>
      <c r="B3107" t="s">
        <v>3091</v>
      </c>
      <c r="C3107" t="s">
        <v>62</v>
      </c>
      <c r="D3107" t="s">
        <v>63</v>
      </c>
      <c r="E3107">
        <v>2.5</v>
      </c>
      <c r="F3107">
        <v>3.0</v>
      </c>
      <c r="G3107" s="2" t="s">
        <v>67</v>
      </c>
      <c r="H3107" s="2">
        <v>7.0</v>
      </c>
      <c r="I3107" s="2">
        <v>30.0</v>
      </c>
      <c r="J3107" s="37">
        <v>196.22</v>
      </c>
      <c r="K3107" s="2">
        <v>8.0</v>
      </c>
      <c r="L3107" s="2">
        <v>50.0</v>
      </c>
      <c r="M3107" s="37">
        <v>244.68</v>
      </c>
    </row>
    <row r="3108" ht="14.25" customHeight="1">
      <c r="A3108" t="s">
        <v>3164</v>
      </c>
      <c r="B3108" t="s">
        <v>3091</v>
      </c>
      <c r="C3108" t="s">
        <v>62</v>
      </c>
      <c r="D3108" t="s">
        <v>63</v>
      </c>
      <c r="E3108">
        <v>2.5</v>
      </c>
      <c r="F3108">
        <v>3.0</v>
      </c>
      <c r="G3108" s="2" t="s">
        <v>67</v>
      </c>
      <c r="H3108" s="2">
        <v>7.0</v>
      </c>
      <c r="I3108" s="2">
        <v>30.0</v>
      </c>
      <c r="J3108" s="37">
        <v>196.22</v>
      </c>
      <c r="K3108" s="2">
        <v>8.0</v>
      </c>
      <c r="L3108" s="2">
        <v>50.0</v>
      </c>
      <c r="M3108" s="37">
        <v>244.68</v>
      </c>
    </row>
    <row r="3109" ht="14.25" customHeight="1">
      <c r="A3109" t="s">
        <v>3165</v>
      </c>
      <c r="B3109" t="s">
        <v>3091</v>
      </c>
      <c r="C3109" t="s">
        <v>62</v>
      </c>
      <c r="D3109" t="s">
        <v>63</v>
      </c>
      <c r="E3109">
        <v>2.5</v>
      </c>
      <c r="F3109">
        <v>3.0</v>
      </c>
      <c r="G3109" s="2" t="s">
        <v>67</v>
      </c>
      <c r="H3109" s="2">
        <v>7.0</v>
      </c>
      <c r="I3109" s="2">
        <v>30.0</v>
      </c>
      <c r="J3109" s="37">
        <v>196.22</v>
      </c>
      <c r="K3109" s="2">
        <v>8.0</v>
      </c>
      <c r="L3109" s="2">
        <v>50.0</v>
      </c>
      <c r="M3109" s="37">
        <v>244.68</v>
      </c>
    </row>
    <row r="3110" ht="14.25" customHeight="1">
      <c r="A3110" t="s">
        <v>3166</v>
      </c>
      <c r="B3110" t="s">
        <v>3091</v>
      </c>
      <c r="C3110" t="s">
        <v>62</v>
      </c>
      <c r="D3110" t="s">
        <v>63</v>
      </c>
      <c r="E3110">
        <v>2.5</v>
      </c>
      <c r="F3110">
        <v>3.2</v>
      </c>
      <c r="G3110" s="2" t="s">
        <v>67</v>
      </c>
      <c r="H3110" s="2">
        <v>7.0</v>
      </c>
      <c r="I3110" s="2">
        <v>30.0</v>
      </c>
      <c r="J3110" s="37">
        <v>196.22</v>
      </c>
      <c r="K3110" s="2">
        <v>9.0</v>
      </c>
      <c r="L3110" s="2">
        <v>50.0</v>
      </c>
      <c r="M3110" s="37">
        <v>267.14</v>
      </c>
    </row>
    <row r="3111" ht="14.25" customHeight="1">
      <c r="A3111" t="s">
        <v>3167</v>
      </c>
      <c r="B3111" t="s">
        <v>3091</v>
      </c>
      <c r="C3111" t="s">
        <v>62</v>
      </c>
      <c r="D3111" t="s">
        <v>63</v>
      </c>
      <c r="E3111">
        <v>2.5</v>
      </c>
      <c r="F3111">
        <v>3.4</v>
      </c>
      <c r="G3111" s="2" t="s">
        <v>64</v>
      </c>
      <c r="H3111" s="2">
        <v>0.0</v>
      </c>
      <c r="I3111" s="2">
        <v>0.0</v>
      </c>
      <c r="J3111" s="37">
        <v>0.0</v>
      </c>
      <c r="K3111" s="2">
        <v>0.0</v>
      </c>
      <c r="L3111" s="2">
        <v>0.0</v>
      </c>
      <c r="M3111" s="37">
        <v>0.0</v>
      </c>
    </row>
    <row r="3112" ht="14.25" customHeight="1">
      <c r="A3112" t="s">
        <v>3168</v>
      </c>
      <c r="B3112" t="s">
        <v>3091</v>
      </c>
      <c r="C3112" t="s">
        <v>62</v>
      </c>
      <c r="D3112" t="s">
        <v>63</v>
      </c>
      <c r="E3112">
        <v>3.5</v>
      </c>
      <c r="F3112">
        <v>4.3</v>
      </c>
      <c r="G3112" s="2" t="s">
        <v>64</v>
      </c>
      <c r="H3112" s="2">
        <v>0.0</v>
      </c>
      <c r="I3112" s="2">
        <v>0.0</v>
      </c>
      <c r="J3112" s="37">
        <v>0.0</v>
      </c>
      <c r="K3112" s="2">
        <v>0.0</v>
      </c>
      <c r="L3112" s="2">
        <v>0.0</v>
      </c>
      <c r="M3112" s="37">
        <v>0.0</v>
      </c>
    </row>
    <row r="3113" ht="14.25" customHeight="1">
      <c r="A3113" t="s">
        <v>3169</v>
      </c>
      <c r="B3113" t="s">
        <v>3091</v>
      </c>
      <c r="C3113" t="s">
        <v>62</v>
      </c>
      <c r="D3113" t="s">
        <v>63</v>
      </c>
      <c r="E3113">
        <v>5.0</v>
      </c>
      <c r="F3113">
        <v>5.6</v>
      </c>
      <c r="G3113" s="2" t="s">
        <v>67</v>
      </c>
      <c r="H3113" s="2">
        <v>15.0</v>
      </c>
      <c r="I3113" s="2">
        <v>54.0</v>
      </c>
      <c r="J3113" s="37">
        <v>407.1</v>
      </c>
      <c r="K3113" s="2">
        <v>18.0</v>
      </c>
      <c r="L3113" s="2">
        <v>99.0</v>
      </c>
      <c r="M3113" s="37">
        <v>532.98</v>
      </c>
    </row>
    <row r="3114" ht="14.25" customHeight="1">
      <c r="A3114" t="s">
        <v>3170</v>
      </c>
      <c r="B3114" t="s">
        <v>3091</v>
      </c>
      <c r="C3114" t="s">
        <v>62</v>
      </c>
      <c r="D3114" t="s">
        <v>63</v>
      </c>
      <c r="E3114">
        <v>7.0</v>
      </c>
      <c r="F3114">
        <v>7.5</v>
      </c>
      <c r="G3114" s="2" t="s">
        <v>67</v>
      </c>
      <c r="H3114" s="2">
        <v>20.0</v>
      </c>
      <c r="I3114" s="2">
        <v>18.0</v>
      </c>
      <c r="J3114" s="37">
        <v>472.6</v>
      </c>
      <c r="K3114" s="2">
        <v>24.0</v>
      </c>
      <c r="L3114" s="2">
        <v>81.0</v>
      </c>
      <c r="M3114" s="37">
        <v>644.3399999999999</v>
      </c>
    </row>
    <row r="3115" ht="14.25" customHeight="1">
      <c r="A3115" t="s">
        <v>3171</v>
      </c>
      <c r="B3115" t="s">
        <v>3091</v>
      </c>
      <c r="C3115" t="s">
        <v>62</v>
      </c>
      <c r="D3115" t="s">
        <v>63</v>
      </c>
      <c r="E3115">
        <v>5.0</v>
      </c>
      <c r="F3115">
        <v>5.4</v>
      </c>
      <c r="G3115" s="2" t="s">
        <v>64</v>
      </c>
      <c r="H3115" s="2">
        <v>0.0</v>
      </c>
      <c r="I3115" s="2">
        <v>0.0</v>
      </c>
      <c r="J3115" s="37">
        <v>0.0</v>
      </c>
      <c r="K3115" s="2">
        <v>0.0</v>
      </c>
      <c r="L3115" s="2">
        <v>0.0</v>
      </c>
      <c r="M3115" s="37">
        <v>0.0</v>
      </c>
    </row>
    <row r="3116" ht="14.25" customHeight="1">
      <c r="A3116" t="s">
        <v>3172</v>
      </c>
      <c r="B3116" t="s">
        <v>3091</v>
      </c>
      <c r="C3116" t="s">
        <v>62</v>
      </c>
      <c r="D3116" t="s">
        <v>63</v>
      </c>
      <c r="E3116">
        <v>3.5</v>
      </c>
      <c r="F3116">
        <v>4.0</v>
      </c>
      <c r="G3116" s="2" t="s">
        <v>64</v>
      </c>
      <c r="H3116" s="2">
        <v>0.0</v>
      </c>
      <c r="I3116" s="2">
        <v>0.0</v>
      </c>
      <c r="J3116" s="37">
        <v>0.0</v>
      </c>
      <c r="K3116" s="2">
        <v>0.0</v>
      </c>
      <c r="L3116" s="2">
        <v>0.0</v>
      </c>
      <c r="M3116" s="37">
        <v>0.0</v>
      </c>
    </row>
    <row r="3117" ht="14.25" customHeight="1">
      <c r="A3117" t="s">
        <v>3173</v>
      </c>
      <c r="B3117" t="s">
        <v>3091</v>
      </c>
      <c r="C3117" t="s">
        <v>62</v>
      </c>
      <c r="D3117" t="s">
        <v>63</v>
      </c>
      <c r="E3117">
        <v>2.5</v>
      </c>
      <c r="F3117">
        <v>2.795</v>
      </c>
      <c r="G3117" s="2" t="s">
        <v>64</v>
      </c>
      <c r="H3117" s="2">
        <v>0.0</v>
      </c>
      <c r="I3117" s="2">
        <v>0.0</v>
      </c>
      <c r="J3117" s="37">
        <v>0.0</v>
      </c>
      <c r="K3117" s="2">
        <v>0.0</v>
      </c>
      <c r="L3117" s="2">
        <v>0.0</v>
      </c>
      <c r="M3117" s="37">
        <v>0.0</v>
      </c>
    </row>
    <row r="3118" ht="14.25" customHeight="1">
      <c r="A3118" t="s">
        <v>3174</v>
      </c>
      <c r="B3118" t="s">
        <v>3091</v>
      </c>
      <c r="C3118" t="s">
        <v>62</v>
      </c>
      <c r="D3118" t="s">
        <v>63</v>
      </c>
      <c r="E3118">
        <v>7.1</v>
      </c>
      <c r="F3118">
        <v>8.0</v>
      </c>
      <c r="G3118" s="2" t="s">
        <v>67</v>
      </c>
      <c r="H3118" s="2">
        <v>23.0</v>
      </c>
      <c r="I3118" s="2">
        <v>42.0</v>
      </c>
      <c r="J3118" s="37">
        <v>571.1800000000001</v>
      </c>
      <c r="K3118" s="2">
        <v>26.0</v>
      </c>
      <c r="L3118" s="2">
        <v>107.0</v>
      </c>
      <c r="M3118" s="37">
        <v>723.0600000000001</v>
      </c>
    </row>
    <row r="3119" ht="14.25" customHeight="1">
      <c r="A3119" t="s">
        <v>3175</v>
      </c>
      <c r="B3119" t="s">
        <v>3091</v>
      </c>
      <c r="C3119" t="s">
        <v>62</v>
      </c>
      <c r="D3119" t="s">
        <v>63</v>
      </c>
      <c r="E3119">
        <v>2.5</v>
      </c>
      <c r="F3119">
        <v>3.0</v>
      </c>
      <c r="G3119" s="2" t="s">
        <v>64</v>
      </c>
      <c r="H3119" s="2">
        <v>0.0</v>
      </c>
      <c r="I3119" s="2">
        <v>0.0</v>
      </c>
      <c r="J3119" s="37">
        <v>0.0</v>
      </c>
      <c r="K3119" s="2">
        <v>0.0</v>
      </c>
      <c r="L3119" s="2">
        <v>0.0</v>
      </c>
      <c r="M3119" s="37">
        <v>0.0</v>
      </c>
    </row>
    <row r="3120" ht="14.25" customHeight="1">
      <c r="A3120" t="s">
        <v>3176</v>
      </c>
      <c r="B3120" t="s">
        <v>3091</v>
      </c>
      <c r="C3120" t="s">
        <v>62</v>
      </c>
      <c r="D3120" t="s">
        <v>63</v>
      </c>
      <c r="E3120">
        <v>5.0</v>
      </c>
      <c r="F3120">
        <v>6.0</v>
      </c>
      <c r="G3120" s="2" t="s">
        <v>64</v>
      </c>
      <c r="H3120" s="2">
        <v>0.0</v>
      </c>
      <c r="I3120" s="2">
        <v>0.0</v>
      </c>
      <c r="J3120" s="37">
        <v>0.0</v>
      </c>
      <c r="K3120" s="2">
        <v>0.0</v>
      </c>
      <c r="L3120" s="2">
        <v>0.0</v>
      </c>
      <c r="M3120" s="37">
        <v>0.0</v>
      </c>
    </row>
    <row r="3121" ht="14.25" customHeight="1">
      <c r="A3121" t="s">
        <v>3177</v>
      </c>
      <c r="B3121" t="s">
        <v>3091</v>
      </c>
      <c r="C3121" t="s">
        <v>62</v>
      </c>
      <c r="D3121" t="s">
        <v>63</v>
      </c>
      <c r="E3121">
        <v>8.8</v>
      </c>
      <c r="F3121">
        <v>9.0</v>
      </c>
      <c r="G3121" s="2" t="s">
        <v>67</v>
      </c>
      <c r="H3121" s="2">
        <v>25.0</v>
      </c>
      <c r="I3121" s="2">
        <v>24.0</v>
      </c>
      <c r="J3121" s="37">
        <v>592.7</v>
      </c>
      <c r="K3121" s="2">
        <v>29.0</v>
      </c>
      <c r="L3121" s="2">
        <v>104.0</v>
      </c>
      <c r="M3121" s="37">
        <v>786.5400000000001</v>
      </c>
    </row>
    <row r="3122" ht="14.25" customHeight="1">
      <c r="A3122" t="s">
        <v>3178</v>
      </c>
      <c r="B3122" t="s">
        <v>3091</v>
      </c>
      <c r="C3122" t="s">
        <v>62</v>
      </c>
      <c r="D3122" t="s">
        <v>63</v>
      </c>
      <c r="E3122">
        <v>9.0</v>
      </c>
      <c r="F3122">
        <v>9.0</v>
      </c>
      <c r="G3122" s="2" t="s">
        <v>64</v>
      </c>
      <c r="H3122" s="2">
        <v>0.0</v>
      </c>
      <c r="I3122" s="2">
        <v>0.0</v>
      </c>
      <c r="J3122" s="37">
        <v>0.0</v>
      </c>
      <c r="K3122" s="2">
        <v>0.0</v>
      </c>
      <c r="L3122" s="2">
        <v>0.0</v>
      </c>
      <c r="M3122" s="37">
        <v>0.0</v>
      </c>
    </row>
    <row r="3123" ht="14.25" customHeight="1">
      <c r="A3123" t="s">
        <v>3179</v>
      </c>
      <c r="B3123" t="s">
        <v>3091</v>
      </c>
      <c r="C3123" t="s">
        <v>75</v>
      </c>
      <c r="D3123" t="s">
        <v>63</v>
      </c>
      <c r="E3123">
        <v>7.1</v>
      </c>
      <c r="F3123">
        <v>8.0</v>
      </c>
      <c r="G3123" s="2" t="s">
        <v>67</v>
      </c>
      <c r="H3123" s="2">
        <v>24.0</v>
      </c>
      <c r="I3123" s="2">
        <v>86.0</v>
      </c>
      <c r="J3123" s="37">
        <v>650.8399999999999</v>
      </c>
      <c r="K3123" s="2">
        <v>28.0</v>
      </c>
      <c r="L3123" s="2">
        <v>158.0</v>
      </c>
      <c r="M3123" s="37">
        <v>834.28</v>
      </c>
    </row>
    <row r="3124" ht="14.25" customHeight="1">
      <c r="A3124" t="s">
        <v>3180</v>
      </c>
      <c r="B3124" t="s">
        <v>3091</v>
      </c>
      <c r="C3124" t="s">
        <v>75</v>
      </c>
      <c r="D3124" t="s">
        <v>63</v>
      </c>
      <c r="E3124">
        <v>10.0</v>
      </c>
      <c r="F3124">
        <v>12.5</v>
      </c>
      <c r="G3124" s="2" t="s">
        <v>67</v>
      </c>
      <c r="H3124" s="2">
        <v>37.0</v>
      </c>
      <c r="I3124" s="2">
        <v>173.0</v>
      </c>
      <c r="J3124" s="37">
        <v>1055.92</v>
      </c>
      <c r="K3124" s="2">
        <v>43.0</v>
      </c>
      <c r="L3124" s="2">
        <v>276.0</v>
      </c>
      <c r="M3124" s="37">
        <v>1324.5800000000002</v>
      </c>
    </row>
    <row r="3125" ht="14.25" customHeight="1">
      <c r="A3125" t="s">
        <v>3181</v>
      </c>
      <c r="B3125" t="s">
        <v>3091</v>
      </c>
      <c r="C3125" t="s">
        <v>75</v>
      </c>
      <c r="D3125" t="s">
        <v>63</v>
      </c>
      <c r="E3125">
        <v>12.5</v>
      </c>
      <c r="F3125">
        <v>14.0</v>
      </c>
      <c r="G3125" s="2" t="s">
        <v>67</v>
      </c>
      <c r="H3125" s="2">
        <v>44.0</v>
      </c>
      <c r="I3125" s="2">
        <v>217.0</v>
      </c>
      <c r="J3125" s="37">
        <v>1270.3400000000001</v>
      </c>
      <c r="K3125" s="2">
        <v>50.0</v>
      </c>
      <c r="L3125" s="2">
        <v>345.0</v>
      </c>
      <c r="M3125" s="37">
        <v>1571.5</v>
      </c>
    </row>
    <row r="3126" ht="14.25" customHeight="1">
      <c r="A3126" t="s">
        <v>3182</v>
      </c>
      <c r="B3126" t="s">
        <v>3091</v>
      </c>
      <c r="C3126" t="s">
        <v>75</v>
      </c>
      <c r="D3126" t="s">
        <v>63</v>
      </c>
      <c r="E3126">
        <v>14.0</v>
      </c>
      <c r="F3126">
        <v>16.0</v>
      </c>
      <c r="G3126" s="2" t="s">
        <v>67</v>
      </c>
      <c r="H3126" s="2">
        <v>47.0</v>
      </c>
      <c r="I3126" s="2">
        <v>108.0</v>
      </c>
      <c r="J3126" s="37">
        <v>1196.0200000000002</v>
      </c>
      <c r="K3126" s="2">
        <v>54.0</v>
      </c>
      <c r="L3126" s="2">
        <v>252.0</v>
      </c>
      <c r="M3126" s="37">
        <v>1540.44</v>
      </c>
    </row>
    <row r="3127" ht="14.25" customHeight="1">
      <c r="A3127" t="s">
        <v>3183</v>
      </c>
      <c r="B3127" t="s">
        <v>3091</v>
      </c>
      <c r="C3127" t="s">
        <v>75</v>
      </c>
      <c r="D3127" t="s">
        <v>63</v>
      </c>
      <c r="E3127">
        <v>10.0</v>
      </c>
      <c r="F3127">
        <v>12.5</v>
      </c>
      <c r="G3127" s="2" t="s">
        <v>67</v>
      </c>
      <c r="H3127" s="2">
        <v>37.0</v>
      </c>
      <c r="I3127" s="2">
        <v>173.0</v>
      </c>
      <c r="J3127" s="37">
        <v>1055.92</v>
      </c>
      <c r="K3127" s="2">
        <v>43.0</v>
      </c>
      <c r="L3127" s="2">
        <v>276.0</v>
      </c>
      <c r="M3127" s="37">
        <v>1324.5800000000002</v>
      </c>
    </row>
    <row r="3128" ht="14.25" customHeight="1">
      <c r="A3128" t="s">
        <v>3184</v>
      </c>
      <c r="B3128" t="s">
        <v>3091</v>
      </c>
      <c r="C3128" t="s">
        <v>75</v>
      </c>
      <c r="D3128" t="s">
        <v>63</v>
      </c>
      <c r="E3128">
        <v>12.5</v>
      </c>
      <c r="F3128">
        <v>14.0</v>
      </c>
      <c r="G3128" s="2" t="s">
        <v>67</v>
      </c>
      <c r="H3128" s="2">
        <v>44.0</v>
      </c>
      <c r="I3128" s="2">
        <v>217.0</v>
      </c>
      <c r="J3128" s="37">
        <v>1270.3400000000001</v>
      </c>
      <c r="K3128" s="2">
        <v>50.0</v>
      </c>
      <c r="L3128" s="2">
        <v>345.0</v>
      </c>
      <c r="M3128" s="37">
        <v>1571.5</v>
      </c>
    </row>
    <row r="3129" ht="14.25" customHeight="1">
      <c r="A3129" t="s">
        <v>3185</v>
      </c>
      <c r="B3129" t="s">
        <v>3091</v>
      </c>
      <c r="C3129" t="s">
        <v>75</v>
      </c>
      <c r="D3129" t="s">
        <v>63</v>
      </c>
      <c r="E3129">
        <v>14.0</v>
      </c>
      <c r="F3129">
        <v>16.0</v>
      </c>
      <c r="G3129" s="2" t="s">
        <v>67</v>
      </c>
      <c r="H3129" s="2">
        <v>47.0</v>
      </c>
      <c r="I3129" s="2">
        <v>108.0</v>
      </c>
      <c r="J3129" s="37">
        <v>1196.0200000000002</v>
      </c>
      <c r="K3129" s="2">
        <v>54.0</v>
      </c>
      <c r="L3129" s="2">
        <v>252.0</v>
      </c>
      <c r="M3129" s="37">
        <v>1540.44</v>
      </c>
    </row>
    <row r="3130" ht="14.25" customHeight="1">
      <c r="A3130" t="s">
        <v>3186</v>
      </c>
      <c r="B3130" t="s">
        <v>3091</v>
      </c>
      <c r="C3130" t="s">
        <v>62</v>
      </c>
      <c r="D3130" t="s">
        <v>63</v>
      </c>
      <c r="E3130">
        <v>6.0</v>
      </c>
      <c r="F3130">
        <v>6.0</v>
      </c>
      <c r="G3130" s="2" t="s">
        <v>67</v>
      </c>
      <c r="H3130" s="2">
        <v>19.0</v>
      </c>
      <c r="I3130" s="2">
        <v>86.0</v>
      </c>
      <c r="J3130" s="37">
        <v>538.54</v>
      </c>
      <c r="K3130" s="2">
        <v>22.0</v>
      </c>
      <c r="L3130" s="2">
        <v>141.0</v>
      </c>
      <c r="M3130" s="37">
        <v>677.4200000000001</v>
      </c>
    </row>
    <row r="3131" ht="14.25" customHeight="1">
      <c r="A3131" t="s">
        <v>3187</v>
      </c>
      <c r="B3131" t="s">
        <v>3091</v>
      </c>
      <c r="C3131" t="s">
        <v>75</v>
      </c>
      <c r="D3131" t="s">
        <v>63</v>
      </c>
      <c r="E3131">
        <v>5.7</v>
      </c>
      <c r="F3131">
        <v>5.7</v>
      </c>
      <c r="G3131" s="2" t="s">
        <v>67</v>
      </c>
      <c r="H3131" s="2">
        <v>17.0</v>
      </c>
      <c r="I3131" s="2">
        <v>55.0</v>
      </c>
      <c r="J3131" s="37">
        <v>453.32</v>
      </c>
      <c r="K3131" s="2">
        <v>20.0</v>
      </c>
      <c r="L3131" s="2">
        <v>114.0</v>
      </c>
      <c r="M3131" s="37">
        <v>597.4000000000001</v>
      </c>
    </row>
    <row r="3132" ht="14.25" customHeight="1">
      <c r="A3132" t="s">
        <v>3188</v>
      </c>
      <c r="B3132" t="s">
        <v>3091</v>
      </c>
      <c r="C3132" t="s">
        <v>62</v>
      </c>
      <c r="D3132" t="s">
        <v>63</v>
      </c>
      <c r="E3132">
        <v>6.0</v>
      </c>
      <c r="F3132">
        <v>6.0</v>
      </c>
      <c r="G3132" s="2" t="s">
        <v>67</v>
      </c>
      <c r="H3132" s="2">
        <v>18.0</v>
      </c>
      <c r="I3132" s="2">
        <v>86.0</v>
      </c>
      <c r="J3132" s="37">
        <v>516.08</v>
      </c>
      <c r="K3132" s="2">
        <v>20.0</v>
      </c>
      <c r="L3132" s="2">
        <v>141.0</v>
      </c>
      <c r="M3132" s="37">
        <v>632.5</v>
      </c>
    </row>
    <row r="3133" ht="14.25" customHeight="1">
      <c r="A3133" t="s">
        <v>3189</v>
      </c>
      <c r="B3133" t="s">
        <v>3091</v>
      </c>
      <c r="C3133" t="s">
        <v>62</v>
      </c>
      <c r="D3133" t="s">
        <v>63</v>
      </c>
      <c r="E3133">
        <v>6.0</v>
      </c>
      <c r="F3133">
        <v>6.0</v>
      </c>
      <c r="G3133" s="2" t="s">
        <v>64</v>
      </c>
      <c r="H3133" s="2">
        <v>0.0</v>
      </c>
      <c r="I3133" s="2">
        <v>0.0</v>
      </c>
      <c r="J3133" s="37">
        <v>0.0</v>
      </c>
      <c r="K3133" s="2">
        <v>0.0</v>
      </c>
      <c r="L3133" s="2">
        <v>0.0</v>
      </c>
      <c r="M3133" s="37">
        <v>0.0</v>
      </c>
    </row>
    <row r="3134" ht="14.25" customHeight="1">
      <c r="A3134" t="s">
        <v>3190</v>
      </c>
      <c r="B3134" t="s">
        <v>3091</v>
      </c>
      <c r="C3134" t="s">
        <v>62</v>
      </c>
      <c r="D3134" t="s">
        <v>63</v>
      </c>
      <c r="E3134">
        <v>7.1</v>
      </c>
      <c r="F3134">
        <v>7.1</v>
      </c>
      <c r="G3134" s="2" t="s">
        <v>67</v>
      </c>
      <c r="H3134" s="2">
        <v>21.0</v>
      </c>
      <c r="I3134" s="2">
        <v>51.0</v>
      </c>
      <c r="J3134" s="37">
        <v>537.96</v>
      </c>
      <c r="K3134" s="2">
        <v>24.0</v>
      </c>
      <c r="L3134" s="2">
        <v>116.0</v>
      </c>
      <c r="M3134" s="37">
        <v>689.8399999999999</v>
      </c>
    </row>
    <row r="3135" ht="14.25" customHeight="1">
      <c r="A3135" t="s">
        <v>3191</v>
      </c>
      <c r="B3135" t="s">
        <v>3091</v>
      </c>
      <c r="C3135" t="s">
        <v>75</v>
      </c>
      <c r="D3135" t="s">
        <v>63</v>
      </c>
      <c r="E3135">
        <v>6.8</v>
      </c>
      <c r="F3135">
        <v>6.8</v>
      </c>
      <c r="G3135" s="2" t="s">
        <v>67</v>
      </c>
      <c r="H3135" s="2">
        <v>20.0</v>
      </c>
      <c r="I3135" s="2">
        <v>45.0</v>
      </c>
      <c r="J3135" s="37">
        <v>507.70000000000005</v>
      </c>
      <c r="K3135" s="2">
        <v>24.0</v>
      </c>
      <c r="L3135" s="2">
        <v>115.0</v>
      </c>
      <c r="M3135" s="37">
        <v>688.54</v>
      </c>
    </row>
    <row r="3136" ht="14.25" customHeight="1">
      <c r="A3136" t="s">
        <v>3192</v>
      </c>
      <c r="B3136" t="s">
        <v>3091</v>
      </c>
      <c r="C3136" t="s">
        <v>62</v>
      </c>
      <c r="D3136" t="s">
        <v>63</v>
      </c>
      <c r="E3136">
        <v>6.8</v>
      </c>
      <c r="F3136">
        <v>6.8</v>
      </c>
      <c r="G3136" s="2" t="s">
        <v>67</v>
      </c>
      <c r="H3136" s="2">
        <v>20.0</v>
      </c>
      <c r="I3136" s="2">
        <v>68.0</v>
      </c>
      <c r="J3136" s="37">
        <v>537.6</v>
      </c>
      <c r="K3136" s="2">
        <v>23.0</v>
      </c>
      <c r="L3136" s="2">
        <v>130.0</v>
      </c>
      <c r="M3136" s="37">
        <v>685.58</v>
      </c>
    </row>
    <row r="3137" ht="14.25" customHeight="1">
      <c r="A3137" t="s">
        <v>3193</v>
      </c>
      <c r="B3137" t="s">
        <v>3091</v>
      </c>
      <c r="C3137" t="s">
        <v>62</v>
      </c>
      <c r="D3137" t="s">
        <v>63</v>
      </c>
      <c r="E3137">
        <v>10.0</v>
      </c>
      <c r="F3137">
        <v>10.0</v>
      </c>
      <c r="G3137" s="2" t="s">
        <v>67</v>
      </c>
      <c r="H3137" s="2">
        <v>34.0</v>
      </c>
      <c r="I3137" s="2">
        <v>179.0</v>
      </c>
      <c r="J3137" s="37">
        <v>996.34</v>
      </c>
      <c r="K3137" s="2">
        <v>39.0</v>
      </c>
      <c r="L3137" s="2">
        <v>282.0</v>
      </c>
      <c r="M3137" s="37">
        <v>1242.54</v>
      </c>
    </row>
    <row r="3138" ht="14.25" customHeight="1">
      <c r="A3138" t="s">
        <v>3194</v>
      </c>
      <c r="B3138" t="s">
        <v>3091</v>
      </c>
      <c r="C3138" t="s">
        <v>62</v>
      </c>
      <c r="D3138" t="s">
        <v>63</v>
      </c>
      <c r="E3138">
        <v>10.0</v>
      </c>
      <c r="F3138">
        <v>10.0</v>
      </c>
      <c r="G3138" s="2" t="s">
        <v>67</v>
      </c>
      <c r="H3138" s="2">
        <v>33.0</v>
      </c>
      <c r="I3138" s="2">
        <v>179.0</v>
      </c>
      <c r="J3138" s="37">
        <v>973.8800000000001</v>
      </c>
      <c r="K3138" s="2">
        <v>38.0</v>
      </c>
      <c r="L3138" s="2">
        <v>282.0</v>
      </c>
      <c r="M3138" s="37">
        <v>1220.08</v>
      </c>
    </row>
    <row r="3139" ht="14.25" customHeight="1">
      <c r="A3139" t="s">
        <v>3195</v>
      </c>
      <c r="B3139" t="s">
        <v>3091</v>
      </c>
      <c r="C3139" t="s">
        <v>75</v>
      </c>
      <c r="D3139" t="s">
        <v>63</v>
      </c>
      <c r="E3139">
        <v>9.5</v>
      </c>
      <c r="F3139">
        <v>9.5</v>
      </c>
      <c r="G3139" s="2" t="s">
        <v>67</v>
      </c>
      <c r="H3139" s="2">
        <v>29.0</v>
      </c>
      <c r="I3139" s="2">
        <v>119.0</v>
      </c>
      <c r="J3139" s="37">
        <v>806.0400000000001</v>
      </c>
      <c r="K3139" s="2">
        <v>34.0</v>
      </c>
      <c r="L3139" s="2">
        <v>217.0</v>
      </c>
      <c r="M3139" s="37">
        <v>1045.74</v>
      </c>
    </row>
    <row r="3140" ht="14.25" customHeight="1">
      <c r="A3140" t="s">
        <v>3196</v>
      </c>
      <c r="B3140" t="s">
        <v>3091</v>
      </c>
      <c r="C3140" t="s">
        <v>75</v>
      </c>
      <c r="D3140" t="s">
        <v>63</v>
      </c>
      <c r="E3140">
        <v>9.5</v>
      </c>
      <c r="F3140">
        <v>9.5</v>
      </c>
      <c r="G3140" s="2" t="s">
        <v>67</v>
      </c>
      <c r="H3140" s="2">
        <v>29.0</v>
      </c>
      <c r="I3140" s="2">
        <v>119.0</v>
      </c>
      <c r="J3140" s="37">
        <v>806.0400000000001</v>
      </c>
      <c r="K3140" s="2">
        <v>33.0</v>
      </c>
      <c r="L3140" s="2">
        <v>217.0</v>
      </c>
      <c r="M3140" s="37">
        <v>1023.2800000000001</v>
      </c>
    </row>
    <row r="3141" ht="14.25" customHeight="1">
      <c r="A3141" t="s">
        <v>3197</v>
      </c>
      <c r="B3141" t="s">
        <v>3091</v>
      </c>
      <c r="C3141" t="s">
        <v>62</v>
      </c>
      <c r="D3141" t="s">
        <v>63</v>
      </c>
      <c r="E3141">
        <v>10.0</v>
      </c>
      <c r="F3141">
        <v>10.0</v>
      </c>
      <c r="G3141" s="2" t="s">
        <v>67</v>
      </c>
      <c r="H3141" s="2">
        <v>32.0</v>
      </c>
      <c r="I3141" s="2">
        <v>141.0</v>
      </c>
      <c r="J3141" s="37">
        <v>902.02</v>
      </c>
      <c r="K3141" s="2">
        <v>37.0</v>
      </c>
      <c r="L3141" s="2">
        <v>243.0</v>
      </c>
      <c r="M3141" s="37">
        <v>1146.92</v>
      </c>
    </row>
    <row r="3142" ht="14.25" customHeight="1">
      <c r="A3142" t="s">
        <v>3198</v>
      </c>
      <c r="B3142" t="s">
        <v>3091</v>
      </c>
      <c r="C3142" t="s">
        <v>62</v>
      </c>
      <c r="D3142" t="s">
        <v>63</v>
      </c>
      <c r="E3142">
        <v>10.0</v>
      </c>
      <c r="F3142">
        <v>10.0</v>
      </c>
      <c r="G3142" s="2" t="s">
        <v>67</v>
      </c>
      <c r="H3142" s="2">
        <v>31.0</v>
      </c>
      <c r="I3142" s="2">
        <v>141.0</v>
      </c>
      <c r="J3142" s="37">
        <v>879.56</v>
      </c>
      <c r="K3142" s="2">
        <v>36.0</v>
      </c>
      <c r="L3142" s="2">
        <v>243.0</v>
      </c>
      <c r="M3142" s="37">
        <v>1124.46</v>
      </c>
    </row>
    <row r="3143" ht="14.25" customHeight="1">
      <c r="A3143" t="s">
        <v>3199</v>
      </c>
      <c r="B3143" t="s">
        <v>3091</v>
      </c>
      <c r="C3143" t="s">
        <v>62</v>
      </c>
      <c r="D3143" t="s">
        <v>63</v>
      </c>
      <c r="E3143">
        <v>12.5</v>
      </c>
      <c r="F3143">
        <v>12.5</v>
      </c>
      <c r="G3143" s="2" t="s">
        <v>67</v>
      </c>
      <c r="H3143" s="2">
        <v>40.0</v>
      </c>
      <c r="I3143" s="2">
        <v>160.0</v>
      </c>
      <c r="J3143" s="37">
        <v>1106.4</v>
      </c>
      <c r="K3143" s="2">
        <v>46.0</v>
      </c>
      <c r="L3143" s="2">
        <v>288.0</v>
      </c>
      <c r="M3143" s="37">
        <v>1407.5600000000002</v>
      </c>
    </row>
    <row r="3144" ht="14.25" customHeight="1">
      <c r="A3144" t="s">
        <v>3200</v>
      </c>
      <c r="B3144" t="s">
        <v>3091</v>
      </c>
      <c r="C3144" t="s">
        <v>62</v>
      </c>
      <c r="D3144" t="s">
        <v>63</v>
      </c>
      <c r="E3144">
        <v>12.5</v>
      </c>
      <c r="F3144">
        <v>12.5</v>
      </c>
      <c r="G3144" s="2" t="s">
        <v>67</v>
      </c>
      <c r="H3144" s="2">
        <v>40.0</v>
      </c>
      <c r="I3144" s="2">
        <v>160.0</v>
      </c>
      <c r="J3144" s="37">
        <v>1106.4</v>
      </c>
      <c r="K3144" s="2">
        <v>46.0</v>
      </c>
      <c r="L3144" s="2">
        <v>288.0</v>
      </c>
      <c r="M3144" s="37">
        <v>1407.5600000000002</v>
      </c>
    </row>
    <row r="3145" ht="14.25" customHeight="1">
      <c r="A3145" t="s">
        <v>3201</v>
      </c>
      <c r="B3145" t="s">
        <v>3091</v>
      </c>
      <c r="C3145" t="s">
        <v>75</v>
      </c>
      <c r="D3145" t="s">
        <v>63</v>
      </c>
      <c r="E3145">
        <v>12.1</v>
      </c>
      <c r="F3145">
        <v>12.1</v>
      </c>
      <c r="G3145" s="2" t="s">
        <v>67</v>
      </c>
      <c r="H3145" s="2">
        <v>35.0</v>
      </c>
      <c r="I3145" s="2">
        <v>101.0</v>
      </c>
      <c r="J3145" s="37">
        <v>917.4000000000001</v>
      </c>
      <c r="K3145" s="2">
        <v>41.0</v>
      </c>
      <c r="L3145" s="2">
        <v>225.0</v>
      </c>
      <c r="M3145" s="37">
        <v>1213.3600000000001</v>
      </c>
    </row>
    <row r="3146" ht="14.25" customHeight="1">
      <c r="A3146" t="s">
        <v>3202</v>
      </c>
      <c r="B3146" t="s">
        <v>3091</v>
      </c>
      <c r="C3146" t="s">
        <v>75</v>
      </c>
      <c r="D3146" t="s">
        <v>63</v>
      </c>
      <c r="E3146">
        <v>12.1</v>
      </c>
      <c r="F3146">
        <v>12.1</v>
      </c>
      <c r="G3146" s="2" t="s">
        <v>67</v>
      </c>
      <c r="H3146" s="2">
        <v>35.0</v>
      </c>
      <c r="I3146" s="2">
        <v>101.0</v>
      </c>
      <c r="J3146" s="37">
        <v>917.4000000000001</v>
      </c>
      <c r="K3146" s="2">
        <v>41.0</v>
      </c>
      <c r="L3146" s="2">
        <v>225.0</v>
      </c>
      <c r="M3146" s="37">
        <v>1213.3600000000001</v>
      </c>
    </row>
    <row r="3147" ht="14.25" customHeight="1">
      <c r="A3147" t="s">
        <v>3203</v>
      </c>
      <c r="B3147" t="s">
        <v>3091</v>
      </c>
      <c r="C3147" t="s">
        <v>62</v>
      </c>
      <c r="D3147" t="s">
        <v>63</v>
      </c>
      <c r="E3147">
        <v>12.5</v>
      </c>
      <c r="F3147">
        <v>12.5</v>
      </c>
      <c r="G3147" s="2" t="s">
        <v>67</v>
      </c>
      <c r="H3147" s="2">
        <v>37.0</v>
      </c>
      <c r="I3147" s="2">
        <v>80.0</v>
      </c>
      <c r="J3147" s="37">
        <v>935.02</v>
      </c>
      <c r="K3147" s="2">
        <v>44.0</v>
      </c>
      <c r="L3147" s="2">
        <v>208.0</v>
      </c>
      <c r="M3147" s="37">
        <v>1258.64</v>
      </c>
    </row>
    <row r="3148" ht="14.25" customHeight="1">
      <c r="A3148" t="s">
        <v>3204</v>
      </c>
      <c r="B3148" t="s">
        <v>3091</v>
      </c>
      <c r="C3148" t="s">
        <v>62</v>
      </c>
      <c r="D3148" t="s">
        <v>63</v>
      </c>
      <c r="E3148">
        <v>12.5</v>
      </c>
      <c r="F3148">
        <v>12.5</v>
      </c>
      <c r="G3148" s="2" t="s">
        <v>67</v>
      </c>
      <c r="H3148" s="2">
        <v>37.0</v>
      </c>
      <c r="I3148" s="2">
        <v>80.0</v>
      </c>
      <c r="J3148" s="37">
        <v>935.02</v>
      </c>
      <c r="K3148" s="2">
        <v>44.0</v>
      </c>
      <c r="L3148" s="2">
        <v>208.0</v>
      </c>
      <c r="M3148" s="37">
        <v>1258.64</v>
      </c>
    </row>
    <row r="3149" ht="14.25" customHeight="1">
      <c r="A3149" t="s">
        <v>3205</v>
      </c>
      <c r="B3149" t="s">
        <v>3091</v>
      </c>
      <c r="C3149" t="s">
        <v>62</v>
      </c>
      <c r="D3149" t="s">
        <v>63</v>
      </c>
      <c r="E3149">
        <v>14.0</v>
      </c>
      <c r="F3149">
        <v>14.0</v>
      </c>
      <c r="G3149" s="2" t="s">
        <v>67</v>
      </c>
      <c r="H3149" s="2">
        <v>43.0</v>
      </c>
      <c r="I3149" s="2">
        <v>52.0</v>
      </c>
      <c r="J3149" s="37">
        <v>1033.38</v>
      </c>
      <c r="K3149" s="2">
        <v>51.0</v>
      </c>
      <c r="L3149" s="2">
        <v>195.0</v>
      </c>
      <c r="M3149" s="37">
        <v>1398.96</v>
      </c>
    </row>
    <row r="3150" ht="14.25" customHeight="1">
      <c r="A3150" t="s">
        <v>3206</v>
      </c>
      <c r="B3150" t="s">
        <v>3091</v>
      </c>
      <c r="C3150" t="s">
        <v>62</v>
      </c>
      <c r="D3150" t="s">
        <v>63</v>
      </c>
      <c r="E3150">
        <v>14.0</v>
      </c>
      <c r="F3150">
        <v>14.0</v>
      </c>
      <c r="G3150" s="2" t="s">
        <v>67</v>
      </c>
      <c r="H3150" s="2">
        <v>43.0</v>
      </c>
      <c r="I3150" s="2">
        <v>52.0</v>
      </c>
      <c r="J3150" s="37">
        <v>1033.38</v>
      </c>
      <c r="K3150" s="2">
        <v>51.0</v>
      </c>
      <c r="L3150" s="2">
        <v>195.0</v>
      </c>
      <c r="M3150" s="37">
        <v>1398.96</v>
      </c>
    </row>
    <row r="3151" ht="14.25" customHeight="1">
      <c r="A3151" t="s">
        <v>3207</v>
      </c>
      <c r="B3151" t="s">
        <v>3091</v>
      </c>
      <c r="C3151" t="s">
        <v>75</v>
      </c>
      <c r="D3151" t="s">
        <v>63</v>
      </c>
      <c r="E3151">
        <v>13.4</v>
      </c>
      <c r="F3151">
        <v>13.4</v>
      </c>
      <c r="G3151" s="2" t="s">
        <v>67</v>
      </c>
      <c r="H3151" s="2">
        <v>39.0</v>
      </c>
      <c r="I3151" s="2">
        <v>95.0</v>
      </c>
      <c r="J3151" s="37">
        <v>999.44</v>
      </c>
      <c r="K3151" s="2">
        <v>45.0</v>
      </c>
      <c r="L3151" s="2">
        <v>232.0</v>
      </c>
      <c r="M3151" s="37">
        <v>1312.3000000000002</v>
      </c>
    </row>
    <row r="3152" ht="14.25" customHeight="1">
      <c r="A3152" t="s">
        <v>3208</v>
      </c>
      <c r="B3152" t="s">
        <v>3091</v>
      </c>
      <c r="C3152" t="s">
        <v>75</v>
      </c>
      <c r="D3152" t="s">
        <v>63</v>
      </c>
      <c r="E3152">
        <v>13.4</v>
      </c>
      <c r="F3152">
        <v>13.4</v>
      </c>
      <c r="G3152" s="2" t="s">
        <v>67</v>
      </c>
      <c r="H3152" s="2">
        <v>39.0</v>
      </c>
      <c r="I3152" s="2">
        <v>95.0</v>
      </c>
      <c r="J3152" s="37">
        <v>999.44</v>
      </c>
      <c r="K3152" s="2">
        <v>45.0</v>
      </c>
      <c r="L3152" s="2">
        <v>232.0</v>
      </c>
      <c r="M3152" s="37">
        <v>1312.3000000000002</v>
      </c>
    </row>
    <row r="3153" ht="14.25" customHeight="1">
      <c r="A3153" t="s">
        <v>3209</v>
      </c>
      <c r="B3153" t="s">
        <v>3091</v>
      </c>
      <c r="C3153" t="s">
        <v>62</v>
      </c>
      <c r="D3153" t="s">
        <v>63</v>
      </c>
      <c r="E3153">
        <v>13.6</v>
      </c>
      <c r="F3153">
        <v>14.0</v>
      </c>
      <c r="G3153" s="2" t="s">
        <v>67</v>
      </c>
      <c r="H3153" s="2">
        <v>40.0</v>
      </c>
      <c r="I3153" s="2">
        <v>19.0</v>
      </c>
      <c r="J3153" s="37">
        <v>923.1000000000001</v>
      </c>
      <c r="K3153" s="2">
        <v>47.0</v>
      </c>
      <c r="L3153" s="2">
        <v>159.0</v>
      </c>
      <c r="M3153" s="37">
        <v>1262.3200000000002</v>
      </c>
    </row>
    <row r="3154" ht="14.25" customHeight="1">
      <c r="A3154" t="s">
        <v>3210</v>
      </c>
      <c r="B3154" t="s">
        <v>3091</v>
      </c>
      <c r="C3154" t="s">
        <v>62</v>
      </c>
      <c r="D3154" t="s">
        <v>63</v>
      </c>
      <c r="E3154">
        <v>13.6</v>
      </c>
      <c r="F3154">
        <v>14.0</v>
      </c>
      <c r="G3154" s="2" t="s">
        <v>67</v>
      </c>
      <c r="H3154" s="2">
        <v>40.0</v>
      </c>
      <c r="I3154" s="2">
        <v>19.0</v>
      </c>
      <c r="J3154" s="37">
        <v>923.1000000000001</v>
      </c>
      <c r="K3154" s="2">
        <v>47.0</v>
      </c>
      <c r="L3154" s="2">
        <v>159.0</v>
      </c>
      <c r="M3154" s="37">
        <v>1262.3200000000002</v>
      </c>
    </row>
    <row r="3155" ht="14.25" customHeight="1">
      <c r="A3155" t="s">
        <v>3211</v>
      </c>
      <c r="B3155" t="s">
        <v>3091</v>
      </c>
      <c r="C3155" t="s">
        <v>75</v>
      </c>
      <c r="D3155" t="s">
        <v>63</v>
      </c>
      <c r="E3155">
        <v>16.0</v>
      </c>
      <c r="F3155">
        <v>18.0</v>
      </c>
      <c r="G3155" s="2" t="s">
        <v>67</v>
      </c>
      <c r="H3155" s="2">
        <v>51.0</v>
      </c>
      <c r="I3155" s="2">
        <v>92.0</v>
      </c>
      <c r="J3155" s="37">
        <v>1265.06</v>
      </c>
      <c r="K3155" s="2">
        <v>60.0</v>
      </c>
      <c r="L3155" s="2">
        <v>256.0</v>
      </c>
      <c r="M3155" s="37">
        <v>1680.4</v>
      </c>
    </row>
    <row r="3156" ht="14.25" customHeight="1">
      <c r="A3156" t="s">
        <v>3212</v>
      </c>
      <c r="B3156" t="s">
        <v>3091</v>
      </c>
      <c r="C3156" t="s">
        <v>75</v>
      </c>
      <c r="D3156" t="s">
        <v>63</v>
      </c>
      <c r="E3156">
        <v>16.0</v>
      </c>
      <c r="F3156">
        <v>18.0</v>
      </c>
      <c r="G3156" s="2" t="s">
        <v>67</v>
      </c>
      <c r="H3156" s="2">
        <v>51.0</v>
      </c>
      <c r="I3156" s="2">
        <v>92.0</v>
      </c>
      <c r="J3156" s="37">
        <v>1265.06</v>
      </c>
      <c r="K3156" s="2">
        <v>60.0</v>
      </c>
      <c r="L3156" s="2">
        <v>256.0</v>
      </c>
      <c r="M3156" s="37">
        <v>1680.4</v>
      </c>
    </row>
    <row r="3157" ht="14.25" customHeight="1">
      <c r="A3157" t="s">
        <v>3213</v>
      </c>
      <c r="B3157" t="s">
        <v>3091</v>
      </c>
      <c r="C3157" t="s">
        <v>75</v>
      </c>
      <c r="D3157" t="s">
        <v>63</v>
      </c>
      <c r="E3157">
        <v>16.0</v>
      </c>
      <c r="F3157">
        <v>18.0</v>
      </c>
      <c r="G3157" s="2" t="s">
        <v>67</v>
      </c>
      <c r="H3157" s="2">
        <v>51.0</v>
      </c>
      <c r="I3157" s="2">
        <v>92.0</v>
      </c>
      <c r="J3157" s="37">
        <v>1265.06</v>
      </c>
      <c r="K3157" s="2">
        <v>60.0</v>
      </c>
      <c r="L3157" s="2">
        <v>256.0</v>
      </c>
      <c r="M3157" s="37">
        <v>1680.4</v>
      </c>
    </row>
    <row r="3158" ht="14.25" customHeight="1">
      <c r="A3158" t="s">
        <v>3214</v>
      </c>
      <c r="B3158" t="s">
        <v>3091</v>
      </c>
      <c r="C3158" t="s">
        <v>75</v>
      </c>
      <c r="D3158" t="s">
        <v>63</v>
      </c>
      <c r="E3158">
        <v>16.0</v>
      </c>
      <c r="F3158">
        <v>18.0</v>
      </c>
      <c r="G3158" s="2" t="s">
        <v>67</v>
      </c>
      <c r="H3158" s="2">
        <v>51.0</v>
      </c>
      <c r="I3158" s="2">
        <v>92.0</v>
      </c>
      <c r="J3158" s="37">
        <v>1265.06</v>
      </c>
      <c r="K3158" s="2">
        <v>60.0</v>
      </c>
      <c r="L3158" s="2">
        <v>256.0</v>
      </c>
      <c r="M3158" s="37">
        <v>1680.4</v>
      </c>
    </row>
    <row r="3159" ht="14.25" customHeight="1">
      <c r="A3159" t="s">
        <v>3215</v>
      </c>
      <c r="B3159" t="s">
        <v>3091</v>
      </c>
      <c r="C3159" t="s">
        <v>75</v>
      </c>
      <c r="D3159" t="s">
        <v>63</v>
      </c>
      <c r="E3159">
        <v>16.0</v>
      </c>
      <c r="F3159">
        <v>18.0</v>
      </c>
      <c r="G3159" s="2" t="s">
        <v>67</v>
      </c>
      <c r="H3159" s="2">
        <v>51.0</v>
      </c>
      <c r="I3159" s="2">
        <v>92.0</v>
      </c>
      <c r="J3159" s="37">
        <v>1265.06</v>
      </c>
      <c r="K3159" s="2">
        <v>60.0</v>
      </c>
      <c r="L3159" s="2">
        <v>256.0</v>
      </c>
      <c r="M3159" s="37">
        <v>1680.4</v>
      </c>
    </row>
    <row r="3160" ht="14.25" customHeight="1">
      <c r="A3160" t="s">
        <v>3216</v>
      </c>
      <c r="B3160" t="s">
        <v>3091</v>
      </c>
      <c r="C3160" t="s">
        <v>75</v>
      </c>
      <c r="D3160" t="s">
        <v>63</v>
      </c>
      <c r="E3160">
        <v>16.0</v>
      </c>
      <c r="F3160">
        <v>18.0</v>
      </c>
      <c r="G3160" s="2" t="s">
        <v>67</v>
      </c>
      <c r="H3160" s="2">
        <v>51.0</v>
      </c>
      <c r="I3160" s="2">
        <v>92.0</v>
      </c>
      <c r="J3160" s="37">
        <v>1265.06</v>
      </c>
      <c r="K3160" s="2">
        <v>60.0</v>
      </c>
      <c r="L3160" s="2">
        <v>256.0</v>
      </c>
      <c r="M3160" s="37">
        <v>1680.4</v>
      </c>
    </row>
    <row r="3161" ht="14.25" customHeight="1">
      <c r="A3161" t="s">
        <v>3217</v>
      </c>
      <c r="B3161" t="s">
        <v>3091</v>
      </c>
      <c r="C3161" t="s">
        <v>75</v>
      </c>
      <c r="D3161" t="s">
        <v>63</v>
      </c>
      <c r="E3161">
        <v>16.0</v>
      </c>
      <c r="F3161">
        <v>18.0</v>
      </c>
      <c r="G3161" s="2" t="s">
        <v>67</v>
      </c>
      <c r="H3161" s="2">
        <v>51.0</v>
      </c>
      <c r="I3161" s="2">
        <v>92.0</v>
      </c>
      <c r="J3161" s="37">
        <v>1265.06</v>
      </c>
      <c r="K3161" s="2">
        <v>60.0</v>
      </c>
      <c r="L3161" s="2">
        <v>256.0</v>
      </c>
      <c r="M3161" s="37">
        <v>1680.4</v>
      </c>
    </row>
    <row r="3162" ht="14.25" customHeight="1">
      <c r="A3162" t="s">
        <v>3218</v>
      </c>
      <c r="B3162" t="s">
        <v>3091</v>
      </c>
      <c r="C3162" t="s">
        <v>75</v>
      </c>
      <c r="D3162" t="s">
        <v>63</v>
      </c>
      <c r="E3162">
        <v>16.0</v>
      </c>
      <c r="F3162">
        <v>18.0</v>
      </c>
      <c r="G3162" s="2" t="s">
        <v>67</v>
      </c>
      <c r="H3162" s="2">
        <v>51.0</v>
      </c>
      <c r="I3162" s="2">
        <v>92.0</v>
      </c>
      <c r="J3162" s="37">
        <v>1265.06</v>
      </c>
      <c r="K3162" s="2">
        <v>60.0</v>
      </c>
      <c r="L3162" s="2">
        <v>256.0</v>
      </c>
      <c r="M3162" s="37">
        <v>1680.4</v>
      </c>
    </row>
    <row r="3163" ht="14.25" customHeight="1">
      <c r="A3163" t="s">
        <v>3219</v>
      </c>
      <c r="B3163" t="s">
        <v>3091</v>
      </c>
      <c r="C3163" t="s">
        <v>75</v>
      </c>
      <c r="D3163" t="s">
        <v>63</v>
      </c>
      <c r="E3163">
        <v>14.0</v>
      </c>
      <c r="F3163">
        <v>14.0</v>
      </c>
      <c r="G3163" s="2" t="s">
        <v>67</v>
      </c>
      <c r="H3163" s="2">
        <v>39.0</v>
      </c>
      <c r="I3163" s="2">
        <v>61.0</v>
      </c>
      <c r="J3163" s="37">
        <v>955.24</v>
      </c>
      <c r="K3163" s="2">
        <v>46.0</v>
      </c>
      <c r="L3163" s="2">
        <v>204.0</v>
      </c>
      <c r="M3163" s="37">
        <v>1298.3600000000001</v>
      </c>
    </row>
    <row r="3164" ht="14.25" customHeight="1">
      <c r="A3164" t="s">
        <v>3220</v>
      </c>
      <c r="B3164" t="s">
        <v>3091</v>
      </c>
      <c r="C3164" t="s">
        <v>75</v>
      </c>
      <c r="D3164" t="s">
        <v>63</v>
      </c>
      <c r="E3164">
        <v>14.0</v>
      </c>
      <c r="F3164">
        <v>14.0</v>
      </c>
      <c r="G3164" s="2" t="s">
        <v>67</v>
      </c>
      <c r="H3164" s="2">
        <v>39.0</v>
      </c>
      <c r="I3164" s="2">
        <v>61.0</v>
      </c>
      <c r="J3164" s="37">
        <v>955.24</v>
      </c>
      <c r="K3164" s="2">
        <v>46.0</v>
      </c>
      <c r="L3164" s="2">
        <v>204.0</v>
      </c>
      <c r="M3164" s="37">
        <v>1298.3600000000001</v>
      </c>
    </row>
    <row r="3165" ht="14.25" customHeight="1">
      <c r="A3165" t="s">
        <v>3221</v>
      </c>
      <c r="B3165" t="s">
        <v>3091</v>
      </c>
      <c r="C3165" t="s">
        <v>75</v>
      </c>
      <c r="D3165" t="s">
        <v>63</v>
      </c>
      <c r="E3165">
        <v>14.0</v>
      </c>
      <c r="F3165">
        <v>14.0</v>
      </c>
      <c r="G3165" s="2" t="s">
        <v>67</v>
      </c>
      <c r="H3165" s="2">
        <v>39.0</v>
      </c>
      <c r="I3165" s="2">
        <v>61.0</v>
      </c>
      <c r="J3165" s="37">
        <v>955.24</v>
      </c>
      <c r="K3165" s="2">
        <v>46.0</v>
      </c>
      <c r="L3165" s="2">
        <v>204.0</v>
      </c>
      <c r="M3165" s="37">
        <v>1298.3600000000001</v>
      </c>
    </row>
    <row r="3166" ht="14.25" customHeight="1">
      <c r="A3166" t="s">
        <v>3222</v>
      </c>
      <c r="B3166" t="s">
        <v>3091</v>
      </c>
      <c r="C3166" t="s">
        <v>75</v>
      </c>
      <c r="D3166" t="s">
        <v>63</v>
      </c>
      <c r="E3166">
        <v>14.0</v>
      </c>
      <c r="F3166">
        <v>14.0</v>
      </c>
      <c r="G3166" s="2" t="s">
        <v>67</v>
      </c>
      <c r="H3166" s="2">
        <v>39.0</v>
      </c>
      <c r="I3166" s="2">
        <v>61.0</v>
      </c>
      <c r="J3166" s="37">
        <v>955.24</v>
      </c>
      <c r="K3166" s="2">
        <v>46.0</v>
      </c>
      <c r="L3166" s="2">
        <v>204.0</v>
      </c>
      <c r="M3166" s="37">
        <v>1298.3600000000001</v>
      </c>
    </row>
    <row r="3167" ht="14.25" customHeight="1">
      <c r="A3167" t="s">
        <v>3223</v>
      </c>
      <c r="B3167" t="s">
        <v>3091</v>
      </c>
      <c r="C3167" t="s">
        <v>75</v>
      </c>
      <c r="D3167" t="s">
        <v>63</v>
      </c>
      <c r="E3167">
        <v>14.0</v>
      </c>
      <c r="F3167">
        <v>14.0</v>
      </c>
      <c r="G3167" s="2" t="s">
        <v>67</v>
      </c>
      <c r="H3167" s="2">
        <v>39.0</v>
      </c>
      <c r="I3167" s="2">
        <v>61.0</v>
      </c>
      <c r="J3167" s="37">
        <v>955.24</v>
      </c>
      <c r="K3167" s="2">
        <v>46.0</v>
      </c>
      <c r="L3167" s="2">
        <v>204.0</v>
      </c>
      <c r="M3167" s="37">
        <v>1298.3600000000001</v>
      </c>
    </row>
    <row r="3168" ht="14.25" customHeight="1">
      <c r="A3168" t="s">
        <v>3224</v>
      </c>
      <c r="B3168" t="s">
        <v>3091</v>
      </c>
      <c r="C3168" t="s">
        <v>75</v>
      </c>
      <c r="D3168" t="s">
        <v>63</v>
      </c>
      <c r="E3168">
        <v>14.0</v>
      </c>
      <c r="F3168">
        <v>14.0</v>
      </c>
      <c r="G3168" s="2" t="s">
        <v>67</v>
      </c>
      <c r="H3168" s="2">
        <v>39.0</v>
      </c>
      <c r="I3168" s="2">
        <v>61.0</v>
      </c>
      <c r="J3168" s="37">
        <v>955.24</v>
      </c>
      <c r="K3168" s="2">
        <v>46.0</v>
      </c>
      <c r="L3168" s="2">
        <v>204.0</v>
      </c>
      <c r="M3168" s="37">
        <v>1298.3600000000001</v>
      </c>
    </row>
    <row r="3169" ht="14.25" customHeight="1">
      <c r="A3169" t="s">
        <v>3225</v>
      </c>
      <c r="B3169" t="s">
        <v>3091</v>
      </c>
      <c r="C3169" t="s">
        <v>75</v>
      </c>
      <c r="D3169" t="s">
        <v>63</v>
      </c>
      <c r="E3169">
        <v>12.5</v>
      </c>
      <c r="F3169">
        <v>12.5</v>
      </c>
      <c r="G3169" s="2" t="s">
        <v>67</v>
      </c>
      <c r="H3169" s="2">
        <v>38.0</v>
      </c>
      <c r="I3169" s="2">
        <v>151.0</v>
      </c>
      <c r="J3169" s="37">
        <v>1049.78</v>
      </c>
      <c r="K3169" s="2">
        <v>44.0</v>
      </c>
      <c r="L3169" s="2">
        <v>280.0</v>
      </c>
      <c r="M3169" s="37">
        <v>1352.24</v>
      </c>
    </row>
    <row r="3170" ht="14.25" customHeight="1">
      <c r="A3170" t="s">
        <v>3226</v>
      </c>
      <c r="B3170" t="s">
        <v>3091</v>
      </c>
      <c r="C3170" t="s">
        <v>75</v>
      </c>
      <c r="D3170" t="s">
        <v>63</v>
      </c>
      <c r="E3170">
        <v>12.5</v>
      </c>
      <c r="F3170">
        <v>12.5</v>
      </c>
      <c r="G3170" s="2" t="s">
        <v>67</v>
      </c>
      <c r="H3170" s="2">
        <v>38.0</v>
      </c>
      <c r="I3170" s="2">
        <v>151.0</v>
      </c>
      <c r="J3170" s="37">
        <v>1049.78</v>
      </c>
      <c r="K3170" s="2">
        <v>44.0</v>
      </c>
      <c r="L3170" s="2">
        <v>280.0</v>
      </c>
      <c r="M3170" s="37">
        <v>1352.24</v>
      </c>
    </row>
    <row r="3171" ht="14.25" customHeight="1">
      <c r="A3171" t="s">
        <v>3227</v>
      </c>
      <c r="B3171" t="s">
        <v>3091</v>
      </c>
      <c r="C3171" t="s">
        <v>75</v>
      </c>
      <c r="D3171" t="s">
        <v>63</v>
      </c>
      <c r="E3171">
        <v>12.5</v>
      </c>
      <c r="F3171">
        <v>12.5</v>
      </c>
      <c r="G3171" s="2" t="s">
        <v>67</v>
      </c>
      <c r="H3171" s="2">
        <v>38.0</v>
      </c>
      <c r="I3171" s="2">
        <v>151.0</v>
      </c>
      <c r="J3171" s="37">
        <v>1049.78</v>
      </c>
      <c r="K3171" s="2">
        <v>44.0</v>
      </c>
      <c r="L3171" s="2">
        <v>280.0</v>
      </c>
      <c r="M3171" s="37">
        <v>1352.24</v>
      </c>
    </row>
    <row r="3172" ht="14.25" customHeight="1">
      <c r="A3172" t="s">
        <v>3228</v>
      </c>
      <c r="B3172" t="s">
        <v>3091</v>
      </c>
      <c r="C3172" t="s">
        <v>75</v>
      </c>
      <c r="D3172" t="s">
        <v>63</v>
      </c>
      <c r="E3172">
        <v>12.5</v>
      </c>
      <c r="F3172">
        <v>12.5</v>
      </c>
      <c r="G3172" s="2" t="s">
        <v>67</v>
      </c>
      <c r="H3172" s="2">
        <v>38.0</v>
      </c>
      <c r="I3172" s="2">
        <v>151.0</v>
      </c>
      <c r="J3172" s="37">
        <v>1049.78</v>
      </c>
      <c r="K3172" s="2">
        <v>44.0</v>
      </c>
      <c r="L3172" s="2">
        <v>280.0</v>
      </c>
      <c r="M3172" s="37">
        <v>1352.24</v>
      </c>
    </row>
    <row r="3173" ht="14.25" customHeight="1">
      <c r="A3173" t="s">
        <v>3229</v>
      </c>
      <c r="B3173" t="s">
        <v>3091</v>
      </c>
      <c r="C3173" t="s">
        <v>75</v>
      </c>
      <c r="D3173" t="s">
        <v>63</v>
      </c>
      <c r="E3173">
        <v>12.5</v>
      </c>
      <c r="F3173">
        <v>12.5</v>
      </c>
      <c r="G3173" s="2" t="s">
        <v>67</v>
      </c>
      <c r="H3173" s="2">
        <v>38.0</v>
      </c>
      <c r="I3173" s="2">
        <v>151.0</v>
      </c>
      <c r="J3173" s="37">
        <v>1049.78</v>
      </c>
      <c r="K3173" s="2">
        <v>44.0</v>
      </c>
      <c r="L3173" s="2">
        <v>280.0</v>
      </c>
      <c r="M3173" s="37">
        <v>1352.24</v>
      </c>
    </row>
    <row r="3174" ht="14.25" customHeight="1">
      <c r="A3174" t="s">
        <v>3230</v>
      </c>
      <c r="B3174" t="s">
        <v>3091</v>
      </c>
      <c r="C3174" t="s">
        <v>75</v>
      </c>
      <c r="D3174" t="s">
        <v>63</v>
      </c>
      <c r="E3174">
        <v>12.5</v>
      </c>
      <c r="F3174">
        <v>12.5</v>
      </c>
      <c r="G3174" s="2" t="s">
        <v>67</v>
      </c>
      <c r="H3174" s="2">
        <v>38.0</v>
      </c>
      <c r="I3174" s="2">
        <v>151.0</v>
      </c>
      <c r="J3174" s="37">
        <v>1049.78</v>
      </c>
      <c r="K3174" s="2">
        <v>44.0</v>
      </c>
      <c r="L3174" s="2">
        <v>280.0</v>
      </c>
      <c r="M3174" s="37">
        <v>1352.24</v>
      </c>
    </row>
    <row r="3175" ht="14.25" customHeight="1">
      <c r="A3175" t="s">
        <v>3231</v>
      </c>
      <c r="B3175" t="s">
        <v>3091</v>
      </c>
      <c r="C3175" t="s">
        <v>75</v>
      </c>
      <c r="D3175" t="s">
        <v>63</v>
      </c>
      <c r="E3175">
        <v>10.0</v>
      </c>
      <c r="F3175">
        <v>10.0</v>
      </c>
      <c r="G3175" s="2" t="s">
        <v>67</v>
      </c>
      <c r="H3175" s="2">
        <v>39.0</v>
      </c>
      <c r="I3175" s="2">
        <v>96.0</v>
      </c>
      <c r="J3175" s="37">
        <v>1000.74</v>
      </c>
      <c r="K3175" s="2">
        <v>44.0</v>
      </c>
      <c r="L3175" s="2">
        <v>199.0</v>
      </c>
      <c r="M3175" s="37">
        <v>1246.94</v>
      </c>
    </row>
    <row r="3176" ht="14.25" customHeight="1">
      <c r="A3176" t="s">
        <v>3232</v>
      </c>
      <c r="B3176" t="s">
        <v>3091</v>
      </c>
      <c r="C3176" t="s">
        <v>75</v>
      </c>
      <c r="D3176" t="s">
        <v>63</v>
      </c>
      <c r="E3176">
        <v>10.0</v>
      </c>
      <c r="F3176">
        <v>10.0</v>
      </c>
      <c r="G3176" s="2" t="s">
        <v>67</v>
      </c>
      <c r="H3176" s="2">
        <v>39.0</v>
      </c>
      <c r="I3176" s="2">
        <v>96.0</v>
      </c>
      <c r="J3176" s="37">
        <v>1000.74</v>
      </c>
      <c r="K3176" s="2">
        <v>44.0</v>
      </c>
      <c r="L3176" s="2">
        <v>199.0</v>
      </c>
      <c r="M3176" s="37">
        <v>1246.94</v>
      </c>
    </row>
    <row r="3177" ht="14.25" customHeight="1">
      <c r="A3177" t="s">
        <v>3233</v>
      </c>
      <c r="B3177" t="s">
        <v>3091</v>
      </c>
      <c r="C3177" t="s">
        <v>75</v>
      </c>
      <c r="D3177" t="s">
        <v>63</v>
      </c>
      <c r="E3177">
        <v>10.0</v>
      </c>
      <c r="F3177">
        <v>10.0</v>
      </c>
      <c r="G3177" s="2" t="s">
        <v>67</v>
      </c>
      <c r="H3177" s="2">
        <v>39.0</v>
      </c>
      <c r="I3177" s="2">
        <v>96.0</v>
      </c>
      <c r="J3177" s="37">
        <v>1000.74</v>
      </c>
      <c r="K3177" s="2">
        <v>44.0</v>
      </c>
      <c r="L3177" s="2">
        <v>199.0</v>
      </c>
      <c r="M3177" s="37">
        <v>1246.94</v>
      </c>
    </row>
    <row r="3178" ht="14.25" customHeight="1">
      <c r="A3178" t="s">
        <v>3234</v>
      </c>
      <c r="B3178" t="s">
        <v>3091</v>
      </c>
      <c r="C3178" t="s">
        <v>75</v>
      </c>
      <c r="D3178" t="s">
        <v>63</v>
      </c>
      <c r="E3178">
        <v>9.5</v>
      </c>
      <c r="F3178">
        <v>10.0</v>
      </c>
      <c r="G3178" s="2" t="s">
        <v>64</v>
      </c>
      <c r="H3178" s="2">
        <v>0.0</v>
      </c>
      <c r="I3178" s="2">
        <v>0.0</v>
      </c>
      <c r="J3178" s="37">
        <v>0.0</v>
      </c>
      <c r="K3178" s="2">
        <v>0.0</v>
      </c>
      <c r="L3178" s="2">
        <v>0.0</v>
      </c>
      <c r="M3178" s="37">
        <v>0.0</v>
      </c>
    </row>
    <row r="3179" ht="14.25" customHeight="1">
      <c r="A3179" t="s">
        <v>3235</v>
      </c>
      <c r="B3179" t="s">
        <v>3091</v>
      </c>
      <c r="C3179" t="s">
        <v>75</v>
      </c>
      <c r="D3179" t="s">
        <v>63</v>
      </c>
      <c r="E3179">
        <v>9.5</v>
      </c>
      <c r="F3179">
        <v>10.0</v>
      </c>
      <c r="G3179" s="2" t="s">
        <v>64</v>
      </c>
      <c r="H3179" s="2">
        <v>0.0</v>
      </c>
      <c r="I3179" s="2">
        <v>0.0</v>
      </c>
      <c r="J3179" s="37">
        <v>0.0</v>
      </c>
      <c r="K3179" s="2">
        <v>0.0</v>
      </c>
      <c r="L3179" s="2">
        <v>0.0</v>
      </c>
      <c r="M3179" s="37">
        <v>0.0</v>
      </c>
    </row>
    <row r="3180" ht="14.25" customHeight="1">
      <c r="A3180" t="s">
        <v>3236</v>
      </c>
      <c r="B3180" t="s">
        <v>3091</v>
      </c>
      <c r="C3180" t="s">
        <v>75</v>
      </c>
      <c r="D3180" t="s">
        <v>63</v>
      </c>
      <c r="E3180">
        <v>9.5</v>
      </c>
      <c r="F3180">
        <v>10.0</v>
      </c>
      <c r="G3180" s="2" t="s">
        <v>64</v>
      </c>
      <c r="H3180" s="2">
        <v>0.0</v>
      </c>
      <c r="I3180" s="2">
        <v>0.0</v>
      </c>
      <c r="J3180" s="37">
        <v>0.0</v>
      </c>
      <c r="K3180" s="2">
        <v>0.0</v>
      </c>
      <c r="L3180" s="2">
        <v>0.0</v>
      </c>
      <c r="M3180" s="37">
        <v>0.0</v>
      </c>
    </row>
    <row r="3181" ht="14.25" customHeight="1">
      <c r="A3181" t="s">
        <v>3237</v>
      </c>
      <c r="B3181" t="s">
        <v>3091</v>
      </c>
      <c r="C3181" t="s">
        <v>75</v>
      </c>
      <c r="D3181" t="s">
        <v>63</v>
      </c>
      <c r="E3181">
        <v>7.1</v>
      </c>
      <c r="F3181">
        <v>7.1</v>
      </c>
      <c r="G3181" s="2" t="s">
        <v>67</v>
      </c>
      <c r="H3181" s="2">
        <v>20.0</v>
      </c>
      <c r="I3181" s="2">
        <v>32.0</v>
      </c>
      <c r="J3181" s="37">
        <v>490.80000000000007</v>
      </c>
      <c r="K3181" s="2">
        <v>24.0</v>
      </c>
      <c r="L3181" s="2">
        <v>105.0</v>
      </c>
      <c r="M3181" s="37">
        <v>675.54</v>
      </c>
    </row>
    <row r="3182" ht="14.25" customHeight="1">
      <c r="A3182" t="s">
        <v>3238</v>
      </c>
      <c r="B3182" t="s">
        <v>3091</v>
      </c>
      <c r="C3182" t="s">
        <v>75</v>
      </c>
      <c r="D3182" t="s">
        <v>63</v>
      </c>
      <c r="E3182">
        <v>6.0</v>
      </c>
      <c r="F3182">
        <v>6.0</v>
      </c>
      <c r="G3182" s="2" t="s">
        <v>67</v>
      </c>
      <c r="H3182" s="2">
        <v>17.0</v>
      </c>
      <c r="I3182" s="2">
        <v>28.0</v>
      </c>
      <c r="J3182" s="37">
        <v>418.21999999999997</v>
      </c>
      <c r="K3182" s="2">
        <v>20.0</v>
      </c>
      <c r="L3182" s="2">
        <v>89.0</v>
      </c>
      <c r="M3182" s="37">
        <v>564.9000000000001</v>
      </c>
    </row>
    <row r="3183" ht="14.25" customHeight="1">
      <c r="A3183" t="s">
        <v>3239</v>
      </c>
      <c r="B3183" t="s">
        <v>3091</v>
      </c>
      <c r="C3183" t="s">
        <v>62</v>
      </c>
      <c r="D3183" t="s">
        <v>63</v>
      </c>
      <c r="E3183">
        <v>7.1</v>
      </c>
      <c r="F3183">
        <v>7.1</v>
      </c>
      <c r="G3183" s="2" t="s">
        <v>67</v>
      </c>
      <c r="H3183" s="2">
        <v>21.0</v>
      </c>
      <c r="I3183" s="2">
        <v>34.0</v>
      </c>
      <c r="J3183" s="37">
        <v>515.86</v>
      </c>
      <c r="K3183" s="2">
        <v>24.0</v>
      </c>
      <c r="L3183" s="2">
        <v>98.0</v>
      </c>
      <c r="M3183" s="37">
        <v>666.4399999999999</v>
      </c>
    </row>
    <row r="3184" ht="14.25" customHeight="1">
      <c r="A3184" t="s">
        <v>3240</v>
      </c>
      <c r="B3184" t="s">
        <v>3091</v>
      </c>
      <c r="C3184" t="s">
        <v>75</v>
      </c>
      <c r="D3184" t="s">
        <v>63</v>
      </c>
      <c r="E3184">
        <v>6.8</v>
      </c>
      <c r="F3184">
        <v>6.8</v>
      </c>
      <c r="G3184" s="2" t="s">
        <v>67</v>
      </c>
      <c r="H3184" s="2">
        <v>20.0</v>
      </c>
      <c r="I3184" s="2">
        <v>15.0</v>
      </c>
      <c r="J3184" s="37">
        <v>468.70000000000005</v>
      </c>
      <c r="K3184" s="2">
        <v>23.0</v>
      </c>
      <c r="L3184" s="2">
        <v>85.0</v>
      </c>
      <c r="M3184" s="37">
        <v>627.08</v>
      </c>
    </row>
    <row r="3185" ht="14.25" customHeight="1">
      <c r="A3185" t="s">
        <v>3241</v>
      </c>
      <c r="B3185" t="s">
        <v>3091</v>
      </c>
      <c r="C3185" t="s">
        <v>62</v>
      </c>
      <c r="D3185" t="s">
        <v>63</v>
      </c>
      <c r="E3185">
        <v>6.0</v>
      </c>
      <c r="F3185">
        <v>6.0</v>
      </c>
      <c r="G3185" s="2" t="s">
        <v>67</v>
      </c>
      <c r="H3185" s="2">
        <v>19.0</v>
      </c>
      <c r="I3185" s="2">
        <v>86.0</v>
      </c>
      <c r="J3185" s="37">
        <v>538.54</v>
      </c>
      <c r="K3185" s="2">
        <v>22.0</v>
      </c>
      <c r="L3185" s="2">
        <v>141.0</v>
      </c>
      <c r="M3185" s="37">
        <v>677.4200000000001</v>
      </c>
    </row>
    <row r="3186" ht="14.25" customHeight="1">
      <c r="A3186" t="s">
        <v>3242</v>
      </c>
      <c r="B3186" t="s">
        <v>3091</v>
      </c>
      <c r="C3186" t="s">
        <v>75</v>
      </c>
      <c r="D3186" t="s">
        <v>63</v>
      </c>
      <c r="E3186">
        <v>5.7</v>
      </c>
      <c r="F3186">
        <v>5.7</v>
      </c>
      <c r="G3186" s="2" t="s">
        <v>67</v>
      </c>
      <c r="H3186" s="2">
        <v>18.0</v>
      </c>
      <c r="I3186" s="2">
        <v>67.0</v>
      </c>
      <c r="J3186" s="37">
        <v>491.38000000000005</v>
      </c>
      <c r="K3186" s="2">
        <v>21.0</v>
      </c>
      <c r="L3186" s="2">
        <v>126.0</v>
      </c>
      <c r="M3186" s="37">
        <v>635.46</v>
      </c>
    </row>
    <row r="3187" ht="14.25" customHeight="1">
      <c r="A3187" t="s">
        <v>3243</v>
      </c>
      <c r="B3187" t="s">
        <v>3091</v>
      </c>
      <c r="C3187" t="s">
        <v>75</v>
      </c>
      <c r="D3187" t="s">
        <v>63</v>
      </c>
      <c r="E3187">
        <v>4.6</v>
      </c>
      <c r="F3187">
        <v>5.0</v>
      </c>
      <c r="G3187" s="2" t="s">
        <v>67</v>
      </c>
      <c r="H3187" s="2">
        <v>14.0</v>
      </c>
      <c r="I3187" s="2">
        <v>13.0</v>
      </c>
      <c r="J3187" s="37">
        <v>331.34</v>
      </c>
      <c r="K3187" s="2">
        <v>16.0</v>
      </c>
      <c r="L3187" s="2">
        <v>60.0</v>
      </c>
      <c r="M3187" s="37">
        <v>437.36</v>
      </c>
    </row>
    <row r="3188" ht="14.25" customHeight="1">
      <c r="A3188" t="s">
        <v>3244</v>
      </c>
      <c r="B3188" t="s">
        <v>3091</v>
      </c>
      <c r="C3188" t="s">
        <v>75</v>
      </c>
      <c r="D3188" t="s">
        <v>63</v>
      </c>
      <c r="E3188">
        <v>3.4</v>
      </c>
      <c r="F3188">
        <v>3.6</v>
      </c>
      <c r="G3188" s="2" t="s">
        <v>67</v>
      </c>
      <c r="H3188" s="2">
        <v>10.0</v>
      </c>
      <c r="I3188" s="2">
        <v>58.0</v>
      </c>
      <c r="J3188" s="37">
        <v>300.0</v>
      </c>
      <c r="K3188" s="2">
        <v>12.0</v>
      </c>
      <c r="L3188" s="2">
        <v>93.0</v>
      </c>
      <c r="M3188" s="37">
        <v>390.41999999999996</v>
      </c>
    </row>
    <row r="3189" ht="14.25" customHeight="1">
      <c r="A3189" t="s">
        <v>3245</v>
      </c>
      <c r="B3189" t="s">
        <v>3091</v>
      </c>
      <c r="C3189" t="s">
        <v>75</v>
      </c>
      <c r="D3189" t="s">
        <v>63</v>
      </c>
      <c r="E3189">
        <v>13.4</v>
      </c>
      <c r="F3189">
        <v>13.4</v>
      </c>
      <c r="G3189" s="2" t="s">
        <v>64</v>
      </c>
      <c r="H3189" s="2">
        <v>0.0</v>
      </c>
      <c r="I3189" s="2">
        <v>0.0</v>
      </c>
      <c r="J3189" s="37">
        <v>0.0</v>
      </c>
      <c r="K3189" s="2">
        <v>0.0</v>
      </c>
      <c r="L3189" s="2">
        <v>0.0</v>
      </c>
      <c r="M3189" s="37">
        <v>0.0</v>
      </c>
    </row>
    <row r="3190" ht="14.25" customHeight="1">
      <c r="A3190" t="s">
        <v>3246</v>
      </c>
      <c r="B3190" t="s">
        <v>3091</v>
      </c>
      <c r="C3190" t="s">
        <v>62</v>
      </c>
      <c r="D3190" t="s">
        <v>63</v>
      </c>
      <c r="E3190">
        <v>14.0</v>
      </c>
      <c r="F3190">
        <v>14.0</v>
      </c>
      <c r="G3190" s="2" t="s">
        <v>67</v>
      </c>
      <c r="H3190" s="2">
        <v>43.0</v>
      </c>
      <c r="I3190" s="2">
        <v>52.0</v>
      </c>
      <c r="J3190" s="37">
        <v>1033.38</v>
      </c>
      <c r="K3190" s="2">
        <v>50.0</v>
      </c>
      <c r="L3190" s="2">
        <v>195.0</v>
      </c>
      <c r="M3190" s="37">
        <v>1376.5</v>
      </c>
    </row>
    <row r="3191" ht="14.25" customHeight="1">
      <c r="A3191" t="s">
        <v>3247</v>
      </c>
      <c r="B3191" t="s">
        <v>3091</v>
      </c>
      <c r="C3191" t="s">
        <v>75</v>
      </c>
      <c r="D3191" t="s">
        <v>63</v>
      </c>
      <c r="E3191">
        <v>12.1</v>
      </c>
      <c r="F3191">
        <v>12.1</v>
      </c>
      <c r="G3191" s="2" t="s">
        <v>64</v>
      </c>
      <c r="H3191" s="2">
        <v>0.0</v>
      </c>
      <c r="I3191" s="2">
        <v>0.0</v>
      </c>
      <c r="J3191" s="37">
        <v>0.0</v>
      </c>
      <c r="K3191" s="2">
        <v>0.0</v>
      </c>
      <c r="L3191" s="2">
        <v>0.0</v>
      </c>
      <c r="M3191" s="37">
        <v>0.0</v>
      </c>
    </row>
    <row r="3192" ht="14.25" customHeight="1">
      <c r="A3192" t="s">
        <v>3248</v>
      </c>
      <c r="B3192" t="s">
        <v>3091</v>
      </c>
      <c r="C3192" t="s">
        <v>62</v>
      </c>
      <c r="D3192" t="s">
        <v>63</v>
      </c>
      <c r="E3192">
        <v>12.5</v>
      </c>
      <c r="F3192">
        <v>12.5</v>
      </c>
      <c r="G3192" s="2" t="s">
        <v>67</v>
      </c>
      <c r="H3192" s="2">
        <v>40.0</v>
      </c>
      <c r="I3192" s="2">
        <v>160.0</v>
      </c>
      <c r="J3192" s="37">
        <v>1106.4</v>
      </c>
      <c r="K3192" s="2">
        <v>46.0</v>
      </c>
      <c r="L3192" s="2">
        <v>288.0</v>
      </c>
      <c r="M3192" s="37">
        <v>1407.5600000000002</v>
      </c>
    </row>
    <row r="3193" ht="14.25" customHeight="1">
      <c r="A3193" t="s">
        <v>3249</v>
      </c>
      <c r="B3193" t="s">
        <v>3091</v>
      </c>
      <c r="C3193" t="s">
        <v>75</v>
      </c>
      <c r="D3193" t="s">
        <v>63</v>
      </c>
      <c r="E3193">
        <v>9.5</v>
      </c>
      <c r="F3193">
        <v>9.5</v>
      </c>
      <c r="G3193" s="2" t="s">
        <v>67</v>
      </c>
      <c r="H3193" s="2">
        <v>29.0</v>
      </c>
      <c r="I3193" s="2">
        <v>119.0</v>
      </c>
      <c r="J3193" s="37">
        <v>806.0400000000001</v>
      </c>
      <c r="K3193" s="2">
        <v>33.0</v>
      </c>
      <c r="L3193" s="2">
        <v>217.0</v>
      </c>
      <c r="M3193" s="37">
        <v>1023.2800000000001</v>
      </c>
    </row>
    <row r="3194" ht="14.25" customHeight="1">
      <c r="A3194" t="s">
        <v>3250</v>
      </c>
      <c r="B3194" t="s">
        <v>3091</v>
      </c>
      <c r="C3194" t="s">
        <v>62</v>
      </c>
      <c r="D3194" t="s">
        <v>63</v>
      </c>
      <c r="E3194">
        <v>10.0</v>
      </c>
      <c r="F3194">
        <v>10.0</v>
      </c>
      <c r="G3194" s="2" t="s">
        <v>67</v>
      </c>
      <c r="H3194" s="2">
        <v>33.0</v>
      </c>
      <c r="I3194" s="2">
        <v>179.0</v>
      </c>
      <c r="J3194" s="37">
        <v>973.8800000000001</v>
      </c>
      <c r="K3194" s="2">
        <v>38.0</v>
      </c>
      <c r="L3194" s="2">
        <v>282.0</v>
      </c>
      <c r="M3194" s="37">
        <v>1220.08</v>
      </c>
    </row>
    <row r="3195" ht="14.25" customHeight="1">
      <c r="A3195" t="s">
        <v>3251</v>
      </c>
      <c r="B3195" t="s">
        <v>3091</v>
      </c>
      <c r="C3195" t="s">
        <v>75</v>
      </c>
      <c r="D3195" t="s">
        <v>63</v>
      </c>
      <c r="E3195">
        <v>13.4</v>
      </c>
      <c r="F3195">
        <v>13.4</v>
      </c>
      <c r="G3195" s="2" t="s">
        <v>67</v>
      </c>
      <c r="H3195" s="2">
        <v>38.0</v>
      </c>
      <c r="I3195" s="2">
        <v>24.0</v>
      </c>
      <c r="J3195" s="37">
        <v>884.6800000000001</v>
      </c>
      <c r="K3195" s="2">
        <v>45.0</v>
      </c>
      <c r="L3195" s="2">
        <v>161.0</v>
      </c>
      <c r="M3195" s="37">
        <v>1220.0</v>
      </c>
    </row>
    <row r="3196" ht="14.25" customHeight="1">
      <c r="A3196" t="s">
        <v>3252</v>
      </c>
      <c r="B3196" t="s">
        <v>3091</v>
      </c>
      <c r="C3196" t="s">
        <v>62</v>
      </c>
      <c r="D3196" t="s">
        <v>63</v>
      </c>
      <c r="E3196">
        <v>14.0</v>
      </c>
      <c r="F3196">
        <v>14.0</v>
      </c>
      <c r="G3196" s="2" t="s">
        <v>67</v>
      </c>
      <c r="H3196" s="2">
        <v>43.0</v>
      </c>
      <c r="I3196" s="2">
        <v>52.0</v>
      </c>
      <c r="J3196" s="37">
        <v>1033.38</v>
      </c>
      <c r="K3196" s="2">
        <v>50.0</v>
      </c>
      <c r="L3196" s="2">
        <v>195.0</v>
      </c>
      <c r="M3196" s="37">
        <v>1376.5</v>
      </c>
    </row>
    <row r="3197" ht="14.25" customHeight="1">
      <c r="A3197" t="s">
        <v>3253</v>
      </c>
      <c r="B3197" t="s">
        <v>3091</v>
      </c>
      <c r="C3197" t="s">
        <v>62</v>
      </c>
      <c r="D3197" t="s">
        <v>63</v>
      </c>
      <c r="E3197">
        <v>12.5</v>
      </c>
      <c r="F3197">
        <v>12.5</v>
      </c>
      <c r="G3197" s="2" t="s">
        <v>67</v>
      </c>
      <c r="H3197" s="2">
        <v>40.0</v>
      </c>
      <c r="I3197" s="2">
        <v>160.0</v>
      </c>
      <c r="J3197" s="37">
        <v>1106.4</v>
      </c>
      <c r="K3197" s="2">
        <v>46.0</v>
      </c>
      <c r="L3197" s="2">
        <v>288.0</v>
      </c>
      <c r="M3197" s="37">
        <v>1407.5600000000002</v>
      </c>
    </row>
    <row r="3198" ht="14.25" customHeight="1">
      <c r="A3198" t="s">
        <v>3254</v>
      </c>
      <c r="B3198" t="s">
        <v>3091</v>
      </c>
      <c r="C3198" t="s">
        <v>75</v>
      </c>
      <c r="D3198" t="s">
        <v>63</v>
      </c>
      <c r="E3198">
        <v>9.5</v>
      </c>
      <c r="F3198">
        <v>9.5</v>
      </c>
      <c r="G3198" s="2" t="s">
        <v>67</v>
      </c>
      <c r="H3198" s="2">
        <v>29.0</v>
      </c>
      <c r="I3198" s="2">
        <v>119.0</v>
      </c>
      <c r="J3198" s="37">
        <v>806.0400000000001</v>
      </c>
      <c r="K3198" s="2">
        <v>33.0</v>
      </c>
      <c r="L3198" s="2">
        <v>217.0</v>
      </c>
      <c r="M3198" s="37">
        <v>1023.2800000000001</v>
      </c>
    </row>
    <row r="3199" ht="14.25" customHeight="1">
      <c r="A3199" t="s">
        <v>3255</v>
      </c>
      <c r="B3199" t="s">
        <v>3091</v>
      </c>
      <c r="C3199" t="s">
        <v>62</v>
      </c>
      <c r="D3199" t="s">
        <v>63</v>
      </c>
      <c r="E3199">
        <v>10.0</v>
      </c>
      <c r="F3199">
        <v>10.0</v>
      </c>
      <c r="G3199" s="2" t="s">
        <v>67</v>
      </c>
      <c r="H3199" s="2">
        <v>33.0</v>
      </c>
      <c r="I3199" s="2">
        <v>179.0</v>
      </c>
      <c r="J3199" s="37">
        <v>973.8800000000001</v>
      </c>
      <c r="K3199" s="2">
        <v>38.0</v>
      </c>
      <c r="L3199" s="2">
        <v>282.0</v>
      </c>
      <c r="M3199" s="37">
        <v>1220.08</v>
      </c>
    </row>
    <row r="3200" ht="14.25" customHeight="1">
      <c r="A3200" t="s">
        <v>3256</v>
      </c>
      <c r="B3200" t="s">
        <v>3091</v>
      </c>
      <c r="C3200" t="s">
        <v>75</v>
      </c>
      <c r="D3200" t="s">
        <v>63</v>
      </c>
      <c r="E3200">
        <v>12.1</v>
      </c>
      <c r="F3200">
        <v>12.1</v>
      </c>
      <c r="G3200" s="2" t="s">
        <v>67</v>
      </c>
      <c r="H3200" s="2">
        <v>35.0</v>
      </c>
      <c r="I3200" s="2">
        <v>101.0</v>
      </c>
      <c r="J3200" s="37">
        <v>917.4000000000001</v>
      </c>
      <c r="K3200" s="2">
        <v>41.0</v>
      </c>
      <c r="L3200" s="2">
        <v>225.0</v>
      </c>
      <c r="M3200" s="37">
        <v>1213.3600000000001</v>
      </c>
    </row>
    <row r="3201" ht="14.25" customHeight="1">
      <c r="A3201" t="s">
        <v>3257</v>
      </c>
      <c r="B3201" t="s">
        <v>3258</v>
      </c>
      <c r="C3201" t="s">
        <v>62</v>
      </c>
      <c r="D3201" t="s">
        <v>63</v>
      </c>
      <c r="E3201">
        <v>2.5</v>
      </c>
      <c r="F3201">
        <v>2.6</v>
      </c>
      <c r="G3201" s="2" t="s">
        <v>67</v>
      </c>
      <c r="H3201" s="2">
        <v>7.0</v>
      </c>
      <c r="I3201" s="2">
        <v>15.0</v>
      </c>
      <c r="J3201" s="37">
        <v>176.72</v>
      </c>
      <c r="K3201" s="2">
        <v>8.0</v>
      </c>
      <c r="L3201" s="2">
        <v>35.0</v>
      </c>
      <c r="M3201" s="37">
        <v>225.18</v>
      </c>
    </row>
    <row r="3202" ht="14.25" customHeight="1">
      <c r="A3202" t="s">
        <v>3259</v>
      </c>
      <c r="B3202" t="s">
        <v>3258</v>
      </c>
      <c r="C3202" t="s">
        <v>62</v>
      </c>
      <c r="D3202" t="s">
        <v>63</v>
      </c>
      <c r="E3202">
        <v>3.5</v>
      </c>
      <c r="F3202">
        <v>3.6</v>
      </c>
      <c r="G3202" s="2" t="s">
        <v>67</v>
      </c>
      <c r="H3202" s="2">
        <v>9.0</v>
      </c>
      <c r="I3202" s="2">
        <v>7.0</v>
      </c>
      <c r="J3202" s="37">
        <v>211.24</v>
      </c>
      <c r="K3202" s="2">
        <v>11.0</v>
      </c>
      <c r="L3202" s="2">
        <v>35.0</v>
      </c>
      <c r="M3202" s="37">
        <v>292.56</v>
      </c>
    </row>
    <row r="3203" ht="14.25" customHeight="1">
      <c r="A3203" t="s">
        <v>3260</v>
      </c>
      <c r="B3203" t="s">
        <v>3258</v>
      </c>
      <c r="C3203" t="s">
        <v>62</v>
      </c>
      <c r="D3203" t="s">
        <v>63</v>
      </c>
      <c r="E3203">
        <v>5.0</v>
      </c>
      <c r="F3203">
        <v>5.1</v>
      </c>
      <c r="G3203" s="2" t="s">
        <v>67</v>
      </c>
      <c r="H3203" s="2">
        <v>15.0</v>
      </c>
      <c r="I3203" s="2">
        <v>3.0</v>
      </c>
      <c r="J3203" s="37">
        <v>340.8</v>
      </c>
      <c r="K3203" s="2">
        <v>17.0</v>
      </c>
      <c r="L3203" s="2">
        <v>49.0</v>
      </c>
      <c r="M3203" s="37">
        <v>445.52</v>
      </c>
    </row>
    <row r="3204" ht="14.25" customHeight="1">
      <c r="A3204" t="s">
        <v>3261</v>
      </c>
      <c r="B3204" t="s">
        <v>3258</v>
      </c>
      <c r="C3204" t="s">
        <v>62</v>
      </c>
      <c r="D3204" t="s">
        <v>63</v>
      </c>
      <c r="E3204">
        <v>6.7</v>
      </c>
      <c r="F3204">
        <v>7.0</v>
      </c>
      <c r="G3204" s="2" t="s">
        <v>67</v>
      </c>
      <c r="H3204" s="2">
        <v>21.0</v>
      </c>
      <c r="I3204" s="2">
        <v>38.0</v>
      </c>
      <c r="J3204" s="37">
        <v>521.0600000000001</v>
      </c>
      <c r="K3204" s="2">
        <v>24.0</v>
      </c>
      <c r="L3204" s="2">
        <v>99.0</v>
      </c>
      <c r="M3204" s="37">
        <v>667.74</v>
      </c>
    </row>
    <row r="3205" ht="14.25" customHeight="1">
      <c r="A3205" t="s">
        <v>3262</v>
      </c>
      <c r="B3205" t="s">
        <v>3258</v>
      </c>
      <c r="C3205" t="s">
        <v>75</v>
      </c>
      <c r="D3205" t="s">
        <v>63</v>
      </c>
      <c r="E3205">
        <v>10.0</v>
      </c>
      <c r="F3205">
        <v>10.0</v>
      </c>
      <c r="G3205" s="2" t="s">
        <v>64</v>
      </c>
      <c r="H3205" s="2">
        <v>0.0</v>
      </c>
      <c r="I3205" s="2">
        <v>0.0</v>
      </c>
      <c r="J3205" s="37">
        <v>0.0</v>
      </c>
      <c r="K3205" s="2">
        <v>0.0</v>
      </c>
      <c r="L3205" s="2">
        <v>0.0</v>
      </c>
      <c r="M3205" s="37">
        <v>0.0</v>
      </c>
    </row>
    <row r="3206" ht="14.25" customHeight="1">
      <c r="A3206" t="s">
        <v>3263</v>
      </c>
      <c r="B3206" t="s">
        <v>3258</v>
      </c>
      <c r="C3206" t="s">
        <v>75</v>
      </c>
      <c r="D3206" t="s">
        <v>63</v>
      </c>
      <c r="E3206">
        <v>10.0</v>
      </c>
      <c r="F3206">
        <v>10.0</v>
      </c>
      <c r="G3206" s="2" t="s">
        <v>64</v>
      </c>
      <c r="H3206" s="2">
        <v>0.0</v>
      </c>
      <c r="I3206" s="2">
        <v>0.0</v>
      </c>
      <c r="J3206" s="37">
        <v>0.0</v>
      </c>
      <c r="K3206" s="2">
        <v>0.0</v>
      </c>
      <c r="L3206" s="2">
        <v>0.0</v>
      </c>
      <c r="M3206" s="37">
        <v>0.0</v>
      </c>
    </row>
    <row r="3207" ht="14.25" customHeight="1">
      <c r="A3207" t="s">
        <v>3264</v>
      </c>
      <c r="B3207" t="s">
        <v>3258</v>
      </c>
      <c r="C3207" t="s">
        <v>75</v>
      </c>
      <c r="D3207" t="s">
        <v>63</v>
      </c>
      <c r="E3207">
        <v>10.0</v>
      </c>
      <c r="F3207">
        <v>10.0</v>
      </c>
      <c r="G3207" s="2" t="s">
        <v>64</v>
      </c>
      <c r="H3207" s="2">
        <v>0.0</v>
      </c>
      <c r="I3207" s="2">
        <v>0.0</v>
      </c>
      <c r="J3207" s="37">
        <v>0.0</v>
      </c>
      <c r="K3207" s="2">
        <v>0.0</v>
      </c>
      <c r="L3207" s="2">
        <v>0.0</v>
      </c>
      <c r="M3207" s="37">
        <v>0.0</v>
      </c>
    </row>
    <row r="3208" ht="14.25" customHeight="1">
      <c r="A3208" t="s">
        <v>3265</v>
      </c>
      <c r="B3208" t="s">
        <v>3258</v>
      </c>
      <c r="C3208" t="s">
        <v>75</v>
      </c>
      <c r="D3208" t="s">
        <v>63</v>
      </c>
      <c r="E3208">
        <v>14.0</v>
      </c>
      <c r="F3208">
        <v>14.0</v>
      </c>
      <c r="G3208" s="2" t="s">
        <v>67</v>
      </c>
      <c r="H3208" s="2">
        <v>42.0</v>
      </c>
      <c r="I3208" s="2">
        <v>271.0</v>
      </c>
      <c r="J3208" s="37">
        <v>1295.6200000000001</v>
      </c>
      <c r="K3208" s="2">
        <v>50.0</v>
      </c>
      <c r="L3208" s="2">
        <v>415.0</v>
      </c>
      <c r="M3208" s="37">
        <v>1662.5</v>
      </c>
    </row>
    <row r="3209" ht="14.25" customHeight="1">
      <c r="A3209" t="s">
        <v>3266</v>
      </c>
      <c r="B3209" t="s">
        <v>3258</v>
      </c>
      <c r="C3209" t="s">
        <v>75</v>
      </c>
      <c r="D3209" t="s">
        <v>63</v>
      </c>
      <c r="E3209">
        <v>14.0</v>
      </c>
      <c r="F3209">
        <v>14.0</v>
      </c>
      <c r="G3209" s="2" t="s">
        <v>67</v>
      </c>
      <c r="H3209" s="2">
        <v>42.0</v>
      </c>
      <c r="I3209" s="2">
        <v>271.0</v>
      </c>
      <c r="J3209" s="37">
        <v>1295.6200000000001</v>
      </c>
      <c r="K3209" s="2">
        <v>50.0</v>
      </c>
      <c r="L3209" s="2">
        <v>415.0</v>
      </c>
      <c r="M3209" s="37">
        <v>1662.5</v>
      </c>
    </row>
    <row r="3210" ht="14.25" customHeight="1">
      <c r="A3210" t="s">
        <v>3267</v>
      </c>
      <c r="B3210" t="s">
        <v>3258</v>
      </c>
      <c r="C3210" t="s">
        <v>75</v>
      </c>
      <c r="D3210" t="s">
        <v>63</v>
      </c>
      <c r="E3210">
        <v>14.0</v>
      </c>
      <c r="F3210">
        <v>14.0</v>
      </c>
      <c r="G3210" s="2" t="s">
        <v>67</v>
      </c>
      <c r="H3210" s="2">
        <v>42.0</v>
      </c>
      <c r="I3210" s="2">
        <v>271.0</v>
      </c>
      <c r="J3210" s="37">
        <v>1295.6200000000001</v>
      </c>
      <c r="K3210" s="2">
        <v>50.0</v>
      </c>
      <c r="L3210" s="2">
        <v>415.0</v>
      </c>
      <c r="M3210" s="37">
        <v>1662.5</v>
      </c>
    </row>
    <row r="3211" ht="14.25" customHeight="1">
      <c r="A3211" t="s">
        <v>3268</v>
      </c>
      <c r="B3211" t="s">
        <v>3258</v>
      </c>
      <c r="C3211" t="s">
        <v>75</v>
      </c>
      <c r="D3211" t="s">
        <v>63</v>
      </c>
      <c r="E3211">
        <v>16.29</v>
      </c>
      <c r="F3211">
        <v>16.0</v>
      </c>
      <c r="G3211" s="2" t="s">
        <v>67</v>
      </c>
      <c r="H3211" s="2">
        <v>44.0</v>
      </c>
      <c r="I3211" s="2">
        <v>185.0</v>
      </c>
      <c r="J3211" s="37">
        <v>1228.74</v>
      </c>
      <c r="K3211" s="2">
        <v>52.0</v>
      </c>
      <c r="L3211" s="2">
        <v>352.0</v>
      </c>
      <c r="M3211" s="37">
        <v>1625.52</v>
      </c>
    </row>
    <row r="3212" ht="14.25" customHeight="1">
      <c r="A3212" t="s">
        <v>3269</v>
      </c>
      <c r="B3212" t="s">
        <v>3258</v>
      </c>
      <c r="C3212" t="s">
        <v>75</v>
      </c>
      <c r="D3212" t="s">
        <v>63</v>
      </c>
      <c r="E3212">
        <v>16.29</v>
      </c>
      <c r="F3212">
        <v>16.0</v>
      </c>
      <c r="G3212" s="2" t="s">
        <v>67</v>
      </c>
      <c r="H3212" s="2">
        <v>44.0</v>
      </c>
      <c r="I3212" s="2">
        <v>185.0</v>
      </c>
      <c r="J3212" s="37">
        <v>1228.74</v>
      </c>
      <c r="K3212" s="2">
        <v>52.0</v>
      </c>
      <c r="L3212" s="2">
        <v>352.0</v>
      </c>
      <c r="M3212" s="37">
        <v>1625.52</v>
      </c>
    </row>
    <row r="3213" ht="14.25" customHeight="1">
      <c r="A3213" t="s">
        <v>3270</v>
      </c>
      <c r="B3213" t="s">
        <v>3258</v>
      </c>
      <c r="C3213" t="s">
        <v>75</v>
      </c>
      <c r="D3213" t="s">
        <v>63</v>
      </c>
      <c r="E3213">
        <v>16.29</v>
      </c>
      <c r="F3213">
        <v>16.0</v>
      </c>
      <c r="G3213" s="2" t="s">
        <v>67</v>
      </c>
      <c r="H3213" s="2">
        <v>44.0</v>
      </c>
      <c r="I3213" s="2">
        <v>185.0</v>
      </c>
      <c r="J3213" s="37">
        <v>1228.74</v>
      </c>
      <c r="K3213" s="2">
        <v>52.0</v>
      </c>
      <c r="L3213" s="2">
        <v>352.0</v>
      </c>
      <c r="M3213" s="37">
        <v>1625.52</v>
      </c>
    </row>
    <row r="3214" ht="14.25" customHeight="1">
      <c r="A3214" t="s">
        <v>3271</v>
      </c>
      <c r="B3214" t="s">
        <v>3272</v>
      </c>
      <c r="C3214" t="s">
        <v>62</v>
      </c>
      <c r="D3214" t="s">
        <v>268</v>
      </c>
      <c r="E3214">
        <v>3.5</v>
      </c>
      <c r="F3214">
        <v>3.0</v>
      </c>
      <c r="G3214" s="2" t="s">
        <v>64</v>
      </c>
      <c r="H3214" s="2">
        <v>0.0</v>
      </c>
      <c r="I3214" s="2">
        <v>0.0</v>
      </c>
      <c r="J3214" s="37">
        <v>0.0</v>
      </c>
      <c r="K3214" s="2">
        <v>0.0</v>
      </c>
      <c r="L3214" s="2">
        <v>0.0</v>
      </c>
      <c r="M3214" s="37">
        <v>0.0</v>
      </c>
    </row>
    <row r="3215" ht="14.25" customHeight="1">
      <c r="A3215" t="s">
        <v>3273</v>
      </c>
      <c r="B3215" t="s">
        <v>3274</v>
      </c>
      <c r="C3215" t="s">
        <v>62</v>
      </c>
      <c r="D3215" t="s">
        <v>63</v>
      </c>
      <c r="E3215">
        <v>5.25</v>
      </c>
      <c r="F3215">
        <v>5.4</v>
      </c>
      <c r="G3215" s="2" t="s">
        <v>64</v>
      </c>
      <c r="H3215" s="2">
        <v>0.0</v>
      </c>
      <c r="I3215" s="2">
        <v>0.0</v>
      </c>
      <c r="J3215" s="37">
        <v>0.0</v>
      </c>
      <c r="K3215" s="2">
        <v>0.0</v>
      </c>
      <c r="L3215" s="2">
        <v>0.0</v>
      </c>
      <c r="M3215" s="37">
        <v>0.0</v>
      </c>
    </row>
    <row r="3216" ht="14.25" customHeight="1">
      <c r="A3216" t="s">
        <v>3275</v>
      </c>
      <c r="B3216" t="s">
        <v>3274</v>
      </c>
      <c r="C3216" t="s">
        <v>62</v>
      </c>
      <c r="D3216" t="s">
        <v>63</v>
      </c>
      <c r="E3216">
        <v>3.5</v>
      </c>
      <c r="F3216">
        <v>4.5</v>
      </c>
      <c r="G3216" s="2" t="s">
        <v>64</v>
      </c>
      <c r="H3216" s="2">
        <v>0.0</v>
      </c>
      <c r="I3216" s="2">
        <v>0.0</v>
      </c>
      <c r="J3216" s="37">
        <v>0.0</v>
      </c>
      <c r="K3216" s="2">
        <v>0.0</v>
      </c>
      <c r="L3216" s="2">
        <v>0.0</v>
      </c>
      <c r="M3216" s="37">
        <v>0.0</v>
      </c>
    </row>
    <row r="3217" ht="14.25" customHeight="1">
      <c r="A3217" t="s">
        <v>3276</v>
      </c>
      <c r="B3217" t="s">
        <v>3274</v>
      </c>
      <c r="C3217" t="s">
        <v>62</v>
      </c>
      <c r="D3217" t="s">
        <v>63</v>
      </c>
      <c r="E3217">
        <v>7.2</v>
      </c>
      <c r="F3217">
        <v>7.2</v>
      </c>
      <c r="G3217" s="2" t="s">
        <v>67</v>
      </c>
      <c r="H3217" s="2">
        <v>21.0</v>
      </c>
      <c r="I3217" s="2">
        <v>99.0</v>
      </c>
      <c r="J3217" s="37">
        <v>600.36</v>
      </c>
      <c r="K3217" s="2">
        <v>24.0</v>
      </c>
      <c r="L3217" s="2">
        <v>165.0</v>
      </c>
      <c r="M3217" s="37">
        <v>753.54</v>
      </c>
    </row>
    <row r="3218" ht="14.25" customHeight="1">
      <c r="A3218" t="s">
        <v>3277</v>
      </c>
      <c r="B3218" t="s">
        <v>3274</v>
      </c>
      <c r="C3218" t="s">
        <v>62</v>
      </c>
      <c r="D3218" t="s">
        <v>63</v>
      </c>
      <c r="E3218">
        <v>2.64</v>
      </c>
      <c r="F3218">
        <v>4.05</v>
      </c>
      <c r="G3218" s="2" t="s">
        <v>64</v>
      </c>
      <c r="H3218" s="2">
        <v>0.0</v>
      </c>
      <c r="I3218" s="2">
        <v>0.0</v>
      </c>
      <c r="J3218" s="37">
        <v>0.0</v>
      </c>
      <c r="K3218" s="2">
        <v>0.0</v>
      </c>
      <c r="L3218" s="2">
        <v>0.0</v>
      </c>
      <c r="M3218" s="37">
        <v>0.0</v>
      </c>
    </row>
    <row r="3219" ht="14.25" customHeight="1">
      <c r="A3219" t="s">
        <v>3278</v>
      </c>
      <c r="B3219" t="s">
        <v>3274</v>
      </c>
      <c r="C3219" t="s">
        <v>62</v>
      </c>
      <c r="D3219" t="s">
        <v>63</v>
      </c>
      <c r="E3219">
        <v>5.2</v>
      </c>
      <c r="F3219">
        <v>5.2</v>
      </c>
      <c r="G3219" s="2" t="s">
        <v>67</v>
      </c>
      <c r="H3219" s="2">
        <v>15.0</v>
      </c>
      <c r="I3219" s="2">
        <v>63.0</v>
      </c>
      <c r="J3219" s="37">
        <v>418.80000000000007</v>
      </c>
      <c r="K3219" s="2">
        <v>17.0</v>
      </c>
      <c r="L3219" s="2">
        <v>111.0</v>
      </c>
      <c r="M3219" s="37">
        <v>526.12</v>
      </c>
    </row>
    <row r="3220" ht="14.25" customHeight="1">
      <c r="A3220" t="s">
        <v>3279</v>
      </c>
      <c r="B3220" t="s">
        <v>3280</v>
      </c>
      <c r="C3220" t="s">
        <v>62</v>
      </c>
      <c r="D3220" t="s">
        <v>467</v>
      </c>
      <c r="E3220">
        <v>2.7</v>
      </c>
      <c r="F3220">
        <v>2.4</v>
      </c>
      <c r="G3220" s="2" t="s">
        <v>64</v>
      </c>
      <c r="H3220" s="2">
        <v>0.0</v>
      </c>
      <c r="I3220" s="2">
        <v>0.0</v>
      </c>
      <c r="J3220" s="37">
        <v>0.0</v>
      </c>
      <c r="K3220" s="2">
        <v>0.0</v>
      </c>
      <c r="L3220" s="2">
        <v>0.0</v>
      </c>
      <c r="M3220" s="37">
        <v>0.0</v>
      </c>
    </row>
    <row r="3221" ht="14.25" customHeight="1">
      <c r="A3221" t="s">
        <v>3281</v>
      </c>
      <c r="B3221" t="s">
        <v>3282</v>
      </c>
      <c r="C3221" t="s">
        <v>62</v>
      </c>
      <c r="D3221" t="s">
        <v>63</v>
      </c>
      <c r="E3221">
        <v>7.2</v>
      </c>
      <c r="F3221">
        <v>7.2</v>
      </c>
      <c r="G3221" s="2" t="s">
        <v>67</v>
      </c>
      <c r="H3221" s="2">
        <v>21.0</v>
      </c>
      <c r="I3221" s="2">
        <v>96.0</v>
      </c>
      <c r="J3221" s="37">
        <v>596.46</v>
      </c>
      <c r="K3221" s="2">
        <v>24.0</v>
      </c>
      <c r="L3221" s="2">
        <v>161.0</v>
      </c>
      <c r="M3221" s="37">
        <v>748.3399999999999</v>
      </c>
    </row>
    <row r="3222" ht="14.25" customHeight="1">
      <c r="A3222" t="s">
        <v>3283</v>
      </c>
      <c r="B3222" t="s">
        <v>3284</v>
      </c>
      <c r="C3222" t="s">
        <v>62</v>
      </c>
      <c r="D3222" t="s">
        <v>63</v>
      </c>
      <c r="E3222">
        <v>2.5</v>
      </c>
      <c r="F3222">
        <v>2.5</v>
      </c>
      <c r="G3222" s="2" t="s">
        <v>67</v>
      </c>
      <c r="H3222" s="2">
        <v>5.0</v>
      </c>
      <c r="I3222" s="2">
        <v>46.0</v>
      </c>
      <c r="J3222" s="37">
        <v>172.10000000000002</v>
      </c>
      <c r="K3222" s="2">
        <v>6.0</v>
      </c>
      <c r="L3222" s="2">
        <v>66.0</v>
      </c>
      <c r="M3222" s="37">
        <v>220.56</v>
      </c>
    </row>
    <row r="3223" ht="14.25" customHeight="1">
      <c r="A3223" t="s">
        <v>3285</v>
      </c>
      <c r="B3223" t="s">
        <v>3284</v>
      </c>
      <c r="C3223" t="s">
        <v>62</v>
      </c>
      <c r="D3223" t="s">
        <v>63</v>
      </c>
      <c r="E3223">
        <v>3.4</v>
      </c>
      <c r="F3223">
        <v>3.5</v>
      </c>
      <c r="G3223" s="2" t="s">
        <v>67</v>
      </c>
      <c r="H3223" s="2">
        <v>7.0</v>
      </c>
      <c r="I3223" s="2">
        <v>56.0</v>
      </c>
      <c r="J3223" s="37">
        <v>230.01999999999998</v>
      </c>
      <c r="K3223" s="2">
        <v>8.0</v>
      </c>
      <c r="L3223" s="2">
        <v>83.0</v>
      </c>
      <c r="M3223" s="37">
        <v>287.58000000000004</v>
      </c>
    </row>
    <row r="3224" ht="14.25" customHeight="1">
      <c r="A3224" t="s">
        <v>3286</v>
      </c>
      <c r="B3224" t="s">
        <v>3284</v>
      </c>
      <c r="C3224" t="s">
        <v>62</v>
      </c>
      <c r="D3224" t="s">
        <v>63</v>
      </c>
      <c r="E3224">
        <v>5.2</v>
      </c>
      <c r="F3224">
        <v>5.2</v>
      </c>
      <c r="G3224" s="2" t="s">
        <v>67</v>
      </c>
      <c r="H3224" s="2">
        <v>12.0</v>
      </c>
      <c r="I3224" s="2">
        <v>123.0</v>
      </c>
      <c r="J3224" s="37">
        <v>429.41999999999996</v>
      </c>
      <c r="K3224" s="2">
        <v>14.0</v>
      </c>
      <c r="L3224" s="2">
        <v>170.0</v>
      </c>
      <c r="M3224" s="37">
        <v>535.44</v>
      </c>
    </row>
    <row r="3225" ht="14.25" customHeight="1">
      <c r="A3225" t="s">
        <v>3287</v>
      </c>
      <c r="B3225" t="s">
        <v>3284</v>
      </c>
      <c r="C3225" t="s">
        <v>62</v>
      </c>
      <c r="D3225" t="s">
        <v>63</v>
      </c>
      <c r="E3225">
        <v>7.02999999999999</v>
      </c>
      <c r="F3225">
        <v>7.03</v>
      </c>
      <c r="G3225" s="2" t="s">
        <v>67</v>
      </c>
      <c r="H3225" s="2">
        <v>13.0</v>
      </c>
      <c r="I3225" s="2">
        <v>94.0</v>
      </c>
      <c r="J3225" s="37">
        <v>414.18</v>
      </c>
      <c r="K3225" s="2">
        <v>17.0</v>
      </c>
      <c r="L3225" s="2">
        <v>158.0</v>
      </c>
      <c r="M3225" s="37">
        <v>587.22</v>
      </c>
    </row>
    <row r="3226" ht="14.25" customHeight="1">
      <c r="A3226" t="s">
        <v>3288</v>
      </c>
      <c r="B3226" t="s">
        <v>3284</v>
      </c>
      <c r="C3226" t="s">
        <v>62</v>
      </c>
      <c r="D3226" t="s">
        <v>63</v>
      </c>
      <c r="E3226">
        <v>8.0</v>
      </c>
      <c r="F3226">
        <v>8.4</v>
      </c>
      <c r="G3226" s="2" t="s">
        <v>64</v>
      </c>
      <c r="H3226" s="2">
        <v>0.0</v>
      </c>
      <c r="I3226" s="2">
        <v>0.0</v>
      </c>
      <c r="J3226" s="37">
        <v>0.0</v>
      </c>
      <c r="K3226" s="2">
        <v>0.0</v>
      </c>
      <c r="L3226" s="2">
        <v>0.0</v>
      </c>
      <c r="M3226" s="37">
        <v>0.0</v>
      </c>
    </row>
    <row r="3227" ht="14.25" customHeight="1">
      <c r="A3227" t="s">
        <v>3289</v>
      </c>
      <c r="B3227" t="s">
        <v>3284</v>
      </c>
      <c r="C3227" t="s">
        <v>75</v>
      </c>
      <c r="D3227" t="s">
        <v>82</v>
      </c>
      <c r="E3227">
        <v>10.125</v>
      </c>
      <c r="F3227">
        <v>0.0</v>
      </c>
      <c r="G3227" s="2" t="s">
        <v>64</v>
      </c>
      <c r="H3227" s="2">
        <v>0.0</v>
      </c>
      <c r="I3227" s="2">
        <v>0.0</v>
      </c>
      <c r="J3227" s="37">
        <v>0.0</v>
      </c>
      <c r="K3227" s="2">
        <v>0.0</v>
      </c>
      <c r="L3227" s="2">
        <v>0.0</v>
      </c>
      <c r="M3227" s="37">
        <v>0.0</v>
      </c>
    </row>
    <row r="3228" ht="14.25" customHeight="1">
      <c r="A3228" t="s">
        <v>3290</v>
      </c>
      <c r="B3228" t="s">
        <v>3284</v>
      </c>
      <c r="C3228" t="s">
        <v>62</v>
      </c>
      <c r="D3228" t="s">
        <v>63</v>
      </c>
      <c r="E3228">
        <v>4.925</v>
      </c>
      <c r="F3228">
        <v>5.5</v>
      </c>
      <c r="G3228" s="2" t="s">
        <v>64</v>
      </c>
      <c r="H3228" s="2">
        <v>0.0</v>
      </c>
      <c r="I3228" s="2">
        <v>0.0</v>
      </c>
      <c r="J3228" s="37">
        <v>0.0</v>
      </c>
      <c r="K3228" s="2">
        <v>0.0</v>
      </c>
      <c r="L3228" s="2">
        <v>0.0</v>
      </c>
      <c r="M3228" s="37">
        <v>0.0</v>
      </c>
    </row>
    <row r="3229" ht="14.25" customHeight="1">
      <c r="A3229" t="s">
        <v>3291</v>
      </c>
      <c r="B3229" t="s">
        <v>3284</v>
      </c>
      <c r="C3229" t="s">
        <v>75</v>
      </c>
      <c r="D3229" t="s">
        <v>63</v>
      </c>
      <c r="E3229">
        <v>7.0</v>
      </c>
      <c r="F3229">
        <v>7.5</v>
      </c>
      <c r="G3229" s="2" t="s">
        <v>64</v>
      </c>
      <c r="H3229" s="2">
        <v>0.0</v>
      </c>
      <c r="I3229" s="2">
        <v>0.0</v>
      </c>
      <c r="J3229" s="37">
        <v>0.0</v>
      </c>
      <c r="K3229" s="2">
        <v>0.0</v>
      </c>
      <c r="L3229" s="2">
        <v>0.0</v>
      </c>
      <c r="M3229" s="37">
        <v>0.0</v>
      </c>
    </row>
    <row r="3230" ht="14.25" customHeight="1">
      <c r="A3230" t="s">
        <v>3292</v>
      </c>
      <c r="B3230" t="s">
        <v>3284</v>
      </c>
      <c r="C3230" t="s">
        <v>75</v>
      </c>
      <c r="D3230" t="s">
        <v>63</v>
      </c>
      <c r="E3230">
        <v>10.0</v>
      </c>
      <c r="F3230">
        <v>10.5</v>
      </c>
      <c r="G3230" s="2" t="s">
        <v>64</v>
      </c>
      <c r="H3230" s="2">
        <v>0.0</v>
      </c>
      <c r="I3230" s="2">
        <v>0.0</v>
      </c>
      <c r="J3230" s="37">
        <v>0.0</v>
      </c>
      <c r="K3230" s="2">
        <v>0.0</v>
      </c>
      <c r="L3230" s="2">
        <v>0.0</v>
      </c>
      <c r="M3230" s="37">
        <v>0.0</v>
      </c>
    </row>
    <row r="3231" ht="14.25" customHeight="1">
      <c r="A3231" t="s">
        <v>3293</v>
      </c>
      <c r="B3231" t="s">
        <v>3284</v>
      </c>
      <c r="C3231" t="s">
        <v>75</v>
      </c>
      <c r="D3231" t="s">
        <v>63</v>
      </c>
      <c r="E3231">
        <v>13.8</v>
      </c>
      <c r="F3231">
        <v>14.5</v>
      </c>
      <c r="G3231" s="2" t="s">
        <v>64</v>
      </c>
      <c r="H3231" s="2">
        <v>0.0</v>
      </c>
      <c r="I3231" s="2">
        <v>0.0</v>
      </c>
      <c r="J3231" s="37">
        <v>0.0</v>
      </c>
      <c r="K3231" s="2">
        <v>0.0</v>
      </c>
      <c r="L3231" s="2">
        <v>0.0</v>
      </c>
      <c r="M3231" s="37">
        <v>0.0</v>
      </c>
    </row>
    <row r="3232" ht="14.25" customHeight="1">
      <c r="A3232" t="s">
        <v>3294</v>
      </c>
      <c r="B3232" t="s">
        <v>3284</v>
      </c>
      <c r="C3232" t="s">
        <v>62</v>
      </c>
      <c r="D3232" t="s">
        <v>63</v>
      </c>
      <c r="E3232">
        <v>3.5</v>
      </c>
      <c r="F3232">
        <v>4.0</v>
      </c>
      <c r="G3232" s="2" t="s">
        <v>64</v>
      </c>
      <c r="H3232" s="2">
        <v>0.0</v>
      </c>
      <c r="I3232" s="2">
        <v>0.0</v>
      </c>
      <c r="J3232" s="37">
        <v>0.0</v>
      </c>
      <c r="K3232" s="2">
        <v>0.0</v>
      </c>
      <c r="L3232" s="2">
        <v>0.0</v>
      </c>
      <c r="M3232" s="37">
        <v>0.0</v>
      </c>
    </row>
    <row r="3233" ht="14.25" customHeight="1">
      <c r="A3233" t="s">
        <v>3295</v>
      </c>
      <c r="B3233" t="s">
        <v>3284</v>
      </c>
      <c r="C3233" t="s">
        <v>62</v>
      </c>
      <c r="D3233" t="s">
        <v>63</v>
      </c>
      <c r="E3233">
        <v>5.2</v>
      </c>
      <c r="F3233">
        <v>5.2</v>
      </c>
      <c r="G3233" s="2" t="s">
        <v>67</v>
      </c>
      <c r="H3233" s="2">
        <v>16.0</v>
      </c>
      <c r="I3233" s="2">
        <v>99.0</v>
      </c>
      <c r="J3233" s="37">
        <v>488.06000000000006</v>
      </c>
      <c r="K3233" s="2">
        <v>18.0</v>
      </c>
      <c r="L3233" s="2">
        <v>146.0</v>
      </c>
      <c r="M3233" s="37">
        <v>594.08</v>
      </c>
    </row>
    <row r="3234" ht="14.25" customHeight="1">
      <c r="A3234" t="s">
        <v>3296</v>
      </c>
      <c r="B3234" t="s">
        <v>3284</v>
      </c>
      <c r="C3234" t="s">
        <v>62</v>
      </c>
      <c r="D3234" t="s">
        <v>63</v>
      </c>
      <c r="E3234">
        <v>7.04</v>
      </c>
      <c r="F3234">
        <v>8.2</v>
      </c>
      <c r="G3234" s="2" t="s">
        <v>64</v>
      </c>
      <c r="H3234" s="2">
        <v>0.0</v>
      </c>
      <c r="I3234" s="2">
        <v>0.0</v>
      </c>
      <c r="J3234" s="37">
        <v>0.0</v>
      </c>
      <c r="K3234" s="2">
        <v>0.0</v>
      </c>
      <c r="L3234" s="2">
        <v>0.0</v>
      </c>
      <c r="M3234" s="37">
        <v>0.0</v>
      </c>
    </row>
    <row r="3235" ht="14.25" customHeight="1">
      <c r="A3235" t="s">
        <v>3297</v>
      </c>
      <c r="B3235" t="s">
        <v>3284</v>
      </c>
      <c r="C3235" t="s">
        <v>62</v>
      </c>
      <c r="D3235" t="s">
        <v>63</v>
      </c>
      <c r="E3235">
        <v>2.64</v>
      </c>
      <c r="F3235">
        <v>2.9</v>
      </c>
      <c r="G3235" s="2" t="s">
        <v>67</v>
      </c>
      <c r="H3235" s="2">
        <v>8.0</v>
      </c>
      <c r="I3235" s="2">
        <v>56.0</v>
      </c>
      <c r="J3235" s="37">
        <v>252.48000000000002</v>
      </c>
      <c r="K3235" s="2">
        <v>9.0</v>
      </c>
      <c r="L3235" s="2">
        <v>77.0</v>
      </c>
      <c r="M3235" s="37">
        <v>302.24</v>
      </c>
    </row>
    <row r="3236" ht="14.25" customHeight="1">
      <c r="A3236" t="s">
        <v>3298</v>
      </c>
      <c r="B3236" t="s">
        <v>3299</v>
      </c>
      <c r="C3236" t="s">
        <v>62</v>
      </c>
      <c r="D3236" t="s">
        <v>63</v>
      </c>
      <c r="E3236">
        <v>2.0</v>
      </c>
      <c r="F3236">
        <v>2.25</v>
      </c>
      <c r="G3236" s="2" t="s">
        <v>67</v>
      </c>
      <c r="H3236" s="2">
        <v>6.0</v>
      </c>
      <c r="I3236" s="2">
        <v>34.0</v>
      </c>
      <c r="J3236" s="37">
        <v>178.95999999999998</v>
      </c>
      <c r="K3236" s="2">
        <v>7.0</v>
      </c>
      <c r="L3236" s="2">
        <v>50.0</v>
      </c>
      <c r="M3236" s="37">
        <v>222.22</v>
      </c>
    </row>
    <row r="3237" ht="14.25" customHeight="1">
      <c r="A3237" t="s">
        <v>3300</v>
      </c>
      <c r="B3237" t="s">
        <v>3299</v>
      </c>
      <c r="C3237" t="s">
        <v>62</v>
      </c>
      <c r="D3237" t="s">
        <v>63</v>
      </c>
      <c r="E3237">
        <v>8.0</v>
      </c>
      <c r="F3237">
        <v>8.5</v>
      </c>
      <c r="G3237" s="2" t="s">
        <v>64</v>
      </c>
      <c r="H3237" s="2">
        <v>0.0</v>
      </c>
      <c r="I3237" s="2">
        <v>0.0</v>
      </c>
      <c r="J3237" s="37">
        <v>0.0</v>
      </c>
      <c r="K3237" s="2">
        <v>0.0</v>
      </c>
      <c r="L3237" s="2">
        <v>0.0</v>
      </c>
      <c r="M3237" s="37">
        <v>0.0</v>
      </c>
    </row>
    <row r="3238" ht="14.25" customHeight="1">
      <c r="A3238" t="s">
        <v>3301</v>
      </c>
      <c r="B3238" t="s">
        <v>3299</v>
      </c>
      <c r="C3238" t="s">
        <v>62</v>
      </c>
      <c r="D3238" t="s">
        <v>63</v>
      </c>
      <c r="E3238">
        <v>3.55</v>
      </c>
      <c r="F3238">
        <v>4.0</v>
      </c>
      <c r="G3238" s="2" t="s">
        <v>67</v>
      </c>
      <c r="H3238" s="2">
        <v>10.0</v>
      </c>
      <c r="I3238" s="2">
        <v>44.0</v>
      </c>
      <c r="J3238" s="37">
        <v>281.8</v>
      </c>
      <c r="K3238" s="2">
        <v>12.0</v>
      </c>
      <c r="L3238" s="2">
        <v>72.0</v>
      </c>
      <c r="M3238" s="37">
        <v>363.12</v>
      </c>
    </row>
    <row r="3239" ht="14.25" customHeight="1">
      <c r="A3239" t="s">
        <v>3302</v>
      </c>
      <c r="B3239" t="s">
        <v>3299</v>
      </c>
      <c r="C3239" t="s">
        <v>62</v>
      </c>
      <c r="D3239" t="s">
        <v>63</v>
      </c>
      <c r="E3239">
        <v>5.0</v>
      </c>
      <c r="F3239">
        <v>5.2</v>
      </c>
      <c r="G3239" s="2" t="s">
        <v>67</v>
      </c>
      <c r="H3239" s="2">
        <v>15.0</v>
      </c>
      <c r="I3239" s="2">
        <v>74.0</v>
      </c>
      <c r="J3239" s="37">
        <v>433.1</v>
      </c>
      <c r="K3239" s="2">
        <v>17.0</v>
      </c>
      <c r="L3239" s="2">
        <v>120.0</v>
      </c>
      <c r="M3239" s="37">
        <v>537.8199999999999</v>
      </c>
    </row>
    <row r="3240" ht="14.25" customHeight="1">
      <c r="A3240" t="s">
        <v>3303</v>
      </c>
      <c r="B3240" t="s">
        <v>3299</v>
      </c>
      <c r="C3240" t="s">
        <v>62</v>
      </c>
      <c r="D3240" t="s">
        <v>63</v>
      </c>
      <c r="E3240">
        <v>6.0</v>
      </c>
      <c r="F3240">
        <v>6.2</v>
      </c>
      <c r="G3240" s="2" t="s">
        <v>64</v>
      </c>
      <c r="H3240" s="2">
        <v>0.0</v>
      </c>
      <c r="I3240" s="2">
        <v>0.0</v>
      </c>
      <c r="J3240" s="37">
        <v>0.0</v>
      </c>
      <c r="K3240" s="2">
        <v>0.0</v>
      </c>
      <c r="L3240" s="2">
        <v>0.0</v>
      </c>
      <c r="M3240" s="37">
        <v>0.0</v>
      </c>
    </row>
    <row r="3241" ht="14.25" customHeight="1">
      <c r="A3241" t="s">
        <v>3304</v>
      </c>
      <c r="B3241" t="s">
        <v>3299</v>
      </c>
      <c r="C3241" t="s">
        <v>62</v>
      </c>
      <c r="D3241" t="s">
        <v>63</v>
      </c>
      <c r="E3241">
        <v>7.0</v>
      </c>
      <c r="F3241">
        <v>7.5</v>
      </c>
      <c r="G3241" s="2" t="s">
        <v>67</v>
      </c>
      <c r="H3241" s="2">
        <v>21.0</v>
      </c>
      <c r="I3241" s="2">
        <v>66.0</v>
      </c>
      <c r="J3241" s="37">
        <v>557.46</v>
      </c>
      <c r="K3241" s="2">
        <v>24.0</v>
      </c>
      <c r="L3241" s="2">
        <v>130.0</v>
      </c>
      <c r="M3241" s="37">
        <v>708.04</v>
      </c>
    </row>
    <row r="3242" ht="14.25" customHeight="1">
      <c r="A3242" t="s">
        <v>3305</v>
      </c>
      <c r="B3242" t="s">
        <v>3299</v>
      </c>
      <c r="C3242" t="s">
        <v>62</v>
      </c>
      <c r="D3242" t="s">
        <v>63</v>
      </c>
      <c r="E3242">
        <v>2.65</v>
      </c>
      <c r="F3242">
        <v>2.7</v>
      </c>
      <c r="G3242" s="2" t="s">
        <v>67</v>
      </c>
      <c r="H3242" s="2">
        <v>8.0</v>
      </c>
      <c r="I3242" s="2">
        <v>57.0</v>
      </c>
      <c r="J3242" s="37">
        <v>253.78000000000003</v>
      </c>
      <c r="K3242" s="2">
        <v>9.0</v>
      </c>
      <c r="L3242" s="2">
        <v>78.0</v>
      </c>
      <c r="M3242" s="37">
        <v>303.54</v>
      </c>
    </row>
    <row r="3243" ht="14.25" customHeight="1">
      <c r="A3243" t="s">
        <v>3306</v>
      </c>
      <c r="B3243" t="s">
        <v>3284</v>
      </c>
      <c r="C3243" t="s">
        <v>62</v>
      </c>
      <c r="D3243" t="s">
        <v>63</v>
      </c>
      <c r="E3243">
        <v>2.64</v>
      </c>
      <c r="F3243">
        <v>2.9</v>
      </c>
      <c r="G3243" s="2" t="s">
        <v>67</v>
      </c>
      <c r="H3243" s="2">
        <v>8.0</v>
      </c>
      <c r="I3243" s="2">
        <v>56.0</v>
      </c>
      <c r="J3243" s="37">
        <v>252.48000000000002</v>
      </c>
      <c r="K3243" s="2">
        <v>9.0</v>
      </c>
      <c r="L3243" s="2">
        <v>77.0</v>
      </c>
      <c r="M3243" s="37">
        <v>302.24</v>
      </c>
    </row>
    <row r="3244" ht="14.25" customHeight="1">
      <c r="A3244" t="s">
        <v>3307</v>
      </c>
      <c r="B3244" t="s">
        <v>3284</v>
      </c>
      <c r="C3244" t="s">
        <v>62</v>
      </c>
      <c r="D3244" t="s">
        <v>63</v>
      </c>
      <c r="E3244">
        <v>3.5</v>
      </c>
      <c r="F3244">
        <v>4.0</v>
      </c>
      <c r="G3244" s="2" t="s">
        <v>64</v>
      </c>
      <c r="H3244" s="2">
        <v>0.0</v>
      </c>
      <c r="I3244" s="2">
        <v>0.0</v>
      </c>
      <c r="J3244" s="37">
        <v>0.0</v>
      </c>
      <c r="K3244" s="2">
        <v>0.0</v>
      </c>
      <c r="L3244" s="2">
        <v>0.0</v>
      </c>
      <c r="M3244" s="37">
        <v>0.0</v>
      </c>
    </row>
    <row r="3245" ht="14.25" customHeight="1">
      <c r="A3245" t="s">
        <v>3308</v>
      </c>
      <c r="B3245" t="s">
        <v>3284</v>
      </c>
      <c r="C3245" t="s">
        <v>62</v>
      </c>
      <c r="D3245" t="s">
        <v>63</v>
      </c>
      <c r="E3245">
        <v>5.2</v>
      </c>
      <c r="F3245">
        <v>5.2</v>
      </c>
      <c r="G3245" s="2" t="s">
        <v>67</v>
      </c>
      <c r="H3245" s="2">
        <v>16.0</v>
      </c>
      <c r="I3245" s="2">
        <v>99.0</v>
      </c>
      <c r="J3245" s="37">
        <v>488.06000000000006</v>
      </c>
      <c r="K3245" s="2">
        <v>18.0</v>
      </c>
      <c r="L3245" s="2">
        <v>146.0</v>
      </c>
      <c r="M3245" s="37">
        <v>594.08</v>
      </c>
    </row>
    <row r="3246" ht="14.25" customHeight="1">
      <c r="A3246" t="s">
        <v>3309</v>
      </c>
      <c r="B3246" t="s">
        <v>3284</v>
      </c>
      <c r="C3246" t="s">
        <v>62</v>
      </c>
      <c r="D3246" t="s">
        <v>63</v>
      </c>
      <c r="E3246">
        <v>7.04</v>
      </c>
      <c r="F3246">
        <v>8.2</v>
      </c>
      <c r="G3246" s="2" t="s">
        <v>64</v>
      </c>
      <c r="H3246" s="2">
        <v>0.0</v>
      </c>
      <c r="I3246" s="2">
        <v>0.0</v>
      </c>
      <c r="J3246" s="37">
        <v>0.0</v>
      </c>
      <c r="K3246" s="2">
        <v>0.0</v>
      </c>
      <c r="L3246" s="2">
        <v>0.0</v>
      </c>
      <c r="M3246" s="37">
        <v>0.0</v>
      </c>
    </row>
    <row r="3247" ht="14.25" customHeight="1">
      <c r="A3247" t="s">
        <v>3310</v>
      </c>
      <c r="B3247" t="s">
        <v>3284</v>
      </c>
      <c r="C3247" t="s">
        <v>62</v>
      </c>
      <c r="D3247" t="s">
        <v>63</v>
      </c>
      <c r="E3247">
        <v>8.0</v>
      </c>
      <c r="F3247">
        <v>8.4</v>
      </c>
      <c r="G3247" s="2" t="s">
        <v>64</v>
      </c>
      <c r="H3247" s="2">
        <v>0.0</v>
      </c>
      <c r="I3247" s="2">
        <v>0.0</v>
      </c>
      <c r="J3247" s="37">
        <v>0.0</v>
      </c>
      <c r="K3247" s="2">
        <v>0.0</v>
      </c>
      <c r="L3247" s="2">
        <v>0.0</v>
      </c>
      <c r="M3247" s="37">
        <v>0.0</v>
      </c>
    </row>
    <row r="3248" ht="14.25" customHeight="1">
      <c r="A3248" t="s">
        <v>3311</v>
      </c>
      <c r="B3248" t="s">
        <v>3299</v>
      </c>
      <c r="C3248" t="s">
        <v>75</v>
      </c>
      <c r="D3248" t="s">
        <v>63</v>
      </c>
      <c r="E3248">
        <v>17.0</v>
      </c>
      <c r="F3248">
        <v>17.5</v>
      </c>
      <c r="G3248" s="2" t="s">
        <v>67</v>
      </c>
      <c r="H3248" s="2">
        <v>54.0</v>
      </c>
      <c r="I3248" s="2">
        <v>97.0</v>
      </c>
      <c r="J3248" s="37">
        <v>1338.94</v>
      </c>
      <c r="K3248" s="2">
        <v>62.0</v>
      </c>
      <c r="L3248" s="2">
        <v>271.0</v>
      </c>
      <c r="M3248" s="37">
        <v>1744.82</v>
      </c>
    </row>
    <row r="3249" ht="14.25" customHeight="1">
      <c r="A3249" t="s">
        <v>3312</v>
      </c>
      <c r="B3249" t="s">
        <v>3299</v>
      </c>
      <c r="C3249" t="s">
        <v>75</v>
      </c>
      <c r="D3249" t="s">
        <v>63</v>
      </c>
      <c r="E3249">
        <v>17.0</v>
      </c>
      <c r="F3249">
        <v>17.5</v>
      </c>
      <c r="G3249" s="2" t="s">
        <v>67</v>
      </c>
      <c r="H3249" s="2">
        <v>54.0</v>
      </c>
      <c r="I3249" s="2">
        <v>97.0</v>
      </c>
      <c r="J3249" s="37">
        <v>1338.94</v>
      </c>
      <c r="K3249" s="2">
        <v>62.0</v>
      </c>
      <c r="L3249" s="2">
        <v>271.0</v>
      </c>
      <c r="M3249" s="37">
        <v>1744.82</v>
      </c>
    </row>
    <row r="3250" ht="14.25" customHeight="1">
      <c r="A3250" t="s">
        <v>3313</v>
      </c>
      <c r="B3250" t="s">
        <v>3299</v>
      </c>
      <c r="C3250" t="s">
        <v>75</v>
      </c>
      <c r="D3250" t="s">
        <v>63</v>
      </c>
      <c r="E3250">
        <v>17.0</v>
      </c>
      <c r="F3250">
        <v>17.5</v>
      </c>
      <c r="G3250" s="2" t="s">
        <v>67</v>
      </c>
      <c r="H3250" s="2">
        <v>54.0</v>
      </c>
      <c r="I3250" s="2">
        <v>97.0</v>
      </c>
      <c r="J3250" s="37">
        <v>1338.94</v>
      </c>
      <c r="K3250" s="2">
        <v>62.0</v>
      </c>
      <c r="L3250" s="2">
        <v>271.0</v>
      </c>
      <c r="M3250" s="37">
        <v>1744.82</v>
      </c>
    </row>
    <row r="3251" ht="14.25" customHeight="1">
      <c r="A3251" t="s">
        <v>3314</v>
      </c>
      <c r="B3251" t="s">
        <v>3299</v>
      </c>
      <c r="C3251" t="s">
        <v>75</v>
      </c>
      <c r="D3251" t="s">
        <v>63</v>
      </c>
      <c r="E3251">
        <v>7.3</v>
      </c>
      <c r="F3251">
        <v>7.5</v>
      </c>
      <c r="G3251" s="2" t="s">
        <v>67</v>
      </c>
      <c r="H3251" s="2">
        <v>24.0</v>
      </c>
      <c r="I3251" s="2">
        <v>75.0</v>
      </c>
      <c r="J3251" s="37">
        <v>636.54</v>
      </c>
      <c r="K3251" s="2">
        <v>28.0</v>
      </c>
      <c r="L3251" s="2">
        <v>150.0</v>
      </c>
      <c r="M3251" s="37">
        <v>823.88</v>
      </c>
    </row>
    <row r="3252" ht="14.25" customHeight="1">
      <c r="A3252" t="s">
        <v>3315</v>
      </c>
      <c r="B3252" t="s">
        <v>3299</v>
      </c>
      <c r="C3252" t="s">
        <v>75</v>
      </c>
      <c r="D3252" t="s">
        <v>63</v>
      </c>
      <c r="E3252">
        <v>9.0</v>
      </c>
      <c r="F3252">
        <v>10.0</v>
      </c>
      <c r="G3252" s="2" t="s">
        <v>67</v>
      </c>
      <c r="H3252" s="2">
        <v>32.0</v>
      </c>
      <c r="I3252" s="2">
        <v>104.0</v>
      </c>
      <c r="J3252" s="37">
        <v>853.9200000000001</v>
      </c>
      <c r="K3252" s="2">
        <v>36.0</v>
      </c>
      <c r="L3252" s="2">
        <v>196.0</v>
      </c>
      <c r="M3252" s="37">
        <v>1063.3600000000001</v>
      </c>
    </row>
    <row r="3253" ht="14.25" customHeight="1">
      <c r="A3253" t="s">
        <v>3316</v>
      </c>
      <c r="B3253" t="s">
        <v>3299</v>
      </c>
      <c r="C3253" t="s">
        <v>75</v>
      </c>
      <c r="D3253" t="s">
        <v>63</v>
      </c>
      <c r="E3253">
        <v>10.5</v>
      </c>
      <c r="F3253">
        <v>11.5</v>
      </c>
      <c r="G3253" s="2" t="s">
        <v>67</v>
      </c>
      <c r="H3253" s="2">
        <v>37.0</v>
      </c>
      <c r="I3253" s="2">
        <v>85.0</v>
      </c>
      <c r="J3253" s="37">
        <v>941.52</v>
      </c>
      <c r="K3253" s="2">
        <v>42.0</v>
      </c>
      <c r="L3253" s="2">
        <v>192.0</v>
      </c>
      <c r="M3253" s="37">
        <v>1192.92</v>
      </c>
    </row>
    <row r="3254" ht="14.25" customHeight="1">
      <c r="A3254" t="s">
        <v>3317</v>
      </c>
      <c r="B3254" t="s">
        <v>3299</v>
      </c>
      <c r="C3254" t="s">
        <v>75</v>
      </c>
      <c r="D3254" t="s">
        <v>63</v>
      </c>
      <c r="E3254">
        <v>12.5</v>
      </c>
      <c r="F3254">
        <v>13.0</v>
      </c>
      <c r="G3254" s="2" t="s">
        <v>67</v>
      </c>
      <c r="H3254" s="2">
        <v>41.0</v>
      </c>
      <c r="I3254" s="2">
        <v>157.0</v>
      </c>
      <c r="J3254" s="37">
        <v>1124.96</v>
      </c>
      <c r="K3254" s="2">
        <v>48.0</v>
      </c>
      <c r="L3254" s="2">
        <v>285.0</v>
      </c>
      <c r="M3254" s="37">
        <v>1448.58</v>
      </c>
    </row>
    <row r="3255" ht="14.25" customHeight="1">
      <c r="A3255" t="s">
        <v>3318</v>
      </c>
      <c r="B3255" t="s">
        <v>3299</v>
      </c>
      <c r="C3255" t="s">
        <v>75</v>
      </c>
      <c r="D3255" t="s">
        <v>63</v>
      </c>
      <c r="E3255">
        <v>14.0</v>
      </c>
      <c r="F3255">
        <v>14.5</v>
      </c>
      <c r="G3255" s="2" t="s">
        <v>67</v>
      </c>
      <c r="H3255" s="2">
        <v>45.0</v>
      </c>
      <c r="I3255" s="2">
        <v>93.0</v>
      </c>
      <c r="J3255" s="37">
        <v>1131.6000000000001</v>
      </c>
      <c r="K3255" s="2">
        <v>52.0</v>
      </c>
      <c r="L3255" s="2">
        <v>237.0</v>
      </c>
      <c r="M3255" s="37">
        <v>1476.02</v>
      </c>
    </row>
    <row r="3256" ht="14.25" customHeight="1">
      <c r="A3256" t="s">
        <v>3319</v>
      </c>
      <c r="B3256" t="s">
        <v>3299</v>
      </c>
      <c r="C3256" t="s">
        <v>75</v>
      </c>
      <c r="D3256" t="s">
        <v>63</v>
      </c>
      <c r="E3256">
        <v>17.0</v>
      </c>
      <c r="F3256">
        <v>18.0</v>
      </c>
      <c r="G3256" s="2" t="s">
        <v>67</v>
      </c>
      <c r="H3256" s="2">
        <v>55.0</v>
      </c>
      <c r="I3256" s="2">
        <v>69.0</v>
      </c>
      <c r="J3256" s="37">
        <v>1325.0</v>
      </c>
      <c r="K3256" s="2">
        <v>64.0</v>
      </c>
      <c r="L3256" s="2">
        <v>243.0</v>
      </c>
      <c r="M3256" s="37">
        <v>1753.3400000000001</v>
      </c>
    </row>
    <row r="3257" ht="14.25" customHeight="1">
      <c r="A3257" t="s">
        <v>3320</v>
      </c>
      <c r="B3257" t="s">
        <v>3299</v>
      </c>
      <c r="C3257" t="s">
        <v>62</v>
      </c>
      <c r="D3257" t="s">
        <v>63</v>
      </c>
      <c r="E3257">
        <v>2.65</v>
      </c>
      <c r="F3257">
        <v>2.7</v>
      </c>
      <c r="G3257" s="2" t="s">
        <v>67</v>
      </c>
      <c r="H3257" s="2">
        <v>8.0</v>
      </c>
      <c r="I3257" s="2">
        <v>57.0</v>
      </c>
      <c r="J3257" s="37">
        <v>253.78000000000003</v>
      </c>
      <c r="K3257" s="2">
        <v>9.0</v>
      </c>
      <c r="L3257" s="2">
        <v>78.0</v>
      </c>
      <c r="M3257" s="37">
        <v>303.54</v>
      </c>
    </row>
    <row r="3258" ht="14.25" customHeight="1">
      <c r="A3258" t="s">
        <v>3321</v>
      </c>
      <c r="B3258" t="s">
        <v>3299</v>
      </c>
      <c r="C3258" t="s">
        <v>62</v>
      </c>
      <c r="D3258" t="s">
        <v>63</v>
      </c>
      <c r="E3258">
        <v>3.5</v>
      </c>
      <c r="F3258">
        <v>3.8</v>
      </c>
      <c r="G3258" s="2" t="s">
        <v>67</v>
      </c>
      <c r="H3258" s="2">
        <v>10.0</v>
      </c>
      <c r="I3258" s="2">
        <v>49.0</v>
      </c>
      <c r="J3258" s="37">
        <v>288.3</v>
      </c>
      <c r="K3258" s="2">
        <v>12.0</v>
      </c>
      <c r="L3258" s="2">
        <v>77.0</v>
      </c>
      <c r="M3258" s="37">
        <v>369.62</v>
      </c>
    </row>
    <row r="3259" ht="14.25" customHeight="1">
      <c r="A3259" t="s">
        <v>3322</v>
      </c>
      <c r="B3259" t="s">
        <v>3299</v>
      </c>
      <c r="C3259" t="s">
        <v>62</v>
      </c>
      <c r="D3259" t="s">
        <v>63</v>
      </c>
      <c r="E3259">
        <v>5.0</v>
      </c>
      <c r="F3259">
        <v>5.4</v>
      </c>
      <c r="G3259" s="2" t="s">
        <v>67</v>
      </c>
      <c r="H3259" s="2">
        <v>16.0</v>
      </c>
      <c r="I3259" s="2">
        <v>80.0</v>
      </c>
      <c r="J3259" s="37">
        <v>463.36</v>
      </c>
      <c r="K3259" s="2">
        <v>18.0</v>
      </c>
      <c r="L3259" s="2">
        <v>126.0</v>
      </c>
      <c r="M3259" s="37">
        <v>568.08</v>
      </c>
    </row>
    <row r="3260" ht="14.25" customHeight="1">
      <c r="A3260" t="s">
        <v>3323</v>
      </c>
      <c r="B3260" t="s">
        <v>3299</v>
      </c>
      <c r="C3260" t="s">
        <v>62</v>
      </c>
      <c r="D3260" t="s">
        <v>63</v>
      </c>
      <c r="E3260">
        <v>6.0</v>
      </c>
      <c r="F3260">
        <v>6.5</v>
      </c>
      <c r="G3260" s="2" t="s">
        <v>67</v>
      </c>
      <c r="H3260" s="2">
        <v>19.0</v>
      </c>
      <c r="I3260" s="2">
        <v>33.0</v>
      </c>
      <c r="J3260" s="37">
        <v>469.64</v>
      </c>
      <c r="K3260" s="2">
        <v>21.0</v>
      </c>
      <c r="L3260" s="2">
        <v>88.0</v>
      </c>
      <c r="M3260" s="37">
        <v>586.0600000000001</v>
      </c>
    </row>
    <row r="3261" ht="14.25" customHeight="1">
      <c r="A3261" t="s">
        <v>3324</v>
      </c>
      <c r="B3261" t="s">
        <v>3299</v>
      </c>
      <c r="C3261" t="s">
        <v>62</v>
      </c>
      <c r="D3261" t="s">
        <v>63</v>
      </c>
      <c r="E3261">
        <v>7.15</v>
      </c>
      <c r="F3261">
        <v>7.8</v>
      </c>
      <c r="G3261" s="2" t="s">
        <v>67</v>
      </c>
      <c r="H3261" s="2">
        <v>22.0</v>
      </c>
      <c r="I3261" s="2">
        <v>89.0</v>
      </c>
      <c r="J3261" s="37">
        <v>609.82</v>
      </c>
      <c r="K3261" s="2">
        <v>26.0</v>
      </c>
      <c r="L3261" s="2">
        <v>154.0</v>
      </c>
      <c r="M3261" s="37">
        <v>784.1600000000001</v>
      </c>
    </row>
    <row r="3262" ht="14.25" customHeight="1">
      <c r="A3262" t="s">
        <v>3325</v>
      </c>
      <c r="B3262" t="s">
        <v>3299</v>
      </c>
      <c r="C3262" t="s">
        <v>62</v>
      </c>
      <c r="D3262" t="s">
        <v>63</v>
      </c>
      <c r="E3262">
        <v>7.8</v>
      </c>
      <c r="F3262">
        <v>8.3</v>
      </c>
      <c r="G3262" s="2" t="s">
        <v>67</v>
      </c>
      <c r="H3262" s="2">
        <v>23.0</v>
      </c>
      <c r="I3262" s="2">
        <v>65.0</v>
      </c>
      <c r="J3262" s="37">
        <v>601.08</v>
      </c>
      <c r="K3262" s="2">
        <v>27.0</v>
      </c>
      <c r="L3262" s="2">
        <v>137.0</v>
      </c>
      <c r="M3262" s="37">
        <v>784.5200000000001</v>
      </c>
    </row>
    <row r="3263" ht="14.25" customHeight="1">
      <c r="A3263" t="s">
        <v>3326</v>
      </c>
      <c r="B3263" t="s">
        <v>3284</v>
      </c>
      <c r="C3263" t="s">
        <v>75</v>
      </c>
      <c r="D3263" t="s">
        <v>63</v>
      </c>
      <c r="E3263">
        <v>7.0</v>
      </c>
      <c r="F3263">
        <v>8.0</v>
      </c>
      <c r="G3263" s="2" t="s">
        <v>64</v>
      </c>
      <c r="H3263" s="2">
        <v>0.0</v>
      </c>
      <c r="I3263" s="2">
        <v>0.0</v>
      </c>
      <c r="J3263" s="37">
        <v>0.0</v>
      </c>
      <c r="K3263" s="2">
        <v>0.0</v>
      </c>
      <c r="L3263" s="2">
        <v>0.0</v>
      </c>
      <c r="M3263" s="37">
        <v>0.0</v>
      </c>
    </row>
    <row r="3264" ht="14.25" customHeight="1">
      <c r="A3264" t="s">
        <v>3327</v>
      </c>
      <c r="B3264" t="s">
        <v>3284</v>
      </c>
      <c r="C3264" t="s">
        <v>75</v>
      </c>
      <c r="D3264" t="s">
        <v>63</v>
      </c>
      <c r="E3264">
        <v>10.5</v>
      </c>
      <c r="F3264">
        <v>10.5</v>
      </c>
      <c r="G3264" s="2" t="s">
        <v>67</v>
      </c>
      <c r="H3264" s="2">
        <v>31.0</v>
      </c>
      <c r="I3264" s="2">
        <v>61.0</v>
      </c>
      <c r="J3264" s="37">
        <v>775.56</v>
      </c>
      <c r="K3264" s="2">
        <v>36.0</v>
      </c>
      <c r="L3264" s="2">
        <v>169.0</v>
      </c>
      <c r="M3264" s="37">
        <v>1028.26</v>
      </c>
    </row>
    <row r="3265" ht="14.25" customHeight="1">
      <c r="A3265" t="s">
        <v>3328</v>
      </c>
      <c r="B3265" t="s">
        <v>3284</v>
      </c>
      <c r="C3265" t="s">
        <v>75</v>
      </c>
      <c r="D3265" t="s">
        <v>63</v>
      </c>
      <c r="E3265">
        <v>13.0</v>
      </c>
      <c r="F3265">
        <v>15.0</v>
      </c>
      <c r="G3265" s="2" t="s">
        <v>67</v>
      </c>
      <c r="H3265" s="2">
        <v>44.0</v>
      </c>
      <c r="I3265" s="2">
        <v>121.0</v>
      </c>
      <c r="J3265" s="37">
        <v>1145.54</v>
      </c>
      <c r="K3265" s="2">
        <v>51.0</v>
      </c>
      <c r="L3265" s="2">
        <v>254.0</v>
      </c>
      <c r="M3265" s="37">
        <v>1475.66</v>
      </c>
    </row>
    <row r="3266" ht="14.25" customHeight="1">
      <c r="A3266" t="s">
        <v>3329</v>
      </c>
      <c r="B3266" t="s">
        <v>3284</v>
      </c>
      <c r="C3266" t="s">
        <v>75</v>
      </c>
      <c r="D3266" t="s">
        <v>63</v>
      </c>
      <c r="E3266">
        <v>14.5</v>
      </c>
      <c r="F3266">
        <v>17.0</v>
      </c>
      <c r="G3266" s="2" t="s">
        <v>64</v>
      </c>
      <c r="H3266" s="2">
        <v>0.0</v>
      </c>
      <c r="I3266" s="2">
        <v>0.0</v>
      </c>
      <c r="J3266" s="37">
        <v>0.0</v>
      </c>
      <c r="K3266" s="2">
        <v>0.0</v>
      </c>
      <c r="L3266" s="2">
        <v>0.0</v>
      </c>
      <c r="M3266" s="37">
        <v>0.0</v>
      </c>
    </row>
    <row r="3267" ht="14.25" customHeight="1">
      <c r="A3267" t="s">
        <v>3316</v>
      </c>
      <c r="B3267" t="s">
        <v>3299</v>
      </c>
      <c r="C3267" t="s">
        <v>75</v>
      </c>
      <c r="D3267" t="s">
        <v>63</v>
      </c>
      <c r="E3267">
        <v>10.5</v>
      </c>
      <c r="F3267">
        <v>11.5</v>
      </c>
      <c r="G3267" s="2" t="s">
        <v>67</v>
      </c>
      <c r="H3267" s="2">
        <v>37.0</v>
      </c>
      <c r="I3267" s="2">
        <v>85.0</v>
      </c>
      <c r="J3267" s="37">
        <v>941.52</v>
      </c>
      <c r="K3267" s="2">
        <v>42.0</v>
      </c>
      <c r="L3267" s="2">
        <v>192.0</v>
      </c>
      <c r="M3267" s="37">
        <v>1192.92</v>
      </c>
    </row>
    <row r="3268" ht="14.25" customHeight="1">
      <c r="A3268" t="s">
        <v>3319</v>
      </c>
      <c r="B3268" t="s">
        <v>3299</v>
      </c>
      <c r="C3268" t="s">
        <v>75</v>
      </c>
      <c r="D3268" t="s">
        <v>63</v>
      </c>
      <c r="E3268">
        <v>17.0</v>
      </c>
      <c r="F3268">
        <v>18.0</v>
      </c>
      <c r="G3268" s="2" t="s">
        <v>67</v>
      </c>
      <c r="H3268" s="2">
        <v>55.0</v>
      </c>
      <c r="I3268" s="2">
        <v>69.0</v>
      </c>
      <c r="J3268" s="37">
        <v>1325.0</v>
      </c>
      <c r="K3268" s="2">
        <v>64.0</v>
      </c>
      <c r="L3268" s="2">
        <v>243.0</v>
      </c>
      <c r="M3268" s="37">
        <v>1753.3400000000001</v>
      </c>
    </row>
    <row r="3269" ht="14.25" customHeight="1">
      <c r="A3269" t="s">
        <v>3314</v>
      </c>
      <c r="B3269" t="s">
        <v>3299</v>
      </c>
      <c r="C3269" t="s">
        <v>75</v>
      </c>
      <c r="D3269" t="s">
        <v>63</v>
      </c>
      <c r="E3269">
        <v>7.3</v>
      </c>
      <c r="F3269">
        <v>7.5</v>
      </c>
      <c r="G3269" s="2" t="s">
        <v>67</v>
      </c>
      <c r="H3269" s="2">
        <v>24.0</v>
      </c>
      <c r="I3269" s="2">
        <v>75.0</v>
      </c>
      <c r="J3269" s="37">
        <v>636.54</v>
      </c>
      <c r="K3269" s="2">
        <v>28.0</v>
      </c>
      <c r="L3269" s="2">
        <v>150.0</v>
      </c>
      <c r="M3269" s="37">
        <v>823.88</v>
      </c>
    </row>
    <row r="3270" ht="14.25" customHeight="1">
      <c r="A3270" t="s">
        <v>3315</v>
      </c>
      <c r="B3270" t="s">
        <v>3299</v>
      </c>
      <c r="C3270" t="s">
        <v>75</v>
      </c>
      <c r="D3270" t="s">
        <v>63</v>
      </c>
      <c r="E3270">
        <v>9.0</v>
      </c>
      <c r="F3270">
        <v>10.0</v>
      </c>
      <c r="G3270" s="2" t="s">
        <v>67</v>
      </c>
      <c r="H3270" s="2">
        <v>32.0</v>
      </c>
      <c r="I3270" s="2">
        <v>104.0</v>
      </c>
      <c r="J3270" s="37">
        <v>853.9200000000001</v>
      </c>
      <c r="K3270" s="2">
        <v>36.0</v>
      </c>
      <c r="L3270" s="2">
        <v>196.0</v>
      </c>
      <c r="M3270" s="37">
        <v>1063.3600000000001</v>
      </c>
    </row>
    <row r="3271" ht="14.25" customHeight="1">
      <c r="A3271" t="s">
        <v>3316</v>
      </c>
      <c r="B3271" t="s">
        <v>3299</v>
      </c>
      <c r="C3271" t="s">
        <v>75</v>
      </c>
      <c r="D3271" t="s">
        <v>63</v>
      </c>
      <c r="E3271">
        <v>10.5</v>
      </c>
      <c r="F3271">
        <v>11.5</v>
      </c>
      <c r="G3271" s="2" t="s">
        <v>67</v>
      </c>
      <c r="H3271" s="2">
        <v>37.0</v>
      </c>
      <c r="I3271" s="2">
        <v>85.0</v>
      </c>
      <c r="J3271" s="37">
        <v>941.52</v>
      </c>
      <c r="K3271" s="2">
        <v>42.0</v>
      </c>
      <c r="L3271" s="2">
        <v>192.0</v>
      </c>
      <c r="M3271" s="37">
        <v>1192.92</v>
      </c>
    </row>
    <row r="3272" ht="14.25" customHeight="1">
      <c r="A3272" t="s">
        <v>3319</v>
      </c>
      <c r="B3272" t="s">
        <v>3299</v>
      </c>
      <c r="C3272" t="s">
        <v>75</v>
      </c>
      <c r="D3272" t="s">
        <v>63</v>
      </c>
      <c r="E3272">
        <v>17.0</v>
      </c>
      <c r="F3272">
        <v>18.0</v>
      </c>
      <c r="G3272" s="2" t="s">
        <v>67</v>
      </c>
      <c r="H3272" s="2">
        <v>55.0</v>
      </c>
      <c r="I3272" s="2">
        <v>69.0</v>
      </c>
      <c r="J3272" s="37">
        <v>1325.0</v>
      </c>
      <c r="K3272" s="2">
        <v>64.0</v>
      </c>
      <c r="L3272" s="2">
        <v>243.0</v>
      </c>
      <c r="M3272" s="37">
        <v>1753.3400000000001</v>
      </c>
    </row>
    <row r="3273" ht="14.25" customHeight="1">
      <c r="A3273" t="s">
        <v>3330</v>
      </c>
      <c r="B3273" t="s">
        <v>3284</v>
      </c>
      <c r="C3273" t="s">
        <v>62</v>
      </c>
      <c r="D3273" t="s">
        <v>268</v>
      </c>
      <c r="E3273">
        <v>3.5</v>
      </c>
      <c r="F3273">
        <v>3.0</v>
      </c>
      <c r="G3273" s="2" t="s">
        <v>64</v>
      </c>
      <c r="H3273" s="2">
        <v>0.0</v>
      </c>
      <c r="I3273" s="2">
        <v>0.0</v>
      </c>
      <c r="J3273" s="37">
        <v>0.0</v>
      </c>
      <c r="K3273" s="2">
        <v>0.0</v>
      </c>
      <c r="L3273" s="2">
        <v>0.0</v>
      </c>
      <c r="M3273" s="37">
        <v>0.0</v>
      </c>
    </row>
    <row r="3274" ht="14.25" customHeight="1">
      <c r="A3274" t="s">
        <v>3331</v>
      </c>
      <c r="B3274" t="s">
        <v>3299</v>
      </c>
      <c r="C3274" t="s">
        <v>62</v>
      </c>
      <c r="D3274" t="s">
        <v>63</v>
      </c>
      <c r="E3274">
        <v>4.9</v>
      </c>
      <c r="F3274">
        <v>5.5</v>
      </c>
      <c r="G3274" s="2" t="s">
        <v>67</v>
      </c>
      <c r="H3274" s="2">
        <v>16.0</v>
      </c>
      <c r="I3274" s="2">
        <v>53.0</v>
      </c>
      <c r="J3274" s="37">
        <v>428.26</v>
      </c>
      <c r="K3274" s="2">
        <v>18.0</v>
      </c>
      <c r="L3274" s="2">
        <v>98.0</v>
      </c>
      <c r="M3274" s="37">
        <v>531.6800000000001</v>
      </c>
    </row>
    <row r="3275" ht="14.25" customHeight="1">
      <c r="A3275" t="s">
        <v>3332</v>
      </c>
      <c r="B3275" t="s">
        <v>3284</v>
      </c>
      <c r="C3275" t="s">
        <v>62</v>
      </c>
      <c r="D3275" t="s">
        <v>63</v>
      </c>
      <c r="E3275">
        <v>4.7</v>
      </c>
      <c r="F3275">
        <v>5.2</v>
      </c>
      <c r="G3275" s="2" t="s">
        <v>67</v>
      </c>
      <c r="H3275" s="2">
        <v>15.0</v>
      </c>
      <c r="I3275" s="2">
        <v>5.0</v>
      </c>
      <c r="J3275" s="37">
        <v>343.40000000000003</v>
      </c>
      <c r="K3275" s="2">
        <v>17.0</v>
      </c>
      <c r="L3275" s="2">
        <v>48.0</v>
      </c>
      <c r="M3275" s="37">
        <v>444.22</v>
      </c>
    </row>
    <row r="3276" ht="14.25" customHeight="1">
      <c r="A3276" t="s">
        <v>3333</v>
      </c>
      <c r="B3276" t="s">
        <v>3284</v>
      </c>
      <c r="C3276" t="s">
        <v>62</v>
      </c>
      <c r="D3276" t="s">
        <v>63</v>
      </c>
      <c r="E3276">
        <v>8.0</v>
      </c>
      <c r="F3276">
        <v>8.4</v>
      </c>
      <c r="G3276" s="2" t="s">
        <v>64</v>
      </c>
      <c r="H3276" s="2">
        <v>0.0</v>
      </c>
      <c r="I3276" s="2">
        <v>0.0</v>
      </c>
      <c r="J3276" s="37">
        <v>0.0</v>
      </c>
      <c r="K3276" s="2">
        <v>0.0</v>
      </c>
      <c r="L3276" s="2">
        <v>0.0</v>
      </c>
      <c r="M3276" s="37">
        <v>0.0</v>
      </c>
    </row>
    <row r="3277" ht="14.25" customHeight="1">
      <c r="A3277" t="s">
        <v>3334</v>
      </c>
      <c r="B3277" t="s">
        <v>3284</v>
      </c>
      <c r="C3277" t="s">
        <v>62</v>
      </c>
      <c r="D3277" t="s">
        <v>63</v>
      </c>
      <c r="E3277">
        <v>2.65</v>
      </c>
      <c r="F3277">
        <v>2.7</v>
      </c>
      <c r="G3277" s="2" t="s">
        <v>67</v>
      </c>
      <c r="H3277" s="2">
        <v>8.0</v>
      </c>
      <c r="I3277" s="2">
        <v>60.0</v>
      </c>
      <c r="J3277" s="37">
        <v>257.68</v>
      </c>
      <c r="K3277" s="2">
        <v>9.0</v>
      </c>
      <c r="L3277" s="2">
        <v>82.0</v>
      </c>
      <c r="M3277" s="37">
        <v>308.74</v>
      </c>
    </row>
    <row r="3278" ht="14.25" customHeight="1">
      <c r="A3278" t="s">
        <v>3335</v>
      </c>
      <c r="B3278" t="s">
        <v>3284</v>
      </c>
      <c r="C3278" t="s">
        <v>62</v>
      </c>
      <c r="D3278" t="s">
        <v>63</v>
      </c>
      <c r="E3278">
        <v>3.55</v>
      </c>
      <c r="F3278">
        <v>3.8</v>
      </c>
      <c r="G3278" s="2" t="s">
        <v>67</v>
      </c>
      <c r="H3278" s="2">
        <v>10.0</v>
      </c>
      <c r="I3278" s="2">
        <v>53.0</v>
      </c>
      <c r="J3278" s="37">
        <v>293.5</v>
      </c>
      <c r="K3278" s="2">
        <v>12.0</v>
      </c>
      <c r="L3278" s="2">
        <v>81.0</v>
      </c>
      <c r="M3278" s="37">
        <v>374.82</v>
      </c>
    </row>
    <row r="3279" ht="14.25" customHeight="1">
      <c r="A3279" t="s">
        <v>3336</v>
      </c>
      <c r="B3279" t="s">
        <v>3284</v>
      </c>
      <c r="C3279" t="s">
        <v>62</v>
      </c>
      <c r="D3279" t="s">
        <v>63</v>
      </c>
      <c r="E3279">
        <v>7.04</v>
      </c>
      <c r="F3279">
        <v>7.5</v>
      </c>
      <c r="G3279" s="2" t="s">
        <v>67</v>
      </c>
      <c r="H3279" s="2">
        <v>22.0</v>
      </c>
      <c r="I3279" s="2">
        <v>99.0</v>
      </c>
      <c r="J3279" s="37">
        <v>622.82</v>
      </c>
      <c r="K3279" s="2">
        <v>25.0</v>
      </c>
      <c r="L3279" s="2">
        <v>163.0</v>
      </c>
      <c r="M3279" s="37">
        <v>773.4</v>
      </c>
    </row>
    <row r="3280" ht="14.25" customHeight="1">
      <c r="A3280" t="s">
        <v>3337</v>
      </c>
      <c r="B3280" t="s">
        <v>3284</v>
      </c>
      <c r="C3280" t="s">
        <v>62</v>
      </c>
      <c r="D3280" t="s">
        <v>63</v>
      </c>
      <c r="E3280">
        <v>8.0</v>
      </c>
      <c r="F3280">
        <v>8.5</v>
      </c>
      <c r="G3280" s="2" t="s">
        <v>64</v>
      </c>
      <c r="H3280" s="2">
        <v>0.0</v>
      </c>
      <c r="I3280" s="2">
        <v>0.0</v>
      </c>
      <c r="J3280" s="37">
        <v>0.0</v>
      </c>
      <c r="K3280" s="2">
        <v>0.0</v>
      </c>
      <c r="L3280" s="2">
        <v>0.0</v>
      </c>
      <c r="M3280" s="37">
        <v>0.0</v>
      </c>
    </row>
    <row r="3281" ht="14.25" customHeight="1">
      <c r="A3281" t="s">
        <v>3338</v>
      </c>
      <c r="B3281" t="s">
        <v>3284</v>
      </c>
      <c r="C3281" t="s">
        <v>62</v>
      </c>
      <c r="D3281" t="s">
        <v>63</v>
      </c>
      <c r="E3281">
        <v>2.05</v>
      </c>
      <c r="F3281">
        <v>2.37</v>
      </c>
      <c r="G3281" s="2" t="s">
        <v>67</v>
      </c>
      <c r="H3281" s="2">
        <v>6.0</v>
      </c>
      <c r="I3281" s="2">
        <v>35.0</v>
      </c>
      <c r="J3281" s="37">
        <v>180.26</v>
      </c>
      <c r="K3281" s="2">
        <v>7.0</v>
      </c>
      <c r="L3281" s="2">
        <v>51.0</v>
      </c>
      <c r="M3281" s="37">
        <v>223.51999999999998</v>
      </c>
    </row>
    <row r="3282" ht="14.25" customHeight="1">
      <c r="A3282" t="s">
        <v>3339</v>
      </c>
      <c r="B3282" t="s">
        <v>3284</v>
      </c>
      <c r="C3282" t="s">
        <v>62</v>
      </c>
      <c r="D3282" t="s">
        <v>63</v>
      </c>
      <c r="E3282">
        <v>2.5</v>
      </c>
      <c r="F3282">
        <v>2.795</v>
      </c>
      <c r="G3282" s="2" t="s">
        <v>67</v>
      </c>
      <c r="H3282" s="2">
        <v>7.0</v>
      </c>
      <c r="I3282" s="2">
        <v>42.0</v>
      </c>
      <c r="J3282" s="37">
        <v>211.82</v>
      </c>
      <c r="K3282" s="2">
        <v>8.0</v>
      </c>
      <c r="L3282" s="2">
        <v>62.0</v>
      </c>
      <c r="M3282" s="37">
        <v>260.28000000000003</v>
      </c>
    </row>
    <row r="3283" ht="14.25" customHeight="1">
      <c r="A3283" t="s">
        <v>3340</v>
      </c>
      <c r="B3283" t="s">
        <v>3284</v>
      </c>
      <c r="C3283" t="s">
        <v>62</v>
      </c>
      <c r="D3283" t="s">
        <v>63</v>
      </c>
      <c r="E3283">
        <v>3.5</v>
      </c>
      <c r="F3283">
        <v>4.0</v>
      </c>
      <c r="G3283" s="2" t="s">
        <v>67</v>
      </c>
      <c r="H3283" s="2">
        <v>10.0</v>
      </c>
      <c r="I3283" s="2">
        <v>31.0</v>
      </c>
      <c r="J3283" s="37">
        <v>264.90000000000003</v>
      </c>
      <c r="K3283" s="2">
        <v>12.0</v>
      </c>
      <c r="L3283" s="2">
        <v>59.0</v>
      </c>
      <c r="M3283" s="37">
        <v>346.21999999999997</v>
      </c>
    </row>
    <row r="3284" ht="14.25" customHeight="1">
      <c r="A3284" t="s">
        <v>3341</v>
      </c>
      <c r="B3284" t="s">
        <v>3284</v>
      </c>
      <c r="C3284" t="s">
        <v>62</v>
      </c>
      <c r="D3284" t="s">
        <v>63</v>
      </c>
      <c r="E3284">
        <v>5.0</v>
      </c>
      <c r="F3284">
        <v>5.54</v>
      </c>
      <c r="G3284" s="2" t="s">
        <v>67</v>
      </c>
      <c r="H3284" s="2">
        <v>16.0</v>
      </c>
      <c r="I3284" s="2">
        <v>63.0</v>
      </c>
      <c r="J3284" s="37">
        <v>441.26</v>
      </c>
      <c r="K3284" s="2">
        <v>19.0</v>
      </c>
      <c r="L3284" s="2">
        <v>109.0</v>
      </c>
      <c r="M3284" s="37">
        <v>568.44</v>
      </c>
    </row>
    <row r="3285" ht="14.25" customHeight="1">
      <c r="A3285" t="s">
        <v>3342</v>
      </c>
      <c r="B3285" t="s">
        <v>3284</v>
      </c>
      <c r="C3285" t="s">
        <v>62</v>
      </c>
      <c r="D3285" t="s">
        <v>63</v>
      </c>
      <c r="E3285">
        <v>6.0</v>
      </c>
      <c r="F3285">
        <v>6.5</v>
      </c>
      <c r="G3285" s="2" t="s">
        <v>67</v>
      </c>
      <c r="H3285" s="2">
        <v>18.0</v>
      </c>
      <c r="I3285" s="2">
        <v>38.0</v>
      </c>
      <c r="J3285" s="37">
        <v>453.68</v>
      </c>
      <c r="K3285" s="2">
        <v>21.0</v>
      </c>
      <c r="L3285" s="2">
        <v>92.0</v>
      </c>
      <c r="M3285" s="37">
        <v>591.26</v>
      </c>
    </row>
    <row r="3286" ht="14.25" customHeight="1">
      <c r="A3286" t="s">
        <v>3343</v>
      </c>
      <c r="B3286" t="s">
        <v>3284</v>
      </c>
      <c r="C3286" t="s">
        <v>62</v>
      </c>
      <c r="D3286" t="s">
        <v>63</v>
      </c>
      <c r="E3286">
        <v>7.0</v>
      </c>
      <c r="F3286">
        <v>7.5</v>
      </c>
      <c r="G3286" s="2" t="s">
        <v>67</v>
      </c>
      <c r="H3286" s="2">
        <v>21.0</v>
      </c>
      <c r="I3286" s="2">
        <v>48.0</v>
      </c>
      <c r="J3286" s="37">
        <v>534.0600000000001</v>
      </c>
      <c r="K3286" s="2">
        <v>25.0</v>
      </c>
      <c r="L3286" s="2">
        <v>112.0</v>
      </c>
      <c r="M3286" s="37">
        <v>707.1</v>
      </c>
    </row>
    <row r="3287" ht="14.25" customHeight="1">
      <c r="A3287" t="s">
        <v>3344</v>
      </c>
      <c r="B3287" t="s">
        <v>3284</v>
      </c>
      <c r="C3287" t="s">
        <v>62</v>
      </c>
      <c r="D3287" t="s">
        <v>63</v>
      </c>
      <c r="E3287">
        <v>7.65</v>
      </c>
      <c r="F3287">
        <v>8.2</v>
      </c>
      <c r="G3287" s="2" t="s">
        <v>67</v>
      </c>
      <c r="H3287" s="2">
        <v>23.0</v>
      </c>
      <c r="I3287" s="2">
        <v>30.0</v>
      </c>
      <c r="J3287" s="37">
        <v>555.58</v>
      </c>
      <c r="K3287" s="2">
        <v>26.0</v>
      </c>
      <c r="L3287" s="2">
        <v>99.0</v>
      </c>
      <c r="M3287" s="37">
        <v>712.6600000000001</v>
      </c>
    </row>
    <row r="3288" ht="14.25" customHeight="1">
      <c r="A3288" t="s">
        <v>3345</v>
      </c>
      <c r="B3288" t="s">
        <v>3284</v>
      </c>
      <c r="C3288" t="s">
        <v>62</v>
      </c>
      <c r="D3288" t="s">
        <v>63</v>
      </c>
      <c r="E3288">
        <v>9.0</v>
      </c>
      <c r="F3288">
        <v>9.5</v>
      </c>
      <c r="G3288" s="2" t="s">
        <v>67</v>
      </c>
      <c r="H3288" s="2">
        <v>28.0</v>
      </c>
      <c r="I3288" s="2">
        <v>62.0</v>
      </c>
      <c r="J3288" s="37">
        <v>709.48</v>
      </c>
      <c r="K3288" s="2">
        <v>32.0</v>
      </c>
      <c r="L3288" s="2">
        <v>144.0</v>
      </c>
      <c r="M3288" s="37">
        <v>905.9200000000001</v>
      </c>
    </row>
    <row r="3289" ht="14.25" customHeight="1">
      <c r="A3289" t="s">
        <v>3346</v>
      </c>
      <c r="B3289" t="s">
        <v>3284</v>
      </c>
      <c r="C3289" t="s">
        <v>75</v>
      </c>
      <c r="D3289" t="s">
        <v>63</v>
      </c>
      <c r="E3289">
        <v>7.3</v>
      </c>
      <c r="F3289">
        <v>7.5</v>
      </c>
      <c r="G3289" s="2" t="s">
        <v>67</v>
      </c>
      <c r="H3289" s="2">
        <v>24.0</v>
      </c>
      <c r="I3289" s="2">
        <v>64.0</v>
      </c>
      <c r="J3289" s="37">
        <v>622.24</v>
      </c>
      <c r="K3289" s="2">
        <v>28.0</v>
      </c>
      <c r="L3289" s="2">
        <v>138.0</v>
      </c>
      <c r="M3289" s="37">
        <v>808.28</v>
      </c>
    </row>
    <row r="3290" ht="14.25" customHeight="1">
      <c r="A3290" t="s">
        <v>3347</v>
      </c>
      <c r="B3290" t="s">
        <v>3284</v>
      </c>
      <c r="C3290" t="s">
        <v>75</v>
      </c>
      <c r="D3290" t="s">
        <v>63</v>
      </c>
      <c r="E3290">
        <v>9.0</v>
      </c>
      <c r="F3290">
        <v>10.5</v>
      </c>
      <c r="G3290" s="2" t="s">
        <v>67</v>
      </c>
      <c r="H3290" s="2">
        <v>32.0</v>
      </c>
      <c r="I3290" s="2">
        <v>86.0</v>
      </c>
      <c r="J3290" s="37">
        <v>830.52</v>
      </c>
      <c r="K3290" s="2">
        <v>37.0</v>
      </c>
      <c r="L3290" s="2">
        <v>179.0</v>
      </c>
      <c r="M3290" s="37">
        <v>1063.72</v>
      </c>
    </row>
    <row r="3291" ht="14.25" customHeight="1">
      <c r="A3291" t="s">
        <v>3348</v>
      </c>
      <c r="B3291" t="s">
        <v>3284</v>
      </c>
      <c r="C3291" t="s">
        <v>75</v>
      </c>
      <c r="D3291" t="s">
        <v>63</v>
      </c>
      <c r="E3291">
        <v>10.5</v>
      </c>
      <c r="F3291">
        <v>12.5</v>
      </c>
      <c r="G3291" s="2" t="s">
        <v>67</v>
      </c>
      <c r="H3291" s="2">
        <v>38.0</v>
      </c>
      <c r="I3291" s="2">
        <v>71.0</v>
      </c>
      <c r="J3291" s="37">
        <v>945.78</v>
      </c>
      <c r="K3291" s="2">
        <v>44.0</v>
      </c>
      <c r="L3291" s="2">
        <v>179.0</v>
      </c>
      <c r="M3291" s="37">
        <v>1220.94</v>
      </c>
    </row>
    <row r="3292" ht="14.25" customHeight="1">
      <c r="A3292" t="s">
        <v>3349</v>
      </c>
      <c r="B3292" t="s">
        <v>3284</v>
      </c>
      <c r="C3292" t="s">
        <v>62</v>
      </c>
      <c r="D3292" t="s">
        <v>63</v>
      </c>
      <c r="E3292">
        <v>2.6</v>
      </c>
      <c r="F3292">
        <v>3.25</v>
      </c>
      <c r="G3292" s="2" t="s">
        <v>67</v>
      </c>
      <c r="H3292" s="2">
        <v>9.0</v>
      </c>
      <c r="I3292" s="2">
        <v>65.0</v>
      </c>
      <c r="J3292" s="37">
        <v>286.64</v>
      </c>
      <c r="K3292" s="2">
        <v>10.0</v>
      </c>
      <c r="L3292" s="2">
        <v>85.0</v>
      </c>
      <c r="M3292" s="37">
        <v>335.1</v>
      </c>
    </row>
    <row r="3293" ht="14.25" customHeight="1">
      <c r="A3293" t="s">
        <v>3350</v>
      </c>
      <c r="B3293" t="s">
        <v>3284</v>
      </c>
      <c r="C3293" t="s">
        <v>62</v>
      </c>
      <c r="D3293" t="s">
        <v>63</v>
      </c>
      <c r="E3293">
        <v>3.5</v>
      </c>
      <c r="F3293">
        <v>3.8</v>
      </c>
      <c r="G3293" s="2" t="s">
        <v>67</v>
      </c>
      <c r="H3293" s="2">
        <v>10.0</v>
      </c>
      <c r="I3293" s="2">
        <v>45.0</v>
      </c>
      <c r="J3293" s="37">
        <v>283.1</v>
      </c>
      <c r="K3293" s="2">
        <v>12.0</v>
      </c>
      <c r="L3293" s="2">
        <v>73.0</v>
      </c>
      <c r="M3293" s="37">
        <v>364.41999999999996</v>
      </c>
    </row>
    <row r="3294" ht="14.25" customHeight="1">
      <c r="A3294" t="s">
        <v>3351</v>
      </c>
      <c r="B3294" t="s">
        <v>3284</v>
      </c>
      <c r="C3294" t="s">
        <v>62</v>
      </c>
      <c r="D3294" t="s">
        <v>63</v>
      </c>
      <c r="E3294">
        <v>5.0</v>
      </c>
      <c r="F3294">
        <v>6.0</v>
      </c>
      <c r="G3294" s="2" t="s">
        <v>67</v>
      </c>
      <c r="H3294" s="2">
        <v>19.0</v>
      </c>
      <c r="I3294" s="2">
        <v>119.0</v>
      </c>
      <c r="J3294" s="37">
        <v>581.44</v>
      </c>
      <c r="K3294" s="2">
        <v>21.0</v>
      </c>
      <c r="L3294" s="2">
        <v>165.0</v>
      </c>
      <c r="M3294" s="37">
        <v>686.1600000000001</v>
      </c>
    </row>
    <row r="3295" ht="14.25" customHeight="1">
      <c r="A3295" t="s">
        <v>3352</v>
      </c>
      <c r="B3295" t="s">
        <v>3284</v>
      </c>
      <c r="C3295" t="s">
        <v>62</v>
      </c>
      <c r="D3295" t="s">
        <v>63</v>
      </c>
      <c r="E3295">
        <v>6.0</v>
      </c>
      <c r="F3295">
        <v>6.55</v>
      </c>
      <c r="G3295" s="2" t="s">
        <v>67</v>
      </c>
      <c r="H3295" s="2">
        <v>20.0</v>
      </c>
      <c r="I3295" s="2">
        <v>87.0</v>
      </c>
      <c r="J3295" s="37">
        <v>562.3000000000001</v>
      </c>
      <c r="K3295" s="2">
        <v>23.0</v>
      </c>
      <c r="L3295" s="2">
        <v>142.0</v>
      </c>
      <c r="M3295" s="37">
        <v>701.1800000000001</v>
      </c>
    </row>
    <row r="3296" ht="14.25" customHeight="1">
      <c r="A3296" t="s">
        <v>3353</v>
      </c>
      <c r="B3296" t="s">
        <v>3284</v>
      </c>
      <c r="C3296" t="s">
        <v>62</v>
      </c>
      <c r="D3296" t="s">
        <v>63</v>
      </c>
      <c r="E3296">
        <v>7.0</v>
      </c>
      <c r="F3296">
        <v>7.7</v>
      </c>
      <c r="G3296" s="2" t="s">
        <v>67</v>
      </c>
      <c r="H3296" s="2">
        <v>22.0</v>
      </c>
      <c r="I3296" s="2">
        <v>60.0</v>
      </c>
      <c r="J3296" s="37">
        <v>572.12</v>
      </c>
      <c r="K3296" s="2">
        <v>25.0</v>
      </c>
      <c r="L3296" s="2">
        <v>123.0</v>
      </c>
      <c r="M3296" s="37">
        <v>721.4</v>
      </c>
    </row>
    <row r="3297" ht="14.25" customHeight="1">
      <c r="A3297" t="s">
        <v>3354</v>
      </c>
      <c r="B3297" t="s">
        <v>3284</v>
      </c>
      <c r="C3297" t="s">
        <v>62</v>
      </c>
      <c r="D3297" t="s">
        <v>63</v>
      </c>
      <c r="E3297">
        <v>7.95</v>
      </c>
      <c r="F3297">
        <v>8.7</v>
      </c>
      <c r="G3297" s="2" t="s">
        <v>67</v>
      </c>
      <c r="H3297" s="2">
        <v>24.0</v>
      </c>
      <c r="I3297" s="2">
        <v>42.0</v>
      </c>
      <c r="J3297" s="37">
        <v>593.64</v>
      </c>
      <c r="K3297" s="2">
        <v>28.0</v>
      </c>
      <c r="L3297" s="2">
        <v>115.0</v>
      </c>
      <c r="M3297" s="37">
        <v>778.38</v>
      </c>
    </row>
    <row r="3298" ht="14.25" customHeight="1">
      <c r="A3298" t="s">
        <v>3355</v>
      </c>
      <c r="B3298" t="s">
        <v>3284</v>
      </c>
      <c r="C3298" t="s">
        <v>75</v>
      </c>
      <c r="D3298" t="s">
        <v>63</v>
      </c>
      <c r="E3298">
        <v>12.6</v>
      </c>
      <c r="F3298">
        <v>14.5</v>
      </c>
      <c r="G3298" s="2" t="s">
        <v>67</v>
      </c>
      <c r="H3298" s="2">
        <v>45.0</v>
      </c>
      <c r="I3298" s="2">
        <v>88.0</v>
      </c>
      <c r="J3298" s="37">
        <v>1125.1000000000001</v>
      </c>
      <c r="K3298" s="2">
        <v>52.0</v>
      </c>
      <c r="L3298" s="2">
        <v>217.0</v>
      </c>
      <c r="M3298" s="37">
        <v>1450.02</v>
      </c>
    </row>
    <row r="3299" ht="14.25" customHeight="1">
      <c r="A3299" t="s">
        <v>3356</v>
      </c>
      <c r="B3299" t="s">
        <v>3284</v>
      </c>
      <c r="C3299" t="s">
        <v>75</v>
      </c>
      <c r="D3299" t="s">
        <v>63</v>
      </c>
      <c r="E3299">
        <v>14.0</v>
      </c>
      <c r="F3299">
        <v>16.8</v>
      </c>
      <c r="G3299" s="2" t="s">
        <v>67</v>
      </c>
      <c r="H3299" s="2">
        <v>50.0</v>
      </c>
      <c r="I3299" s="2">
        <v>99.0</v>
      </c>
      <c r="J3299" s="37">
        <v>1251.7</v>
      </c>
      <c r="K3299" s="2">
        <v>58.0</v>
      </c>
      <c r="L3299" s="2">
        <v>243.0</v>
      </c>
      <c r="M3299" s="37">
        <v>1618.5800000000002</v>
      </c>
    </row>
    <row r="3300" ht="14.25" customHeight="1">
      <c r="A3300" t="s">
        <v>3357</v>
      </c>
      <c r="B3300" t="s">
        <v>3284</v>
      </c>
      <c r="C3300" t="s">
        <v>75</v>
      </c>
      <c r="D3300" t="s">
        <v>63</v>
      </c>
      <c r="E3300">
        <v>14.0</v>
      </c>
      <c r="F3300">
        <v>17.0</v>
      </c>
      <c r="G3300" s="2" t="s">
        <v>67</v>
      </c>
      <c r="H3300" s="2">
        <v>53.0</v>
      </c>
      <c r="I3300" s="2">
        <v>182.0</v>
      </c>
      <c r="J3300" s="37">
        <v>1426.98</v>
      </c>
      <c r="K3300" s="2">
        <v>61.0</v>
      </c>
      <c r="L3300" s="2">
        <v>326.0</v>
      </c>
      <c r="M3300" s="37">
        <v>1793.86</v>
      </c>
    </row>
    <row r="3301" ht="14.25" customHeight="1">
      <c r="A3301" t="s">
        <v>3358</v>
      </c>
      <c r="B3301" t="s">
        <v>3284</v>
      </c>
      <c r="C3301" t="s">
        <v>75</v>
      </c>
      <c r="D3301" t="s">
        <v>63</v>
      </c>
      <c r="E3301">
        <v>17.0</v>
      </c>
      <c r="F3301">
        <v>18.0</v>
      </c>
      <c r="G3301" s="2" t="s">
        <v>67</v>
      </c>
      <c r="H3301" s="2">
        <v>55.0</v>
      </c>
      <c r="I3301" s="2">
        <v>113.0</v>
      </c>
      <c r="J3301" s="37">
        <v>1382.2</v>
      </c>
      <c r="K3301" s="2">
        <v>64.0</v>
      </c>
      <c r="L3301" s="2">
        <v>288.0</v>
      </c>
      <c r="M3301" s="37">
        <v>1811.8400000000001</v>
      </c>
    </row>
    <row r="3302" ht="14.25" customHeight="1">
      <c r="A3302" t="s">
        <v>3359</v>
      </c>
      <c r="B3302" t="s">
        <v>3284</v>
      </c>
      <c r="C3302" t="s">
        <v>62</v>
      </c>
      <c r="D3302" t="s">
        <v>63</v>
      </c>
      <c r="E3302">
        <v>2.5</v>
      </c>
      <c r="F3302">
        <v>2.795</v>
      </c>
      <c r="G3302" s="2" t="s">
        <v>67</v>
      </c>
      <c r="H3302" s="2">
        <v>7.0</v>
      </c>
      <c r="I3302" s="2">
        <v>42.0</v>
      </c>
      <c r="J3302" s="37">
        <v>211.82</v>
      </c>
      <c r="K3302" s="2">
        <v>8.0</v>
      </c>
      <c r="L3302" s="2">
        <v>62.0</v>
      </c>
      <c r="M3302" s="37">
        <v>260.28000000000003</v>
      </c>
    </row>
    <row r="3303" ht="14.25" customHeight="1">
      <c r="A3303" t="s">
        <v>3360</v>
      </c>
      <c r="B3303" t="s">
        <v>3284</v>
      </c>
      <c r="C3303" t="s">
        <v>62</v>
      </c>
      <c r="D3303" t="s">
        <v>63</v>
      </c>
      <c r="E3303">
        <v>3.5</v>
      </c>
      <c r="F3303">
        <v>4.0</v>
      </c>
      <c r="G3303" s="2" t="s">
        <v>67</v>
      </c>
      <c r="H3303" s="2">
        <v>10.0</v>
      </c>
      <c r="I3303" s="2">
        <v>31.0</v>
      </c>
      <c r="J3303" s="37">
        <v>264.90000000000003</v>
      </c>
      <c r="K3303" s="2">
        <v>12.0</v>
      </c>
      <c r="L3303" s="2">
        <v>59.0</v>
      </c>
      <c r="M3303" s="37">
        <v>346.21999999999997</v>
      </c>
    </row>
    <row r="3304" ht="14.25" customHeight="1">
      <c r="A3304" t="s">
        <v>3361</v>
      </c>
      <c r="B3304" t="s">
        <v>3284</v>
      </c>
      <c r="C3304" t="s">
        <v>62</v>
      </c>
      <c r="D3304" t="s">
        <v>63</v>
      </c>
      <c r="E3304">
        <v>5.0</v>
      </c>
      <c r="F3304">
        <v>5.54</v>
      </c>
      <c r="G3304" s="2" t="s">
        <v>67</v>
      </c>
      <c r="H3304" s="2">
        <v>16.0</v>
      </c>
      <c r="I3304" s="2">
        <v>63.0</v>
      </c>
      <c r="J3304" s="37">
        <v>441.26</v>
      </c>
      <c r="K3304" s="2">
        <v>19.0</v>
      </c>
      <c r="L3304" s="2">
        <v>109.0</v>
      </c>
      <c r="M3304" s="37">
        <v>568.44</v>
      </c>
    </row>
    <row r="3305" ht="14.25" customHeight="1">
      <c r="A3305" t="s">
        <v>3362</v>
      </c>
      <c r="B3305" t="s">
        <v>3284</v>
      </c>
      <c r="C3305" t="s">
        <v>62</v>
      </c>
      <c r="D3305" t="s">
        <v>63</v>
      </c>
      <c r="E3305">
        <v>6.0</v>
      </c>
      <c r="F3305">
        <v>6.5</v>
      </c>
      <c r="G3305" s="2" t="s">
        <v>67</v>
      </c>
      <c r="H3305" s="2">
        <v>18.0</v>
      </c>
      <c r="I3305" s="2">
        <v>38.0</v>
      </c>
      <c r="J3305" s="37">
        <v>453.68</v>
      </c>
      <c r="K3305" s="2">
        <v>21.0</v>
      </c>
      <c r="L3305" s="2">
        <v>92.0</v>
      </c>
      <c r="M3305" s="37">
        <v>591.26</v>
      </c>
    </row>
    <row r="3306" ht="14.25" customHeight="1">
      <c r="A3306" t="s">
        <v>3363</v>
      </c>
      <c r="B3306" t="s">
        <v>3284</v>
      </c>
      <c r="C3306" t="s">
        <v>62</v>
      </c>
      <c r="D3306" t="s">
        <v>63</v>
      </c>
      <c r="E3306">
        <v>7.0</v>
      </c>
      <c r="F3306">
        <v>7.5</v>
      </c>
      <c r="G3306" s="2" t="s">
        <v>67</v>
      </c>
      <c r="H3306" s="2">
        <v>21.0</v>
      </c>
      <c r="I3306" s="2">
        <v>48.0</v>
      </c>
      <c r="J3306" s="37">
        <v>534.0600000000001</v>
      </c>
      <c r="K3306" s="2">
        <v>25.0</v>
      </c>
      <c r="L3306" s="2">
        <v>112.0</v>
      </c>
      <c r="M3306" s="37">
        <v>707.1</v>
      </c>
    </row>
    <row r="3307" ht="14.25" customHeight="1">
      <c r="A3307" t="s">
        <v>3364</v>
      </c>
      <c r="B3307" t="s">
        <v>3284</v>
      </c>
      <c r="C3307" t="s">
        <v>62</v>
      </c>
      <c r="D3307" t="s">
        <v>63</v>
      </c>
      <c r="E3307">
        <v>7.65</v>
      </c>
      <c r="F3307">
        <v>8.2</v>
      </c>
      <c r="G3307" s="2" t="s">
        <v>67</v>
      </c>
      <c r="H3307" s="2">
        <v>23.0</v>
      </c>
      <c r="I3307" s="2">
        <v>30.0</v>
      </c>
      <c r="J3307" s="37">
        <v>555.58</v>
      </c>
      <c r="K3307" s="2">
        <v>26.0</v>
      </c>
      <c r="L3307" s="2">
        <v>99.0</v>
      </c>
      <c r="M3307" s="37">
        <v>712.6600000000001</v>
      </c>
    </row>
    <row r="3308" ht="14.25" customHeight="1">
      <c r="A3308" t="s">
        <v>3365</v>
      </c>
      <c r="B3308" t="s">
        <v>3284</v>
      </c>
      <c r="C3308" t="s">
        <v>62</v>
      </c>
      <c r="D3308" t="s">
        <v>63</v>
      </c>
      <c r="E3308">
        <v>9.0</v>
      </c>
      <c r="F3308">
        <v>9.5</v>
      </c>
      <c r="G3308" s="2" t="s">
        <v>67</v>
      </c>
      <c r="H3308" s="2">
        <v>28.0</v>
      </c>
      <c r="I3308" s="2">
        <v>62.0</v>
      </c>
      <c r="J3308" s="37">
        <v>709.48</v>
      </c>
      <c r="K3308" s="2">
        <v>32.0</v>
      </c>
      <c r="L3308" s="2">
        <v>144.0</v>
      </c>
      <c r="M3308" s="37">
        <v>905.9200000000001</v>
      </c>
    </row>
    <row r="3309" ht="14.25" customHeight="1">
      <c r="A3309" t="s">
        <v>3366</v>
      </c>
      <c r="B3309" t="s">
        <v>3284</v>
      </c>
      <c r="C3309" t="s">
        <v>62</v>
      </c>
      <c r="D3309" t="s">
        <v>63</v>
      </c>
      <c r="E3309">
        <v>5.2</v>
      </c>
      <c r="F3309">
        <v>5.2</v>
      </c>
      <c r="G3309" s="2" t="s">
        <v>67</v>
      </c>
      <c r="H3309" s="2">
        <v>16.0</v>
      </c>
      <c r="I3309" s="2">
        <v>108.0</v>
      </c>
      <c r="J3309" s="37">
        <v>499.76</v>
      </c>
      <c r="K3309" s="2">
        <v>18.0</v>
      </c>
      <c r="L3309" s="2">
        <v>155.0</v>
      </c>
      <c r="M3309" s="37">
        <v>605.78</v>
      </c>
    </row>
    <row r="3310" ht="14.25" customHeight="1">
      <c r="A3310" t="s">
        <v>3367</v>
      </c>
      <c r="B3310" t="s">
        <v>3368</v>
      </c>
      <c r="C3310" t="s">
        <v>75</v>
      </c>
      <c r="D3310" t="s">
        <v>63</v>
      </c>
      <c r="E3310">
        <v>20.0</v>
      </c>
      <c r="F3310">
        <v>22.5</v>
      </c>
      <c r="G3310" s="2" t="s">
        <v>64</v>
      </c>
      <c r="H3310" s="2">
        <v>0.0</v>
      </c>
      <c r="I3310" s="2">
        <v>0.0</v>
      </c>
      <c r="J3310" s="37">
        <v>0.0</v>
      </c>
      <c r="K3310" s="2">
        <v>0.0</v>
      </c>
      <c r="L3310" s="2">
        <v>0.0</v>
      </c>
      <c r="M3310" s="37">
        <v>0.0</v>
      </c>
    </row>
    <row r="3311" ht="14.25" customHeight="1">
      <c r="A3311" t="s">
        <v>3369</v>
      </c>
      <c r="B3311" t="s">
        <v>3370</v>
      </c>
      <c r="C3311" t="s">
        <v>62</v>
      </c>
      <c r="D3311" t="s">
        <v>63</v>
      </c>
      <c r="E3311">
        <v>3.5</v>
      </c>
      <c r="F3311">
        <v>4.0</v>
      </c>
      <c r="G3311" s="2" t="s">
        <v>64</v>
      </c>
      <c r="H3311" s="2">
        <v>0.0</v>
      </c>
      <c r="I3311" s="2">
        <v>0.0</v>
      </c>
      <c r="J3311" s="37">
        <v>0.0</v>
      </c>
      <c r="K3311" s="2">
        <v>0.0</v>
      </c>
      <c r="L3311" s="2">
        <v>0.0</v>
      </c>
      <c r="M3311" s="37">
        <v>0.0</v>
      </c>
    </row>
    <row r="3312" ht="14.25" customHeight="1">
      <c r="A3312" t="s">
        <v>3371</v>
      </c>
      <c r="B3312" t="s">
        <v>3370</v>
      </c>
      <c r="C3312" t="s">
        <v>62</v>
      </c>
      <c r="D3312" t="s">
        <v>63</v>
      </c>
      <c r="E3312">
        <v>8.0</v>
      </c>
      <c r="F3312">
        <v>9.0</v>
      </c>
      <c r="G3312" s="2" t="s">
        <v>64</v>
      </c>
      <c r="H3312" s="2">
        <v>0.0</v>
      </c>
      <c r="I3312" s="2">
        <v>0.0</v>
      </c>
      <c r="J3312" s="37">
        <v>0.0</v>
      </c>
      <c r="K3312" s="2">
        <v>0.0</v>
      </c>
      <c r="L3312" s="2">
        <v>0.0</v>
      </c>
      <c r="M3312" s="37">
        <v>0.0</v>
      </c>
    </row>
    <row r="3313" ht="14.25" customHeight="1">
      <c r="A3313" t="s">
        <v>3372</v>
      </c>
      <c r="B3313" t="s">
        <v>3370</v>
      </c>
      <c r="C3313" t="s">
        <v>62</v>
      </c>
      <c r="D3313" t="s">
        <v>63</v>
      </c>
      <c r="E3313">
        <v>2.5</v>
      </c>
      <c r="F3313">
        <v>3.2</v>
      </c>
      <c r="G3313" s="2" t="s">
        <v>67</v>
      </c>
      <c r="H3313" s="2">
        <v>8.0</v>
      </c>
      <c r="I3313" s="2">
        <v>39.0</v>
      </c>
      <c r="J3313" s="37">
        <v>230.38</v>
      </c>
      <c r="K3313" s="2">
        <v>9.0</v>
      </c>
      <c r="L3313" s="2">
        <v>59.0</v>
      </c>
      <c r="M3313" s="37">
        <v>278.84000000000003</v>
      </c>
    </row>
    <row r="3314" ht="14.25" customHeight="1">
      <c r="A3314" t="s">
        <v>3373</v>
      </c>
      <c r="B3314" t="s">
        <v>3374</v>
      </c>
      <c r="C3314" t="s">
        <v>62</v>
      </c>
      <c r="D3314" t="s">
        <v>63</v>
      </c>
      <c r="E3314">
        <v>2.5</v>
      </c>
      <c r="F3314">
        <v>3.2</v>
      </c>
      <c r="G3314" s="2" t="s">
        <v>64</v>
      </c>
      <c r="H3314" s="2">
        <v>0.0</v>
      </c>
      <c r="I3314" s="2">
        <v>0.0</v>
      </c>
      <c r="J3314" s="37">
        <v>0.0</v>
      </c>
      <c r="K3314" s="2">
        <v>0.0</v>
      </c>
      <c r="L3314" s="2">
        <v>0.0</v>
      </c>
      <c r="M3314" s="37">
        <v>0.0</v>
      </c>
    </row>
    <row r="3315" ht="14.25" customHeight="1">
      <c r="A3315" t="s">
        <v>3375</v>
      </c>
      <c r="B3315" t="s">
        <v>3374</v>
      </c>
      <c r="C3315" t="s">
        <v>62</v>
      </c>
      <c r="D3315" t="s">
        <v>63</v>
      </c>
      <c r="E3315">
        <v>3.5</v>
      </c>
      <c r="F3315">
        <v>4.0</v>
      </c>
      <c r="G3315" s="2" t="s">
        <v>64</v>
      </c>
      <c r="H3315" s="2">
        <v>0.0</v>
      </c>
      <c r="I3315" s="2">
        <v>0.0</v>
      </c>
      <c r="J3315" s="37">
        <v>0.0</v>
      </c>
      <c r="K3315" s="2">
        <v>0.0</v>
      </c>
      <c r="L3315" s="2">
        <v>0.0</v>
      </c>
      <c r="M3315" s="37">
        <v>0.0</v>
      </c>
    </row>
    <row r="3316" ht="14.25" customHeight="1">
      <c r="A3316" t="s">
        <v>3376</v>
      </c>
      <c r="B3316" t="s">
        <v>3374</v>
      </c>
      <c r="C3316" t="s">
        <v>62</v>
      </c>
      <c r="D3316" t="s">
        <v>63</v>
      </c>
      <c r="E3316">
        <v>5.0</v>
      </c>
      <c r="F3316">
        <v>6.0</v>
      </c>
      <c r="G3316" s="2" t="s">
        <v>64</v>
      </c>
      <c r="H3316" s="2">
        <v>0.0</v>
      </c>
      <c r="I3316" s="2">
        <v>0.0</v>
      </c>
      <c r="J3316" s="37">
        <v>0.0</v>
      </c>
      <c r="K3316" s="2">
        <v>0.0</v>
      </c>
      <c r="L3316" s="2">
        <v>0.0</v>
      </c>
      <c r="M3316" s="37">
        <v>0.0</v>
      </c>
    </row>
    <row r="3317" ht="14.25" customHeight="1">
      <c r="A3317" t="s">
        <v>3377</v>
      </c>
      <c r="B3317" t="s">
        <v>3374</v>
      </c>
      <c r="C3317" t="s">
        <v>62</v>
      </c>
      <c r="D3317" t="s">
        <v>63</v>
      </c>
      <c r="E3317">
        <v>2.48</v>
      </c>
      <c r="F3317">
        <v>3.24</v>
      </c>
      <c r="G3317" s="2" t="s">
        <v>64</v>
      </c>
      <c r="H3317" s="2">
        <v>0.0</v>
      </c>
      <c r="I3317" s="2">
        <v>0.0</v>
      </c>
      <c r="J3317" s="37">
        <v>0.0</v>
      </c>
      <c r="K3317" s="2">
        <v>0.0</v>
      </c>
      <c r="L3317" s="2">
        <v>0.0</v>
      </c>
      <c r="M3317" s="37">
        <v>0.0</v>
      </c>
    </row>
    <row r="3318" ht="14.25" customHeight="1">
      <c r="A3318" t="s">
        <v>3378</v>
      </c>
      <c r="B3318" t="s">
        <v>3374</v>
      </c>
      <c r="C3318" t="s">
        <v>62</v>
      </c>
      <c r="D3318" t="s">
        <v>63</v>
      </c>
      <c r="E3318">
        <v>3.45</v>
      </c>
      <c r="F3318">
        <v>4.02</v>
      </c>
      <c r="G3318" s="2" t="s">
        <v>64</v>
      </c>
      <c r="H3318" s="2">
        <v>0.0</v>
      </c>
      <c r="I3318" s="2">
        <v>0.0</v>
      </c>
      <c r="J3318" s="37">
        <v>0.0</v>
      </c>
      <c r="K3318" s="2">
        <v>0.0</v>
      </c>
      <c r="L3318" s="2">
        <v>0.0</v>
      </c>
      <c r="M3318" s="37">
        <v>0.0</v>
      </c>
    </row>
    <row r="3319" ht="14.25" customHeight="1">
      <c r="A3319" t="s">
        <v>3379</v>
      </c>
      <c r="B3319" t="s">
        <v>3374</v>
      </c>
      <c r="C3319" t="s">
        <v>62</v>
      </c>
      <c r="D3319" t="s">
        <v>63</v>
      </c>
      <c r="E3319">
        <v>5.14</v>
      </c>
      <c r="F3319">
        <v>5.95</v>
      </c>
      <c r="G3319" s="2" t="s">
        <v>67</v>
      </c>
      <c r="H3319" s="2">
        <v>18.0</v>
      </c>
      <c r="I3319" s="2">
        <v>111.0</v>
      </c>
      <c r="J3319" s="37">
        <v>548.58</v>
      </c>
      <c r="K3319" s="2">
        <v>20.0</v>
      </c>
      <c r="L3319" s="2">
        <v>158.0</v>
      </c>
      <c r="M3319" s="37">
        <v>654.6</v>
      </c>
    </row>
    <row r="3320" ht="14.25" customHeight="1">
      <c r="A3320" t="s">
        <v>3380</v>
      </c>
      <c r="B3320" t="s">
        <v>3374</v>
      </c>
      <c r="C3320" t="s">
        <v>62</v>
      </c>
      <c r="D3320" t="s">
        <v>63</v>
      </c>
      <c r="E3320">
        <v>7.07</v>
      </c>
      <c r="F3320">
        <v>7.94</v>
      </c>
      <c r="G3320" s="2" t="s">
        <v>64</v>
      </c>
      <c r="H3320" s="2">
        <v>0.0</v>
      </c>
      <c r="I3320" s="2">
        <v>0.0</v>
      </c>
      <c r="J3320" s="37">
        <v>0.0</v>
      </c>
      <c r="K3320" s="2">
        <v>0.0</v>
      </c>
      <c r="L3320" s="2">
        <v>0.0</v>
      </c>
      <c r="M3320" s="37">
        <v>0.0</v>
      </c>
    </row>
    <row r="3321" ht="14.25" customHeight="1">
      <c r="A3321" t="s">
        <v>3381</v>
      </c>
      <c r="B3321" t="s">
        <v>3374</v>
      </c>
      <c r="C3321" t="s">
        <v>62</v>
      </c>
      <c r="D3321" t="s">
        <v>63</v>
      </c>
      <c r="E3321">
        <v>2.5</v>
      </c>
      <c r="F3321">
        <v>3.2</v>
      </c>
      <c r="G3321" s="2" t="s">
        <v>67</v>
      </c>
      <c r="H3321" s="2">
        <v>8.0</v>
      </c>
      <c r="I3321" s="2">
        <v>64.0</v>
      </c>
      <c r="J3321" s="37">
        <v>262.88</v>
      </c>
      <c r="K3321" s="2">
        <v>9.0</v>
      </c>
      <c r="L3321" s="2">
        <v>84.0</v>
      </c>
      <c r="M3321" s="37">
        <v>311.34000000000003</v>
      </c>
    </row>
    <row r="3322" ht="14.25" customHeight="1">
      <c r="A3322" t="s">
        <v>3382</v>
      </c>
      <c r="B3322" t="s">
        <v>3374</v>
      </c>
      <c r="C3322" t="s">
        <v>62</v>
      </c>
      <c r="D3322" t="s">
        <v>63</v>
      </c>
      <c r="E3322">
        <v>3.5</v>
      </c>
      <c r="F3322">
        <v>4.0</v>
      </c>
      <c r="G3322" s="2" t="s">
        <v>67</v>
      </c>
      <c r="H3322" s="2">
        <v>10.0</v>
      </c>
      <c r="I3322" s="2">
        <v>51.0</v>
      </c>
      <c r="J3322" s="37">
        <v>290.90000000000003</v>
      </c>
      <c r="K3322" s="2">
        <v>11.0</v>
      </c>
      <c r="L3322" s="2">
        <v>79.0</v>
      </c>
      <c r="M3322" s="37">
        <v>349.76</v>
      </c>
    </row>
    <row r="3323" ht="14.25" customHeight="1">
      <c r="A3323" t="s">
        <v>3383</v>
      </c>
      <c r="B3323" t="s">
        <v>3374</v>
      </c>
      <c r="C3323" t="s">
        <v>62</v>
      </c>
      <c r="D3323" t="s">
        <v>63</v>
      </c>
      <c r="E3323">
        <v>3.5</v>
      </c>
      <c r="F3323">
        <v>4.0</v>
      </c>
      <c r="G3323" s="2" t="s">
        <v>64</v>
      </c>
      <c r="H3323" s="2">
        <v>0.0</v>
      </c>
      <c r="I3323" s="2">
        <v>0.0</v>
      </c>
      <c r="J3323" s="37">
        <v>0.0</v>
      </c>
      <c r="K3323" s="2">
        <v>0.0</v>
      </c>
      <c r="L3323" s="2">
        <v>0.0</v>
      </c>
      <c r="M3323" s="37">
        <v>0.0</v>
      </c>
    </row>
    <row r="3324" ht="14.25" customHeight="1">
      <c r="A3324" t="s">
        <v>3384</v>
      </c>
      <c r="B3324" t="s">
        <v>3374</v>
      </c>
      <c r="C3324" t="s">
        <v>62</v>
      </c>
      <c r="D3324" t="s">
        <v>63</v>
      </c>
      <c r="E3324">
        <v>5.0</v>
      </c>
      <c r="F3324">
        <v>6.0</v>
      </c>
      <c r="G3324" s="2" t="s">
        <v>67</v>
      </c>
      <c r="H3324" s="2">
        <v>17.0</v>
      </c>
      <c r="I3324" s="2">
        <v>95.0</v>
      </c>
      <c r="J3324" s="37">
        <v>505.32</v>
      </c>
      <c r="K3324" s="2">
        <v>20.0</v>
      </c>
      <c r="L3324" s="2">
        <v>141.0</v>
      </c>
      <c r="M3324" s="37">
        <v>632.5</v>
      </c>
    </row>
    <row r="3325" ht="14.25" customHeight="1">
      <c r="A3325" t="s">
        <v>3385</v>
      </c>
      <c r="B3325" t="s">
        <v>3374</v>
      </c>
      <c r="C3325" t="s">
        <v>62</v>
      </c>
      <c r="D3325" t="s">
        <v>63</v>
      </c>
      <c r="E3325">
        <v>7.0</v>
      </c>
      <c r="F3325">
        <v>8.0</v>
      </c>
      <c r="G3325" s="2" t="s">
        <v>67</v>
      </c>
      <c r="H3325" s="2">
        <v>21.0</v>
      </c>
      <c r="I3325" s="2">
        <v>57.0</v>
      </c>
      <c r="J3325" s="37">
        <v>545.76</v>
      </c>
      <c r="K3325" s="2">
        <v>25.0</v>
      </c>
      <c r="L3325" s="2">
        <v>121.0</v>
      </c>
      <c r="M3325" s="37">
        <v>718.8</v>
      </c>
    </row>
    <row r="3326" ht="14.25" customHeight="1">
      <c r="A3326" t="s">
        <v>3386</v>
      </c>
      <c r="B3326" t="s">
        <v>3374</v>
      </c>
      <c r="C3326" t="s">
        <v>62</v>
      </c>
      <c r="D3326" t="s">
        <v>63</v>
      </c>
      <c r="E3326">
        <v>8.0</v>
      </c>
      <c r="F3326">
        <v>9.0</v>
      </c>
      <c r="G3326" s="2" t="s">
        <v>64</v>
      </c>
      <c r="H3326" s="2">
        <v>0.0</v>
      </c>
      <c r="I3326" s="2">
        <v>0.0</v>
      </c>
      <c r="J3326" s="37">
        <v>0.0</v>
      </c>
      <c r="K3326" s="2">
        <v>0.0</v>
      </c>
      <c r="L3326" s="2">
        <v>0.0</v>
      </c>
      <c r="M3326" s="37">
        <v>0.0</v>
      </c>
    </row>
    <row r="3327" ht="14.25" customHeight="1">
      <c r="A3327" t="s">
        <v>3387</v>
      </c>
      <c r="B3327" t="s">
        <v>3374</v>
      </c>
      <c r="C3327" t="s">
        <v>62</v>
      </c>
      <c r="D3327" t="s">
        <v>63</v>
      </c>
      <c r="E3327">
        <v>2.5</v>
      </c>
      <c r="F3327">
        <v>3.2</v>
      </c>
      <c r="G3327" s="2" t="s">
        <v>67</v>
      </c>
      <c r="H3327" s="2">
        <v>8.0</v>
      </c>
      <c r="I3327" s="2">
        <v>33.0</v>
      </c>
      <c r="J3327" s="37">
        <v>222.58</v>
      </c>
      <c r="K3327" s="2">
        <v>9.0</v>
      </c>
      <c r="L3327" s="2">
        <v>53.0</v>
      </c>
      <c r="M3327" s="37">
        <v>271.04</v>
      </c>
    </row>
    <row r="3328" ht="14.25" customHeight="1">
      <c r="A3328" t="s">
        <v>3388</v>
      </c>
      <c r="B3328" t="s">
        <v>3374</v>
      </c>
      <c r="C3328" t="s">
        <v>62</v>
      </c>
      <c r="D3328" t="s">
        <v>63</v>
      </c>
      <c r="E3328">
        <v>5.0</v>
      </c>
      <c r="F3328">
        <v>6.0</v>
      </c>
      <c r="G3328" s="2" t="s">
        <v>64</v>
      </c>
      <c r="H3328" s="2">
        <v>0.0</v>
      </c>
      <c r="I3328" s="2">
        <v>0.0</v>
      </c>
      <c r="J3328" s="37">
        <v>0.0</v>
      </c>
      <c r="K3328" s="2">
        <v>0.0</v>
      </c>
      <c r="L3328" s="2">
        <v>0.0</v>
      </c>
      <c r="M3328" s="37">
        <v>0.0</v>
      </c>
    </row>
    <row r="3329" ht="14.25" customHeight="1">
      <c r="A3329" t="s">
        <v>3389</v>
      </c>
      <c r="B3329" t="s">
        <v>3374</v>
      </c>
      <c r="C3329" t="s">
        <v>62</v>
      </c>
      <c r="D3329" t="s">
        <v>63</v>
      </c>
      <c r="E3329">
        <v>6.8</v>
      </c>
      <c r="F3329">
        <v>7.2</v>
      </c>
      <c r="G3329" s="2" t="s">
        <v>64</v>
      </c>
      <c r="H3329" s="2">
        <v>0.0</v>
      </c>
      <c r="I3329" s="2">
        <v>0.0</v>
      </c>
      <c r="J3329" s="37">
        <v>0.0</v>
      </c>
      <c r="K3329" s="2">
        <v>0.0</v>
      </c>
      <c r="L3329" s="2">
        <v>0.0</v>
      </c>
      <c r="M3329" s="37">
        <v>0.0</v>
      </c>
    </row>
    <row r="3330" ht="14.25" customHeight="1">
      <c r="A3330" t="s">
        <v>3390</v>
      </c>
      <c r="B3330" t="s">
        <v>3374</v>
      </c>
      <c r="C3330" t="s">
        <v>62</v>
      </c>
      <c r="D3330" t="s">
        <v>63</v>
      </c>
      <c r="E3330">
        <v>8.0</v>
      </c>
      <c r="F3330">
        <v>9.0</v>
      </c>
      <c r="G3330" s="2" t="s">
        <v>64</v>
      </c>
      <c r="H3330" s="2">
        <v>0.0</v>
      </c>
      <c r="I3330" s="2">
        <v>0.0</v>
      </c>
      <c r="J3330" s="37">
        <v>0.0</v>
      </c>
      <c r="K3330" s="2">
        <v>0.0</v>
      </c>
      <c r="L3330" s="2">
        <v>0.0</v>
      </c>
      <c r="M3330" s="37">
        <v>0.0</v>
      </c>
    </row>
    <row r="3331" ht="14.25" customHeight="1">
      <c r="A3331" t="s">
        <v>3391</v>
      </c>
      <c r="B3331" t="s">
        <v>3374</v>
      </c>
      <c r="C3331" t="s">
        <v>62</v>
      </c>
      <c r="D3331" t="s">
        <v>63</v>
      </c>
      <c r="E3331">
        <v>2.5</v>
      </c>
      <c r="F3331">
        <v>3.2</v>
      </c>
      <c r="G3331" s="2" t="s">
        <v>67</v>
      </c>
      <c r="H3331" s="2">
        <v>8.0</v>
      </c>
      <c r="I3331" s="2">
        <v>33.0</v>
      </c>
      <c r="J3331" s="37">
        <v>222.58</v>
      </c>
      <c r="K3331" s="2">
        <v>9.0</v>
      </c>
      <c r="L3331" s="2">
        <v>53.0</v>
      </c>
      <c r="M3331" s="37">
        <v>271.04</v>
      </c>
    </row>
    <row r="3332" ht="14.25" customHeight="1">
      <c r="A3332" t="s">
        <v>3392</v>
      </c>
      <c r="B3332" t="s">
        <v>3374</v>
      </c>
      <c r="C3332" t="s">
        <v>62</v>
      </c>
      <c r="D3332" t="s">
        <v>63</v>
      </c>
      <c r="E3332">
        <v>3.5</v>
      </c>
      <c r="F3332">
        <v>4.0</v>
      </c>
      <c r="G3332" s="2" t="s">
        <v>64</v>
      </c>
      <c r="H3332" s="2">
        <v>0.0</v>
      </c>
      <c r="I3332" s="2">
        <v>0.0</v>
      </c>
      <c r="J3332" s="37">
        <v>0.0</v>
      </c>
      <c r="K3332" s="2">
        <v>0.0</v>
      </c>
      <c r="L3332" s="2">
        <v>0.0</v>
      </c>
      <c r="M3332" s="37">
        <v>0.0</v>
      </c>
    </row>
    <row r="3333" ht="14.25" customHeight="1">
      <c r="A3333" t="s">
        <v>3393</v>
      </c>
      <c r="B3333" t="s">
        <v>3374</v>
      </c>
      <c r="C3333" t="s">
        <v>62</v>
      </c>
      <c r="D3333" t="s">
        <v>63</v>
      </c>
      <c r="E3333">
        <v>5.0</v>
      </c>
      <c r="F3333">
        <v>6.0</v>
      </c>
      <c r="G3333" s="2" t="s">
        <v>64</v>
      </c>
      <c r="H3333" s="2">
        <v>0.0</v>
      </c>
      <c r="I3333" s="2">
        <v>0.0</v>
      </c>
      <c r="J3333" s="37">
        <v>0.0</v>
      </c>
      <c r="K3333" s="2">
        <v>0.0</v>
      </c>
      <c r="L3333" s="2">
        <v>0.0</v>
      </c>
      <c r="M3333" s="37">
        <v>0.0</v>
      </c>
    </row>
    <row r="3334" ht="14.25" customHeight="1">
      <c r="A3334" t="s">
        <v>3394</v>
      </c>
      <c r="B3334" t="s">
        <v>3374</v>
      </c>
      <c r="C3334" t="s">
        <v>62</v>
      </c>
      <c r="D3334" t="s">
        <v>63</v>
      </c>
      <c r="E3334">
        <v>6.8</v>
      </c>
      <c r="F3334">
        <v>7.2</v>
      </c>
      <c r="G3334" s="2" t="s">
        <v>64</v>
      </c>
      <c r="H3334" s="2">
        <v>0.0</v>
      </c>
      <c r="I3334" s="2">
        <v>0.0</v>
      </c>
      <c r="J3334" s="37">
        <v>0.0</v>
      </c>
      <c r="K3334" s="2">
        <v>0.0</v>
      </c>
      <c r="L3334" s="2">
        <v>0.0</v>
      </c>
      <c r="M3334" s="37">
        <v>0.0</v>
      </c>
    </row>
    <row r="3335" ht="14.25" customHeight="1">
      <c r="A3335" t="s">
        <v>3395</v>
      </c>
      <c r="B3335" t="s">
        <v>3374</v>
      </c>
      <c r="C3335" t="s">
        <v>62</v>
      </c>
      <c r="D3335" t="s">
        <v>63</v>
      </c>
      <c r="E3335">
        <v>8.0</v>
      </c>
      <c r="F3335">
        <v>9.0</v>
      </c>
      <c r="G3335" s="2" t="s">
        <v>64</v>
      </c>
      <c r="H3335" s="2">
        <v>0.0</v>
      </c>
      <c r="I3335" s="2">
        <v>0.0</v>
      </c>
      <c r="J3335" s="37">
        <v>0.0</v>
      </c>
      <c r="K3335" s="2">
        <v>0.0</v>
      </c>
      <c r="L3335" s="2">
        <v>0.0</v>
      </c>
      <c r="M3335" s="37">
        <v>0.0</v>
      </c>
    </row>
    <row r="3336" ht="14.25" customHeight="1">
      <c r="A3336" t="s">
        <v>3396</v>
      </c>
      <c r="B3336" t="s">
        <v>3374</v>
      </c>
      <c r="C3336" t="s">
        <v>62</v>
      </c>
      <c r="D3336" t="s">
        <v>63</v>
      </c>
      <c r="E3336">
        <v>2.5</v>
      </c>
      <c r="F3336">
        <v>3.2</v>
      </c>
      <c r="G3336" s="2" t="s">
        <v>67</v>
      </c>
      <c r="H3336" s="2">
        <v>8.0</v>
      </c>
      <c r="I3336" s="2">
        <v>33.0</v>
      </c>
      <c r="J3336" s="37">
        <v>222.58</v>
      </c>
      <c r="K3336" s="2">
        <v>9.0</v>
      </c>
      <c r="L3336" s="2">
        <v>53.0</v>
      </c>
      <c r="M3336" s="37">
        <v>271.04</v>
      </c>
    </row>
    <row r="3337" ht="14.25" customHeight="1">
      <c r="A3337" t="s">
        <v>3397</v>
      </c>
      <c r="B3337" t="s">
        <v>3374</v>
      </c>
      <c r="C3337" t="s">
        <v>62</v>
      </c>
      <c r="D3337" t="s">
        <v>63</v>
      </c>
      <c r="E3337">
        <v>2.5</v>
      </c>
      <c r="F3337">
        <v>3.2</v>
      </c>
      <c r="G3337" s="2" t="s">
        <v>67</v>
      </c>
      <c r="H3337" s="2">
        <v>8.0</v>
      </c>
      <c r="I3337" s="2">
        <v>33.0</v>
      </c>
      <c r="J3337" s="37">
        <v>222.58</v>
      </c>
      <c r="K3337" s="2">
        <v>9.0</v>
      </c>
      <c r="L3337" s="2">
        <v>53.0</v>
      </c>
      <c r="M3337" s="37">
        <v>271.04</v>
      </c>
    </row>
    <row r="3338" ht="14.25" customHeight="1">
      <c r="A3338" t="s">
        <v>3398</v>
      </c>
      <c r="B3338" t="s">
        <v>3374</v>
      </c>
      <c r="C3338" t="s">
        <v>62</v>
      </c>
      <c r="D3338" t="s">
        <v>63</v>
      </c>
      <c r="E3338">
        <v>3.5</v>
      </c>
      <c r="F3338">
        <v>4.0</v>
      </c>
      <c r="G3338" s="2" t="s">
        <v>64</v>
      </c>
      <c r="H3338" s="2">
        <v>0.0</v>
      </c>
      <c r="I3338" s="2">
        <v>0.0</v>
      </c>
      <c r="J3338" s="37">
        <v>0.0</v>
      </c>
      <c r="K3338" s="2">
        <v>0.0</v>
      </c>
      <c r="L3338" s="2">
        <v>0.0</v>
      </c>
      <c r="M3338" s="37">
        <v>0.0</v>
      </c>
    </row>
    <row r="3339" ht="14.25" customHeight="1">
      <c r="A3339" t="s">
        <v>3399</v>
      </c>
      <c r="B3339" t="s">
        <v>3374</v>
      </c>
      <c r="C3339" t="s">
        <v>62</v>
      </c>
      <c r="D3339" t="s">
        <v>63</v>
      </c>
      <c r="E3339">
        <v>3.5</v>
      </c>
      <c r="F3339">
        <v>4.0</v>
      </c>
      <c r="G3339" s="2" t="s">
        <v>64</v>
      </c>
      <c r="H3339" s="2">
        <v>0.0</v>
      </c>
      <c r="I3339" s="2">
        <v>0.0</v>
      </c>
      <c r="J3339" s="37">
        <v>0.0</v>
      </c>
      <c r="K3339" s="2">
        <v>0.0</v>
      </c>
      <c r="L3339" s="2">
        <v>0.0</v>
      </c>
      <c r="M3339" s="37">
        <v>0.0</v>
      </c>
    </row>
    <row r="3340" ht="14.25" customHeight="1">
      <c r="A3340" t="s">
        <v>3400</v>
      </c>
      <c r="B3340" t="s">
        <v>3374</v>
      </c>
      <c r="C3340" t="s">
        <v>62</v>
      </c>
      <c r="D3340" t="s">
        <v>63</v>
      </c>
      <c r="E3340">
        <v>5.0</v>
      </c>
      <c r="F3340">
        <v>6.0</v>
      </c>
      <c r="G3340" s="2" t="s">
        <v>64</v>
      </c>
      <c r="H3340" s="2">
        <v>0.0</v>
      </c>
      <c r="I3340" s="2">
        <v>0.0</v>
      </c>
      <c r="J3340" s="37">
        <v>0.0</v>
      </c>
      <c r="K3340" s="2">
        <v>0.0</v>
      </c>
      <c r="L3340" s="2">
        <v>0.0</v>
      </c>
      <c r="M3340" s="37">
        <v>0.0</v>
      </c>
    </row>
    <row r="3341" ht="14.25" customHeight="1">
      <c r="A3341" t="s">
        <v>3401</v>
      </c>
      <c r="B3341" t="s">
        <v>3374</v>
      </c>
      <c r="C3341" t="s">
        <v>62</v>
      </c>
      <c r="D3341" t="s">
        <v>63</v>
      </c>
      <c r="E3341">
        <v>5.0</v>
      </c>
      <c r="F3341">
        <v>6.0</v>
      </c>
      <c r="G3341" s="2" t="s">
        <v>64</v>
      </c>
      <c r="H3341" s="2">
        <v>0.0</v>
      </c>
      <c r="I3341" s="2">
        <v>0.0</v>
      </c>
      <c r="J3341" s="37">
        <v>0.0</v>
      </c>
      <c r="K3341" s="2">
        <v>0.0</v>
      </c>
      <c r="L3341" s="2">
        <v>0.0</v>
      </c>
      <c r="M3341" s="37">
        <v>0.0</v>
      </c>
    </row>
    <row r="3342" ht="14.25" customHeight="1">
      <c r="A3342" t="s">
        <v>3402</v>
      </c>
      <c r="B3342" t="s">
        <v>3374</v>
      </c>
      <c r="C3342" t="s">
        <v>62</v>
      </c>
      <c r="D3342" t="s">
        <v>63</v>
      </c>
      <c r="E3342">
        <v>6.8</v>
      </c>
      <c r="F3342">
        <v>7.2</v>
      </c>
      <c r="G3342" s="2" t="s">
        <v>64</v>
      </c>
      <c r="H3342" s="2">
        <v>0.0</v>
      </c>
      <c r="I3342" s="2">
        <v>0.0</v>
      </c>
      <c r="J3342" s="37">
        <v>0.0</v>
      </c>
      <c r="K3342" s="2">
        <v>0.0</v>
      </c>
      <c r="L3342" s="2">
        <v>0.0</v>
      </c>
      <c r="M3342" s="37">
        <v>0.0</v>
      </c>
    </row>
    <row r="3343" ht="14.25" customHeight="1">
      <c r="A3343" t="s">
        <v>3403</v>
      </c>
      <c r="B3343" t="s">
        <v>3374</v>
      </c>
      <c r="C3343" t="s">
        <v>62</v>
      </c>
      <c r="D3343" t="s">
        <v>63</v>
      </c>
      <c r="E3343">
        <v>8.0</v>
      </c>
      <c r="F3343">
        <v>9.0</v>
      </c>
      <c r="G3343" s="2" t="s">
        <v>64</v>
      </c>
      <c r="H3343" s="2">
        <v>0.0</v>
      </c>
      <c r="I3343" s="2">
        <v>0.0</v>
      </c>
      <c r="J3343" s="37">
        <v>0.0</v>
      </c>
      <c r="K3343" s="2">
        <v>0.0</v>
      </c>
      <c r="L3343" s="2">
        <v>0.0</v>
      </c>
      <c r="M3343" s="37">
        <v>0.0</v>
      </c>
    </row>
    <row r="3344" ht="14.25" customHeight="1">
      <c r="A3344" t="s">
        <v>3404</v>
      </c>
      <c r="B3344" t="s">
        <v>3374</v>
      </c>
      <c r="C3344" t="s">
        <v>62</v>
      </c>
      <c r="D3344" t="s">
        <v>63</v>
      </c>
      <c r="E3344">
        <v>8.0</v>
      </c>
      <c r="F3344">
        <v>9.0</v>
      </c>
      <c r="G3344" s="2" t="s">
        <v>64</v>
      </c>
      <c r="H3344" s="2">
        <v>0.0</v>
      </c>
      <c r="I3344" s="2">
        <v>0.0</v>
      </c>
      <c r="J3344" s="37">
        <v>0.0</v>
      </c>
      <c r="K3344" s="2">
        <v>0.0</v>
      </c>
      <c r="L3344" s="2">
        <v>0.0</v>
      </c>
      <c r="M3344" s="37">
        <v>0.0</v>
      </c>
    </row>
    <row r="3345" ht="14.25" customHeight="1">
      <c r="A3345" t="s">
        <v>3405</v>
      </c>
      <c r="B3345" t="s">
        <v>3374</v>
      </c>
      <c r="C3345" t="s">
        <v>62</v>
      </c>
      <c r="D3345" t="s">
        <v>63</v>
      </c>
      <c r="E3345">
        <v>6.8</v>
      </c>
      <c r="F3345">
        <v>7.2</v>
      </c>
      <c r="G3345" s="2" t="s">
        <v>64</v>
      </c>
      <c r="H3345" s="2">
        <v>0.0</v>
      </c>
      <c r="I3345" s="2">
        <v>0.0</v>
      </c>
      <c r="J3345" s="37">
        <v>0.0</v>
      </c>
      <c r="K3345" s="2">
        <v>0.0</v>
      </c>
      <c r="L3345" s="2">
        <v>0.0</v>
      </c>
      <c r="M3345" s="37">
        <v>0.0</v>
      </c>
    </row>
    <row r="3346" ht="14.25" customHeight="1">
      <c r="A3346" t="s">
        <v>3406</v>
      </c>
      <c r="B3346" t="s">
        <v>3374</v>
      </c>
      <c r="C3346" t="s">
        <v>75</v>
      </c>
      <c r="D3346" t="s">
        <v>63</v>
      </c>
      <c r="E3346">
        <v>16.0</v>
      </c>
      <c r="F3346">
        <v>18.0</v>
      </c>
      <c r="G3346" s="2" t="s">
        <v>67</v>
      </c>
      <c r="H3346" s="2">
        <v>49.0</v>
      </c>
      <c r="I3346" s="2">
        <v>213.0</v>
      </c>
      <c r="J3346" s="37">
        <v>1377.44</v>
      </c>
      <c r="K3346" s="2">
        <v>58.0</v>
      </c>
      <c r="L3346" s="2">
        <v>377.0</v>
      </c>
      <c r="M3346" s="37">
        <v>1792.7800000000002</v>
      </c>
    </row>
    <row r="3347" ht="14.25" customHeight="1">
      <c r="A3347" t="s">
        <v>3407</v>
      </c>
      <c r="B3347" t="s">
        <v>3374</v>
      </c>
      <c r="C3347" t="s">
        <v>75</v>
      </c>
      <c r="D3347" t="s">
        <v>63</v>
      </c>
      <c r="E3347">
        <v>16.0</v>
      </c>
      <c r="F3347">
        <v>18.0</v>
      </c>
      <c r="G3347" s="2" t="s">
        <v>67</v>
      </c>
      <c r="H3347" s="2">
        <v>49.0</v>
      </c>
      <c r="I3347" s="2">
        <v>213.0</v>
      </c>
      <c r="J3347" s="37">
        <v>1377.44</v>
      </c>
      <c r="K3347" s="2">
        <v>58.0</v>
      </c>
      <c r="L3347" s="2">
        <v>377.0</v>
      </c>
      <c r="M3347" s="37">
        <v>1792.7800000000002</v>
      </c>
    </row>
    <row r="3348" ht="14.25" customHeight="1">
      <c r="A3348" t="s">
        <v>3408</v>
      </c>
      <c r="B3348" t="s">
        <v>3374</v>
      </c>
      <c r="C3348" t="s">
        <v>75</v>
      </c>
      <c r="D3348" t="s">
        <v>63</v>
      </c>
      <c r="E3348">
        <v>12.0</v>
      </c>
      <c r="F3348">
        <v>14.0</v>
      </c>
      <c r="G3348" s="2" t="s">
        <v>67</v>
      </c>
      <c r="H3348" s="2">
        <v>38.0</v>
      </c>
      <c r="I3348" s="2">
        <v>115.0</v>
      </c>
      <c r="J3348" s="37">
        <v>1002.98</v>
      </c>
      <c r="K3348" s="2">
        <v>45.0</v>
      </c>
      <c r="L3348" s="2">
        <v>238.0</v>
      </c>
      <c r="M3348" s="37">
        <v>1320.1000000000001</v>
      </c>
    </row>
    <row r="3349" ht="14.25" customHeight="1">
      <c r="A3349" t="s">
        <v>3409</v>
      </c>
      <c r="B3349" t="s">
        <v>3374</v>
      </c>
      <c r="C3349" t="s">
        <v>75</v>
      </c>
      <c r="D3349" t="s">
        <v>63</v>
      </c>
      <c r="E3349">
        <v>12.0</v>
      </c>
      <c r="F3349">
        <v>14.0</v>
      </c>
      <c r="G3349" s="2" t="s">
        <v>67</v>
      </c>
      <c r="H3349" s="2">
        <v>38.0</v>
      </c>
      <c r="I3349" s="2">
        <v>115.0</v>
      </c>
      <c r="J3349" s="37">
        <v>1002.98</v>
      </c>
      <c r="K3349" s="2">
        <v>45.0</v>
      </c>
      <c r="L3349" s="2">
        <v>238.0</v>
      </c>
      <c r="M3349" s="37">
        <v>1320.1000000000001</v>
      </c>
    </row>
    <row r="3350" ht="14.25" customHeight="1">
      <c r="A3350" t="s">
        <v>3410</v>
      </c>
      <c r="B3350" t="s">
        <v>3374</v>
      </c>
      <c r="C3350" t="s">
        <v>75</v>
      </c>
      <c r="D3350" t="s">
        <v>63</v>
      </c>
      <c r="E3350">
        <v>5.2</v>
      </c>
      <c r="F3350">
        <v>6.0</v>
      </c>
      <c r="G3350" s="2" t="s">
        <v>67</v>
      </c>
      <c r="H3350" s="2">
        <v>16.0</v>
      </c>
      <c r="I3350" s="2">
        <v>79.0</v>
      </c>
      <c r="J3350" s="37">
        <v>462.06</v>
      </c>
      <c r="K3350" s="2">
        <v>19.0</v>
      </c>
      <c r="L3350" s="2">
        <v>132.0</v>
      </c>
      <c r="M3350" s="37">
        <v>598.34</v>
      </c>
    </row>
    <row r="3351" ht="14.25" customHeight="1">
      <c r="A3351" t="s">
        <v>3411</v>
      </c>
      <c r="B3351" t="s">
        <v>3374</v>
      </c>
      <c r="C3351" t="s">
        <v>75</v>
      </c>
      <c r="D3351" t="s">
        <v>63</v>
      </c>
      <c r="E3351">
        <v>10.0</v>
      </c>
      <c r="F3351">
        <v>11.2</v>
      </c>
      <c r="G3351" s="2" t="s">
        <v>67</v>
      </c>
      <c r="H3351" s="2">
        <v>32.0</v>
      </c>
      <c r="I3351" s="2">
        <v>155.0</v>
      </c>
      <c r="J3351" s="37">
        <v>920.22</v>
      </c>
      <c r="K3351" s="2">
        <v>37.0</v>
      </c>
      <c r="L3351" s="2">
        <v>258.0</v>
      </c>
      <c r="M3351" s="37">
        <v>1166.42</v>
      </c>
    </row>
    <row r="3352" ht="14.25" customHeight="1">
      <c r="A3352" t="s">
        <v>3412</v>
      </c>
      <c r="B3352" t="s">
        <v>3374</v>
      </c>
      <c r="C3352" t="s">
        <v>75</v>
      </c>
      <c r="D3352" t="s">
        <v>63</v>
      </c>
      <c r="E3352">
        <v>10.0</v>
      </c>
      <c r="F3352">
        <v>11.2</v>
      </c>
      <c r="G3352" s="2" t="s">
        <v>67</v>
      </c>
      <c r="H3352" s="2">
        <v>32.0</v>
      </c>
      <c r="I3352" s="2">
        <v>155.0</v>
      </c>
      <c r="J3352" s="37">
        <v>920.22</v>
      </c>
      <c r="K3352" s="2">
        <v>37.0</v>
      </c>
      <c r="L3352" s="2">
        <v>258.0</v>
      </c>
      <c r="M3352" s="37">
        <v>1166.42</v>
      </c>
    </row>
    <row r="3353" ht="14.25" customHeight="1">
      <c r="A3353" t="s">
        <v>3413</v>
      </c>
      <c r="B3353" t="s">
        <v>3374</v>
      </c>
      <c r="C3353" t="s">
        <v>75</v>
      </c>
      <c r="D3353" t="s">
        <v>63</v>
      </c>
      <c r="E3353">
        <v>7.1</v>
      </c>
      <c r="F3353">
        <v>8.0</v>
      </c>
      <c r="G3353" s="2" t="s">
        <v>67</v>
      </c>
      <c r="H3353" s="2">
        <v>22.0</v>
      </c>
      <c r="I3353" s="2">
        <v>23.0</v>
      </c>
      <c r="J3353" s="37">
        <v>524.02</v>
      </c>
      <c r="K3353" s="2">
        <v>26.0</v>
      </c>
      <c r="L3353" s="2">
        <v>96.0</v>
      </c>
      <c r="M3353" s="37">
        <v>708.76</v>
      </c>
    </row>
    <row r="3354" ht="14.25" customHeight="1">
      <c r="A3354" t="s">
        <v>3414</v>
      </c>
      <c r="B3354" t="s">
        <v>3374</v>
      </c>
      <c r="C3354" t="s">
        <v>75</v>
      </c>
      <c r="D3354" t="s">
        <v>63</v>
      </c>
      <c r="E3354">
        <v>8.5</v>
      </c>
      <c r="F3354">
        <v>10.0</v>
      </c>
      <c r="G3354" s="2" t="s">
        <v>64</v>
      </c>
      <c r="H3354" s="2">
        <v>0.0</v>
      </c>
      <c r="I3354" s="2">
        <v>0.0</v>
      </c>
      <c r="J3354" s="37">
        <v>0.0</v>
      </c>
      <c r="K3354" s="2">
        <v>0.0</v>
      </c>
      <c r="L3354" s="2">
        <v>0.0</v>
      </c>
      <c r="M3354" s="37">
        <v>0.0</v>
      </c>
    </row>
    <row r="3355" ht="14.25" customHeight="1">
      <c r="A3355" t="s">
        <v>3415</v>
      </c>
      <c r="B3355" t="s">
        <v>3374</v>
      </c>
      <c r="C3355" t="s">
        <v>75</v>
      </c>
      <c r="D3355" t="s">
        <v>63</v>
      </c>
      <c r="E3355">
        <v>14.0</v>
      </c>
      <c r="F3355">
        <v>16.0</v>
      </c>
      <c r="G3355" s="2" t="s">
        <v>67</v>
      </c>
      <c r="H3355" s="2">
        <v>40.0</v>
      </c>
      <c r="I3355" s="2">
        <v>25.0</v>
      </c>
      <c r="J3355" s="37">
        <v>930.9000000000001</v>
      </c>
      <c r="K3355" s="2">
        <v>48.0</v>
      </c>
      <c r="L3355" s="2">
        <v>169.0</v>
      </c>
      <c r="M3355" s="37">
        <v>1297.78</v>
      </c>
    </row>
    <row r="3356" ht="14.25" customHeight="1">
      <c r="A3356" t="s">
        <v>3416</v>
      </c>
      <c r="B3356" t="s">
        <v>3374</v>
      </c>
      <c r="C3356" t="s">
        <v>75</v>
      </c>
      <c r="D3356" t="s">
        <v>63</v>
      </c>
      <c r="E3356">
        <v>14.0</v>
      </c>
      <c r="F3356">
        <v>16.0</v>
      </c>
      <c r="G3356" s="2" t="s">
        <v>67</v>
      </c>
      <c r="H3356" s="2">
        <v>40.0</v>
      </c>
      <c r="I3356" s="2">
        <v>25.0</v>
      </c>
      <c r="J3356" s="37">
        <v>930.9000000000001</v>
      </c>
      <c r="K3356" s="2">
        <v>48.0</v>
      </c>
      <c r="L3356" s="2">
        <v>169.0</v>
      </c>
      <c r="M3356" s="37">
        <v>1297.78</v>
      </c>
    </row>
    <row r="3357" ht="14.25" customHeight="1">
      <c r="A3357" t="s">
        <v>3417</v>
      </c>
      <c r="B3357" t="s">
        <v>3374</v>
      </c>
      <c r="C3357" t="s">
        <v>62</v>
      </c>
      <c r="D3357" t="s">
        <v>63</v>
      </c>
      <c r="E3357">
        <v>7.1</v>
      </c>
      <c r="F3357">
        <v>8.0</v>
      </c>
      <c r="G3357" s="2" t="s">
        <v>67</v>
      </c>
      <c r="H3357" s="2">
        <v>22.0</v>
      </c>
      <c r="I3357" s="2">
        <v>84.0</v>
      </c>
      <c r="J3357" s="37">
        <v>603.32</v>
      </c>
      <c r="K3357" s="2">
        <v>26.0</v>
      </c>
      <c r="L3357" s="2">
        <v>149.0</v>
      </c>
      <c r="M3357" s="37">
        <v>777.6600000000001</v>
      </c>
    </row>
    <row r="3358" ht="14.25" customHeight="1">
      <c r="A3358" t="s">
        <v>3418</v>
      </c>
      <c r="B3358" t="s">
        <v>3374</v>
      </c>
      <c r="C3358" t="s">
        <v>62</v>
      </c>
      <c r="D3358" t="s">
        <v>63</v>
      </c>
      <c r="E3358">
        <v>10.0</v>
      </c>
      <c r="F3358">
        <v>11.2</v>
      </c>
      <c r="G3358" s="2" t="s">
        <v>67</v>
      </c>
      <c r="H3358" s="2">
        <v>32.0</v>
      </c>
      <c r="I3358" s="2">
        <v>197.0</v>
      </c>
      <c r="J3358" s="37">
        <v>974.82</v>
      </c>
      <c r="K3358" s="2">
        <v>37.0</v>
      </c>
      <c r="L3358" s="2">
        <v>299.0</v>
      </c>
      <c r="M3358" s="37">
        <v>1219.72</v>
      </c>
    </row>
    <row r="3359" ht="14.25" customHeight="1">
      <c r="A3359" t="s">
        <v>3419</v>
      </c>
      <c r="B3359" t="s">
        <v>3374</v>
      </c>
      <c r="C3359" t="s">
        <v>62</v>
      </c>
      <c r="D3359" t="s">
        <v>63</v>
      </c>
      <c r="E3359">
        <v>12.5</v>
      </c>
      <c r="F3359">
        <v>14.0</v>
      </c>
      <c r="G3359" s="2" t="s">
        <v>67</v>
      </c>
      <c r="H3359" s="2">
        <v>40.0</v>
      </c>
      <c r="I3359" s="2">
        <v>143.0</v>
      </c>
      <c r="J3359" s="37">
        <v>1084.3000000000002</v>
      </c>
      <c r="K3359" s="2">
        <v>46.0</v>
      </c>
      <c r="L3359" s="2">
        <v>271.0</v>
      </c>
      <c r="M3359" s="37">
        <v>1385.46</v>
      </c>
    </row>
    <row r="3360" ht="14.25" customHeight="1">
      <c r="A3360" t="s">
        <v>3420</v>
      </c>
      <c r="B3360" t="s">
        <v>3374</v>
      </c>
      <c r="C3360" t="s">
        <v>62</v>
      </c>
      <c r="D3360" t="s">
        <v>63</v>
      </c>
      <c r="E3360">
        <v>14.0</v>
      </c>
      <c r="F3360">
        <v>16.0</v>
      </c>
      <c r="G3360" s="2" t="s">
        <v>67</v>
      </c>
      <c r="H3360" s="2">
        <v>42.0</v>
      </c>
      <c r="I3360" s="2">
        <v>40.0</v>
      </c>
      <c r="J3360" s="37">
        <v>995.32</v>
      </c>
      <c r="K3360" s="2">
        <v>50.0</v>
      </c>
      <c r="L3360" s="2">
        <v>183.0</v>
      </c>
      <c r="M3360" s="37">
        <v>1360.9</v>
      </c>
    </row>
    <row r="3361" ht="14.25" customHeight="1">
      <c r="A3361" t="s">
        <v>3421</v>
      </c>
      <c r="B3361" t="s">
        <v>3374</v>
      </c>
      <c r="C3361" t="s">
        <v>62</v>
      </c>
      <c r="D3361" t="s">
        <v>63</v>
      </c>
      <c r="E3361">
        <v>7.1</v>
      </c>
      <c r="F3361">
        <v>8.0</v>
      </c>
      <c r="G3361" s="2" t="s">
        <v>67</v>
      </c>
      <c r="H3361" s="2">
        <v>23.0</v>
      </c>
      <c r="I3361" s="2">
        <v>84.0</v>
      </c>
      <c r="J3361" s="37">
        <v>625.7800000000001</v>
      </c>
      <c r="K3361" s="2">
        <v>26.0</v>
      </c>
      <c r="L3361" s="2">
        <v>149.0</v>
      </c>
      <c r="M3361" s="37">
        <v>777.6600000000001</v>
      </c>
    </row>
    <row r="3362" ht="14.25" customHeight="1">
      <c r="A3362" t="s">
        <v>3422</v>
      </c>
      <c r="B3362" t="s">
        <v>3374</v>
      </c>
      <c r="C3362" t="s">
        <v>62</v>
      </c>
      <c r="D3362" t="s">
        <v>63</v>
      </c>
      <c r="E3362">
        <v>10.0</v>
      </c>
      <c r="F3362">
        <v>11.2</v>
      </c>
      <c r="G3362" s="2" t="s">
        <v>67</v>
      </c>
      <c r="H3362" s="2">
        <v>32.0</v>
      </c>
      <c r="I3362" s="2">
        <v>197.0</v>
      </c>
      <c r="J3362" s="37">
        <v>974.82</v>
      </c>
      <c r="K3362" s="2">
        <v>37.0</v>
      </c>
      <c r="L3362" s="2">
        <v>299.0</v>
      </c>
      <c r="M3362" s="37">
        <v>1219.72</v>
      </c>
    </row>
    <row r="3363" ht="14.25" customHeight="1">
      <c r="A3363" t="s">
        <v>3423</v>
      </c>
      <c r="B3363" t="s">
        <v>3374</v>
      </c>
      <c r="C3363" t="s">
        <v>62</v>
      </c>
      <c r="D3363" t="s">
        <v>63</v>
      </c>
      <c r="E3363">
        <v>12.5</v>
      </c>
      <c r="F3363">
        <v>14.0</v>
      </c>
      <c r="G3363" s="2" t="s">
        <v>64</v>
      </c>
      <c r="H3363" s="2">
        <v>0.0</v>
      </c>
      <c r="I3363" s="2">
        <v>0.0</v>
      </c>
      <c r="J3363" s="37">
        <v>0.0</v>
      </c>
      <c r="K3363" s="2">
        <v>0.0</v>
      </c>
      <c r="L3363" s="2">
        <v>0.0</v>
      </c>
      <c r="M3363" s="37">
        <v>0.0</v>
      </c>
    </row>
    <row r="3364" ht="14.25" customHeight="1">
      <c r="A3364" t="s">
        <v>3424</v>
      </c>
      <c r="B3364" t="s">
        <v>3374</v>
      </c>
      <c r="C3364" t="s">
        <v>62</v>
      </c>
      <c r="D3364" t="s">
        <v>63</v>
      </c>
      <c r="E3364">
        <v>13.6</v>
      </c>
      <c r="F3364">
        <v>16.0</v>
      </c>
      <c r="G3364" s="2" t="s">
        <v>67</v>
      </c>
      <c r="H3364" s="2">
        <v>41.0</v>
      </c>
      <c r="I3364" s="2">
        <v>40.0</v>
      </c>
      <c r="J3364" s="37">
        <v>972.86</v>
      </c>
      <c r="K3364" s="2">
        <v>48.0</v>
      </c>
      <c r="L3364" s="2">
        <v>180.0</v>
      </c>
      <c r="M3364" s="37">
        <v>1312.08</v>
      </c>
    </row>
    <row r="3365" ht="14.25" customHeight="1">
      <c r="A3365" t="s">
        <v>3425</v>
      </c>
      <c r="B3365" t="s">
        <v>3374</v>
      </c>
      <c r="C3365" t="s">
        <v>75</v>
      </c>
      <c r="D3365" t="s">
        <v>63</v>
      </c>
      <c r="E3365">
        <v>10.0</v>
      </c>
      <c r="F3365">
        <v>12.5</v>
      </c>
      <c r="G3365" s="2" t="s">
        <v>64</v>
      </c>
      <c r="H3365" s="2">
        <v>0.0</v>
      </c>
      <c r="I3365" s="2">
        <v>0.0</v>
      </c>
      <c r="J3365" s="37">
        <v>0.0</v>
      </c>
      <c r="K3365" s="2">
        <v>0.0</v>
      </c>
      <c r="L3365" s="2">
        <v>0.0</v>
      </c>
      <c r="M3365" s="37">
        <v>0.0</v>
      </c>
    </row>
    <row r="3366" ht="14.25" customHeight="1">
      <c r="A3366" t="s">
        <v>3426</v>
      </c>
      <c r="B3366" t="s">
        <v>3374</v>
      </c>
      <c r="C3366" t="s">
        <v>75</v>
      </c>
      <c r="D3366" t="s">
        <v>63</v>
      </c>
      <c r="E3366">
        <v>12.5</v>
      </c>
      <c r="F3366">
        <v>15.0</v>
      </c>
      <c r="G3366" s="2" t="s">
        <v>64</v>
      </c>
      <c r="H3366" s="2">
        <v>0.0</v>
      </c>
      <c r="I3366" s="2">
        <v>0.0</v>
      </c>
      <c r="J3366" s="37">
        <v>0.0</v>
      </c>
      <c r="K3366" s="2">
        <v>0.0</v>
      </c>
      <c r="L3366" s="2">
        <v>0.0</v>
      </c>
      <c r="M3366" s="37">
        <v>0.0</v>
      </c>
    </row>
    <row r="3367" ht="14.25" customHeight="1">
      <c r="A3367" t="s">
        <v>3427</v>
      </c>
      <c r="B3367" t="s">
        <v>3374</v>
      </c>
      <c r="C3367" t="s">
        <v>75</v>
      </c>
      <c r="D3367" t="s">
        <v>63</v>
      </c>
      <c r="E3367">
        <v>14.0</v>
      </c>
      <c r="F3367">
        <v>16.5</v>
      </c>
      <c r="G3367" s="2" t="s">
        <v>64</v>
      </c>
      <c r="H3367" s="2">
        <v>0.0</v>
      </c>
      <c r="I3367" s="2">
        <v>0.0</v>
      </c>
      <c r="J3367" s="37">
        <v>0.0</v>
      </c>
      <c r="K3367" s="2">
        <v>0.0</v>
      </c>
      <c r="L3367" s="2">
        <v>0.0</v>
      </c>
      <c r="M3367" s="37">
        <v>0.0</v>
      </c>
    </row>
    <row r="3368" ht="14.25" customHeight="1">
      <c r="A3368" t="s">
        <v>3428</v>
      </c>
      <c r="B3368" t="s">
        <v>3374</v>
      </c>
      <c r="C3368" t="s">
        <v>75</v>
      </c>
      <c r="D3368" t="s">
        <v>63</v>
      </c>
      <c r="E3368">
        <v>15.5</v>
      </c>
      <c r="F3368">
        <v>18.0</v>
      </c>
      <c r="G3368" s="2" t="s">
        <v>64</v>
      </c>
      <c r="H3368" s="2">
        <v>0.0</v>
      </c>
      <c r="I3368" s="2">
        <v>0.0</v>
      </c>
      <c r="J3368" s="37">
        <v>0.0</v>
      </c>
      <c r="K3368" s="2">
        <v>0.0</v>
      </c>
      <c r="L3368" s="2">
        <v>0.0</v>
      </c>
      <c r="M3368" s="37">
        <v>0.0</v>
      </c>
    </row>
    <row r="3369" ht="14.25" customHeight="1">
      <c r="A3369" t="s">
        <v>3429</v>
      </c>
      <c r="B3369" t="s">
        <v>3374</v>
      </c>
      <c r="C3369" t="s">
        <v>75</v>
      </c>
      <c r="D3369" t="s">
        <v>63</v>
      </c>
      <c r="E3369">
        <v>10.0</v>
      </c>
      <c r="F3369">
        <v>12.5</v>
      </c>
      <c r="G3369" s="2" t="s">
        <v>64</v>
      </c>
      <c r="H3369" s="2">
        <v>0.0</v>
      </c>
      <c r="I3369" s="2">
        <v>0.0</v>
      </c>
      <c r="J3369" s="37">
        <v>0.0</v>
      </c>
      <c r="K3369" s="2">
        <v>0.0</v>
      </c>
      <c r="L3369" s="2">
        <v>0.0</v>
      </c>
      <c r="M3369" s="37">
        <v>0.0</v>
      </c>
    </row>
    <row r="3370" ht="14.25" customHeight="1">
      <c r="A3370" t="s">
        <v>3430</v>
      </c>
      <c r="B3370" t="s">
        <v>3374</v>
      </c>
      <c r="C3370" t="s">
        <v>75</v>
      </c>
      <c r="D3370" t="s">
        <v>63</v>
      </c>
      <c r="E3370">
        <v>12.5</v>
      </c>
      <c r="F3370">
        <v>15.0</v>
      </c>
      <c r="G3370" s="2" t="s">
        <v>64</v>
      </c>
      <c r="H3370" s="2">
        <v>0.0</v>
      </c>
      <c r="I3370" s="2">
        <v>0.0</v>
      </c>
      <c r="J3370" s="37">
        <v>0.0</v>
      </c>
      <c r="K3370" s="2">
        <v>0.0</v>
      </c>
      <c r="L3370" s="2">
        <v>0.0</v>
      </c>
      <c r="M3370" s="37">
        <v>0.0</v>
      </c>
    </row>
    <row r="3371" ht="14.25" customHeight="1">
      <c r="A3371" t="s">
        <v>3431</v>
      </c>
      <c r="B3371" t="s">
        <v>3374</v>
      </c>
      <c r="C3371" t="s">
        <v>75</v>
      </c>
      <c r="D3371" t="s">
        <v>63</v>
      </c>
      <c r="E3371">
        <v>14.0</v>
      </c>
      <c r="F3371">
        <v>16.5</v>
      </c>
      <c r="G3371" s="2" t="s">
        <v>64</v>
      </c>
      <c r="H3371" s="2">
        <v>0.0</v>
      </c>
      <c r="I3371" s="2">
        <v>0.0</v>
      </c>
      <c r="J3371" s="37">
        <v>0.0</v>
      </c>
      <c r="K3371" s="2">
        <v>0.0</v>
      </c>
      <c r="L3371" s="2">
        <v>0.0</v>
      </c>
      <c r="M3371" s="37">
        <v>0.0</v>
      </c>
    </row>
    <row r="3372" ht="14.25" customHeight="1">
      <c r="A3372" t="s">
        <v>3432</v>
      </c>
      <c r="B3372" t="s">
        <v>3374</v>
      </c>
      <c r="C3372" t="s">
        <v>75</v>
      </c>
      <c r="D3372" t="s">
        <v>63</v>
      </c>
      <c r="E3372">
        <v>15.5</v>
      </c>
      <c r="F3372">
        <v>18.0</v>
      </c>
      <c r="G3372" s="2" t="s">
        <v>64</v>
      </c>
      <c r="H3372" s="2">
        <v>0.0</v>
      </c>
      <c r="I3372" s="2">
        <v>0.0</v>
      </c>
      <c r="J3372" s="37">
        <v>0.0</v>
      </c>
      <c r="K3372" s="2">
        <v>0.0</v>
      </c>
      <c r="L3372" s="2">
        <v>0.0</v>
      </c>
      <c r="M3372" s="37">
        <v>0.0</v>
      </c>
    </row>
    <row r="3373" ht="14.25" customHeight="1">
      <c r="A3373" t="s">
        <v>3433</v>
      </c>
      <c r="B3373" t="s">
        <v>3374</v>
      </c>
      <c r="C3373" t="s">
        <v>75</v>
      </c>
      <c r="D3373" t="s">
        <v>63</v>
      </c>
      <c r="E3373">
        <v>18.0</v>
      </c>
      <c r="F3373">
        <v>20.0</v>
      </c>
      <c r="G3373" s="2" t="s">
        <v>64</v>
      </c>
      <c r="H3373" s="2">
        <v>0.0</v>
      </c>
      <c r="I3373" s="2">
        <v>0.0</v>
      </c>
      <c r="J3373" s="37">
        <v>0.0</v>
      </c>
      <c r="K3373" s="2">
        <v>0.0</v>
      </c>
      <c r="L3373" s="2">
        <v>0.0</v>
      </c>
      <c r="M3373" s="37">
        <v>0.0</v>
      </c>
    </row>
    <row r="3374" ht="14.25" customHeight="1">
      <c r="A3374" t="s">
        <v>3434</v>
      </c>
      <c r="B3374" t="s">
        <v>3435</v>
      </c>
      <c r="C3374" t="s">
        <v>62</v>
      </c>
      <c r="D3374" t="s">
        <v>268</v>
      </c>
      <c r="E3374">
        <v>2.93</v>
      </c>
      <c r="F3374">
        <v>2.49</v>
      </c>
      <c r="G3374" s="2" t="s">
        <v>64</v>
      </c>
      <c r="H3374" s="2">
        <v>0.0</v>
      </c>
      <c r="I3374" s="2">
        <v>0.0</v>
      </c>
      <c r="J3374" s="37">
        <v>0.0</v>
      </c>
      <c r="K3374" s="2">
        <v>0.0</v>
      </c>
      <c r="L3374" s="2">
        <v>0.0</v>
      </c>
      <c r="M3374" s="37">
        <v>0.0</v>
      </c>
    </row>
    <row r="3375" ht="14.25" customHeight="1">
      <c r="A3375" t="s">
        <v>3436</v>
      </c>
      <c r="B3375" t="s">
        <v>3435</v>
      </c>
      <c r="C3375" t="s">
        <v>62</v>
      </c>
      <c r="D3375" t="s">
        <v>268</v>
      </c>
      <c r="E3375">
        <v>2.93</v>
      </c>
      <c r="F3375">
        <v>2.49</v>
      </c>
      <c r="G3375" s="2" t="s">
        <v>64</v>
      </c>
      <c r="H3375" s="2">
        <v>0.0</v>
      </c>
      <c r="I3375" s="2">
        <v>0.0</v>
      </c>
      <c r="J3375" s="37">
        <v>0.0</v>
      </c>
      <c r="K3375" s="2">
        <v>0.0</v>
      </c>
      <c r="L3375" s="2">
        <v>0.0</v>
      </c>
      <c r="M3375" s="37">
        <v>0.0</v>
      </c>
    </row>
    <row r="3376" ht="14.25" customHeight="1">
      <c r="A3376" t="s">
        <v>3436</v>
      </c>
      <c r="B3376" t="s">
        <v>3435</v>
      </c>
      <c r="C3376" t="s">
        <v>62</v>
      </c>
      <c r="D3376" t="s">
        <v>268</v>
      </c>
      <c r="E3376">
        <v>2.93</v>
      </c>
      <c r="F3376">
        <v>2.49</v>
      </c>
      <c r="G3376" s="2" t="s">
        <v>64</v>
      </c>
      <c r="H3376" s="2">
        <v>0.0</v>
      </c>
      <c r="I3376" s="2">
        <v>0.0</v>
      </c>
      <c r="J3376" s="37">
        <v>0.0</v>
      </c>
      <c r="K3376" s="2">
        <v>0.0</v>
      </c>
      <c r="L3376" s="2">
        <v>0.0</v>
      </c>
      <c r="M3376" s="37">
        <v>0.0</v>
      </c>
    </row>
    <row r="3377" ht="14.25" customHeight="1">
      <c r="A3377" t="s">
        <v>3437</v>
      </c>
      <c r="B3377" t="s">
        <v>3438</v>
      </c>
      <c r="C3377" t="s">
        <v>62</v>
      </c>
      <c r="D3377" t="s">
        <v>63</v>
      </c>
      <c r="E3377">
        <v>5.1</v>
      </c>
      <c r="F3377">
        <v>5.2</v>
      </c>
      <c r="G3377" s="2" t="s">
        <v>64</v>
      </c>
      <c r="H3377" s="2">
        <v>0.0</v>
      </c>
      <c r="I3377" s="2">
        <v>0.0</v>
      </c>
      <c r="J3377" s="37">
        <v>0.0</v>
      </c>
      <c r="K3377" s="2">
        <v>0.0</v>
      </c>
      <c r="L3377" s="2">
        <v>0.0</v>
      </c>
      <c r="M3377" s="37">
        <v>0.0</v>
      </c>
    </row>
    <row r="3378" ht="14.25" customHeight="1">
      <c r="A3378" t="s">
        <v>3439</v>
      </c>
      <c r="B3378" t="s">
        <v>3438</v>
      </c>
      <c r="C3378" t="s">
        <v>62</v>
      </c>
      <c r="D3378" t="s">
        <v>63</v>
      </c>
      <c r="E3378">
        <v>3.5</v>
      </c>
      <c r="F3378">
        <v>3.5</v>
      </c>
      <c r="G3378" s="2" t="s">
        <v>64</v>
      </c>
      <c r="H3378" s="2">
        <v>0.0</v>
      </c>
      <c r="I3378" s="2">
        <v>0.0</v>
      </c>
      <c r="J3378" s="37">
        <v>0.0</v>
      </c>
      <c r="K3378" s="2">
        <v>0.0</v>
      </c>
      <c r="L3378" s="2">
        <v>0.0</v>
      </c>
      <c r="M3378" s="37">
        <v>0.0</v>
      </c>
    </row>
    <row r="3379" ht="14.25" customHeight="1">
      <c r="A3379" t="s">
        <v>3440</v>
      </c>
      <c r="B3379" t="s">
        <v>3441</v>
      </c>
      <c r="C3379" t="s">
        <v>62</v>
      </c>
      <c r="D3379" t="s">
        <v>63</v>
      </c>
      <c r="E3379">
        <v>2.8</v>
      </c>
      <c r="F3379">
        <v>2.65</v>
      </c>
      <c r="G3379" s="2" t="s">
        <v>67</v>
      </c>
      <c r="H3379" s="2">
        <v>7.0</v>
      </c>
      <c r="I3379" s="2">
        <v>68.0</v>
      </c>
      <c r="J3379" s="37">
        <v>245.62</v>
      </c>
      <c r="K3379" s="2">
        <v>8.0</v>
      </c>
      <c r="L3379" s="2">
        <v>90.0</v>
      </c>
      <c r="M3379" s="37">
        <v>296.68</v>
      </c>
    </row>
    <row r="3380" ht="14.25" customHeight="1">
      <c r="A3380" t="s">
        <v>3442</v>
      </c>
      <c r="B3380" t="s">
        <v>3441</v>
      </c>
      <c r="C3380" t="s">
        <v>62</v>
      </c>
      <c r="D3380" t="s">
        <v>63</v>
      </c>
      <c r="E3380">
        <v>5.2</v>
      </c>
      <c r="F3380">
        <v>5.2</v>
      </c>
      <c r="G3380" s="2" t="s">
        <v>67</v>
      </c>
      <c r="H3380" s="2">
        <v>15.0</v>
      </c>
      <c r="I3380" s="2">
        <v>63.0</v>
      </c>
      <c r="J3380" s="37">
        <v>418.80000000000007</v>
      </c>
      <c r="K3380" s="2">
        <v>17.0</v>
      </c>
      <c r="L3380" s="2">
        <v>111.0</v>
      </c>
      <c r="M3380" s="37">
        <v>526.12</v>
      </c>
    </row>
    <row r="3381" ht="14.25" customHeight="1">
      <c r="A3381" t="s">
        <v>3443</v>
      </c>
      <c r="B3381" t="s">
        <v>3441</v>
      </c>
      <c r="C3381" t="s">
        <v>62</v>
      </c>
      <c r="D3381" t="s">
        <v>63</v>
      </c>
      <c r="E3381">
        <v>7.2</v>
      </c>
      <c r="F3381">
        <v>7.2</v>
      </c>
      <c r="G3381" s="2" t="s">
        <v>67</v>
      </c>
      <c r="H3381" s="2">
        <v>21.0</v>
      </c>
      <c r="I3381" s="2">
        <v>99.0</v>
      </c>
      <c r="J3381" s="37">
        <v>600.36</v>
      </c>
      <c r="K3381" s="2">
        <v>24.0</v>
      </c>
      <c r="L3381" s="2">
        <v>165.0</v>
      </c>
      <c r="M3381" s="37">
        <v>753.54</v>
      </c>
    </row>
    <row r="3382" ht="14.25" customHeight="1">
      <c r="A3382" t="s">
        <v>3444</v>
      </c>
      <c r="B3382" t="s">
        <v>3441</v>
      </c>
      <c r="C3382" t="s">
        <v>62</v>
      </c>
      <c r="D3382" t="s">
        <v>63</v>
      </c>
      <c r="E3382">
        <v>8.2</v>
      </c>
      <c r="F3382">
        <v>8.5</v>
      </c>
      <c r="G3382" s="2" t="s">
        <v>67</v>
      </c>
      <c r="H3382" s="2">
        <v>24.0</v>
      </c>
      <c r="I3382" s="2">
        <v>73.0</v>
      </c>
      <c r="J3382" s="37">
        <v>633.9399999999999</v>
      </c>
      <c r="K3382" s="2">
        <v>28.0</v>
      </c>
      <c r="L3382" s="2">
        <v>147.0</v>
      </c>
      <c r="M3382" s="37">
        <v>819.98</v>
      </c>
    </row>
    <row r="3383" ht="14.25" customHeight="1">
      <c r="A3383" t="s">
        <v>3445</v>
      </c>
      <c r="B3383" t="s">
        <v>3441</v>
      </c>
      <c r="C3383" t="s">
        <v>62</v>
      </c>
      <c r="D3383" t="s">
        <v>63</v>
      </c>
      <c r="E3383">
        <v>2.65</v>
      </c>
      <c r="F3383">
        <v>2.72</v>
      </c>
      <c r="G3383" s="2" t="s">
        <v>67</v>
      </c>
      <c r="H3383" s="2">
        <v>8.0</v>
      </c>
      <c r="I3383" s="2">
        <v>57.0</v>
      </c>
      <c r="J3383" s="37">
        <v>253.78000000000003</v>
      </c>
      <c r="K3383" s="2">
        <v>9.0</v>
      </c>
      <c r="L3383" s="2">
        <v>78.0</v>
      </c>
      <c r="M3383" s="37">
        <v>303.54</v>
      </c>
    </row>
    <row r="3384" ht="14.25" customHeight="1">
      <c r="A3384" t="s">
        <v>3446</v>
      </c>
      <c r="B3384" t="s">
        <v>3441</v>
      </c>
      <c r="C3384" t="s">
        <v>62</v>
      </c>
      <c r="D3384" t="s">
        <v>63</v>
      </c>
      <c r="E3384">
        <v>3.5</v>
      </c>
      <c r="F3384">
        <v>3.8</v>
      </c>
      <c r="G3384" s="2" t="s">
        <v>67</v>
      </c>
      <c r="H3384" s="2">
        <v>10.0</v>
      </c>
      <c r="I3384" s="2">
        <v>49.0</v>
      </c>
      <c r="J3384" s="37">
        <v>288.3</v>
      </c>
      <c r="K3384" s="2">
        <v>12.0</v>
      </c>
      <c r="L3384" s="2">
        <v>77.0</v>
      </c>
      <c r="M3384" s="37">
        <v>369.62</v>
      </c>
    </row>
    <row r="3385" ht="14.25" customHeight="1">
      <c r="A3385" t="s">
        <v>3447</v>
      </c>
      <c r="B3385" t="s">
        <v>3448</v>
      </c>
      <c r="C3385" t="s">
        <v>62</v>
      </c>
      <c r="D3385" t="s">
        <v>63</v>
      </c>
      <c r="E3385">
        <v>2.8</v>
      </c>
      <c r="F3385">
        <v>2.65</v>
      </c>
      <c r="G3385" s="2" t="s">
        <v>67</v>
      </c>
      <c r="H3385" s="2">
        <v>7.0</v>
      </c>
      <c r="I3385" s="2">
        <v>68.0</v>
      </c>
      <c r="J3385" s="37">
        <v>245.62</v>
      </c>
      <c r="K3385" s="2">
        <v>8.0</v>
      </c>
      <c r="L3385" s="2">
        <v>90.0</v>
      </c>
      <c r="M3385" s="37">
        <v>296.68</v>
      </c>
    </row>
    <row r="3386" ht="14.25" customHeight="1">
      <c r="A3386" t="s">
        <v>3449</v>
      </c>
      <c r="B3386" t="s">
        <v>3450</v>
      </c>
      <c r="C3386" t="s">
        <v>62</v>
      </c>
      <c r="D3386" t="s">
        <v>63</v>
      </c>
      <c r="E3386">
        <v>3.51</v>
      </c>
      <c r="F3386">
        <v>3.6</v>
      </c>
      <c r="G3386" s="2" t="s">
        <v>64</v>
      </c>
      <c r="H3386" s="2">
        <v>0.0</v>
      </c>
      <c r="I3386" s="2">
        <v>0.0</v>
      </c>
      <c r="J3386" s="37">
        <v>0.0</v>
      </c>
      <c r="K3386" s="2">
        <v>0.0</v>
      </c>
      <c r="L3386" s="2">
        <v>0.0</v>
      </c>
      <c r="M3386" s="37">
        <v>0.0</v>
      </c>
    </row>
    <row r="3387" ht="14.25" customHeight="1">
      <c r="A3387" t="s">
        <v>3451</v>
      </c>
      <c r="B3387" t="s">
        <v>3450</v>
      </c>
      <c r="C3387" t="s">
        <v>62</v>
      </c>
      <c r="D3387" t="s">
        <v>63</v>
      </c>
      <c r="E3387">
        <v>5.01</v>
      </c>
      <c r="F3387">
        <v>5.27</v>
      </c>
      <c r="G3387" s="2" t="s">
        <v>64</v>
      </c>
      <c r="H3387" s="2">
        <v>0.0</v>
      </c>
      <c r="I3387" s="2">
        <v>0.0</v>
      </c>
      <c r="J3387" s="37">
        <v>0.0</v>
      </c>
      <c r="K3387" s="2">
        <v>0.0</v>
      </c>
      <c r="L3387" s="2">
        <v>0.0</v>
      </c>
      <c r="M3387" s="37">
        <v>0.0</v>
      </c>
    </row>
    <row r="3388" ht="14.25" customHeight="1">
      <c r="A3388" t="s">
        <v>3452</v>
      </c>
      <c r="B3388" t="s">
        <v>3450</v>
      </c>
      <c r="C3388" t="s">
        <v>62</v>
      </c>
      <c r="D3388" t="s">
        <v>63</v>
      </c>
      <c r="E3388">
        <v>6.44</v>
      </c>
      <c r="F3388">
        <v>7.0</v>
      </c>
      <c r="G3388" s="2" t="s">
        <v>67</v>
      </c>
      <c r="H3388" s="2">
        <v>19.0</v>
      </c>
      <c r="I3388" s="2">
        <v>62.0</v>
      </c>
      <c r="J3388" s="37">
        <v>507.34000000000003</v>
      </c>
      <c r="K3388" s="2">
        <v>22.0</v>
      </c>
      <c r="L3388" s="2">
        <v>120.0</v>
      </c>
      <c r="M3388" s="37">
        <v>650.12</v>
      </c>
    </row>
    <row r="3389" ht="14.25" customHeight="1">
      <c r="A3389" t="s">
        <v>3453</v>
      </c>
      <c r="B3389" t="s">
        <v>3450</v>
      </c>
      <c r="C3389" t="s">
        <v>75</v>
      </c>
      <c r="D3389" t="s">
        <v>63</v>
      </c>
      <c r="E3389">
        <v>5.15</v>
      </c>
      <c r="F3389">
        <v>5.2</v>
      </c>
      <c r="G3389" s="2" t="s">
        <v>67</v>
      </c>
      <c r="H3389" s="2">
        <v>15.0</v>
      </c>
      <c r="I3389" s="2">
        <v>77.0</v>
      </c>
      <c r="J3389" s="37">
        <v>437.00000000000006</v>
      </c>
      <c r="K3389" s="2">
        <v>17.0</v>
      </c>
      <c r="L3389" s="2">
        <v>130.0</v>
      </c>
      <c r="M3389" s="37">
        <v>550.8199999999999</v>
      </c>
    </row>
    <row r="3390" ht="14.25" customHeight="1">
      <c r="A3390" t="s">
        <v>3454</v>
      </c>
      <c r="B3390" t="s">
        <v>3450</v>
      </c>
      <c r="C3390" t="s">
        <v>75</v>
      </c>
      <c r="D3390" t="s">
        <v>63</v>
      </c>
      <c r="E3390">
        <v>6.75</v>
      </c>
      <c r="F3390">
        <v>7.4</v>
      </c>
      <c r="G3390" s="2" t="s">
        <v>67</v>
      </c>
      <c r="H3390" s="2">
        <v>20.0</v>
      </c>
      <c r="I3390" s="2">
        <v>97.0</v>
      </c>
      <c r="J3390" s="37">
        <v>575.3000000000001</v>
      </c>
      <c r="K3390" s="2">
        <v>24.0</v>
      </c>
      <c r="L3390" s="2">
        <v>166.0</v>
      </c>
      <c r="M3390" s="37">
        <v>754.8399999999999</v>
      </c>
    </row>
    <row r="3391" ht="14.25" customHeight="1">
      <c r="A3391" t="s">
        <v>3455</v>
      </c>
      <c r="B3391" t="s">
        <v>3450</v>
      </c>
      <c r="C3391" t="s">
        <v>62</v>
      </c>
      <c r="D3391" t="s">
        <v>63</v>
      </c>
      <c r="E3391">
        <v>3.5</v>
      </c>
      <c r="F3391">
        <v>3.5</v>
      </c>
      <c r="G3391" s="2" t="s">
        <v>64</v>
      </c>
      <c r="H3391" s="2">
        <v>0.0</v>
      </c>
      <c r="I3391" s="2">
        <v>0.0</v>
      </c>
      <c r="J3391" s="37">
        <v>0.0</v>
      </c>
      <c r="K3391" s="2">
        <v>0.0</v>
      </c>
      <c r="L3391" s="2">
        <v>0.0</v>
      </c>
      <c r="M3391" s="37">
        <v>0.0</v>
      </c>
    </row>
    <row r="3392" ht="14.25" customHeight="1">
      <c r="A3392" t="s">
        <v>3456</v>
      </c>
      <c r="B3392" t="s">
        <v>3450</v>
      </c>
      <c r="C3392" t="s">
        <v>62</v>
      </c>
      <c r="D3392" t="s">
        <v>63</v>
      </c>
      <c r="E3392">
        <v>5.01</v>
      </c>
      <c r="F3392">
        <v>5.01</v>
      </c>
      <c r="G3392" s="2" t="s">
        <v>64</v>
      </c>
      <c r="H3392" s="2">
        <v>0.0</v>
      </c>
      <c r="I3392" s="2">
        <v>0.0</v>
      </c>
      <c r="J3392" s="37">
        <v>0.0</v>
      </c>
      <c r="K3392" s="2">
        <v>0.0</v>
      </c>
      <c r="L3392" s="2">
        <v>0.0</v>
      </c>
      <c r="M3392" s="37">
        <v>0.0</v>
      </c>
    </row>
    <row r="3393" ht="14.25" customHeight="1">
      <c r="A3393" t="s">
        <v>3457</v>
      </c>
      <c r="B3393" t="s">
        <v>3450</v>
      </c>
      <c r="C3393" t="s">
        <v>62</v>
      </c>
      <c r="D3393" t="s">
        <v>63</v>
      </c>
      <c r="E3393">
        <v>6.4</v>
      </c>
      <c r="F3393">
        <v>7.03</v>
      </c>
      <c r="G3393" s="2" t="s">
        <v>67</v>
      </c>
      <c r="H3393" s="2">
        <v>20.0</v>
      </c>
      <c r="I3393" s="2">
        <v>88.0</v>
      </c>
      <c r="J3393" s="37">
        <v>563.6</v>
      </c>
      <c r="K3393" s="2">
        <v>23.0</v>
      </c>
      <c r="L3393" s="2">
        <v>146.0</v>
      </c>
      <c r="M3393" s="37">
        <v>706.3800000000001</v>
      </c>
    </row>
    <row r="3394" ht="14.25" customHeight="1">
      <c r="A3394" t="s">
        <v>3458</v>
      </c>
      <c r="B3394" t="s">
        <v>3459</v>
      </c>
      <c r="C3394" t="s">
        <v>62</v>
      </c>
      <c r="D3394" t="s">
        <v>63</v>
      </c>
      <c r="E3394">
        <v>2.8</v>
      </c>
      <c r="F3394">
        <v>2.85</v>
      </c>
      <c r="G3394" s="2" t="s">
        <v>67</v>
      </c>
      <c r="H3394" s="2">
        <v>8.0</v>
      </c>
      <c r="I3394" s="2">
        <v>75.0</v>
      </c>
      <c r="J3394" s="37">
        <v>277.18</v>
      </c>
      <c r="K3394" s="2">
        <v>10.0</v>
      </c>
      <c r="L3394" s="2">
        <v>98.0</v>
      </c>
      <c r="M3394" s="37">
        <v>352.0</v>
      </c>
    </row>
    <row r="3395" ht="14.25" customHeight="1">
      <c r="A3395" t="s">
        <v>3460</v>
      </c>
      <c r="B3395" t="s">
        <v>3459</v>
      </c>
      <c r="C3395" t="s">
        <v>62</v>
      </c>
      <c r="D3395" t="s">
        <v>63</v>
      </c>
      <c r="E3395">
        <v>5.2</v>
      </c>
      <c r="F3395">
        <v>5.6</v>
      </c>
      <c r="G3395" s="2" t="s">
        <v>67</v>
      </c>
      <c r="H3395" s="2">
        <v>17.0</v>
      </c>
      <c r="I3395" s="2">
        <v>120.0</v>
      </c>
      <c r="J3395" s="37">
        <v>537.8199999999999</v>
      </c>
      <c r="K3395" s="2">
        <v>19.0</v>
      </c>
      <c r="L3395" s="2">
        <v>167.0</v>
      </c>
      <c r="M3395" s="37">
        <v>643.84</v>
      </c>
    </row>
    <row r="3396" ht="14.25" customHeight="1">
      <c r="A3396" t="s">
        <v>3461</v>
      </c>
      <c r="B3396" t="s">
        <v>3459</v>
      </c>
      <c r="C3396" t="s">
        <v>62</v>
      </c>
      <c r="D3396" t="s">
        <v>63</v>
      </c>
      <c r="E3396">
        <v>7.3</v>
      </c>
      <c r="F3396">
        <v>8.1</v>
      </c>
      <c r="G3396" s="2" t="s">
        <v>67</v>
      </c>
      <c r="H3396" s="2">
        <v>24.0</v>
      </c>
      <c r="I3396" s="2">
        <v>114.0</v>
      </c>
      <c r="J3396" s="37">
        <v>687.24</v>
      </c>
      <c r="K3396" s="2">
        <v>27.0</v>
      </c>
      <c r="L3396" s="2">
        <v>181.0</v>
      </c>
      <c r="M3396" s="37">
        <v>841.72</v>
      </c>
    </row>
    <row r="3397" ht="14.25" customHeight="1">
      <c r="A3397" t="s">
        <v>3462</v>
      </c>
      <c r="B3397" t="s">
        <v>3459</v>
      </c>
      <c r="C3397" t="s">
        <v>62</v>
      </c>
      <c r="D3397" t="s">
        <v>63</v>
      </c>
      <c r="E3397">
        <v>3.6</v>
      </c>
      <c r="F3397">
        <v>3.9</v>
      </c>
      <c r="G3397" s="2" t="s">
        <v>67</v>
      </c>
      <c r="H3397" s="2">
        <v>11.0</v>
      </c>
      <c r="I3397" s="2">
        <v>66.0</v>
      </c>
      <c r="J3397" s="37">
        <v>332.86</v>
      </c>
      <c r="K3397" s="2">
        <v>12.0</v>
      </c>
      <c r="L3397" s="2">
        <v>95.0</v>
      </c>
      <c r="M3397" s="37">
        <v>393.02</v>
      </c>
    </row>
    <row r="3398" ht="14.25" customHeight="1">
      <c r="A3398" t="s">
        <v>3463</v>
      </c>
      <c r="B3398" t="s">
        <v>3464</v>
      </c>
      <c r="C3398" t="s">
        <v>62</v>
      </c>
      <c r="D3398" t="s">
        <v>268</v>
      </c>
      <c r="E3398">
        <v>2.6</v>
      </c>
      <c r="F3398">
        <v>2.3</v>
      </c>
      <c r="G3398" s="2" t="s">
        <v>64</v>
      </c>
      <c r="H3398" s="2">
        <v>0.0</v>
      </c>
      <c r="I3398" s="2">
        <v>0.0</v>
      </c>
      <c r="J3398" s="37">
        <v>0.0</v>
      </c>
      <c r="K3398" s="2">
        <v>0.0</v>
      </c>
      <c r="L3398" s="2">
        <v>0.0</v>
      </c>
      <c r="M3398" s="37">
        <v>0.0</v>
      </c>
    </row>
    <row r="3399" ht="14.25" customHeight="1">
      <c r="A3399" t="s">
        <v>3465</v>
      </c>
      <c r="B3399" t="s">
        <v>3464</v>
      </c>
      <c r="C3399" t="s">
        <v>62</v>
      </c>
      <c r="D3399" t="s">
        <v>268</v>
      </c>
      <c r="E3399">
        <v>2.6</v>
      </c>
      <c r="F3399">
        <v>2.3</v>
      </c>
      <c r="G3399" s="2" t="s">
        <v>64</v>
      </c>
      <c r="H3399" s="2">
        <v>0.0</v>
      </c>
      <c r="I3399" s="2">
        <v>0.0</v>
      </c>
      <c r="J3399" s="37">
        <v>0.0</v>
      </c>
      <c r="K3399" s="2">
        <v>0.0</v>
      </c>
      <c r="L3399" s="2">
        <v>0.0</v>
      </c>
      <c r="M3399" s="37">
        <v>0.0</v>
      </c>
    </row>
    <row r="3400" ht="14.25" customHeight="1">
      <c r="A3400" t="s">
        <v>3466</v>
      </c>
      <c r="B3400" t="s">
        <v>3464</v>
      </c>
      <c r="C3400" t="s">
        <v>62</v>
      </c>
      <c r="D3400" t="s">
        <v>268</v>
      </c>
      <c r="E3400">
        <v>2.6</v>
      </c>
      <c r="F3400">
        <v>2.3</v>
      </c>
      <c r="G3400" s="2" t="s">
        <v>64</v>
      </c>
      <c r="H3400" s="2">
        <v>0.0</v>
      </c>
      <c r="I3400" s="2">
        <v>0.0</v>
      </c>
      <c r="J3400" s="37">
        <v>0.0</v>
      </c>
      <c r="K3400" s="2">
        <v>0.0</v>
      </c>
      <c r="L3400" s="2">
        <v>0.0</v>
      </c>
      <c r="M3400" s="37">
        <v>0.0</v>
      </c>
    </row>
    <row r="3401" ht="14.25" customHeight="1">
      <c r="A3401" t="s">
        <v>3467</v>
      </c>
      <c r="B3401" t="s">
        <v>3464</v>
      </c>
      <c r="C3401" t="s">
        <v>62</v>
      </c>
      <c r="D3401" t="s">
        <v>268</v>
      </c>
      <c r="E3401">
        <v>2.6</v>
      </c>
      <c r="F3401">
        <v>2.3</v>
      </c>
      <c r="G3401" s="2" t="s">
        <v>64</v>
      </c>
      <c r="H3401" s="2">
        <v>0.0</v>
      </c>
      <c r="I3401" s="2">
        <v>0.0</v>
      </c>
      <c r="J3401" s="37">
        <v>0.0</v>
      </c>
      <c r="K3401" s="2">
        <v>0.0</v>
      </c>
      <c r="L3401" s="2">
        <v>0.0</v>
      </c>
      <c r="M3401" s="37">
        <v>0.0</v>
      </c>
    </row>
    <row r="3402" ht="14.25" customHeight="1">
      <c r="A3402" t="s">
        <v>3468</v>
      </c>
      <c r="B3402" t="s">
        <v>3464</v>
      </c>
      <c r="C3402" t="s">
        <v>62</v>
      </c>
      <c r="D3402" t="s">
        <v>268</v>
      </c>
      <c r="E3402">
        <v>2.6</v>
      </c>
      <c r="F3402">
        <v>2.3</v>
      </c>
      <c r="G3402" s="2" t="s">
        <v>64</v>
      </c>
      <c r="H3402" s="2">
        <v>0.0</v>
      </c>
      <c r="I3402" s="2">
        <v>0.0</v>
      </c>
      <c r="J3402" s="37">
        <v>0.0</v>
      </c>
      <c r="K3402" s="2">
        <v>0.0</v>
      </c>
      <c r="L3402" s="2">
        <v>0.0</v>
      </c>
      <c r="M3402" s="37">
        <v>0.0</v>
      </c>
    </row>
    <row r="3403" ht="14.25" customHeight="1">
      <c r="A3403" t="s">
        <v>3469</v>
      </c>
      <c r="B3403" t="s">
        <v>3464</v>
      </c>
      <c r="C3403" t="s">
        <v>62</v>
      </c>
      <c r="D3403" t="s">
        <v>268</v>
      </c>
      <c r="E3403">
        <v>2.6</v>
      </c>
      <c r="F3403">
        <v>2.3</v>
      </c>
      <c r="G3403" s="2" t="s">
        <v>64</v>
      </c>
      <c r="H3403" s="2">
        <v>0.0</v>
      </c>
      <c r="I3403" s="2">
        <v>0.0</v>
      </c>
      <c r="J3403" s="37">
        <v>0.0</v>
      </c>
      <c r="K3403" s="2">
        <v>0.0</v>
      </c>
      <c r="L3403" s="2">
        <v>0.0</v>
      </c>
      <c r="M3403" s="37">
        <v>0.0</v>
      </c>
    </row>
    <row r="3404" ht="14.25" customHeight="1">
      <c r="A3404" t="s">
        <v>3470</v>
      </c>
      <c r="B3404" t="s">
        <v>3464</v>
      </c>
      <c r="C3404" t="s">
        <v>62</v>
      </c>
      <c r="D3404" t="s">
        <v>268</v>
      </c>
      <c r="E3404">
        <v>2.6</v>
      </c>
      <c r="F3404">
        <v>2.3</v>
      </c>
      <c r="G3404" s="2" t="s">
        <v>64</v>
      </c>
      <c r="H3404" s="2">
        <v>0.0</v>
      </c>
      <c r="I3404" s="2">
        <v>0.0</v>
      </c>
      <c r="J3404" s="37">
        <v>0.0</v>
      </c>
      <c r="K3404" s="2">
        <v>0.0</v>
      </c>
      <c r="L3404" s="2">
        <v>0.0</v>
      </c>
      <c r="M3404" s="37">
        <v>0.0</v>
      </c>
    </row>
    <row r="3405" ht="14.25" customHeight="1">
      <c r="A3405" t="s">
        <v>3471</v>
      </c>
      <c r="B3405" t="s">
        <v>3464</v>
      </c>
      <c r="C3405" t="s">
        <v>62</v>
      </c>
      <c r="D3405" t="s">
        <v>268</v>
      </c>
      <c r="E3405">
        <v>2.6</v>
      </c>
      <c r="F3405">
        <v>2.3</v>
      </c>
      <c r="G3405" s="2" t="s">
        <v>64</v>
      </c>
      <c r="H3405" s="2">
        <v>0.0</v>
      </c>
      <c r="I3405" s="2">
        <v>0.0</v>
      </c>
      <c r="J3405" s="37">
        <v>0.0</v>
      </c>
      <c r="K3405" s="2">
        <v>0.0</v>
      </c>
      <c r="L3405" s="2">
        <v>0.0</v>
      </c>
      <c r="M3405" s="37">
        <v>0.0</v>
      </c>
    </row>
    <row r="3406" ht="14.25" customHeight="1">
      <c r="A3406" t="s">
        <v>3472</v>
      </c>
      <c r="B3406" t="s">
        <v>3464</v>
      </c>
      <c r="C3406" t="s">
        <v>62</v>
      </c>
      <c r="D3406" t="s">
        <v>268</v>
      </c>
      <c r="E3406">
        <v>2.6</v>
      </c>
      <c r="F3406">
        <v>2.3</v>
      </c>
      <c r="G3406" s="2" t="s">
        <v>64</v>
      </c>
      <c r="H3406" s="2">
        <v>0.0</v>
      </c>
      <c r="I3406" s="2">
        <v>0.0</v>
      </c>
      <c r="J3406" s="37">
        <v>0.0</v>
      </c>
      <c r="K3406" s="2">
        <v>0.0</v>
      </c>
      <c r="L3406" s="2">
        <v>0.0</v>
      </c>
      <c r="M3406" s="37">
        <v>0.0</v>
      </c>
    </row>
    <row r="3407" ht="14.25" customHeight="1">
      <c r="A3407" t="s">
        <v>3473</v>
      </c>
      <c r="B3407" t="s">
        <v>3464</v>
      </c>
      <c r="C3407" t="s">
        <v>62</v>
      </c>
      <c r="D3407" t="s">
        <v>268</v>
      </c>
      <c r="E3407">
        <v>2.81</v>
      </c>
      <c r="F3407">
        <v>2.5</v>
      </c>
      <c r="G3407" s="2" t="s">
        <v>64</v>
      </c>
      <c r="H3407" s="2">
        <v>0.0</v>
      </c>
      <c r="I3407" s="2">
        <v>0.0</v>
      </c>
      <c r="J3407" s="37">
        <v>0.0</v>
      </c>
      <c r="K3407" s="2">
        <v>0.0</v>
      </c>
      <c r="L3407" s="2">
        <v>0.0</v>
      </c>
      <c r="M3407" s="37">
        <v>0.0</v>
      </c>
    </row>
    <row r="3408" ht="14.25" customHeight="1">
      <c r="A3408" t="s">
        <v>3474</v>
      </c>
      <c r="B3408" t="s">
        <v>3464</v>
      </c>
      <c r="C3408" t="s">
        <v>62</v>
      </c>
      <c r="D3408" t="s">
        <v>268</v>
      </c>
      <c r="E3408">
        <v>2.81</v>
      </c>
      <c r="F3408">
        <v>2.5</v>
      </c>
      <c r="G3408" s="2" t="s">
        <v>64</v>
      </c>
      <c r="H3408" s="2">
        <v>0.0</v>
      </c>
      <c r="I3408" s="2">
        <v>0.0</v>
      </c>
      <c r="J3408" s="37">
        <v>0.0</v>
      </c>
      <c r="K3408" s="2">
        <v>0.0</v>
      </c>
      <c r="L3408" s="2">
        <v>0.0</v>
      </c>
      <c r="M3408" s="37">
        <v>0.0</v>
      </c>
    </row>
    <row r="3409" ht="14.25" customHeight="1">
      <c r="A3409" t="s">
        <v>3475</v>
      </c>
      <c r="B3409" t="s">
        <v>3464</v>
      </c>
      <c r="C3409" t="s">
        <v>62</v>
      </c>
      <c r="D3409" t="s">
        <v>268</v>
      </c>
      <c r="E3409">
        <v>2.81</v>
      </c>
      <c r="F3409">
        <v>2.5</v>
      </c>
      <c r="G3409" s="2" t="s">
        <v>64</v>
      </c>
      <c r="H3409" s="2">
        <v>0.0</v>
      </c>
      <c r="I3409" s="2">
        <v>0.0</v>
      </c>
      <c r="J3409" s="37">
        <v>0.0</v>
      </c>
      <c r="K3409" s="2">
        <v>0.0</v>
      </c>
      <c r="L3409" s="2">
        <v>0.0</v>
      </c>
      <c r="M3409" s="37">
        <v>0.0</v>
      </c>
    </row>
    <row r="3410" ht="14.25" customHeight="1">
      <c r="A3410" t="s">
        <v>3476</v>
      </c>
      <c r="B3410" t="s">
        <v>3464</v>
      </c>
      <c r="C3410" t="s">
        <v>62</v>
      </c>
      <c r="D3410" t="s">
        <v>268</v>
      </c>
      <c r="E3410">
        <v>2.81</v>
      </c>
      <c r="F3410">
        <v>2.5</v>
      </c>
      <c r="G3410" s="2" t="s">
        <v>64</v>
      </c>
      <c r="H3410" s="2">
        <v>0.0</v>
      </c>
      <c r="I3410" s="2">
        <v>0.0</v>
      </c>
      <c r="J3410" s="37">
        <v>0.0</v>
      </c>
      <c r="K3410" s="2">
        <v>0.0</v>
      </c>
      <c r="L3410" s="2">
        <v>0.0</v>
      </c>
      <c r="M3410" s="37">
        <v>0.0</v>
      </c>
    </row>
    <row r="3411" ht="14.25" customHeight="1">
      <c r="A3411" t="s">
        <v>3477</v>
      </c>
      <c r="B3411" t="s">
        <v>3464</v>
      </c>
      <c r="C3411" t="s">
        <v>62</v>
      </c>
      <c r="D3411" t="s">
        <v>268</v>
      </c>
      <c r="E3411">
        <v>2.81</v>
      </c>
      <c r="F3411">
        <v>2.5</v>
      </c>
      <c r="G3411" s="2" t="s">
        <v>64</v>
      </c>
      <c r="H3411" s="2">
        <v>0.0</v>
      </c>
      <c r="I3411" s="2">
        <v>0.0</v>
      </c>
      <c r="J3411" s="37">
        <v>0.0</v>
      </c>
      <c r="K3411" s="2">
        <v>0.0</v>
      </c>
      <c r="L3411" s="2">
        <v>0.0</v>
      </c>
      <c r="M3411" s="37">
        <v>0.0</v>
      </c>
    </row>
    <row r="3412" ht="14.25" customHeight="1">
      <c r="A3412" t="s">
        <v>3478</v>
      </c>
      <c r="B3412" t="s">
        <v>3464</v>
      </c>
      <c r="C3412" t="s">
        <v>62</v>
      </c>
      <c r="D3412" t="s">
        <v>268</v>
      </c>
      <c r="E3412">
        <v>2.81</v>
      </c>
      <c r="F3412">
        <v>2.5</v>
      </c>
      <c r="G3412" s="2" t="s">
        <v>64</v>
      </c>
      <c r="H3412" s="2">
        <v>0.0</v>
      </c>
      <c r="I3412" s="2">
        <v>0.0</v>
      </c>
      <c r="J3412" s="37">
        <v>0.0</v>
      </c>
      <c r="K3412" s="2">
        <v>0.0</v>
      </c>
      <c r="L3412" s="2">
        <v>0.0</v>
      </c>
      <c r="M3412" s="37">
        <v>0.0</v>
      </c>
    </row>
    <row r="3413" ht="14.25" customHeight="1">
      <c r="A3413" t="s">
        <v>3479</v>
      </c>
      <c r="B3413" t="s">
        <v>3464</v>
      </c>
      <c r="C3413" t="s">
        <v>62</v>
      </c>
      <c r="D3413" t="s">
        <v>63</v>
      </c>
      <c r="E3413">
        <v>2.64</v>
      </c>
      <c r="F3413">
        <v>4.05</v>
      </c>
      <c r="G3413" s="2" t="s">
        <v>64</v>
      </c>
      <c r="H3413" s="2">
        <v>0.0</v>
      </c>
      <c r="I3413" s="2">
        <v>0.0</v>
      </c>
      <c r="J3413" s="37">
        <v>0.0</v>
      </c>
      <c r="K3413" s="2">
        <v>0.0</v>
      </c>
      <c r="L3413" s="2">
        <v>0.0</v>
      </c>
      <c r="M3413" s="37">
        <v>0.0</v>
      </c>
    </row>
    <row r="3414" ht="14.25" customHeight="1">
      <c r="A3414" t="s">
        <v>3480</v>
      </c>
      <c r="B3414" t="s">
        <v>3464</v>
      </c>
      <c r="C3414" t="s">
        <v>62</v>
      </c>
      <c r="D3414" t="s">
        <v>63</v>
      </c>
      <c r="E3414">
        <v>2.64</v>
      </c>
      <c r="F3414">
        <v>4.05</v>
      </c>
      <c r="G3414" s="2" t="s">
        <v>64</v>
      </c>
      <c r="H3414" s="2">
        <v>0.0</v>
      </c>
      <c r="I3414" s="2">
        <v>0.0</v>
      </c>
      <c r="J3414" s="37">
        <v>0.0</v>
      </c>
      <c r="K3414" s="2">
        <v>0.0</v>
      </c>
      <c r="L3414" s="2">
        <v>0.0</v>
      </c>
      <c r="M3414" s="37">
        <v>0.0</v>
      </c>
    </row>
    <row r="3415" ht="14.25" customHeight="1">
      <c r="A3415" t="s">
        <v>3481</v>
      </c>
      <c r="B3415" t="s">
        <v>3464</v>
      </c>
      <c r="C3415" t="s">
        <v>62</v>
      </c>
      <c r="D3415" t="s">
        <v>63</v>
      </c>
      <c r="E3415">
        <v>2.64</v>
      </c>
      <c r="F3415">
        <v>4.05</v>
      </c>
      <c r="G3415" s="2" t="s">
        <v>64</v>
      </c>
      <c r="H3415" s="2">
        <v>0.0</v>
      </c>
      <c r="I3415" s="2">
        <v>0.0</v>
      </c>
      <c r="J3415" s="37">
        <v>0.0</v>
      </c>
      <c r="K3415" s="2">
        <v>0.0</v>
      </c>
      <c r="L3415" s="2">
        <v>0.0</v>
      </c>
      <c r="M3415" s="37">
        <v>0.0</v>
      </c>
    </row>
    <row r="3416" ht="14.25" customHeight="1">
      <c r="A3416" t="s">
        <v>3482</v>
      </c>
      <c r="B3416" t="s">
        <v>3464</v>
      </c>
      <c r="C3416" t="s">
        <v>62</v>
      </c>
      <c r="D3416" t="s">
        <v>63</v>
      </c>
      <c r="E3416">
        <v>2.64</v>
      </c>
      <c r="F3416">
        <v>4.05</v>
      </c>
      <c r="G3416" s="2" t="s">
        <v>64</v>
      </c>
      <c r="H3416" s="2">
        <v>0.0</v>
      </c>
      <c r="I3416" s="2">
        <v>0.0</v>
      </c>
      <c r="J3416" s="37">
        <v>0.0</v>
      </c>
      <c r="K3416" s="2">
        <v>0.0</v>
      </c>
      <c r="L3416" s="2">
        <v>0.0</v>
      </c>
      <c r="M3416" s="37">
        <v>0.0</v>
      </c>
    </row>
    <row r="3417" ht="14.25" customHeight="1">
      <c r="A3417" t="s">
        <v>3483</v>
      </c>
      <c r="B3417" t="s">
        <v>3464</v>
      </c>
      <c r="C3417" t="s">
        <v>62</v>
      </c>
      <c r="D3417" t="s">
        <v>63</v>
      </c>
      <c r="E3417">
        <v>2.64</v>
      </c>
      <c r="F3417">
        <v>4.05</v>
      </c>
      <c r="G3417" s="2" t="s">
        <v>64</v>
      </c>
      <c r="H3417" s="2">
        <v>0.0</v>
      </c>
      <c r="I3417" s="2">
        <v>0.0</v>
      </c>
      <c r="J3417" s="37">
        <v>0.0</v>
      </c>
      <c r="K3417" s="2">
        <v>0.0</v>
      </c>
      <c r="L3417" s="2">
        <v>0.0</v>
      </c>
      <c r="M3417" s="37">
        <v>0.0</v>
      </c>
    </row>
    <row r="3418" ht="14.25" customHeight="1">
      <c r="A3418" t="s">
        <v>3484</v>
      </c>
      <c r="B3418" t="s">
        <v>3464</v>
      </c>
      <c r="C3418" t="s">
        <v>62</v>
      </c>
      <c r="D3418" t="s">
        <v>63</v>
      </c>
      <c r="E3418">
        <v>3.5</v>
      </c>
      <c r="F3418">
        <v>4.5</v>
      </c>
      <c r="G3418" s="2" t="s">
        <v>64</v>
      </c>
      <c r="H3418" s="2">
        <v>0.0</v>
      </c>
      <c r="I3418" s="2">
        <v>0.0</v>
      </c>
      <c r="J3418" s="37">
        <v>0.0</v>
      </c>
      <c r="K3418" s="2">
        <v>0.0</v>
      </c>
      <c r="L3418" s="2">
        <v>0.0</v>
      </c>
      <c r="M3418" s="37">
        <v>0.0</v>
      </c>
    </row>
    <row r="3419" ht="14.25" customHeight="1">
      <c r="A3419" t="s">
        <v>3485</v>
      </c>
      <c r="B3419" t="s">
        <v>3464</v>
      </c>
      <c r="C3419" t="s">
        <v>62</v>
      </c>
      <c r="D3419" t="s">
        <v>63</v>
      </c>
      <c r="E3419">
        <v>3.5</v>
      </c>
      <c r="F3419">
        <v>4.5</v>
      </c>
      <c r="G3419" s="2" t="s">
        <v>64</v>
      </c>
      <c r="H3419" s="2">
        <v>0.0</v>
      </c>
      <c r="I3419" s="2">
        <v>0.0</v>
      </c>
      <c r="J3419" s="37">
        <v>0.0</v>
      </c>
      <c r="K3419" s="2">
        <v>0.0</v>
      </c>
      <c r="L3419" s="2">
        <v>0.0</v>
      </c>
      <c r="M3419" s="37">
        <v>0.0</v>
      </c>
    </row>
    <row r="3420" ht="14.25" customHeight="1">
      <c r="A3420" t="s">
        <v>3486</v>
      </c>
      <c r="B3420" t="s">
        <v>3464</v>
      </c>
      <c r="C3420" t="s">
        <v>62</v>
      </c>
      <c r="D3420" t="s">
        <v>63</v>
      </c>
      <c r="E3420">
        <v>3.5</v>
      </c>
      <c r="F3420">
        <v>4.5</v>
      </c>
      <c r="G3420" s="2" t="s">
        <v>64</v>
      </c>
      <c r="H3420" s="2">
        <v>0.0</v>
      </c>
      <c r="I3420" s="2">
        <v>0.0</v>
      </c>
      <c r="J3420" s="37">
        <v>0.0</v>
      </c>
      <c r="K3420" s="2">
        <v>0.0</v>
      </c>
      <c r="L3420" s="2">
        <v>0.0</v>
      </c>
      <c r="M3420" s="37">
        <v>0.0</v>
      </c>
    </row>
    <row r="3421" ht="14.25" customHeight="1">
      <c r="A3421" t="s">
        <v>3487</v>
      </c>
      <c r="B3421" t="s">
        <v>3464</v>
      </c>
      <c r="C3421" t="s">
        <v>62</v>
      </c>
      <c r="D3421" t="s">
        <v>63</v>
      </c>
      <c r="E3421">
        <v>3.5</v>
      </c>
      <c r="F3421">
        <v>4.5</v>
      </c>
      <c r="G3421" s="2" t="s">
        <v>64</v>
      </c>
      <c r="H3421" s="2">
        <v>0.0</v>
      </c>
      <c r="I3421" s="2">
        <v>0.0</v>
      </c>
      <c r="J3421" s="37">
        <v>0.0</v>
      </c>
      <c r="K3421" s="2">
        <v>0.0</v>
      </c>
      <c r="L3421" s="2">
        <v>0.0</v>
      </c>
      <c r="M3421" s="37">
        <v>0.0</v>
      </c>
    </row>
    <row r="3422" ht="14.25" customHeight="1">
      <c r="A3422" t="s">
        <v>3488</v>
      </c>
      <c r="B3422" t="s">
        <v>3464</v>
      </c>
      <c r="C3422" t="s">
        <v>62</v>
      </c>
      <c r="D3422" t="s">
        <v>63</v>
      </c>
      <c r="E3422">
        <v>3.5</v>
      </c>
      <c r="F3422">
        <v>4.5</v>
      </c>
      <c r="G3422" s="2" t="s">
        <v>64</v>
      </c>
      <c r="H3422" s="2">
        <v>0.0</v>
      </c>
      <c r="I3422" s="2">
        <v>0.0</v>
      </c>
      <c r="J3422" s="37">
        <v>0.0</v>
      </c>
      <c r="K3422" s="2">
        <v>0.0</v>
      </c>
      <c r="L3422" s="2">
        <v>0.0</v>
      </c>
      <c r="M3422" s="37">
        <v>0.0</v>
      </c>
    </row>
    <row r="3423" ht="14.25" customHeight="1">
      <c r="A3423" t="s">
        <v>3489</v>
      </c>
      <c r="B3423" t="s">
        <v>3464</v>
      </c>
      <c r="C3423" t="s">
        <v>62</v>
      </c>
      <c r="D3423" t="s">
        <v>63</v>
      </c>
      <c r="E3423">
        <v>5.2</v>
      </c>
      <c r="F3423">
        <v>5.2</v>
      </c>
      <c r="G3423" s="2" t="s">
        <v>67</v>
      </c>
      <c r="H3423" s="2">
        <v>15.0</v>
      </c>
      <c r="I3423" s="2">
        <v>63.0</v>
      </c>
      <c r="J3423" s="37">
        <v>418.80000000000007</v>
      </c>
      <c r="K3423" s="2">
        <v>17.0</v>
      </c>
      <c r="L3423" s="2">
        <v>111.0</v>
      </c>
      <c r="M3423" s="37">
        <v>526.12</v>
      </c>
    </row>
    <row r="3424" ht="14.25" customHeight="1">
      <c r="A3424" t="s">
        <v>3490</v>
      </c>
      <c r="B3424" t="s">
        <v>3464</v>
      </c>
      <c r="C3424" t="s">
        <v>62</v>
      </c>
      <c r="D3424" t="s">
        <v>63</v>
      </c>
      <c r="E3424">
        <v>5.2</v>
      </c>
      <c r="F3424">
        <v>5.2</v>
      </c>
      <c r="G3424" s="2" t="s">
        <v>67</v>
      </c>
      <c r="H3424" s="2">
        <v>15.0</v>
      </c>
      <c r="I3424" s="2">
        <v>63.0</v>
      </c>
      <c r="J3424" s="37">
        <v>418.80000000000007</v>
      </c>
      <c r="K3424" s="2">
        <v>17.0</v>
      </c>
      <c r="L3424" s="2">
        <v>111.0</v>
      </c>
      <c r="M3424" s="37">
        <v>526.12</v>
      </c>
    </row>
    <row r="3425" ht="14.25" customHeight="1">
      <c r="A3425" t="s">
        <v>3491</v>
      </c>
      <c r="B3425" t="s">
        <v>3464</v>
      </c>
      <c r="C3425" t="s">
        <v>62</v>
      </c>
      <c r="D3425" t="s">
        <v>63</v>
      </c>
      <c r="E3425">
        <v>5.2</v>
      </c>
      <c r="F3425">
        <v>5.2</v>
      </c>
      <c r="G3425" s="2" t="s">
        <v>67</v>
      </c>
      <c r="H3425" s="2">
        <v>15.0</v>
      </c>
      <c r="I3425" s="2">
        <v>63.0</v>
      </c>
      <c r="J3425" s="37">
        <v>418.80000000000007</v>
      </c>
      <c r="K3425" s="2">
        <v>17.0</v>
      </c>
      <c r="L3425" s="2">
        <v>111.0</v>
      </c>
      <c r="M3425" s="37">
        <v>526.12</v>
      </c>
    </row>
    <row r="3426" ht="14.25" customHeight="1">
      <c r="A3426" t="s">
        <v>3492</v>
      </c>
      <c r="B3426" t="s">
        <v>3464</v>
      </c>
      <c r="C3426" t="s">
        <v>62</v>
      </c>
      <c r="D3426" t="s">
        <v>63</v>
      </c>
      <c r="E3426">
        <v>5.2</v>
      </c>
      <c r="F3426">
        <v>5.2</v>
      </c>
      <c r="G3426" s="2" t="s">
        <v>67</v>
      </c>
      <c r="H3426" s="2">
        <v>15.0</v>
      </c>
      <c r="I3426" s="2">
        <v>63.0</v>
      </c>
      <c r="J3426" s="37">
        <v>418.80000000000007</v>
      </c>
      <c r="K3426" s="2">
        <v>17.0</v>
      </c>
      <c r="L3426" s="2">
        <v>111.0</v>
      </c>
      <c r="M3426" s="37">
        <v>526.12</v>
      </c>
    </row>
    <row r="3427" ht="14.25" customHeight="1">
      <c r="A3427" t="s">
        <v>3493</v>
      </c>
      <c r="B3427" t="s">
        <v>3464</v>
      </c>
      <c r="C3427" t="s">
        <v>62</v>
      </c>
      <c r="D3427" t="s">
        <v>63</v>
      </c>
      <c r="E3427">
        <v>5.2</v>
      </c>
      <c r="F3427">
        <v>5.2</v>
      </c>
      <c r="G3427" s="2" t="s">
        <v>67</v>
      </c>
      <c r="H3427" s="2">
        <v>15.0</v>
      </c>
      <c r="I3427" s="2">
        <v>63.0</v>
      </c>
      <c r="J3427" s="37">
        <v>418.80000000000007</v>
      </c>
      <c r="K3427" s="2">
        <v>17.0</v>
      </c>
      <c r="L3427" s="2">
        <v>111.0</v>
      </c>
      <c r="M3427" s="37">
        <v>526.12</v>
      </c>
    </row>
    <row r="3428" ht="14.25" customHeight="1">
      <c r="A3428" t="s">
        <v>3494</v>
      </c>
      <c r="B3428" t="s">
        <v>3464</v>
      </c>
      <c r="C3428" t="s">
        <v>62</v>
      </c>
      <c r="D3428" t="s">
        <v>63</v>
      </c>
      <c r="E3428">
        <v>7.2</v>
      </c>
      <c r="F3428">
        <v>7.2</v>
      </c>
      <c r="G3428" s="2" t="s">
        <v>67</v>
      </c>
      <c r="H3428" s="2">
        <v>21.0</v>
      </c>
      <c r="I3428" s="2">
        <v>99.0</v>
      </c>
      <c r="J3428" s="37">
        <v>600.36</v>
      </c>
      <c r="K3428" s="2">
        <v>24.0</v>
      </c>
      <c r="L3428" s="2">
        <v>165.0</v>
      </c>
      <c r="M3428" s="37">
        <v>753.54</v>
      </c>
    </row>
    <row r="3429" ht="14.25" customHeight="1">
      <c r="A3429" t="s">
        <v>3495</v>
      </c>
      <c r="B3429" t="s">
        <v>3464</v>
      </c>
      <c r="C3429" t="s">
        <v>62</v>
      </c>
      <c r="D3429" t="s">
        <v>63</v>
      </c>
      <c r="E3429">
        <v>7.2</v>
      </c>
      <c r="F3429">
        <v>7.2</v>
      </c>
      <c r="G3429" s="2" t="s">
        <v>67</v>
      </c>
      <c r="H3429" s="2">
        <v>21.0</v>
      </c>
      <c r="I3429" s="2">
        <v>99.0</v>
      </c>
      <c r="J3429" s="37">
        <v>600.36</v>
      </c>
      <c r="K3429" s="2">
        <v>24.0</v>
      </c>
      <c r="L3429" s="2">
        <v>165.0</v>
      </c>
      <c r="M3429" s="37">
        <v>753.54</v>
      </c>
    </row>
    <row r="3430" ht="14.25" customHeight="1">
      <c r="A3430" t="s">
        <v>3496</v>
      </c>
      <c r="B3430" t="s">
        <v>3464</v>
      </c>
      <c r="C3430" t="s">
        <v>62</v>
      </c>
      <c r="D3430" t="s">
        <v>63</v>
      </c>
      <c r="E3430">
        <v>7.2</v>
      </c>
      <c r="F3430">
        <v>7.2</v>
      </c>
      <c r="G3430" s="2" t="s">
        <v>67</v>
      </c>
      <c r="H3430" s="2">
        <v>21.0</v>
      </c>
      <c r="I3430" s="2">
        <v>99.0</v>
      </c>
      <c r="J3430" s="37">
        <v>600.36</v>
      </c>
      <c r="K3430" s="2">
        <v>24.0</v>
      </c>
      <c r="L3430" s="2">
        <v>165.0</v>
      </c>
      <c r="M3430" s="37">
        <v>753.54</v>
      </c>
    </row>
    <row r="3431" ht="14.25" customHeight="1">
      <c r="A3431" t="s">
        <v>3497</v>
      </c>
      <c r="B3431" t="s">
        <v>3464</v>
      </c>
      <c r="C3431" t="s">
        <v>62</v>
      </c>
      <c r="D3431" t="s">
        <v>63</v>
      </c>
      <c r="E3431">
        <v>7.2</v>
      </c>
      <c r="F3431">
        <v>7.2</v>
      </c>
      <c r="G3431" s="2" t="s">
        <v>67</v>
      </c>
      <c r="H3431" s="2">
        <v>21.0</v>
      </c>
      <c r="I3431" s="2">
        <v>99.0</v>
      </c>
      <c r="J3431" s="37">
        <v>600.36</v>
      </c>
      <c r="K3431" s="2">
        <v>24.0</v>
      </c>
      <c r="L3431" s="2">
        <v>165.0</v>
      </c>
      <c r="M3431" s="37">
        <v>753.54</v>
      </c>
    </row>
    <row r="3432" ht="14.25" customHeight="1">
      <c r="A3432" t="s">
        <v>3498</v>
      </c>
      <c r="B3432" t="s">
        <v>3464</v>
      </c>
      <c r="C3432" t="s">
        <v>62</v>
      </c>
      <c r="D3432" t="s">
        <v>63</v>
      </c>
      <c r="E3432">
        <v>7.2</v>
      </c>
      <c r="F3432">
        <v>7.2</v>
      </c>
      <c r="G3432" s="2" t="s">
        <v>67</v>
      </c>
      <c r="H3432" s="2">
        <v>21.0</v>
      </c>
      <c r="I3432" s="2">
        <v>99.0</v>
      </c>
      <c r="J3432" s="37">
        <v>600.36</v>
      </c>
      <c r="K3432" s="2">
        <v>24.0</v>
      </c>
      <c r="L3432" s="2">
        <v>165.0</v>
      </c>
      <c r="M3432" s="37">
        <v>753.54</v>
      </c>
    </row>
    <row r="3433" ht="14.25" customHeight="1">
      <c r="A3433" t="s">
        <v>3499</v>
      </c>
      <c r="B3433" t="s">
        <v>3464</v>
      </c>
      <c r="C3433" t="s">
        <v>62</v>
      </c>
      <c r="D3433" t="s">
        <v>268</v>
      </c>
      <c r="E3433">
        <v>2.64</v>
      </c>
      <c r="F3433">
        <v>2.56</v>
      </c>
      <c r="G3433" s="2" t="s">
        <v>64</v>
      </c>
      <c r="H3433" s="2">
        <v>0.0</v>
      </c>
      <c r="I3433" s="2">
        <v>0.0</v>
      </c>
      <c r="J3433" s="37">
        <v>0.0</v>
      </c>
      <c r="K3433" s="2">
        <v>0.0</v>
      </c>
      <c r="L3433" s="2">
        <v>0.0</v>
      </c>
      <c r="M3433" s="37">
        <v>0.0</v>
      </c>
    </row>
    <row r="3434" ht="14.25" customHeight="1">
      <c r="A3434" t="s">
        <v>3500</v>
      </c>
      <c r="B3434" t="s">
        <v>3464</v>
      </c>
      <c r="C3434" t="s">
        <v>62</v>
      </c>
      <c r="D3434" t="s">
        <v>268</v>
      </c>
      <c r="E3434">
        <v>2.64</v>
      </c>
      <c r="F3434">
        <v>2.56</v>
      </c>
      <c r="G3434" s="2" t="s">
        <v>64</v>
      </c>
      <c r="H3434" s="2">
        <v>0.0</v>
      </c>
      <c r="I3434" s="2">
        <v>0.0</v>
      </c>
      <c r="J3434" s="37">
        <v>0.0</v>
      </c>
      <c r="K3434" s="2">
        <v>0.0</v>
      </c>
      <c r="L3434" s="2">
        <v>0.0</v>
      </c>
      <c r="M3434" s="37">
        <v>0.0</v>
      </c>
    </row>
    <row r="3435" ht="14.25" customHeight="1">
      <c r="A3435" t="s">
        <v>3501</v>
      </c>
      <c r="B3435" t="s">
        <v>3464</v>
      </c>
      <c r="C3435" t="s">
        <v>62</v>
      </c>
      <c r="D3435" t="s">
        <v>268</v>
      </c>
      <c r="E3435">
        <v>2.64</v>
      </c>
      <c r="F3435">
        <v>2.56</v>
      </c>
      <c r="G3435" s="2" t="s">
        <v>64</v>
      </c>
      <c r="H3435" s="2">
        <v>0.0</v>
      </c>
      <c r="I3435" s="2">
        <v>0.0</v>
      </c>
      <c r="J3435" s="37">
        <v>0.0</v>
      </c>
      <c r="K3435" s="2">
        <v>0.0</v>
      </c>
      <c r="L3435" s="2">
        <v>0.0</v>
      </c>
      <c r="M3435" s="37">
        <v>0.0</v>
      </c>
    </row>
    <row r="3436" ht="14.25" customHeight="1">
      <c r="A3436" t="s">
        <v>3502</v>
      </c>
      <c r="B3436" t="s">
        <v>3464</v>
      </c>
      <c r="C3436" t="s">
        <v>62</v>
      </c>
      <c r="D3436" t="s">
        <v>268</v>
      </c>
      <c r="E3436">
        <v>2.64</v>
      </c>
      <c r="F3436">
        <v>2.56</v>
      </c>
      <c r="G3436" s="2" t="s">
        <v>64</v>
      </c>
      <c r="H3436" s="2">
        <v>0.0</v>
      </c>
      <c r="I3436" s="2">
        <v>0.0</v>
      </c>
      <c r="J3436" s="37">
        <v>0.0</v>
      </c>
      <c r="K3436" s="2">
        <v>0.0</v>
      </c>
      <c r="L3436" s="2">
        <v>0.0</v>
      </c>
      <c r="M3436" s="37">
        <v>0.0</v>
      </c>
    </row>
    <row r="3437" ht="14.25" customHeight="1">
      <c r="A3437" t="s">
        <v>3503</v>
      </c>
      <c r="B3437" t="s">
        <v>3464</v>
      </c>
      <c r="C3437" t="s">
        <v>62</v>
      </c>
      <c r="D3437" t="s">
        <v>268</v>
      </c>
      <c r="E3437">
        <v>2.64</v>
      </c>
      <c r="F3437">
        <v>2.56</v>
      </c>
      <c r="G3437" s="2" t="s">
        <v>64</v>
      </c>
      <c r="H3437" s="2">
        <v>0.0</v>
      </c>
      <c r="I3437" s="2">
        <v>0.0</v>
      </c>
      <c r="J3437" s="37">
        <v>0.0</v>
      </c>
      <c r="K3437" s="2">
        <v>0.0</v>
      </c>
      <c r="L3437" s="2">
        <v>0.0</v>
      </c>
      <c r="M3437" s="37">
        <v>0.0</v>
      </c>
    </row>
    <row r="3438" ht="14.25" customHeight="1">
      <c r="A3438" t="s">
        <v>3504</v>
      </c>
      <c r="B3438" t="s">
        <v>3464</v>
      </c>
      <c r="C3438" t="s">
        <v>62</v>
      </c>
      <c r="D3438" t="s">
        <v>268</v>
      </c>
      <c r="E3438">
        <v>2.64</v>
      </c>
      <c r="F3438">
        <v>2.56</v>
      </c>
      <c r="G3438" s="2" t="s">
        <v>64</v>
      </c>
      <c r="H3438" s="2">
        <v>0.0</v>
      </c>
      <c r="I3438" s="2">
        <v>0.0</v>
      </c>
      <c r="J3438" s="37">
        <v>0.0</v>
      </c>
      <c r="K3438" s="2">
        <v>0.0</v>
      </c>
      <c r="L3438" s="2">
        <v>0.0</v>
      </c>
      <c r="M3438" s="37">
        <v>0.0</v>
      </c>
    </row>
    <row r="3439" ht="14.25" customHeight="1">
      <c r="A3439" t="s">
        <v>3505</v>
      </c>
      <c r="B3439" t="s">
        <v>3464</v>
      </c>
      <c r="C3439" t="s">
        <v>62</v>
      </c>
      <c r="D3439" t="s">
        <v>268</v>
      </c>
      <c r="E3439">
        <v>2.64</v>
      </c>
      <c r="F3439">
        <v>2.56</v>
      </c>
      <c r="G3439" s="2" t="s">
        <v>64</v>
      </c>
      <c r="H3439" s="2">
        <v>0.0</v>
      </c>
      <c r="I3439" s="2">
        <v>0.0</v>
      </c>
      <c r="J3439" s="37">
        <v>0.0</v>
      </c>
      <c r="K3439" s="2">
        <v>0.0</v>
      </c>
      <c r="L3439" s="2">
        <v>0.0</v>
      </c>
      <c r="M3439" s="37">
        <v>0.0</v>
      </c>
    </row>
    <row r="3440" ht="14.25" customHeight="1">
      <c r="A3440" t="s">
        <v>3506</v>
      </c>
      <c r="B3440" t="s">
        <v>3464</v>
      </c>
      <c r="C3440" t="s">
        <v>62</v>
      </c>
      <c r="D3440" t="s">
        <v>268</v>
      </c>
      <c r="E3440">
        <v>3.5</v>
      </c>
      <c r="F3440">
        <v>3.2</v>
      </c>
      <c r="G3440" s="2" t="s">
        <v>64</v>
      </c>
      <c r="H3440" s="2">
        <v>0.0</v>
      </c>
      <c r="I3440" s="2">
        <v>0.0</v>
      </c>
      <c r="J3440" s="37">
        <v>0.0</v>
      </c>
      <c r="K3440" s="2">
        <v>0.0</v>
      </c>
      <c r="L3440" s="2">
        <v>0.0</v>
      </c>
      <c r="M3440" s="37">
        <v>0.0</v>
      </c>
    </row>
    <row r="3441" ht="14.25" customHeight="1">
      <c r="A3441" t="s">
        <v>3507</v>
      </c>
      <c r="B3441" t="s">
        <v>3464</v>
      </c>
      <c r="C3441" t="s">
        <v>62</v>
      </c>
      <c r="D3441" t="s">
        <v>268</v>
      </c>
      <c r="E3441">
        <v>3.5</v>
      </c>
      <c r="F3441">
        <v>3.2</v>
      </c>
      <c r="G3441" s="2" t="s">
        <v>64</v>
      </c>
      <c r="H3441" s="2">
        <v>0.0</v>
      </c>
      <c r="I3441" s="2">
        <v>0.0</v>
      </c>
      <c r="J3441" s="37">
        <v>0.0</v>
      </c>
      <c r="K3441" s="2">
        <v>0.0</v>
      </c>
      <c r="L3441" s="2">
        <v>0.0</v>
      </c>
      <c r="M3441" s="37">
        <v>0.0</v>
      </c>
    </row>
    <row r="3442" ht="14.25" customHeight="1">
      <c r="A3442" t="s">
        <v>3508</v>
      </c>
      <c r="B3442" t="s">
        <v>3464</v>
      </c>
      <c r="C3442" t="s">
        <v>62</v>
      </c>
      <c r="D3442" t="s">
        <v>268</v>
      </c>
      <c r="E3442">
        <v>3.5</v>
      </c>
      <c r="F3442">
        <v>3.2</v>
      </c>
      <c r="G3442" s="2" t="s">
        <v>64</v>
      </c>
      <c r="H3442" s="2">
        <v>0.0</v>
      </c>
      <c r="I3442" s="2">
        <v>0.0</v>
      </c>
      <c r="J3442" s="37">
        <v>0.0</v>
      </c>
      <c r="K3442" s="2">
        <v>0.0</v>
      </c>
      <c r="L3442" s="2">
        <v>0.0</v>
      </c>
      <c r="M3442" s="37">
        <v>0.0</v>
      </c>
    </row>
    <row r="3443" ht="14.25" customHeight="1">
      <c r="A3443" t="s">
        <v>3509</v>
      </c>
      <c r="B3443" t="s">
        <v>3464</v>
      </c>
      <c r="C3443" t="s">
        <v>62</v>
      </c>
      <c r="D3443" t="s">
        <v>268</v>
      </c>
      <c r="E3443">
        <v>3.5</v>
      </c>
      <c r="F3443">
        <v>3.2</v>
      </c>
      <c r="G3443" s="2" t="s">
        <v>64</v>
      </c>
      <c r="H3443" s="2">
        <v>0.0</v>
      </c>
      <c r="I3443" s="2">
        <v>0.0</v>
      </c>
      <c r="J3443" s="37">
        <v>0.0</v>
      </c>
      <c r="K3443" s="2">
        <v>0.0</v>
      </c>
      <c r="L3443" s="2">
        <v>0.0</v>
      </c>
      <c r="M3443" s="37">
        <v>0.0</v>
      </c>
    </row>
    <row r="3444" ht="14.25" customHeight="1">
      <c r="A3444" t="s">
        <v>3510</v>
      </c>
      <c r="B3444" t="s">
        <v>3464</v>
      </c>
      <c r="C3444" t="s">
        <v>62</v>
      </c>
      <c r="D3444" t="s">
        <v>268</v>
      </c>
      <c r="E3444">
        <v>3.5</v>
      </c>
      <c r="F3444">
        <v>3.2</v>
      </c>
      <c r="G3444" s="2" t="s">
        <v>64</v>
      </c>
      <c r="H3444" s="2">
        <v>0.0</v>
      </c>
      <c r="I3444" s="2">
        <v>0.0</v>
      </c>
      <c r="J3444" s="37">
        <v>0.0</v>
      </c>
      <c r="K3444" s="2">
        <v>0.0</v>
      </c>
      <c r="L3444" s="2">
        <v>0.0</v>
      </c>
      <c r="M3444" s="37">
        <v>0.0</v>
      </c>
    </row>
    <row r="3445" ht="14.25" customHeight="1">
      <c r="A3445" t="s">
        <v>3511</v>
      </c>
      <c r="B3445" t="s">
        <v>3464</v>
      </c>
      <c r="C3445" t="s">
        <v>62</v>
      </c>
      <c r="D3445" t="s">
        <v>268</v>
      </c>
      <c r="E3445">
        <v>3.5</v>
      </c>
      <c r="F3445">
        <v>3.2</v>
      </c>
      <c r="G3445" s="2" t="s">
        <v>64</v>
      </c>
      <c r="H3445" s="2">
        <v>0.0</v>
      </c>
      <c r="I3445" s="2">
        <v>0.0</v>
      </c>
      <c r="J3445" s="37">
        <v>0.0</v>
      </c>
      <c r="K3445" s="2">
        <v>0.0</v>
      </c>
      <c r="L3445" s="2">
        <v>0.0</v>
      </c>
      <c r="M3445" s="37">
        <v>0.0</v>
      </c>
    </row>
    <row r="3446" ht="14.25" customHeight="1">
      <c r="A3446" t="s">
        <v>3512</v>
      </c>
      <c r="B3446" t="s">
        <v>3464</v>
      </c>
      <c r="C3446" t="s">
        <v>62</v>
      </c>
      <c r="D3446" t="s">
        <v>268</v>
      </c>
      <c r="E3446">
        <v>3.5</v>
      </c>
      <c r="F3446">
        <v>3.2</v>
      </c>
      <c r="G3446" s="2" t="s">
        <v>64</v>
      </c>
      <c r="H3446" s="2">
        <v>0.0</v>
      </c>
      <c r="I3446" s="2">
        <v>0.0</v>
      </c>
      <c r="J3446" s="37">
        <v>0.0</v>
      </c>
      <c r="K3446" s="2">
        <v>0.0</v>
      </c>
      <c r="L3446" s="2">
        <v>0.0</v>
      </c>
      <c r="M3446" s="37">
        <v>0.0</v>
      </c>
    </row>
    <row r="3447" ht="14.25" customHeight="1">
      <c r="A3447" t="s">
        <v>3513</v>
      </c>
      <c r="B3447" t="s">
        <v>3464</v>
      </c>
      <c r="C3447" t="s">
        <v>62</v>
      </c>
      <c r="D3447" t="s">
        <v>63</v>
      </c>
      <c r="E3447">
        <v>8.2</v>
      </c>
      <c r="F3447">
        <v>8.5</v>
      </c>
      <c r="G3447" s="2" t="s">
        <v>67</v>
      </c>
      <c r="H3447" s="2">
        <v>24.0</v>
      </c>
      <c r="I3447" s="2">
        <v>73.0</v>
      </c>
      <c r="J3447" s="37">
        <v>633.9399999999999</v>
      </c>
      <c r="K3447" s="2">
        <v>28.0</v>
      </c>
      <c r="L3447" s="2">
        <v>147.0</v>
      </c>
      <c r="M3447" s="37">
        <v>819.98</v>
      </c>
    </row>
    <row r="3448" ht="14.25" customHeight="1">
      <c r="A3448" t="s">
        <v>3514</v>
      </c>
      <c r="B3448" t="s">
        <v>3464</v>
      </c>
      <c r="C3448" t="s">
        <v>62</v>
      </c>
      <c r="D3448" t="s">
        <v>63</v>
      </c>
      <c r="E3448">
        <v>8.2</v>
      </c>
      <c r="F3448">
        <v>8.5</v>
      </c>
      <c r="G3448" s="2" t="s">
        <v>67</v>
      </c>
      <c r="H3448" s="2">
        <v>24.0</v>
      </c>
      <c r="I3448" s="2">
        <v>73.0</v>
      </c>
      <c r="J3448" s="37">
        <v>633.9399999999999</v>
      </c>
      <c r="K3448" s="2">
        <v>28.0</v>
      </c>
      <c r="L3448" s="2">
        <v>147.0</v>
      </c>
      <c r="M3448" s="37">
        <v>819.98</v>
      </c>
    </row>
    <row r="3449" ht="14.25" customHeight="1">
      <c r="A3449" t="s">
        <v>3515</v>
      </c>
      <c r="B3449" t="s">
        <v>3464</v>
      </c>
      <c r="C3449" t="s">
        <v>62</v>
      </c>
      <c r="D3449" t="s">
        <v>63</v>
      </c>
      <c r="E3449">
        <v>8.2</v>
      </c>
      <c r="F3449">
        <v>8.5</v>
      </c>
      <c r="G3449" s="2" t="s">
        <v>67</v>
      </c>
      <c r="H3449" s="2">
        <v>24.0</v>
      </c>
      <c r="I3449" s="2">
        <v>73.0</v>
      </c>
      <c r="J3449" s="37">
        <v>633.9399999999999</v>
      </c>
      <c r="K3449" s="2">
        <v>28.0</v>
      </c>
      <c r="L3449" s="2">
        <v>147.0</v>
      </c>
      <c r="M3449" s="37">
        <v>819.98</v>
      </c>
    </row>
    <row r="3450" ht="14.25" customHeight="1">
      <c r="A3450" t="s">
        <v>3516</v>
      </c>
      <c r="B3450" t="s">
        <v>3464</v>
      </c>
      <c r="C3450" t="s">
        <v>62</v>
      </c>
      <c r="D3450" t="s">
        <v>63</v>
      </c>
      <c r="E3450">
        <v>8.2</v>
      </c>
      <c r="F3450">
        <v>8.5</v>
      </c>
      <c r="G3450" s="2" t="s">
        <v>67</v>
      </c>
      <c r="H3450" s="2">
        <v>24.0</v>
      </c>
      <c r="I3450" s="2">
        <v>73.0</v>
      </c>
      <c r="J3450" s="37">
        <v>633.9399999999999</v>
      </c>
      <c r="K3450" s="2">
        <v>28.0</v>
      </c>
      <c r="L3450" s="2">
        <v>147.0</v>
      </c>
      <c r="M3450" s="37">
        <v>819.98</v>
      </c>
    </row>
    <row r="3451" ht="14.25" customHeight="1">
      <c r="A3451" t="s">
        <v>3517</v>
      </c>
      <c r="B3451" t="s">
        <v>3464</v>
      </c>
      <c r="C3451" t="s">
        <v>62</v>
      </c>
      <c r="D3451" t="s">
        <v>63</v>
      </c>
      <c r="E3451">
        <v>2.64</v>
      </c>
      <c r="F3451">
        <v>4.05</v>
      </c>
      <c r="G3451" s="2" t="s">
        <v>64</v>
      </c>
      <c r="H3451" s="2">
        <v>0.0</v>
      </c>
      <c r="I3451" s="2">
        <v>0.0</v>
      </c>
      <c r="J3451" s="37">
        <v>0.0</v>
      </c>
      <c r="K3451" s="2">
        <v>0.0</v>
      </c>
      <c r="L3451" s="2">
        <v>0.0</v>
      </c>
      <c r="M3451" s="37">
        <v>0.0</v>
      </c>
    </row>
    <row r="3452" ht="14.25" customHeight="1">
      <c r="A3452" t="s">
        <v>3518</v>
      </c>
      <c r="B3452" t="s">
        <v>3464</v>
      </c>
      <c r="C3452" t="s">
        <v>62</v>
      </c>
      <c r="D3452" t="s">
        <v>63</v>
      </c>
      <c r="E3452">
        <v>3.5</v>
      </c>
      <c r="F3452">
        <v>4.5</v>
      </c>
      <c r="G3452" s="2" t="s">
        <v>64</v>
      </c>
      <c r="H3452" s="2">
        <v>0.0</v>
      </c>
      <c r="I3452" s="2">
        <v>0.0</v>
      </c>
      <c r="J3452" s="37">
        <v>0.0</v>
      </c>
      <c r="K3452" s="2">
        <v>0.0</v>
      </c>
      <c r="L3452" s="2">
        <v>0.0</v>
      </c>
      <c r="M3452" s="37">
        <v>0.0</v>
      </c>
    </row>
    <row r="3453" ht="14.25" customHeight="1">
      <c r="A3453" t="s">
        <v>3519</v>
      </c>
      <c r="B3453" t="s">
        <v>3464</v>
      </c>
      <c r="C3453" t="s">
        <v>62</v>
      </c>
      <c r="D3453" t="s">
        <v>63</v>
      </c>
      <c r="E3453">
        <v>5.2</v>
      </c>
      <c r="F3453">
        <v>5.2</v>
      </c>
      <c r="G3453" s="2" t="s">
        <v>67</v>
      </c>
      <c r="H3453" s="2">
        <v>15.0</v>
      </c>
      <c r="I3453" s="2">
        <v>63.0</v>
      </c>
      <c r="J3453" s="37">
        <v>418.80000000000007</v>
      </c>
      <c r="K3453" s="2">
        <v>17.0</v>
      </c>
      <c r="L3453" s="2">
        <v>111.0</v>
      </c>
      <c r="M3453" s="37">
        <v>526.12</v>
      </c>
    </row>
    <row r="3454" ht="14.25" customHeight="1">
      <c r="A3454" t="s">
        <v>3520</v>
      </c>
      <c r="B3454" t="s">
        <v>3464</v>
      </c>
      <c r="C3454" t="s">
        <v>62</v>
      </c>
      <c r="D3454" t="s">
        <v>63</v>
      </c>
      <c r="E3454">
        <v>7.2</v>
      </c>
      <c r="F3454">
        <v>7.2</v>
      </c>
      <c r="G3454" s="2" t="s">
        <v>67</v>
      </c>
      <c r="H3454" s="2">
        <v>21.0</v>
      </c>
      <c r="I3454" s="2">
        <v>99.0</v>
      </c>
      <c r="J3454" s="37">
        <v>600.36</v>
      </c>
      <c r="K3454" s="2">
        <v>24.0</v>
      </c>
      <c r="L3454" s="2">
        <v>165.0</v>
      </c>
      <c r="M3454" s="37">
        <v>753.54</v>
      </c>
    </row>
    <row r="3455" ht="14.25" customHeight="1">
      <c r="A3455" t="s">
        <v>3521</v>
      </c>
      <c r="B3455" t="s">
        <v>3464</v>
      </c>
      <c r="C3455" t="s">
        <v>62</v>
      </c>
      <c r="D3455" t="s">
        <v>63</v>
      </c>
      <c r="E3455">
        <v>8.2</v>
      </c>
      <c r="F3455">
        <v>8.5</v>
      </c>
      <c r="G3455" s="2" t="s">
        <v>67</v>
      </c>
      <c r="H3455" s="2">
        <v>24.0</v>
      </c>
      <c r="I3455" s="2">
        <v>73.0</v>
      </c>
      <c r="J3455" s="37">
        <v>633.9399999999999</v>
      </c>
      <c r="K3455" s="2">
        <v>28.0</v>
      </c>
      <c r="L3455" s="2">
        <v>147.0</v>
      </c>
      <c r="M3455" s="37">
        <v>819.98</v>
      </c>
    </row>
    <row r="3456" ht="14.25" customHeight="1">
      <c r="A3456" t="s">
        <v>3522</v>
      </c>
      <c r="B3456" t="s">
        <v>3464</v>
      </c>
      <c r="C3456" t="s">
        <v>62</v>
      </c>
      <c r="D3456" t="s">
        <v>63</v>
      </c>
      <c r="E3456">
        <v>2.8</v>
      </c>
      <c r="F3456">
        <v>2.65</v>
      </c>
      <c r="G3456" s="2" t="s">
        <v>67</v>
      </c>
      <c r="H3456" s="2">
        <v>7.0</v>
      </c>
      <c r="I3456" s="2">
        <v>68.0</v>
      </c>
      <c r="J3456" s="37">
        <v>245.62</v>
      </c>
      <c r="K3456" s="2">
        <v>8.0</v>
      </c>
      <c r="L3456" s="2">
        <v>90.0</v>
      </c>
      <c r="M3456" s="37">
        <v>296.68</v>
      </c>
    </row>
    <row r="3457" ht="14.25" customHeight="1">
      <c r="A3457" t="s">
        <v>3523</v>
      </c>
      <c r="B3457" t="s">
        <v>3464</v>
      </c>
      <c r="C3457" t="s">
        <v>62</v>
      </c>
      <c r="D3457" t="s">
        <v>63</v>
      </c>
      <c r="E3457">
        <v>2.8</v>
      </c>
      <c r="F3457">
        <v>2.65</v>
      </c>
      <c r="G3457" s="2" t="s">
        <v>67</v>
      </c>
      <c r="H3457" s="2">
        <v>7.0</v>
      </c>
      <c r="I3457" s="2">
        <v>68.0</v>
      </c>
      <c r="J3457" s="37">
        <v>245.62</v>
      </c>
      <c r="K3457" s="2">
        <v>8.0</v>
      </c>
      <c r="L3457" s="2">
        <v>90.0</v>
      </c>
      <c r="M3457" s="37">
        <v>296.68</v>
      </c>
    </row>
    <row r="3458" ht="14.25" customHeight="1">
      <c r="A3458" t="s">
        <v>3524</v>
      </c>
      <c r="B3458" t="s">
        <v>3464</v>
      </c>
      <c r="C3458" t="s">
        <v>62</v>
      </c>
      <c r="D3458" t="s">
        <v>63</v>
      </c>
      <c r="E3458">
        <v>2.8</v>
      </c>
      <c r="F3458">
        <v>2.65</v>
      </c>
      <c r="G3458" s="2" t="s">
        <v>67</v>
      </c>
      <c r="H3458" s="2">
        <v>7.0</v>
      </c>
      <c r="I3458" s="2">
        <v>68.0</v>
      </c>
      <c r="J3458" s="37">
        <v>245.62</v>
      </c>
      <c r="K3458" s="2">
        <v>8.0</v>
      </c>
      <c r="L3458" s="2">
        <v>90.0</v>
      </c>
      <c r="M3458" s="37">
        <v>296.68</v>
      </c>
    </row>
    <row r="3459" ht="14.25" customHeight="1">
      <c r="A3459" t="s">
        <v>3525</v>
      </c>
      <c r="B3459" t="s">
        <v>3464</v>
      </c>
      <c r="C3459" t="s">
        <v>62</v>
      </c>
      <c r="D3459" t="s">
        <v>63</v>
      </c>
      <c r="E3459">
        <v>2.8</v>
      </c>
      <c r="F3459">
        <v>2.65</v>
      </c>
      <c r="G3459" s="2" t="s">
        <v>67</v>
      </c>
      <c r="H3459" s="2">
        <v>7.0</v>
      </c>
      <c r="I3459" s="2">
        <v>68.0</v>
      </c>
      <c r="J3459" s="37">
        <v>245.62</v>
      </c>
      <c r="K3459" s="2">
        <v>8.0</v>
      </c>
      <c r="L3459" s="2">
        <v>90.0</v>
      </c>
      <c r="M3459" s="37">
        <v>296.68</v>
      </c>
    </row>
    <row r="3460" ht="14.25" customHeight="1">
      <c r="A3460" t="s">
        <v>3526</v>
      </c>
      <c r="B3460" t="s">
        <v>3464</v>
      </c>
      <c r="C3460" t="s">
        <v>62</v>
      </c>
      <c r="D3460" t="s">
        <v>268</v>
      </c>
      <c r="E3460">
        <v>3.5</v>
      </c>
      <c r="F3460">
        <v>2.93</v>
      </c>
      <c r="G3460" s="2" t="s">
        <v>64</v>
      </c>
      <c r="H3460" s="2">
        <v>0.0</v>
      </c>
      <c r="I3460" s="2">
        <v>0.0</v>
      </c>
      <c r="J3460" s="37">
        <v>0.0</v>
      </c>
      <c r="K3460" s="2">
        <v>0.0</v>
      </c>
      <c r="L3460" s="2">
        <v>0.0</v>
      </c>
      <c r="M3460" s="37">
        <v>0.0</v>
      </c>
    </row>
    <row r="3461" ht="14.25" customHeight="1">
      <c r="A3461" t="s">
        <v>3527</v>
      </c>
      <c r="B3461" t="s">
        <v>3464</v>
      </c>
      <c r="C3461" t="s">
        <v>62</v>
      </c>
      <c r="D3461" t="s">
        <v>268</v>
      </c>
      <c r="E3461">
        <v>3.5</v>
      </c>
      <c r="F3461">
        <v>2.93</v>
      </c>
      <c r="G3461" s="2" t="s">
        <v>64</v>
      </c>
      <c r="H3461" s="2">
        <v>0.0</v>
      </c>
      <c r="I3461" s="2">
        <v>0.0</v>
      </c>
      <c r="J3461" s="37">
        <v>0.0</v>
      </c>
      <c r="K3461" s="2">
        <v>0.0</v>
      </c>
      <c r="L3461" s="2">
        <v>0.0</v>
      </c>
      <c r="M3461" s="37">
        <v>0.0</v>
      </c>
    </row>
    <row r="3462" ht="14.25" customHeight="1">
      <c r="A3462" t="s">
        <v>3528</v>
      </c>
      <c r="B3462" t="s">
        <v>3464</v>
      </c>
      <c r="C3462" t="s">
        <v>62</v>
      </c>
      <c r="D3462" t="s">
        <v>268</v>
      </c>
      <c r="E3462">
        <v>3.5</v>
      </c>
      <c r="F3462">
        <v>2.93</v>
      </c>
      <c r="G3462" s="2" t="s">
        <v>64</v>
      </c>
      <c r="H3462" s="2">
        <v>0.0</v>
      </c>
      <c r="I3462" s="2">
        <v>0.0</v>
      </c>
      <c r="J3462" s="37">
        <v>0.0</v>
      </c>
      <c r="K3462" s="2">
        <v>0.0</v>
      </c>
      <c r="L3462" s="2">
        <v>0.0</v>
      </c>
      <c r="M3462" s="37">
        <v>0.0</v>
      </c>
    </row>
    <row r="3463" ht="14.25" customHeight="1">
      <c r="A3463" t="s">
        <v>3529</v>
      </c>
      <c r="B3463" t="s">
        <v>3464</v>
      </c>
      <c r="C3463" t="s">
        <v>62</v>
      </c>
      <c r="D3463" t="s">
        <v>268</v>
      </c>
      <c r="E3463">
        <v>3.5</v>
      </c>
      <c r="F3463">
        <v>2.93</v>
      </c>
      <c r="G3463" s="2" t="s">
        <v>64</v>
      </c>
      <c r="H3463" s="2">
        <v>0.0</v>
      </c>
      <c r="I3463" s="2">
        <v>0.0</v>
      </c>
      <c r="J3463" s="37">
        <v>0.0</v>
      </c>
      <c r="K3463" s="2">
        <v>0.0</v>
      </c>
      <c r="L3463" s="2">
        <v>0.0</v>
      </c>
      <c r="M3463" s="37">
        <v>0.0</v>
      </c>
    </row>
    <row r="3464" ht="14.25" customHeight="1">
      <c r="A3464" t="s">
        <v>3530</v>
      </c>
      <c r="B3464" t="s">
        <v>3464</v>
      </c>
      <c r="C3464" t="s">
        <v>62</v>
      </c>
      <c r="D3464" t="s">
        <v>268</v>
      </c>
      <c r="E3464">
        <v>3.5</v>
      </c>
      <c r="F3464">
        <v>2.93</v>
      </c>
      <c r="G3464" s="2" t="s">
        <v>64</v>
      </c>
      <c r="H3464" s="2">
        <v>0.0</v>
      </c>
      <c r="I3464" s="2">
        <v>0.0</v>
      </c>
      <c r="J3464" s="37">
        <v>0.0</v>
      </c>
      <c r="K3464" s="2">
        <v>0.0</v>
      </c>
      <c r="L3464" s="2">
        <v>0.0</v>
      </c>
      <c r="M3464" s="37">
        <v>0.0</v>
      </c>
    </row>
    <row r="3465" ht="14.25" customHeight="1">
      <c r="A3465" t="s">
        <v>3531</v>
      </c>
      <c r="B3465" t="s">
        <v>3464</v>
      </c>
      <c r="C3465" t="s">
        <v>62</v>
      </c>
      <c r="D3465" t="s">
        <v>268</v>
      </c>
      <c r="E3465">
        <v>3.5</v>
      </c>
      <c r="F3465">
        <v>2.93</v>
      </c>
      <c r="G3465" s="2" t="s">
        <v>64</v>
      </c>
      <c r="H3465" s="2">
        <v>0.0</v>
      </c>
      <c r="I3465" s="2">
        <v>0.0</v>
      </c>
      <c r="J3465" s="37">
        <v>0.0</v>
      </c>
      <c r="K3465" s="2">
        <v>0.0</v>
      </c>
      <c r="L3465" s="2">
        <v>0.0</v>
      </c>
      <c r="M3465" s="37">
        <v>0.0</v>
      </c>
    </row>
    <row r="3466" ht="14.25" customHeight="1">
      <c r="A3466" t="s">
        <v>3532</v>
      </c>
      <c r="B3466" t="s">
        <v>3464</v>
      </c>
      <c r="C3466" t="s">
        <v>62</v>
      </c>
      <c r="D3466" t="s">
        <v>268</v>
      </c>
      <c r="E3466">
        <v>3.5</v>
      </c>
      <c r="F3466">
        <v>2.93</v>
      </c>
      <c r="G3466" s="2" t="s">
        <v>64</v>
      </c>
      <c r="H3466" s="2">
        <v>0.0</v>
      </c>
      <c r="I3466" s="2">
        <v>0.0</v>
      </c>
      <c r="J3466" s="37">
        <v>0.0</v>
      </c>
      <c r="K3466" s="2">
        <v>0.0</v>
      </c>
      <c r="L3466" s="2">
        <v>0.0</v>
      </c>
      <c r="M3466" s="37">
        <v>0.0</v>
      </c>
    </row>
    <row r="3467" ht="14.25" customHeight="1">
      <c r="A3467" t="s">
        <v>3533</v>
      </c>
      <c r="B3467" t="s">
        <v>3464</v>
      </c>
      <c r="C3467" t="s">
        <v>62</v>
      </c>
      <c r="D3467" t="s">
        <v>63</v>
      </c>
      <c r="E3467">
        <v>2.8</v>
      </c>
      <c r="F3467">
        <v>2.65</v>
      </c>
      <c r="G3467" s="2" t="s">
        <v>67</v>
      </c>
      <c r="H3467" s="2">
        <v>7.0</v>
      </c>
      <c r="I3467" s="2">
        <v>68.0</v>
      </c>
      <c r="J3467" s="37">
        <v>245.62</v>
      </c>
      <c r="K3467" s="2">
        <v>8.0</v>
      </c>
      <c r="L3467" s="2">
        <v>90.0</v>
      </c>
      <c r="M3467" s="37">
        <v>296.68</v>
      </c>
    </row>
    <row r="3468" ht="14.25" customHeight="1">
      <c r="A3468" t="s">
        <v>3534</v>
      </c>
      <c r="B3468" t="s">
        <v>3464</v>
      </c>
      <c r="C3468" t="s">
        <v>62</v>
      </c>
      <c r="D3468" t="s">
        <v>63</v>
      </c>
      <c r="E3468">
        <v>2.8</v>
      </c>
      <c r="F3468">
        <v>2.65</v>
      </c>
      <c r="G3468" s="2" t="s">
        <v>67</v>
      </c>
      <c r="H3468" s="2">
        <v>7.0</v>
      </c>
      <c r="I3468" s="2">
        <v>68.0</v>
      </c>
      <c r="J3468" s="37">
        <v>245.62</v>
      </c>
      <c r="K3468" s="2">
        <v>8.0</v>
      </c>
      <c r="L3468" s="2">
        <v>90.0</v>
      </c>
      <c r="M3468" s="37">
        <v>296.68</v>
      </c>
    </row>
    <row r="3469" ht="14.25" customHeight="1">
      <c r="A3469" t="s">
        <v>3535</v>
      </c>
      <c r="B3469" t="s">
        <v>3464</v>
      </c>
      <c r="C3469" t="s">
        <v>62</v>
      </c>
      <c r="D3469" t="s">
        <v>63</v>
      </c>
      <c r="E3469">
        <v>2.8</v>
      </c>
      <c r="F3469">
        <v>2.65</v>
      </c>
      <c r="G3469" s="2" t="s">
        <v>67</v>
      </c>
      <c r="H3469" s="2">
        <v>7.0</v>
      </c>
      <c r="I3469" s="2">
        <v>68.0</v>
      </c>
      <c r="J3469" s="37">
        <v>245.62</v>
      </c>
      <c r="K3469" s="2">
        <v>8.0</v>
      </c>
      <c r="L3469" s="2">
        <v>90.0</v>
      </c>
      <c r="M3469" s="37">
        <v>296.68</v>
      </c>
    </row>
    <row r="3470" ht="14.25" customHeight="1">
      <c r="A3470" t="s">
        <v>3536</v>
      </c>
      <c r="B3470" t="s">
        <v>3464</v>
      </c>
      <c r="C3470" t="s">
        <v>62</v>
      </c>
      <c r="D3470" t="s">
        <v>63</v>
      </c>
      <c r="E3470">
        <v>2.8</v>
      </c>
      <c r="F3470">
        <v>2.65</v>
      </c>
      <c r="G3470" s="2" t="s">
        <v>67</v>
      </c>
      <c r="H3470" s="2">
        <v>7.0</v>
      </c>
      <c r="I3470" s="2">
        <v>68.0</v>
      </c>
      <c r="J3470" s="37">
        <v>245.62</v>
      </c>
      <c r="K3470" s="2">
        <v>8.0</v>
      </c>
      <c r="L3470" s="2">
        <v>90.0</v>
      </c>
      <c r="M3470" s="37">
        <v>296.68</v>
      </c>
    </row>
    <row r="3471" ht="14.25" customHeight="1">
      <c r="A3471" t="s">
        <v>3537</v>
      </c>
      <c r="B3471" t="s">
        <v>3464</v>
      </c>
      <c r="C3471" t="s">
        <v>62</v>
      </c>
      <c r="D3471" t="s">
        <v>63</v>
      </c>
      <c r="E3471">
        <v>2.8</v>
      </c>
      <c r="F3471">
        <v>2.65</v>
      </c>
      <c r="G3471" s="2" t="s">
        <v>67</v>
      </c>
      <c r="H3471" s="2">
        <v>7.0</v>
      </c>
      <c r="I3471" s="2">
        <v>68.0</v>
      </c>
      <c r="J3471" s="37">
        <v>245.62</v>
      </c>
      <c r="K3471" s="2">
        <v>8.0</v>
      </c>
      <c r="L3471" s="2">
        <v>90.0</v>
      </c>
      <c r="M3471" s="37">
        <v>296.68</v>
      </c>
    </row>
    <row r="3472" ht="14.25" customHeight="1">
      <c r="A3472" t="s">
        <v>3538</v>
      </c>
      <c r="B3472" t="s">
        <v>3464</v>
      </c>
      <c r="C3472" t="s">
        <v>62</v>
      </c>
      <c r="D3472" t="s">
        <v>63</v>
      </c>
      <c r="E3472">
        <v>2.8</v>
      </c>
      <c r="F3472">
        <v>2.65</v>
      </c>
      <c r="G3472" s="2" t="s">
        <v>67</v>
      </c>
      <c r="H3472" s="2">
        <v>7.0</v>
      </c>
      <c r="I3472" s="2">
        <v>68.0</v>
      </c>
      <c r="J3472" s="37">
        <v>245.62</v>
      </c>
      <c r="K3472" s="2">
        <v>8.0</v>
      </c>
      <c r="L3472" s="2">
        <v>90.0</v>
      </c>
      <c r="M3472" s="37">
        <v>296.68</v>
      </c>
    </row>
    <row r="3473" ht="14.25" customHeight="1">
      <c r="A3473" t="s">
        <v>3522</v>
      </c>
      <c r="B3473" t="s">
        <v>3464</v>
      </c>
      <c r="C3473" t="s">
        <v>62</v>
      </c>
      <c r="D3473" t="s">
        <v>63</v>
      </c>
      <c r="E3473">
        <v>2.8</v>
      </c>
      <c r="F3473">
        <v>2.65</v>
      </c>
      <c r="G3473" s="2" t="s">
        <v>67</v>
      </c>
      <c r="H3473" s="2">
        <v>7.0</v>
      </c>
      <c r="I3473" s="2">
        <v>68.0</v>
      </c>
      <c r="J3473" s="37">
        <v>245.62</v>
      </c>
      <c r="K3473" s="2">
        <v>8.0</v>
      </c>
      <c r="L3473" s="2">
        <v>90.0</v>
      </c>
      <c r="M3473" s="37">
        <v>296.68</v>
      </c>
    </row>
    <row r="3474" ht="14.25" customHeight="1">
      <c r="A3474" t="s">
        <v>3539</v>
      </c>
      <c r="B3474" t="s">
        <v>3464</v>
      </c>
      <c r="C3474" t="s">
        <v>62</v>
      </c>
      <c r="D3474" t="s">
        <v>63</v>
      </c>
      <c r="E3474">
        <v>3.53</v>
      </c>
      <c r="F3474">
        <v>3.65</v>
      </c>
      <c r="G3474" s="2" t="s">
        <v>67</v>
      </c>
      <c r="H3474" s="2">
        <v>9.0</v>
      </c>
      <c r="I3474" s="2">
        <v>28.0</v>
      </c>
      <c r="J3474" s="37">
        <v>238.54000000000002</v>
      </c>
      <c r="K3474" s="2">
        <v>11.0</v>
      </c>
      <c r="L3474" s="2">
        <v>56.0</v>
      </c>
      <c r="M3474" s="37">
        <v>319.86</v>
      </c>
    </row>
    <row r="3475" ht="14.25" customHeight="1">
      <c r="A3475" t="s">
        <v>3540</v>
      </c>
      <c r="B3475" t="s">
        <v>3464</v>
      </c>
      <c r="C3475" t="s">
        <v>62</v>
      </c>
      <c r="D3475" t="s">
        <v>63</v>
      </c>
      <c r="E3475">
        <v>2.64</v>
      </c>
      <c r="F3475">
        <v>3.3</v>
      </c>
      <c r="G3475" s="2" t="s">
        <v>67</v>
      </c>
      <c r="H3475" s="2">
        <v>8.0</v>
      </c>
      <c r="I3475" s="2">
        <v>47.0</v>
      </c>
      <c r="J3475" s="37">
        <v>240.78</v>
      </c>
      <c r="K3475" s="2">
        <v>9.0</v>
      </c>
      <c r="L3475" s="2">
        <v>69.0</v>
      </c>
      <c r="M3475" s="37">
        <v>291.84000000000003</v>
      </c>
    </row>
    <row r="3476" ht="14.25" customHeight="1">
      <c r="A3476" t="s">
        <v>3541</v>
      </c>
      <c r="B3476" t="s">
        <v>3464</v>
      </c>
      <c r="C3476" t="s">
        <v>62</v>
      </c>
      <c r="D3476" t="s">
        <v>63</v>
      </c>
      <c r="E3476">
        <v>5.3</v>
      </c>
      <c r="F3476">
        <v>5.3</v>
      </c>
      <c r="G3476" s="2" t="s">
        <v>67</v>
      </c>
      <c r="H3476" s="2">
        <v>16.0</v>
      </c>
      <c r="I3476" s="2">
        <v>102.0</v>
      </c>
      <c r="J3476" s="37">
        <v>491.96000000000004</v>
      </c>
      <c r="K3476" s="2">
        <v>19.0</v>
      </c>
      <c r="L3476" s="2">
        <v>150.0</v>
      </c>
      <c r="M3476" s="37">
        <v>621.74</v>
      </c>
    </row>
    <row r="3477" ht="14.25" customHeight="1">
      <c r="A3477" t="s">
        <v>3542</v>
      </c>
      <c r="B3477" t="s">
        <v>3464</v>
      </c>
      <c r="C3477" t="s">
        <v>62</v>
      </c>
      <c r="D3477" t="s">
        <v>63</v>
      </c>
      <c r="E3477">
        <v>1.78</v>
      </c>
      <c r="F3477">
        <v>1.82</v>
      </c>
      <c r="G3477" s="2" t="s">
        <v>64</v>
      </c>
      <c r="H3477" s="2">
        <v>0.0</v>
      </c>
      <c r="I3477" s="2">
        <v>0.0</v>
      </c>
      <c r="J3477" s="37">
        <v>0.0</v>
      </c>
      <c r="K3477" s="2">
        <v>0.0</v>
      </c>
      <c r="L3477" s="2">
        <v>0.0</v>
      </c>
      <c r="M3477" s="37">
        <v>0.0</v>
      </c>
    </row>
    <row r="3478" ht="14.25" customHeight="1">
      <c r="A3478" t="s">
        <v>3543</v>
      </c>
      <c r="B3478" t="s">
        <v>3464</v>
      </c>
      <c r="C3478" t="s">
        <v>62</v>
      </c>
      <c r="D3478" t="s">
        <v>63</v>
      </c>
      <c r="E3478">
        <v>1.78</v>
      </c>
      <c r="F3478">
        <v>1.82</v>
      </c>
      <c r="G3478" s="2" t="s">
        <v>64</v>
      </c>
      <c r="H3478" s="2">
        <v>0.0</v>
      </c>
      <c r="I3478" s="2">
        <v>0.0</v>
      </c>
      <c r="J3478" s="37">
        <v>0.0</v>
      </c>
      <c r="K3478" s="2">
        <v>0.0</v>
      </c>
      <c r="L3478" s="2">
        <v>0.0</v>
      </c>
      <c r="M3478" s="37">
        <v>0.0</v>
      </c>
    </row>
    <row r="3479" ht="14.25" customHeight="1">
      <c r="A3479" t="s">
        <v>3544</v>
      </c>
      <c r="B3479" t="s">
        <v>3464</v>
      </c>
      <c r="C3479" t="s">
        <v>62</v>
      </c>
      <c r="D3479" t="s">
        <v>63</v>
      </c>
      <c r="E3479">
        <v>1.78</v>
      </c>
      <c r="F3479">
        <v>1.82</v>
      </c>
      <c r="G3479" s="2" t="s">
        <v>64</v>
      </c>
      <c r="H3479" s="2">
        <v>0.0</v>
      </c>
      <c r="I3479" s="2">
        <v>0.0</v>
      </c>
      <c r="J3479" s="37">
        <v>0.0</v>
      </c>
      <c r="K3479" s="2">
        <v>0.0</v>
      </c>
      <c r="L3479" s="2">
        <v>0.0</v>
      </c>
      <c r="M3479" s="37">
        <v>0.0</v>
      </c>
    </row>
    <row r="3480" ht="14.25" customHeight="1">
      <c r="A3480" t="s">
        <v>3545</v>
      </c>
      <c r="B3480" t="s">
        <v>3464</v>
      </c>
      <c r="C3480" t="s">
        <v>62</v>
      </c>
      <c r="D3480" t="s">
        <v>63</v>
      </c>
      <c r="E3480">
        <v>1.78</v>
      </c>
      <c r="F3480">
        <v>1.82</v>
      </c>
      <c r="G3480" s="2" t="s">
        <v>64</v>
      </c>
      <c r="H3480" s="2">
        <v>0.0</v>
      </c>
      <c r="I3480" s="2">
        <v>0.0</v>
      </c>
      <c r="J3480" s="37">
        <v>0.0</v>
      </c>
      <c r="K3480" s="2">
        <v>0.0</v>
      </c>
      <c r="L3480" s="2">
        <v>0.0</v>
      </c>
      <c r="M3480" s="37">
        <v>0.0</v>
      </c>
    </row>
    <row r="3481" ht="14.25" customHeight="1">
      <c r="A3481" t="s">
        <v>3546</v>
      </c>
      <c r="B3481" t="s">
        <v>3464</v>
      </c>
      <c r="C3481" t="s">
        <v>62</v>
      </c>
      <c r="D3481" t="s">
        <v>63</v>
      </c>
      <c r="E3481">
        <v>1.78</v>
      </c>
      <c r="F3481">
        <v>1.82</v>
      </c>
      <c r="G3481" s="2" t="s">
        <v>64</v>
      </c>
      <c r="H3481" s="2">
        <v>0.0</v>
      </c>
      <c r="I3481" s="2">
        <v>0.0</v>
      </c>
      <c r="J3481" s="37">
        <v>0.0</v>
      </c>
      <c r="K3481" s="2">
        <v>0.0</v>
      </c>
      <c r="L3481" s="2">
        <v>0.0</v>
      </c>
      <c r="M3481" s="37">
        <v>0.0</v>
      </c>
    </row>
    <row r="3482" ht="14.25" customHeight="1">
      <c r="A3482" t="s">
        <v>3547</v>
      </c>
      <c r="B3482" t="s">
        <v>3464</v>
      </c>
      <c r="C3482" t="s">
        <v>62</v>
      </c>
      <c r="D3482" t="s">
        <v>63</v>
      </c>
      <c r="E3482">
        <v>1.78</v>
      </c>
      <c r="F3482">
        <v>1.82</v>
      </c>
      <c r="G3482" s="2" t="s">
        <v>64</v>
      </c>
      <c r="H3482" s="2">
        <v>0.0</v>
      </c>
      <c r="I3482" s="2">
        <v>0.0</v>
      </c>
      <c r="J3482" s="37">
        <v>0.0</v>
      </c>
      <c r="K3482" s="2">
        <v>0.0</v>
      </c>
      <c r="L3482" s="2">
        <v>0.0</v>
      </c>
      <c r="M3482" s="37">
        <v>0.0</v>
      </c>
    </row>
    <row r="3483" ht="14.25" customHeight="1">
      <c r="A3483" t="s">
        <v>3548</v>
      </c>
      <c r="B3483" t="s">
        <v>3464</v>
      </c>
      <c r="C3483" t="s">
        <v>62</v>
      </c>
      <c r="D3483" t="s">
        <v>63</v>
      </c>
      <c r="E3483">
        <v>1.78</v>
      </c>
      <c r="F3483">
        <v>1.82</v>
      </c>
      <c r="G3483" s="2" t="s">
        <v>64</v>
      </c>
      <c r="H3483" s="2">
        <v>0.0</v>
      </c>
      <c r="I3483" s="2">
        <v>0.0</v>
      </c>
      <c r="J3483" s="37">
        <v>0.0</v>
      </c>
      <c r="K3483" s="2">
        <v>0.0</v>
      </c>
      <c r="L3483" s="2">
        <v>0.0</v>
      </c>
      <c r="M3483" s="37">
        <v>0.0</v>
      </c>
    </row>
    <row r="3484" ht="14.25" customHeight="1">
      <c r="A3484" t="s">
        <v>3549</v>
      </c>
      <c r="B3484" t="s">
        <v>3464</v>
      </c>
      <c r="C3484" t="s">
        <v>62</v>
      </c>
      <c r="D3484" t="s">
        <v>63</v>
      </c>
      <c r="E3484">
        <v>1.78</v>
      </c>
      <c r="F3484">
        <v>1.82</v>
      </c>
      <c r="G3484" s="2" t="s">
        <v>64</v>
      </c>
      <c r="H3484" s="2">
        <v>0.0</v>
      </c>
      <c r="I3484" s="2">
        <v>0.0</v>
      </c>
      <c r="J3484" s="37">
        <v>0.0</v>
      </c>
      <c r="K3484" s="2">
        <v>0.0</v>
      </c>
      <c r="L3484" s="2">
        <v>0.0</v>
      </c>
      <c r="M3484" s="37">
        <v>0.0</v>
      </c>
    </row>
    <row r="3485" ht="14.25" customHeight="1">
      <c r="A3485" t="s">
        <v>3550</v>
      </c>
      <c r="B3485" t="s">
        <v>3464</v>
      </c>
      <c r="C3485" t="s">
        <v>62</v>
      </c>
      <c r="D3485" t="s">
        <v>63</v>
      </c>
      <c r="E3485">
        <v>1.78</v>
      </c>
      <c r="F3485">
        <v>1.82</v>
      </c>
      <c r="G3485" s="2" t="s">
        <v>64</v>
      </c>
      <c r="H3485" s="2">
        <v>0.0</v>
      </c>
      <c r="I3485" s="2">
        <v>0.0</v>
      </c>
      <c r="J3485" s="37">
        <v>0.0</v>
      </c>
      <c r="K3485" s="2">
        <v>0.0</v>
      </c>
      <c r="L3485" s="2">
        <v>0.0</v>
      </c>
      <c r="M3485" s="37">
        <v>0.0</v>
      </c>
    </row>
    <row r="3486" ht="14.25" customHeight="1">
      <c r="A3486" t="s">
        <v>3551</v>
      </c>
      <c r="B3486" t="s">
        <v>3464</v>
      </c>
      <c r="C3486" t="s">
        <v>62</v>
      </c>
      <c r="D3486" t="s">
        <v>63</v>
      </c>
      <c r="E3486">
        <v>1.78</v>
      </c>
      <c r="F3486">
        <v>1.82</v>
      </c>
      <c r="G3486" s="2" t="s">
        <v>64</v>
      </c>
      <c r="H3486" s="2">
        <v>0.0</v>
      </c>
      <c r="I3486" s="2">
        <v>0.0</v>
      </c>
      <c r="J3486" s="37">
        <v>0.0</v>
      </c>
      <c r="K3486" s="2">
        <v>0.0</v>
      </c>
      <c r="L3486" s="2">
        <v>0.0</v>
      </c>
      <c r="M3486" s="37">
        <v>0.0</v>
      </c>
    </row>
    <row r="3487" ht="14.25" customHeight="1">
      <c r="A3487" t="s">
        <v>3552</v>
      </c>
      <c r="B3487" t="s">
        <v>3464</v>
      </c>
      <c r="C3487" t="s">
        <v>62</v>
      </c>
      <c r="D3487" t="s">
        <v>63</v>
      </c>
      <c r="E3487">
        <v>1.78</v>
      </c>
      <c r="F3487">
        <v>1.82</v>
      </c>
      <c r="G3487" s="2" t="s">
        <v>64</v>
      </c>
      <c r="H3487" s="2">
        <v>0.0</v>
      </c>
      <c r="I3487" s="2">
        <v>0.0</v>
      </c>
      <c r="J3487" s="37">
        <v>0.0</v>
      </c>
      <c r="K3487" s="2">
        <v>0.0</v>
      </c>
      <c r="L3487" s="2">
        <v>0.0</v>
      </c>
      <c r="M3487" s="37">
        <v>0.0</v>
      </c>
    </row>
    <row r="3488" ht="14.25" customHeight="1">
      <c r="A3488" t="s">
        <v>3553</v>
      </c>
      <c r="B3488" t="s">
        <v>3464</v>
      </c>
      <c r="C3488" t="s">
        <v>75</v>
      </c>
      <c r="D3488" t="s">
        <v>63</v>
      </c>
      <c r="E3488">
        <v>16.0</v>
      </c>
      <c r="F3488">
        <v>19.0</v>
      </c>
      <c r="G3488" s="2" t="s">
        <v>67</v>
      </c>
      <c r="H3488" s="2">
        <v>52.0</v>
      </c>
      <c r="I3488" s="2">
        <v>92.0</v>
      </c>
      <c r="J3488" s="37">
        <v>1287.52</v>
      </c>
      <c r="K3488" s="2">
        <v>61.0</v>
      </c>
      <c r="L3488" s="2">
        <v>256.0</v>
      </c>
      <c r="M3488" s="37">
        <v>1702.86</v>
      </c>
    </row>
    <row r="3489" ht="14.25" customHeight="1">
      <c r="A3489" t="s">
        <v>3554</v>
      </c>
      <c r="B3489" t="s">
        <v>3464</v>
      </c>
      <c r="C3489" t="s">
        <v>75</v>
      </c>
      <c r="D3489" t="s">
        <v>63</v>
      </c>
      <c r="E3489">
        <v>14.0</v>
      </c>
      <c r="F3489">
        <v>16.5</v>
      </c>
      <c r="G3489" s="2" t="s">
        <v>67</v>
      </c>
      <c r="H3489" s="2">
        <v>47.0</v>
      </c>
      <c r="I3489" s="2">
        <v>197.0</v>
      </c>
      <c r="J3489" s="37">
        <v>1311.7200000000003</v>
      </c>
      <c r="K3489" s="2">
        <v>55.0</v>
      </c>
      <c r="L3489" s="2">
        <v>341.0</v>
      </c>
      <c r="M3489" s="37">
        <v>1678.6</v>
      </c>
    </row>
    <row r="3490" ht="14.25" customHeight="1">
      <c r="A3490" t="s">
        <v>3555</v>
      </c>
      <c r="B3490" t="s">
        <v>3464</v>
      </c>
      <c r="C3490" t="s">
        <v>75</v>
      </c>
      <c r="D3490" t="s">
        <v>63</v>
      </c>
      <c r="E3490">
        <v>7.1</v>
      </c>
      <c r="F3490">
        <v>7.5</v>
      </c>
      <c r="G3490" s="2" t="s">
        <v>67</v>
      </c>
      <c r="H3490" s="2">
        <v>23.0</v>
      </c>
      <c r="I3490" s="2">
        <v>115.0</v>
      </c>
      <c r="J3490" s="37">
        <v>666.08</v>
      </c>
      <c r="K3490" s="2">
        <v>27.0</v>
      </c>
      <c r="L3490" s="2">
        <v>188.0</v>
      </c>
      <c r="M3490" s="37">
        <v>850.82</v>
      </c>
    </row>
    <row r="3491" ht="14.25" customHeight="1">
      <c r="A3491" t="s">
        <v>3556</v>
      </c>
      <c r="B3491" t="s">
        <v>3464</v>
      </c>
      <c r="C3491" t="s">
        <v>75</v>
      </c>
      <c r="D3491" t="s">
        <v>63</v>
      </c>
      <c r="E3491">
        <v>8.5</v>
      </c>
      <c r="F3491">
        <v>10.0</v>
      </c>
      <c r="G3491" s="2" t="s">
        <v>67</v>
      </c>
      <c r="H3491" s="2">
        <v>29.0</v>
      </c>
      <c r="I3491" s="2">
        <v>86.0</v>
      </c>
      <c r="J3491" s="37">
        <v>763.14</v>
      </c>
      <c r="K3491" s="2">
        <v>34.0</v>
      </c>
      <c r="L3491" s="2">
        <v>173.0</v>
      </c>
      <c r="M3491" s="37">
        <v>988.54</v>
      </c>
    </row>
    <row r="3492" ht="14.25" customHeight="1">
      <c r="A3492" t="s">
        <v>3557</v>
      </c>
      <c r="B3492" t="s">
        <v>3464</v>
      </c>
      <c r="C3492" t="s">
        <v>75</v>
      </c>
      <c r="D3492" t="s">
        <v>63</v>
      </c>
      <c r="E3492">
        <v>10.5</v>
      </c>
      <c r="F3492">
        <v>12.5</v>
      </c>
      <c r="G3492" s="2" t="s">
        <v>67</v>
      </c>
      <c r="H3492" s="2">
        <v>38.0</v>
      </c>
      <c r="I3492" s="2">
        <v>268.0</v>
      </c>
      <c r="J3492" s="37">
        <v>1201.88</v>
      </c>
      <c r="K3492" s="2">
        <v>44.0</v>
      </c>
      <c r="L3492" s="2">
        <v>376.0</v>
      </c>
      <c r="M3492" s="37">
        <v>1477.04</v>
      </c>
    </row>
    <row r="3493" ht="14.25" customHeight="1">
      <c r="A3493" t="s">
        <v>3558</v>
      </c>
      <c r="B3493" t="s">
        <v>3464</v>
      </c>
      <c r="C3493" t="s">
        <v>75</v>
      </c>
      <c r="D3493" t="s">
        <v>63</v>
      </c>
      <c r="E3493">
        <v>12.5</v>
      </c>
      <c r="F3493">
        <v>15.0</v>
      </c>
      <c r="G3493" s="2" t="s">
        <v>67</v>
      </c>
      <c r="H3493" s="2">
        <v>41.0</v>
      </c>
      <c r="I3493" s="2">
        <v>68.0</v>
      </c>
      <c r="J3493" s="37">
        <v>1009.26</v>
      </c>
      <c r="K3493" s="2">
        <v>48.0</v>
      </c>
      <c r="L3493" s="2">
        <v>196.0</v>
      </c>
      <c r="M3493" s="37">
        <v>1332.8799999999999</v>
      </c>
    </row>
    <row r="3494" ht="14.25" customHeight="1">
      <c r="A3494" t="s">
        <v>3559</v>
      </c>
      <c r="B3494" t="s">
        <v>3464</v>
      </c>
      <c r="C3494" t="s">
        <v>62</v>
      </c>
      <c r="D3494" t="s">
        <v>63</v>
      </c>
      <c r="E3494">
        <v>8.2</v>
      </c>
      <c r="F3494">
        <v>8.4</v>
      </c>
      <c r="G3494" s="2" t="s">
        <v>67</v>
      </c>
      <c r="H3494" s="2">
        <v>24.0</v>
      </c>
      <c r="I3494" s="2">
        <v>47.0</v>
      </c>
      <c r="J3494" s="37">
        <v>600.14</v>
      </c>
      <c r="K3494" s="2">
        <v>27.0</v>
      </c>
      <c r="L3494" s="2">
        <v>122.0</v>
      </c>
      <c r="M3494" s="37">
        <v>765.0200000000001</v>
      </c>
    </row>
    <row r="3495" ht="14.25" customHeight="1">
      <c r="A3495" t="s">
        <v>3560</v>
      </c>
      <c r="B3495" t="s">
        <v>3464</v>
      </c>
      <c r="C3495" t="s">
        <v>62</v>
      </c>
      <c r="D3495" t="s">
        <v>63</v>
      </c>
      <c r="E3495">
        <v>8.2</v>
      </c>
      <c r="F3495">
        <v>8.4</v>
      </c>
      <c r="G3495" s="2" t="s">
        <v>67</v>
      </c>
      <c r="H3495" s="2">
        <v>24.0</v>
      </c>
      <c r="I3495" s="2">
        <v>47.0</v>
      </c>
      <c r="J3495" s="37">
        <v>600.14</v>
      </c>
      <c r="K3495" s="2">
        <v>27.0</v>
      </c>
      <c r="L3495" s="2">
        <v>122.0</v>
      </c>
      <c r="M3495" s="37">
        <v>765.0200000000001</v>
      </c>
    </row>
    <row r="3496" ht="14.25" customHeight="1">
      <c r="A3496" t="s">
        <v>3561</v>
      </c>
      <c r="B3496" t="s">
        <v>3464</v>
      </c>
      <c r="C3496" t="s">
        <v>62</v>
      </c>
      <c r="D3496" t="s">
        <v>63</v>
      </c>
      <c r="E3496">
        <v>8.2</v>
      </c>
      <c r="F3496">
        <v>8.4</v>
      </c>
      <c r="G3496" s="2" t="s">
        <v>67</v>
      </c>
      <c r="H3496" s="2">
        <v>24.0</v>
      </c>
      <c r="I3496" s="2">
        <v>47.0</v>
      </c>
      <c r="J3496" s="37">
        <v>600.14</v>
      </c>
      <c r="K3496" s="2">
        <v>27.0</v>
      </c>
      <c r="L3496" s="2">
        <v>122.0</v>
      </c>
      <c r="M3496" s="37">
        <v>765.0200000000001</v>
      </c>
    </row>
    <row r="3497" ht="14.25" customHeight="1">
      <c r="A3497" t="s">
        <v>3562</v>
      </c>
      <c r="B3497" t="s">
        <v>3464</v>
      </c>
      <c r="C3497" t="s">
        <v>62</v>
      </c>
      <c r="D3497" t="s">
        <v>63</v>
      </c>
      <c r="E3497">
        <v>8.2</v>
      </c>
      <c r="F3497">
        <v>8.4</v>
      </c>
      <c r="G3497" s="2" t="s">
        <v>67</v>
      </c>
      <c r="H3497" s="2">
        <v>24.0</v>
      </c>
      <c r="I3497" s="2">
        <v>47.0</v>
      </c>
      <c r="J3497" s="37">
        <v>600.14</v>
      </c>
      <c r="K3497" s="2">
        <v>27.0</v>
      </c>
      <c r="L3497" s="2">
        <v>122.0</v>
      </c>
      <c r="M3497" s="37">
        <v>765.0200000000001</v>
      </c>
    </row>
    <row r="3498" ht="14.25" customHeight="1">
      <c r="A3498" t="s">
        <v>3563</v>
      </c>
      <c r="B3498" t="s">
        <v>3464</v>
      </c>
      <c r="C3498" t="s">
        <v>62</v>
      </c>
      <c r="D3498" t="s">
        <v>63</v>
      </c>
      <c r="E3498">
        <v>8.2</v>
      </c>
      <c r="F3498">
        <v>8.4</v>
      </c>
      <c r="G3498" s="2" t="s">
        <v>67</v>
      </c>
      <c r="H3498" s="2">
        <v>24.0</v>
      </c>
      <c r="I3498" s="2">
        <v>47.0</v>
      </c>
      <c r="J3498" s="37">
        <v>600.14</v>
      </c>
      <c r="K3498" s="2">
        <v>27.0</v>
      </c>
      <c r="L3498" s="2">
        <v>122.0</v>
      </c>
      <c r="M3498" s="37">
        <v>765.0200000000001</v>
      </c>
    </row>
    <row r="3499" ht="14.25" customHeight="1">
      <c r="A3499" t="s">
        <v>3564</v>
      </c>
      <c r="B3499" t="s">
        <v>3464</v>
      </c>
      <c r="C3499" t="s">
        <v>62</v>
      </c>
      <c r="D3499" t="s">
        <v>63</v>
      </c>
      <c r="E3499">
        <v>7.2</v>
      </c>
      <c r="F3499">
        <v>7.3</v>
      </c>
      <c r="G3499" s="2" t="s">
        <v>67</v>
      </c>
      <c r="H3499" s="2">
        <v>21.0</v>
      </c>
      <c r="I3499" s="2">
        <v>43.0</v>
      </c>
      <c r="J3499" s="37">
        <v>527.5600000000001</v>
      </c>
      <c r="K3499" s="2">
        <v>24.0</v>
      </c>
      <c r="L3499" s="2">
        <v>108.0</v>
      </c>
      <c r="M3499" s="37">
        <v>679.4399999999999</v>
      </c>
    </row>
    <row r="3500" ht="14.25" customHeight="1">
      <c r="A3500" t="s">
        <v>3565</v>
      </c>
      <c r="B3500" t="s">
        <v>3464</v>
      </c>
      <c r="C3500" t="s">
        <v>62</v>
      </c>
      <c r="D3500" t="s">
        <v>63</v>
      </c>
      <c r="E3500">
        <v>7.2</v>
      </c>
      <c r="F3500">
        <v>7.3</v>
      </c>
      <c r="G3500" s="2" t="s">
        <v>67</v>
      </c>
      <c r="H3500" s="2">
        <v>21.0</v>
      </c>
      <c r="I3500" s="2">
        <v>43.0</v>
      </c>
      <c r="J3500" s="37">
        <v>527.5600000000001</v>
      </c>
      <c r="K3500" s="2">
        <v>24.0</v>
      </c>
      <c r="L3500" s="2">
        <v>108.0</v>
      </c>
      <c r="M3500" s="37">
        <v>679.4399999999999</v>
      </c>
    </row>
    <row r="3501" ht="14.25" customHeight="1">
      <c r="A3501" t="s">
        <v>3566</v>
      </c>
      <c r="B3501" t="s">
        <v>3464</v>
      </c>
      <c r="C3501" t="s">
        <v>62</v>
      </c>
      <c r="D3501" t="s">
        <v>63</v>
      </c>
      <c r="E3501">
        <v>7.2</v>
      </c>
      <c r="F3501">
        <v>7.3</v>
      </c>
      <c r="G3501" s="2" t="s">
        <v>67</v>
      </c>
      <c r="H3501" s="2">
        <v>21.0</v>
      </c>
      <c r="I3501" s="2">
        <v>43.0</v>
      </c>
      <c r="J3501" s="37">
        <v>527.5600000000001</v>
      </c>
      <c r="K3501" s="2">
        <v>24.0</v>
      </c>
      <c r="L3501" s="2">
        <v>108.0</v>
      </c>
      <c r="M3501" s="37">
        <v>679.4399999999999</v>
      </c>
    </row>
    <row r="3502" ht="14.25" customHeight="1">
      <c r="A3502" t="s">
        <v>3567</v>
      </c>
      <c r="B3502" t="s">
        <v>3464</v>
      </c>
      <c r="C3502" t="s">
        <v>62</v>
      </c>
      <c r="D3502" t="s">
        <v>63</v>
      </c>
      <c r="E3502">
        <v>7.2</v>
      </c>
      <c r="F3502">
        <v>7.3</v>
      </c>
      <c r="G3502" s="2" t="s">
        <v>67</v>
      </c>
      <c r="H3502" s="2">
        <v>21.0</v>
      </c>
      <c r="I3502" s="2">
        <v>43.0</v>
      </c>
      <c r="J3502" s="37">
        <v>527.5600000000001</v>
      </c>
      <c r="K3502" s="2">
        <v>24.0</v>
      </c>
      <c r="L3502" s="2">
        <v>108.0</v>
      </c>
      <c r="M3502" s="37">
        <v>679.4399999999999</v>
      </c>
    </row>
    <row r="3503" ht="14.25" customHeight="1">
      <c r="A3503" t="s">
        <v>3568</v>
      </c>
      <c r="B3503" t="s">
        <v>3464</v>
      </c>
      <c r="C3503" t="s">
        <v>62</v>
      </c>
      <c r="D3503" t="s">
        <v>63</v>
      </c>
      <c r="E3503">
        <v>7.2</v>
      </c>
      <c r="F3503">
        <v>7.3</v>
      </c>
      <c r="G3503" s="2" t="s">
        <v>67</v>
      </c>
      <c r="H3503" s="2">
        <v>21.0</v>
      </c>
      <c r="I3503" s="2">
        <v>43.0</v>
      </c>
      <c r="J3503" s="37">
        <v>527.5600000000001</v>
      </c>
      <c r="K3503" s="2">
        <v>24.0</v>
      </c>
      <c r="L3503" s="2">
        <v>108.0</v>
      </c>
      <c r="M3503" s="37">
        <v>679.4399999999999</v>
      </c>
    </row>
    <row r="3504" ht="14.25" customHeight="1">
      <c r="A3504" t="s">
        <v>3540</v>
      </c>
      <c r="B3504" t="s">
        <v>3464</v>
      </c>
      <c r="C3504" t="s">
        <v>62</v>
      </c>
      <c r="D3504" t="s">
        <v>63</v>
      </c>
      <c r="E3504">
        <v>2.64</v>
      </c>
      <c r="F3504">
        <v>3.3</v>
      </c>
      <c r="G3504" s="2" t="s">
        <v>67</v>
      </c>
      <c r="H3504" s="2">
        <v>8.0</v>
      </c>
      <c r="I3504" s="2">
        <v>50.0</v>
      </c>
      <c r="J3504" s="37">
        <v>244.68</v>
      </c>
      <c r="K3504" s="2">
        <v>9.0</v>
      </c>
      <c r="L3504" s="2">
        <v>71.0</v>
      </c>
      <c r="M3504" s="37">
        <v>294.44</v>
      </c>
    </row>
    <row r="3505" ht="14.25" customHeight="1">
      <c r="A3505" t="s">
        <v>3569</v>
      </c>
      <c r="B3505" t="s">
        <v>3464</v>
      </c>
      <c r="C3505" t="s">
        <v>62</v>
      </c>
      <c r="D3505" t="s">
        <v>63</v>
      </c>
      <c r="E3505">
        <v>2.64</v>
      </c>
      <c r="F3505">
        <v>3.3</v>
      </c>
      <c r="G3505" s="2" t="s">
        <v>67</v>
      </c>
      <c r="H3505" s="2">
        <v>8.0</v>
      </c>
      <c r="I3505" s="2">
        <v>50.0</v>
      </c>
      <c r="J3505" s="37">
        <v>244.68</v>
      </c>
      <c r="K3505" s="2">
        <v>9.0</v>
      </c>
      <c r="L3505" s="2">
        <v>71.0</v>
      </c>
      <c r="M3505" s="37">
        <v>294.44</v>
      </c>
    </row>
    <row r="3506" ht="14.25" customHeight="1">
      <c r="A3506" t="s">
        <v>3570</v>
      </c>
      <c r="B3506" t="s">
        <v>3464</v>
      </c>
      <c r="C3506" t="s">
        <v>62</v>
      </c>
      <c r="D3506" t="s">
        <v>63</v>
      </c>
      <c r="E3506">
        <v>2.64</v>
      </c>
      <c r="F3506">
        <v>3.3</v>
      </c>
      <c r="G3506" s="2" t="s">
        <v>67</v>
      </c>
      <c r="H3506" s="2">
        <v>8.0</v>
      </c>
      <c r="I3506" s="2">
        <v>50.0</v>
      </c>
      <c r="J3506" s="37">
        <v>244.68</v>
      </c>
      <c r="K3506" s="2">
        <v>9.0</v>
      </c>
      <c r="L3506" s="2">
        <v>71.0</v>
      </c>
      <c r="M3506" s="37">
        <v>294.44</v>
      </c>
    </row>
    <row r="3507" ht="14.25" customHeight="1">
      <c r="A3507" t="s">
        <v>3539</v>
      </c>
      <c r="B3507" t="s">
        <v>3464</v>
      </c>
      <c r="C3507" t="s">
        <v>62</v>
      </c>
      <c r="D3507" t="s">
        <v>63</v>
      </c>
      <c r="E3507">
        <v>3.53</v>
      </c>
      <c r="F3507">
        <v>3.65</v>
      </c>
      <c r="G3507" s="2" t="s">
        <v>67</v>
      </c>
      <c r="H3507" s="2">
        <v>9.0</v>
      </c>
      <c r="I3507" s="2">
        <v>28.0</v>
      </c>
      <c r="J3507" s="37">
        <v>238.54000000000002</v>
      </c>
      <c r="K3507" s="2">
        <v>11.0</v>
      </c>
      <c r="L3507" s="2">
        <v>56.0</v>
      </c>
      <c r="M3507" s="37">
        <v>319.86</v>
      </c>
    </row>
    <row r="3508" ht="14.25" customHeight="1">
      <c r="A3508" t="s">
        <v>3571</v>
      </c>
      <c r="B3508" t="s">
        <v>3464</v>
      </c>
      <c r="C3508" t="s">
        <v>62</v>
      </c>
      <c r="D3508" t="s">
        <v>63</v>
      </c>
      <c r="E3508">
        <v>3.53</v>
      </c>
      <c r="F3508">
        <v>3.65</v>
      </c>
      <c r="G3508" s="2" t="s">
        <v>67</v>
      </c>
      <c r="H3508" s="2">
        <v>9.0</v>
      </c>
      <c r="I3508" s="2">
        <v>28.0</v>
      </c>
      <c r="J3508" s="37">
        <v>238.54000000000002</v>
      </c>
      <c r="K3508" s="2">
        <v>10.0</v>
      </c>
      <c r="L3508" s="2">
        <v>56.0</v>
      </c>
      <c r="M3508" s="37">
        <v>297.40000000000003</v>
      </c>
    </row>
    <row r="3509" ht="14.25" customHeight="1">
      <c r="A3509" t="s">
        <v>3572</v>
      </c>
      <c r="B3509" t="s">
        <v>3464</v>
      </c>
      <c r="C3509" t="s">
        <v>62</v>
      </c>
      <c r="D3509" t="s">
        <v>63</v>
      </c>
      <c r="E3509">
        <v>3.53</v>
      </c>
      <c r="F3509">
        <v>3.65</v>
      </c>
      <c r="G3509" s="2" t="s">
        <v>67</v>
      </c>
      <c r="H3509" s="2">
        <v>9.0</v>
      </c>
      <c r="I3509" s="2">
        <v>28.0</v>
      </c>
      <c r="J3509" s="37">
        <v>238.54000000000002</v>
      </c>
      <c r="K3509" s="2">
        <v>10.0</v>
      </c>
      <c r="L3509" s="2">
        <v>56.0</v>
      </c>
      <c r="M3509" s="37">
        <v>297.40000000000003</v>
      </c>
    </row>
    <row r="3510" ht="14.25" customHeight="1">
      <c r="A3510" t="s">
        <v>3573</v>
      </c>
      <c r="B3510" t="s">
        <v>3464</v>
      </c>
      <c r="C3510" t="s">
        <v>62</v>
      </c>
      <c r="D3510" t="s">
        <v>63</v>
      </c>
      <c r="E3510">
        <v>3.53</v>
      </c>
      <c r="F3510">
        <v>3.65</v>
      </c>
      <c r="G3510" s="2" t="s">
        <v>67</v>
      </c>
      <c r="H3510" s="2">
        <v>9.0</v>
      </c>
      <c r="I3510" s="2">
        <v>17.0</v>
      </c>
      <c r="J3510" s="37">
        <v>224.24</v>
      </c>
      <c r="K3510" s="2">
        <v>10.0</v>
      </c>
      <c r="L3510" s="2">
        <v>45.0</v>
      </c>
      <c r="M3510" s="37">
        <v>283.1</v>
      </c>
    </row>
    <row r="3511" ht="14.25" customHeight="1">
      <c r="A3511" t="s">
        <v>3574</v>
      </c>
      <c r="B3511" t="s">
        <v>3464</v>
      </c>
      <c r="C3511" t="s">
        <v>62</v>
      </c>
      <c r="D3511" t="s">
        <v>63</v>
      </c>
      <c r="E3511">
        <v>2.15</v>
      </c>
      <c r="F3511">
        <v>2.1</v>
      </c>
      <c r="G3511" s="2" t="s">
        <v>64</v>
      </c>
      <c r="H3511" s="2">
        <v>0.0</v>
      </c>
      <c r="I3511" s="2">
        <v>0.0</v>
      </c>
      <c r="J3511" s="37">
        <v>0.0</v>
      </c>
      <c r="K3511" s="2">
        <v>0.0</v>
      </c>
      <c r="L3511" s="2">
        <v>0.0</v>
      </c>
      <c r="M3511" s="37">
        <v>0.0</v>
      </c>
    </row>
    <row r="3512" ht="14.25" customHeight="1">
      <c r="A3512" t="s">
        <v>3575</v>
      </c>
      <c r="B3512" t="s">
        <v>3464</v>
      </c>
      <c r="C3512" t="s">
        <v>62</v>
      </c>
      <c r="D3512" t="s">
        <v>63</v>
      </c>
      <c r="E3512">
        <v>2.15</v>
      </c>
      <c r="F3512">
        <v>2.1</v>
      </c>
      <c r="G3512" s="2" t="s">
        <v>64</v>
      </c>
      <c r="H3512" s="2">
        <v>0.0</v>
      </c>
      <c r="I3512" s="2">
        <v>0.0</v>
      </c>
      <c r="J3512" s="37">
        <v>0.0</v>
      </c>
      <c r="K3512" s="2">
        <v>0.0</v>
      </c>
      <c r="L3512" s="2">
        <v>0.0</v>
      </c>
      <c r="M3512" s="37">
        <v>0.0</v>
      </c>
    </row>
    <row r="3513" ht="14.25" customHeight="1">
      <c r="A3513" t="s">
        <v>3576</v>
      </c>
      <c r="B3513" t="s">
        <v>3464</v>
      </c>
      <c r="C3513" t="s">
        <v>62</v>
      </c>
      <c r="D3513" t="s">
        <v>63</v>
      </c>
      <c r="E3513">
        <v>2.15</v>
      </c>
      <c r="F3513">
        <v>2.1</v>
      </c>
      <c r="G3513" s="2" t="s">
        <v>64</v>
      </c>
      <c r="H3513" s="2">
        <v>0.0</v>
      </c>
      <c r="I3513" s="2">
        <v>0.0</v>
      </c>
      <c r="J3513" s="37">
        <v>0.0</v>
      </c>
      <c r="K3513" s="2">
        <v>0.0</v>
      </c>
      <c r="L3513" s="2">
        <v>0.0</v>
      </c>
      <c r="M3513" s="37">
        <v>0.0</v>
      </c>
    </row>
    <row r="3514" ht="14.25" customHeight="1">
      <c r="A3514" t="s">
        <v>3577</v>
      </c>
      <c r="B3514" t="s">
        <v>3464</v>
      </c>
      <c r="C3514" t="s">
        <v>62</v>
      </c>
      <c r="D3514" t="s">
        <v>63</v>
      </c>
      <c r="E3514">
        <v>2.62</v>
      </c>
      <c r="F3514">
        <v>3.3</v>
      </c>
      <c r="G3514" s="2" t="s">
        <v>67</v>
      </c>
      <c r="H3514" s="2">
        <v>8.0</v>
      </c>
      <c r="I3514" s="2">
        <v>49.0</v>
      </c>
      <c r="J3514" s="37">
        <v>243.38</v>
      </c>
      <c r="K3514" s="2">
        <v>9.0</v>
      </c>
      <c r="L3514" s="2">
        <v>70.0</v>
      </c>
      <c r="M3514" s="37">
        <v>293.14</v>
      </c>
    </row>
    <row r="3515" ht="14.25" customHeight="1">
      <c r="A3515" t="s">
        <v>3578</v>
      </c>
      <c r="B3515" t="s">
        <v>3464</v>
      </c>
      <c r="C3515" t="s">
        <v>62</v>
      </c>
      <c r="D3515" t="s">
        <v>63</v>
      </c>
      <c r="E3515">
        <v>3.53</v>
      </c>
      <c r="F3515">
        <v>3.65</v>
      </c>
      <c r="G3515" s="2" t="s">
        <v>67</v>
      </c>
      <c r="H3515" s="2">
        <v>9.0</v>
      </c>
      <c r="I3515" s="2">
        <v>17.0</v>
      </c>
      <c r="J3515" s="37">
        <v>224.24</v>
      </c>
      <c r="K3515" s="2">
        <v>11.0</v>
      </c>
      <c r="L3515" s="2">
        <v>45.0</v>
      </c>
      <c r="M3515" s="37">
        <v>305.56</v>
      </c>
    </row>
    <row r="3516" ht="14.25" customHeight="1">
      <c r="A3516" t="s">
        <v>3547</v>
      </c>
      <c r="B3516" t="s">
        <v>3464</v>
      </c>
      <c r="C3516" t="s">
        <v>62</v>
      </c>
      <c r="D3516" t="s">
        <v>63</v>
      </c>
      <c r="E3516">
        <v>1.78</v>
      </c>
      <c r="F3516">
        <v>1.82</v>
      </c>
      <c r="G3516" s="2" t="s">
        <v>64</v>
      </c>
      <c r="H3516" s="2">
        <v>0.0</v>
      </c>
      <c r="I3516" s="2">
        <v>0.0</v>
      </c>
      <c r="J3516" s="37">
        <v>0.0</v>
      </c>
      <c r="K3516" s="2">
        <v>0.0</v>
      </c>
      <c r="L3516" s="2">
        <v>0.0</v>
      </c>
      <c r="M3516" s="37">
        <v>0.0</v>
      </c>
    </row>
    <row r="3517" ht="14.25" customHeight="1">
      <c r="A3517" t="s">
        <v>3548</v>
      </c>
      <c r="B3517" t="s">
        <v>3464</v>
      </c>
      <c r="C3517" t="s">
        <v>62</v>
      </c>
      <c r="D3517" t="s">
        <v>63</v>
      </c>
      <c r="E3517">
        <v>1.78</v>
      </c>
      <c r="F3517">
        <v>1.82</v>
      </c>
      <c r="G3517" s="2" t="s">
        <v>64</v>
      </c>
      <c r="H3517" s="2">
        <v>0.0</v>
      </c>
      <c r="I3517" s="2">
        <v>0.0</v>
      </c>
      <c r="J3517" s="37">
        <v>0.0</v>
      </c>
      <c r="K3517" s="2">
        <v>0.0</v>
      </c>
      <c r="L3517" s="2">
        <v>0.0</v>
      </c>
      <c r="M3517" s="37">
        <v>0.0</v>
      </c>
    </row>
    <row r="3518" ht="14.25" customHeight="1">
      <c r="A3518" t="s">
        <v>3579</v>
      </c>
      <c r="B3518" t="s">
        <v>3464</v>
      </c>
      <c r="C3518" t="s">
        <v>62</v>
      </c>
      <c r="D3518" t="s">
        <v>63</v>
      </c>
      <c r="E3518">
        <v>1.78</v>
      </c>
      <c r="F3518">
        <v>1.82</v>
      </c>
      <c r="G3518" s="2" t="s">
        <v>64</v>
      </c>
      <c r="H3518" s="2">
        <v>0.0</v>
      </c>
      <c r="I3518" s="2">
        <v>0.0</v>
      </c>
      <c r="J3518" s="37">
        <v>0.0</v>
      </c>
      <c r="K3518" s="2">
        <v>0.0</v>
      </c>
      <c r="L3518" s="2">
        <v>0.0</v>
      </c>
      <c r="M3518" s="37">
        <v>0.0</v>
      </c>
    </row>
    <row r="3519" ht="14.25" customHeight="1">
      <c r="A3519" t="s">
        <v>3580</v>
      </c>
      <c r="B3519" t="s">
        <v>3464</v>
      </c>
      <c r="C3519" t="s">
        <v>62</v>
      </c>
      <c r="D3519" t="s">
        <v>63</v>
      </c>
      <c r="E3519">
        <v>2.65</v>
      </c>
      <c r="F3519">
        <v>3.6</v>
      </c>
      <c r="G3519" s="2" t="s">
        <v>67</v>
      </c>
      <c r="H3519" s="2">
        <v>9.0</v>
      </c>
      <c r="I3519" s="2">
        <v>41.0</v>
      </c>
      <c r="J3519" s="37">
        <v>255.44000000000003</v>
      </c>
      <c r="K3519" s="2">
        <v>10.0</v>
      </c>
      <c r="L3519" s="2">
        <v>62.0</v>
      </c>
      <c r="M3519" s="37">
        <v>305.20000000000005</v>
      </c>
    </row>
    <row r="3520" ht="14.25" customHeight="1">
      <c r="A3520" t="s">
        <v>3581</v>
      </c>
      <c r="B3520" t="s">
        <v>3464</v>
      </c>
      <c r="C3520" t="s">
        <v>62</v>
      </c>
      <c r="D3520" t="s">
        <v>63</v>
      </c>
      <c r="E3520">
        <v>3.5</v>
      </c>
      <c r="F3520">
        <v>3.6</v>
      </c>
      <c r="G3520" s="2" t="s">
        <v>64</v>
      </c>
      <c r="H3520" s="2">
        <v>0.0</v>
      </c>
      <c r="I3520" s="2">
        <v>0.0</v>
      </c>
      <c r="J3520" s="37">
        <v>0.0</v>
      </c>
      <c r="K3520" s="2">
        <v>0.0</v>
      </c>
      <c r="L3520" s="2">
        <v>0.0</v>
      </c>
      <c r="M3520" s="37">
        <v>0.0</v>
      </c>
    </row>
    <row r="3521" ht="14.25" customHeight="1">
      <c r="A3521" t="s">
        <v>3582</v>
      </c>
      <c r="B3521" t="s">
        <v>3583</v>
      </c>
      <c r="C3521" t="s">
        <v>62</v>
      </c>
      <c r="D3521" t="s">
        <v>467</v>
      </c>
      <c r="E3521">
        <v>2.6</v>
      </c>
      <c r="F3521">
        <v>2.9</v>
      </c>
      <c r="G3521" s="2" t="s">
        <v>64</v>
      </c>
      <c r="H3521" s="2">
        <v>0.0</v>
      </c>
      <c r="I3521" s="2">
        <v>0.0</v>
      </c>
      <c r="J3521" s="37">
        <v>0.0</v>
      </c>
      <c r="K3521" s="2">
        <v>0.0</v>
      </c>
      <c r="L3521" s="2">
        <v>0.0</v>
      </c>
      <c r="M3521" s="37">
        <v>0.0</v>
      </c>
    </row>
    <row r="3522" ht="14.25" customHeight="1">
      <c r="A3522" t="s">
        <v>3584</v>
      </c>
      <c r="B3522" t="s">
        <v>3583</v>
      </c>
      <c r="C3522" t="s">
        <v>62</v>
      </c>
      <c r="D3522" t="s">
        <v>467</v>
      </c>
      <c r="E3522">
        <v>2.6</v>
      </c>
      <c r="F3522">
        <v>2.9</v>
      </c>
      <c r="G3522" s="2" t="s">
        <v>64</v>
      </c>
      <c r="H3522" s="2">
        <v>0.0</v>
      </c>
      <c r="I3522" s="2">
        <v>0.0</v>
      </c>
      <c r="J3522" s="37">
        <v>0.0</v>
      </c>
      <c r="K3522" s="2">
        <v>0.0</v>
      </c>
      <c r="L3522" s="2">
        <v>0.0</v>
      </c>
      <c r="M3522" s="37">
        <v>0.0</v>
      </c>
    </row>
    <row r="3523" ht="14.25" customHeight="1">
      <c r="A3523" t="s">
        <v>3585</v>
      </c>
      <c r="B3523" t="s">
        <v>3583</v>
      </c>
      <c r="C3523" t="s">
        <v>62</v>
      </c>
      <c r="D3523" t="s">
        <v>467</v>
      </c>
      <c r="E3523">
        <v>2.6</v>
      </c>
      <c r="F3523">
        <v>2.9</v>
      </c>
      <c r="G3523" s="2" t="s">
        <v>64</v>
      </c>
      <c r="H3523" s="2">
        <v>0.0</v>
      </c>
      <c r="I3523" s="2">
        <v>0.0</v>
      </c>
      <c r="J3523" s="37">
        <v>0.0</v>
      </c>
      <c r="K3523" s="2">
        <v>0.0</v>
      </c>
      <c r="L3523" s="2">
        <v>0.0</v>
      </c>
      <c r="M3523" s="37">
        <v>0.0</v>
      </c>
    </row>
    <row r="3524" ht="14.25" customHeight="1">
      <c r="A3524" t="s">
        <v>3586</v>
      </c>
      <c r="B3524" t="s">
        <v>3583</v>
      </c>
      <c r="C3524" t="s">
        <v>62</v>
      </c>
      <c r="D3524" t="s">
        <v>467</v>
      </c>
      <c r="E3524">
        <v>2.6</v>
      </c>
      <c r="F3524">
        <v>2.9</v>
      </c>
      <c r="G3524" s="2" t="s">
        <v>64</v>
      </c>
      <c r="H3524" s="2">
        <v>0.0</v>
      </c>
      <c r="I3524" s="2">
        <v>0.0</v>
      </c>
      <c r="J3524" s="37">
        <v>0.0</v>
      </c>
      <c r="K3524" s="2">
        <v>0.0</v>
      </c>
      <c r="L3524" s="2">
        <v>0.0</v>
      </c>
      <c r="M3524" s="37">
        <v>0.0</v>
      </c>
    </row>
    <row r="3525" ht="14.25" customHeight="1">
      <c r="A3525" t="s">
        <v>3587</v>
      </c>
      <c r="B3525" t="s">
        <v>3583</v>
      </c>
      <c r="C3525" t="s">
        <v>62</v>
      </c>
      <c r="D3525" t="s">
        <v>63</v>
      </c>
      <c r="E3525">
        <v>2.64</v>
      </c>
      <c r="F3525">
        <v>2.9</v>
      </c>
      <c r="G3525" s="2" t="s">
        <v>67</v>
      </c>
      <c r="H3525" s="2">
        <v>7.0</v>
      </c>
      <c r="I3525" s="2">
        <v>15.0</v>
      </c>
      <c r="J3525" s="37">
        <v>176.72</v>
      </c>
      <c r="K3525" s="2">
        <v>9.0</v>
      </c>
      <c r="L3525" s="2">
        <v>36.0</v>
      </c>
      <c r="M3525" s="37">
        <v>248.94000000000003</v>
      </c>
    </row>
    <row r="3526" ht="14.25" customHeight="1">
      <c r="A3526" t="s">
        <v>3588</v>
      </c>
      <c r="B3526" t="s">
        <v>3583</v>
      </c>
      <c r="C3526" t="s">
        <v>62</v>
      </c>
      <c r="D3526" t="s">
        <v>63</v>
      </c>
      <c r="E3526">
        <v>3.5</v>
      </c>
      <c r="F3526">
        <v>4.0</v>
      </c>
      <c r="G3526" s="2" t="s">
        <v>64</v>
      </c>
      <c r="H3526" s="2">
        <v>0.0</v>
      </c>
      <c r="I3526" s="2">
        <v>0.0</v>
      </c>
      <c r="J3526" s="37">
        <v>0.0</v>
      </c>
      <c r="K3526" s="2">
        <v>0.0</v>
      </c>
      <c r="L3526" s="2">
        <v>0.0</v>
      </c>
      <c r="M3526" s="37">
        <v>0.0</v>
      </c>
    </row>
    <row r="3527" ht="14.25" customHeight="1">
      <c r="A3527" t="s">
        <v>3589</v>
      </c>
      <c r="B3527" t="s">
        <v>3583</v>
      </c>
      <c r="C3527" t="s">
        <v>62</v>
      </c>
      <c r="D3527" t="s">
        <v>63</v>
      </c>
      <c r="E3527">
        <v>5.3</v>
      </c>
      <c r="F3527">
        <v>5.3</v>
      </c>
      <c r="G3527" s="2" t="s">
        <v>67</v>
      </c>
      <c r="H3527" s="2">
        <v>15.0</v>
      </c>
      <c r="I3527" s="2">
        <v>4.0</v>
      </c>
      <c r="J3527" s="37">
        <v>342.1</v>
      </c>
      <c r="K3527" s="2">
        <v>18.0</v>
      </c>
      <c r="L3527" s="2">
        <v>53.0</v>
      </c>
      <c r="M3527" s="37">
        <v>473.18000000000006</v>
      </c>
    </row>
    <row r="3528" ht="14.25" customHeight="1">
      <c r="A3528" t="s">
        <v>3590</v>
      </c>
      <c r="B3528" t="s">
        <v>3583</v>
      </c>
      <c r="C3528" t="s">
        <v>62</v>
      </c>
      <c r="D3528" t="s">
        <v>63</v>
      </c>
      <c r="E3528">
        <v>8.0</v>
      </c>
      <c r="F3528">
        <v>8.4</v>
      </c>
      <c r="G3528" s="2" t="s">
        <v>64</v>
      </c>
      <c r="H3528" s="2">
        <v>0.0</v>
      </c>
      <c r="I3528" s="2">
        <v>0.0</v>
      </c>
      <c r="J3528" s="37">
        <v>0.0</v>
      </c>
      <c r="K3528" s="2">
        <v>0.0</v>
      </c>
      <c r="L3528" s="2">
        <v>0.0</v>
      </c>
      <c r="M3528" s="37">
        <v>0.0</v>
      </c>
    </row>
    <row r="3529" ht="14.25" customHeight="1">
      <c r="A3529" t="s">
        <v>3591</v>
      </c>
      <c r="B3529" t="s">
        <v>3583</v>
      </c>
      <c r="C3529" t="s">
        <v>62</v>
      </c>
      <c r="D3529" t="s">
        <v>268</v>
      </c>
      <c r="E3529">
        <v>4.2</v>
      </c>
      <c r="F3529">
        <v>3.9</v>
      </c>
      <c r="G3529" s="2" t="s">
        <v>64</v>
      </c>
      <c r="H3529" s="2">
        <v>0.0</v>
      </c>
      <c r="I3529" s="2">
        <v>0.0</v>
      </c>
      <c r="J3529" s="37">
        <v>0.0</v>
      </c>
      <c r="K3529" s="2">
        <v>0.0</v>
      </c>
      <c r="L3529" s="2">
        <v>0.0</v>
      </c>
      <c r="M3529" s="37">
        <v>0.0</v>
      </c>
    </row>
    <row r="3530" ht="14.25" customHeight="1">
      <c r="A3530" t="s">
        <v>3592</v>
      </c>
      <c r="B3530" t="s">
        <v>3583</v>
      </c>
      <c r="C3530" t="s">
        <v>62</v>
      </c>
      <c r="D3530" t="s">
        <v>63</v>
      </c>
      <c r="E3530">
        <v>2.64</v>
      </c>
      <c r="F3530">
        <v>4.05</v>
      </c>
      <c r="G3530" s="2" t="s">
        <v>64</v>
      </c>
      <c r="H3530" s="2">
        <v>0.0</v>
      </c>
      <c r="I3530" s="2">
        <v>0.0</v>
      </c>
      <c r="J3530" s="37">
        <v>0.0</v>
      </c>
      <c r="K3530" s="2">
        <v>0.0</v>
      </c>
      <c r="L3530" s="2">
        <v>0.0</v>
      </c>
      <c r="M3530" s="37">
        <v>0.0</v>
      </c>
    </row>
    <row r="3531" ht="14.25" customHeight="1">
      <c r="A3531" t="s">
        <v>3593</v>
      </c>
      <c r="B3531" t="s">
        <v>3583</v>
      </c>
      <c r="C3531" t="s">
        <v>62</v>
      </c>
      <c r="D3531" t="s">
        <v>63</v>
      </c>
      <c r="E3531">
        <v>3.5</v>
      </c>
      <c r="F3531">
        <v>4.5</v>
      </c>
      <c r="G3531" s="2" t="s">
        <v>64</v>
      </c>
      <c r="H3531" s="2">
        <v>0.0</v>
      </c>
      <c r="I3531" s="2">
        <v>0.0</v>
      </c>
      <c r="J3531" s="37">
        <v>0.0</v>
      </c>
      <c r="K3531" s="2">
        <v>0.0</v>
      </c>
      <c r="L3531" s="2">
        <v>0.0</v>
      </c>
      <c r="M3531" s="37">
        <v>0.0</v>
      </c>
    </row>
    <row r="3532" ht="14.25" customHeight="1">
      <c r="A3532" t="s">
        <v>3594</v>
      </c>
      <c r="B3532" t="s">
        <v>3583</v>
      </c>
      <c r="C3532" t="s">
        <v>75</v>
      </c>
      <c r="D3532" t="s">
        <v>63</v>
      </c>
      <c r="E3532">
        <v>12.5</v>
      </c>
      <c r="F3532">
        <v>13.5</v>
      </c>
      <c r="G3532" s="2" t="s">
        <v>67</v>
      </c>
      <c r="H3532" s="2">
        <v>42.0</v>
      </c>
      <c r="I3532" s="2">
        <v>98.0</v>
      </c>
      <c r="J3532" s="37">
        <v>1070.72</v>
      </c>
      <c r="K3532" s="2">
        <v>48.0</v>
      </c>
      <c r="L3532" s="2">
        <v>226.0</v>
      </c>
      <c r="M3532" s="37">
        <v>1371.8799999999999</v>
      </c>
    </row>
    <row r="3533" ht="14.25" customHeight="1">
      <c r="A3533" t="s">
        <v>3595</v>
      </c>
      <c r="B3533" t="s">
        <v>3583</v>
      </c>
      <c r="C3533" t="s">
        <v>62</v>
      </c>
      <c r="D3533" t="s">
        <v>467</v>
      </c>
      <c r="E3533">
        <v>2.2</v>
      </c>
      <c r="F3533">
        <v>2.05</v>
      </c>
      <c r="G3533" s="2" t="s">
        <v>64</v>
      </c>
      <c r="H3533" s="2">
        <v>0.0</v>
      </c>
      <c r="I3533" s="2">
        <v>0.0</v>
      </c>
      <c r="J3533" s="37">
        <v>0.0</v>
      </c>
      <c r="K3533" s="2">
        <v>0.0</v>
      </c>
      <c r="L3533" s="2">
        <v>0.0</v>
      </c>
      <c r="M3533" s="37">
        <v>0.0</v>
      </c>
    </row>
    <row r="3534" ht="14.25" customHeight="1">
      <c r="A3534" t="s">
        <v>3596</v>
      </c>
      <c r="B3534" t="s">
        <v>3583</v>
      </c>
      <c r="C3534" t="s">
        <v>62</v>
      </c>
      <c r="D3534" t="s">
        <v>467</v>
      </c>
      <c r="E3534">
        <v>2.6</v>
      </c>
      <c r="F3534">
        <v>2.4</v>
      </c>
      <c r="G3534" s="2" t="s">
        <v>64</v>
      </c>
      <c r="H3534" s="2">
        <v>0.0</v>
      </c>
      <c r="I3534" s="2">
        <v>0.0</v>
      </c>
      <c r="J3534" s="37">
        <v>0.0</v>
      </c>
      <c r="K3534" s="2">
        <v>0.0</v>
      </c>
      <c r="L3534" s="2">
        <v>0.0</v>
      </c>
      <c r="M3534" s="37">
        <v>0.0</v>
      </c>
    </row>
    <row r="3535" ht="14.25" customHeight="1">
      <c r="A3535" t="s">
        <v>3597</v>
      </c>
      <c r="B3535" t="s">
        <v>3583</v>
      </c>
      <c r="C3535" t="s">
        <v>62</v>
      </c>
      <c r="D3535" t="s">
        <v>63</v>
      </c>
      <c r="E3535">
        <v>5.2</v>
      </c>
      <c r="F3535">
        <v>5.2</v>
      </c>
      <c r="G3535" s="2" t="s">
        <v>64</v>
      </c>
      <c r="H3535" s="2">
        <v>0.0</v>
      </c>
      <c r="I3535" s="2">
        <v>0.0</v>
      </c>
      <c r="J3535" s="37">
        <v>0.0</v>
      </c>
      <c r="K3535" s="2">
        <v>0.0</v>
      </c>
      <c r="L3535" s="2">
        <v>0.0</v>
      </c>
      <c r="M3535" s="37">
        <v>0.0</v>
      </c>
    </row>
    <row r="3536" ht="14.25" customHeight="1">
      <c r="A3536" t="s">
        <v>3598</v>
      </c>
      <c r="B3536" t="s">
        <v>3583</v>
      </c>
      <c r="C3536" t="s">
        <v>62</v>
      </c>
      <c r="D3536" t="s">
        <v>63</v>
      </c>
      <c r="E3536">
        <v>7.0</v>
      </c>
      <c r="F3536">
        <v>7.0</v>
      </c>
      <c r="G3536" s="2" t="s">
        <v>67</v>
      </c>
      <c r="H3536" s="2">
        <v>18.0</v>
      </c>
      <c r="I3536" s="2">
        <v>48.0</v>
      </c>
      <c r="J3536" s="37">
        <v>466.68000000000006</v>
      </c>
      <c r="K3536" s="2">
        <v>22.0</v>
      </c>
      <c r="L3536" s="2">
        <v>112.0</v>
      </c>
      <c r="M3536" s="37">
        <v>639.72</v>
      </c>
    </row>
    <row r="3537" ht="14.25" customHeight="1">
      <c r="A3537" t="s">
        <v>3599</v>
      </c>
      <c r="B3537" t="s">
        <v>3583</v>
      </c>
      <c r="C3537" t="s">
        <v>62</v>
      </c>
      <c r="D3537" t="s">
        <v>63</v>
      </c>
      <c r="E3537">
        <v>8.8</v>
      </c>
      <c r="F3537">
        <v>8.8</v>
      </c>
      <c r="G3537" s="2" t="s">
        <v>67</v>
      </c>
      <c r="H3537" s="2">
        <v>24.0</v>
      </c>
      <c r="I3537" s="2">
        <v>69.0</v>
      </c>
      <c r="J3537" s="37">
        <v>628.74</v>
      </c>
      <c r="K3537" s="2">
        <v>27.0</v>
      </c>
      <c r="L3537" s="2">
        <v>149.0</v>
      </c>
      <c r="M3537" s="37">
        <v>800.1200000000001</v>
      </c>
    </row>
    <row r="3538" ht="14.25" customHeight="1">
      <c r="A3538" t="s">
        <v>3600</v>
      </c>
      <c r="B3538" t="s">
        <v>3583</v>
      </c>
      <c r="C3538" t="s">
        <v>62</v>
      </c>
      <c r="D3538" t="s">
        <v>467</v>
      </c>
      <c r="E3538">
        <v>6.09</v>
      </c>
      <c r="F3538">
        <v>5.65</v>
      </c>
      <c r="G3538" s="2" t="s">
        <v>64</v>
      </c>
      <c r="H3538" s="2">
        <v>0.0</v>
      </c>
      <c r="I3538" s="2">
        <v>0.0</v>
      </c>
      <c r="J3538" s="37">
        <v>0.0</v>
      </c>
      <c r="K3538" s="2">
        <v>0.0</v>
      </c>
      <c r="L3538" s="2">
        <v>0.0</v>
      </c>
      <c r="M3538" s="37">
        <v>0.0</v>
      </c>
    </row>
    <row r="3539" ht="14.25" customHeight="1">
      <c r="A3539" t="s">
        <v>3592</v>
      </c>
      <c r="B3539" t="s">
        <v>3583</v>
      </c>
      <c r="C3539" t="s">
        <v>62</v>
      </c>
      <c r="D3539" t="s">
        <v>63</v>
      </c>
      <c r="E3539">
        <v>2.64</v>
      </c>
      <c r="F3539">
        <v>4.05</v>
      </c>
      <c r="G3539" s="2" t="s">
        <v>64</v>
      </c>
      <c r="H3539" s="2">
        <v>0.0</v>
      </c>
      <c r="I3539" s="2">
        <v>0.0</v>
      </c>
      <c r="J3539" s="37">
        <v>0.0</v>
      </c>
      <c r="K3539" s="2">
        <v>0.0</v>
      </c>
      <c r="L3539" s="2">
        <v>0.0</v>
      </c>
      <c r="M3539" s="37">
        <v>0.0</v>
      </c>
    </row>
    <row r="3540" ht="14.25" customHeight="1">
      <c r="A3540" t="s">
        <v>3601</v>
      </c>
      <c r="B3540" t="s">
        <v>3583</v>
      </c>
      <c r="C3540" t="s">
        <v>75</v>
      </c>
      <c r="D3540" t="s">
        <v>63</v>
      </c>
      <c r="E3540">
        <v>12.5</v>
      </c>
      <c r="F3540">
        <v>14.0</v>
      </c>
      <c r="G3540" s="2" t="s">
        <v>67</v>
      </c>
      <c r="H3540" s="2">
        <v>43.0</v>
      </c>
      <c r="I3540" s="2">
        <v>104.0</v>
      </c>
      <c r="J3540" s="37">
        <v>1100.98</v>
      </c>
      <c r="K3540" s="2">
        <v>50.0</v>
      </c>
      <c r="L3540" s="2">
        <v>232.0</v>
      </c>
      <c r="M3540" s="37">
        <v>1424.6</v>
      </c>
    </row>
    <row r="3541" ht="14.25" customHeight="1">
      <c r="A3541" t="s">
        <v>3602</v>
      </c>
      <c r="B3541" t="s">
        <v>3583</v>
      </c>
      <c r="C3541" t="s">
        <v>62</v>
      </c>
      <c r="D3541" t="s">
        <v>467</v>
      </c>
      <c r="E3541">
        <v>2.8</v>
      </c>
      <c r="F3541">
        <v>2.43</v>
      </c>
      <c r="G3541" s="2" t="s">
        <v>64</v>
      </c>
      <c r="H3541" s="2">
        <v>0.0</v>
      </c>
      <c r="I3541" s="2">
        <v>0.0</v>
      </c>
      <c r="J3541" s="37">
        <v>0.0</v>
      </c>
      <c r="K3541" s="2">
        <v>0.0</v>
      </c>
      <c r="L3541" s="2">
        <v>0.0</v>
      </c>
      <c r="M3541" s="37">
        <v>0.0</v>
      </c>
    </row>
    <row r="3542" ht="14.25" customHeight="1">
      <c r="A3542" t="s">
        <v>3603</v>
      </c>
      <c r="B3542" t="s">
        <v>3583</v>
      </c>
      <c r="C3542" t="s">
        <v>62</v>
      </c>
      <c r="D3542" t="s">
        <v>467</v>
      </c>
      <c r="E3542">
        <v>3.6</v>
      </c>
      <c r="F3542">
        <v>3.5</v>
      </c>
      <c r="G3542" s="2" t="s">
        <v>64</v>
      </c>
      <c r="H3542" s="2">
        <v>0.0</v>
      </c>
      <c r="I3542" s="2">
        <v>0.0</v>
      </c>
      <c r="J3542" s="37">
        <v>0.0</v>
      </c>
      <c r="K3542" s="2">
        <v>0.0</v>
      </c>
      <c r="L3542" s="2">
        <v>0.0</v>
      </c>
      <c r="M3542" s="37">
        <v>0.0</v>
      </c>
    </row>
    <row r="3543" ht="14.25" customHeight="1">
      <c r="A3543" t="s">
        <v>3604</v>
      </c>
      <c r="B3543" t="s">
        <v>3583</v>
      </c>
      <c r="C3543" t="s">
        <v>62</v>
      </c>
      <c r="D3543" t="s">
        <v>467</v>
      </c>
      <c r="E3543">
        <v>5.3</v>
      </c>
      <c r="F3543">
        <v>4.8</v>
      </c>
      <c r="G3543" s="2" t="s">
        <v>64</v>
      </c>
      <c r="H3543" s="2">
        <v>0.0</v>
      </c>
      <c r="I3543" s="2">
        <v>0.0</v>
      </c>
      <c r="J3543" s="37">
        <v>0.0</v>
      </c>
      <c r="K3543" s="2">
        <v>0.0</v>
      </c>
      <c r="L3543" s="2">
        <v>0.0</v>
      </c>
      <c r="M3543" s="37">
        <v>0.0</v>
      </c>
    </row>
    <row r="3544" ht="14.25" customHeight="1">
      <c r="A3544" t="s">
        <v>3605</v>
      </c>
      <c r="B3544" t="s">
        <v>3583</v>
      </c>
      <c r="C3544" t="s">
        <v>62</v>
      </c>
      <c r="D3544" t="s">
        <v>467</v>
      </c>
      <c r="E3544">
        <v>6.09</v>
      </c>
      <c r="F3544">
        <v>5.8</v>
      </c>
      <c r="G3544" s="2" t="s">
        <v>64</v>
      </c>
      <c r="H3544" s="2">
        <v>0.0</v>
      </c>
      <c r="I3544" s="2">
        <v>0.0</v>
      </c>
      <c r="J3544" s="37">
        <v>0.0</v>
      </c>
      <c r="K3544" s="2">
        <v>0.0</v>
      </c>
      <c r="L3544" s="2">
        <v>0.0</v>
      </c>
      <c r="M3544" s="37">
        <v>0.0</v>
      </c>
    </row>
    <row r="3545" ht="14.25" customHeight="1">
      <c r="A3545" t="s">
        <v>3606</v>
      </c>
      <c r="B3545" t="s">
        <v>3583</v>
      </c>
      <c r="C3545" t="s">
        <v>62</v>
      </c>
      <c r="D3545" t="s">
        <v>268</v>
      </c>
      <c r="E3545">
        <v>3.5</v>
      </c>
      <c r="F3545">
        <v>3.2</v>
      </c>
      <c r="G3545" s="2" t="s">
        <v>64</v>
      </c>
      <c r="H3545" s="2">
        <v>0.0</v>
      </c>
      <c r="I3545" s="2">
        <v>0.0</v>
      </c>
      <c r="J3545" s="37">
        <v>0.0</v>
      </c>
      <c r="K3545" s="2">
        <v>0.0</v>
      </c>
      <c r="L3545" s="2">
        <v>0.0</v>
      </c>
      <c r="M3545" s="37">
        <v>0.0</v>
      </c>
    </row>
    <row r="3546" ht="14.25" customHeight="1">
      <c r="A3546" t="s">
        <v>3607</v>
      </c>
      <c r="B3546" t="s">
        <v>3583</v>
      </c>
      <c r="C3546" t="s">
        <v>75</v>
      </c>
      <c r="D3546" t="s">
        <v>63</v>
      </c>
      <c r="E3546">
        <v>10.0</v>
      </c>
      <c r="F3546">
        <v>12.0</v>
      </c>
      <c r="G3546" s="2" t="s">
        <v>67</v>
      </c>
      <c r="H3546" s="2">
        <v>35.0</v>
      </c>
      <c r="I3546" s="2">
        <v>155.0</v>
      </c>
      <c r="J3546" s="37">
        <v>987.6</v>
      </c>
      <c r="K3546" s="2">
        <v>41.0</v>
      </c>
      <c r="L3546" s="2">
        <v>258.0</v>
      </c>
      <c r="M3546" s="37">
        <v>1256.26</v>
      </c>
    </row>
    <row r="3547" ht="14.25" customHeight="1">
      <c r="A3547" t="s">
        <v>3608</v>
      </c>
      <c r="B3547" t="s">
        <v>3583</v>
      </c>
      <c r="C3547" t="s">
        <v>75</v>
      </c>
      <c r="D3547" t="s">
        <v>63</v>
      </c>
      <c r="E3547">
        <v>14.0</v>
      </c>
      <c r="F3547">
        <v>16.0</v>
      </c>
      <c r="G3547" s="2" t="s">
        <v>67</v>
      </c>
      <c r="H3547" s="2">
        <v>45.0</v>
      </c>
      <c r="I3547" s="2">
        <v>176.0</v>
      </c>
      <c r="J3547" s="37">
        <v>1239.5</v>
      </c>
      <c r="K3547" s="2">
        <v>53.0</v>
      </c>
      <c r="L3547" s="2">
        <v>320.0</v>
      </c>
      <c r="M3547" s="37">
        <v>1606.38</v>
      </c>
    </row>
    <row r="3548" ht="14.25" customHeight="1">
      <c r="A3548" t="s">
        <v>3609</v>
      </c>
      <c r="B3548" t="s">
        <v>3583</v>
      </c>
      <c r="C3548" t="s">
        <v>62</v>
      </c>
      <c r="D3548" t="s">
        <v>467</v>
      </c>
      <c r="E3548">
        <v>3.08</v>
      </c>
      <c r="F3548">
        <v>3.22</v>
      </c>
      <c r="G3548" s="2" t="s">
        <v>64</v>
      </c>
      <c r="H3548" s="2">
        <v>0.0</v>
      </c>
      <c r="I3548" s="2">
        <v>0.0</v>
      </c>
      <c r="J3548" s="37">
        <v>0.0</v>
      </c>
      <c r="K3548" s="2">
        <v>0.0</v>
      </c>
      <c r="L3548" s="2">
        <v>0.0</v>
      </c>
      <c r="M3548" s="37">
        <v>0.0</v>
      </c>
    </row>
    <row r="3549" ht="14.25" customHeight="1">
      <c r="A3549" t="s">
        <v>3610</v>
      </c>
      <c r="B3549" t="s">
        <v>3583</v>
      </c>
      <c r="C3549" t="s">
        <v>62</v>
      </c>
      <c r="D3549" t="s">
        <v>467</v>
      </c>
      <c r="E3549">
        <v>3.08</v>
      </c>
      <c r="F3549">
        <v>3.22</v>
      </c>
      <c r="G3549" s="2" t="s">
        <v>64</v>
      </c>
      <c r="H3549" s="2">
        <v>0.0</v>
      </c>
      <c r="I3549" s="2">
        <v>0.0</v>
      </c>
      <c r="J3549" s="37">
        <v>0.0</v>
      </c>
      <c r="K3549" s="2">
        <v>0.0</v>
      </c>
      <c r="L3549" s="2">
        <v>0.0</v>
      </c>
      <c r="M3549" s="37">
        <v>0.0</v>
      </c>
    </row>
    <row r="3550" ht="14.25" customHeight="1">
      <c r="A3550" t="s">
        <v>3611</v>
      </c>
      <c r="B3550" t="s">
        <v>3583</v>
      </c>
      <c r="C3550" t="s">
        <v>62</v>
      </c>
      <c r="D3550" t="s">
        <v>467</v>
      </c>
      <c r="E3550">
        <v>3.08</v>
      </c>
      <c r="F3550">
        <v>3.22</v>
      </c>
      <c r="G3550" s="2" t="s">
        <v>64</v>
      </c>
      <c r="H3550" s="2">
        <v>0.0</v>
      </c>
      <c r="I3550" s="2">
        <v>0.0</v>
      </c>
      <c r="J3550" s="37">
        <v>0.0</v>
      </c>
      <c r="K3550" s="2">
        <v>0.0</v>
      </c>
      <c r="L3550" s="2">
        <v>0.0</v>
      </c>
      <c r="M3550" s="37">
        <v>0.0</v>
      </c>
    </row>
    <row r="3551" ht="14.25" customHeight="1">
      <c r="A3551" t="s">
        <v>3612</v>
      </c>
      <c r="B3551" t="s">
        <v>3583</v>
      </c>
      <c r="C3551" t="s">
        <v>62</v>
      </c>
      <c r="D3551" t="s">
        <v>467</v>
      </c>
      <c r="E3551">
        <v>3.08</v>
      </c>
      <c r="F3551">
        <v>3.22</v>
      </c>
      <c r="G3551" s="2" t="s">
        <v>64</v>
      </c>
      <c r="H3551" s="2">
        <v>0.0</v>
      </c>
      <c r="I3551" s="2">
        <v>0.0</v>
      </c>
      <c r="J3551" s="37">
        <v>0.0</v>
      </c>
      <c r="K3551" s="2">
        <v>0.0</v>
      </c>
      <c r="L3551" s="2">
        <v>0.0</v>
      </c>
      <c r="M3551" s="37">
        <v>0.0</v>
      </c>
    </row>
    <row r="3552" ht="14.25" customHeight="1">
      <c r="A3552" t="s">
        <v>3613</v>
      </c>
      <c r="B3552" t="s">
        <v>3583</v>
      </c>
      <c r="C3552" t="s">
        <v>62</v>
      </c>
      <c r="D3552" t="s">
        <v>467</v>
      </c>
      <c r="E3552">
        <v>3.08</v>
      </c>
      <c r="F3552">
        <v>3.22</v>
      </c>
      <c r="G3552" s="2" t="s">
        <v>64</v>
      </c>
      <c r="H3552" s="2">
        <v>0.0</v>
      </c>
      <c r="I3552" s="2">
        <v>0.0</v>
      </c>
      <c r="J3552" s="37">
        <v>0.0</v>
      </c>
      <c r="K3552" s="2">
        <v>0.0</v>
      </c>
      <c r="L3552" s="2">
        <v>0.0</v>
      </c>
      <c r="M3552" s="37">
        <v>0.0</v>
      </c>
    </row>
    <row r="3553" ht="14.25" customHeight="1">
      <c r="A3553" t="s">
        <v>3614</v>
      </c>
      <c r="B3553" t="s">
        <v>3583</v>
      </c>
      <c r="C3553" t="s">
        <v>75</v>
      </c>
      <c r="D3553" t="s">
        <v>63</v>
      </c>
      <c r="E3553">
        <v>16.0</v>
      </c>
      <c r="F3553">
        <v>18.0</v>
      </c>
      <c r="G3553" s="2" t="s">
        <v>67</v>
      </c>
      <c r="H3553" s="2">
        <v>53.0</v>
      </c>
      <c r="I3553" s="2">
        <v>107.0</v>
      </c>
      <c r="J3553" s="37">
        <v>1329.48</v>
      </c>
      <c r="K3553" s="2">
        <v>62.0</v>
      </c>
      <c r="L3553" s="2">
        <v>271.0</v>
      </c>
      <c r="M3553" s="37">
        <v>1744.82</v>
      </c>
    </row>
    <row r="3554" ht="14.25" customHeight="1">
      <c r="A3554" t="s">
        <v>3615</v>
      </c>
      <c r="B3554" t="s">
        <v>3583</v>
      </c>
      <c r="C3554" t="s">
        <v>62</v>
      </c>
      <c r="D3554" t="s">
        <v>63</v>
      </c>
      <c r="E3554">
        <v>2.62</v>
      </c>
      <c r="F3554">
        <v>3.3</v>
      </c>
      <c r="G3554" s="2" t="s">
        <v>67</v>
      </c>
      <c r="H3554" s="2">
        <v>8.0</v>
      </c>
      <c r="I3554" s="2">
        <v>49.0</v>
      </c>
      <c r="J3554" s="37">
        <v>243.38</v>
      </c>
      <c r="K3554" s="2">
        <v>9.0</v>
      </c>
      <c r="L3554" s="2">
        <v>70.0</v>
      </c>
      <c r="M3554" s="37">
        <v>293.14</v>
      </c>
    </row>
    <row r="3555" ht="14.25" customHeight="1">
      <c r="A3555" t="s">
        <v>3616</v>
      </c>
      <c r="B3555" t="s">
        <v>3583</v>
      </c>
      <c r="C3555" t="s">
        <v>62</v>
      </c>
      <c r="D3555" t="s">
        <v>63</v>
      </c>
      <c r="E3555">
        <v>3.53</v>
      </c>
      <c r="F3555">
        <v>3.65</v>
      </c>
      <c r="G3555" s="2" t="s">
        <v>67</v>
      </c>
      <c r="H3555" s="2">
        <v>9.0</v>
      </c>
      <c r="I3555" s="2">
        <v>17.0</v>
      </c>
      <c r="J3555" s="37">
        <v>224.24</v>
      </c>
      <c r="K3555" s="2">
        <v>10.0</v>
      </c>
      <c r="L3555" s="2">
        <v>45.0</v>
      </c>
      <c r="M3555" s="37">
        <v>283.1</v>
      </c>
    </row>
    <row r="3556" ht="14.25" customHeight="1">
      <c r="A3556" t="s">
        <v>3617</v>
      </c>
      <c r="B3556" t="s">
        <v>3583</v>
      </c>
      <c r="C3556" t="s">
        <v>62</v>
      </c>
      <c r="D3556" t="s">
        <v>63</v>
      </c>
      <c r="E3556">
        <v>5.25</v>
      </c>
      <c r="F3556">
        <v>5.2</v>
      </c>
      <c r="G3556" s="2" t="s">
        <v>64</v>
      </c>
      <c r="H3556" s="2">
        <v>0.0</v>
      </c>
      <c r="I3556" s="2">
        <v>0.0</v>
      </c>
      <c r="J3556" s="37">
        <v>0.0</v>
      </c>
      <c r="K3556" s="2">
        <v>0.0</v>
      </c>
      <c r="L3556" s="2">
        <v>0.0</v>
      </c>
      <c r="M3556" s="37">
        <v>0.0</v>
      </c>
    </row>
    <row r="3557" ht="14.25" customHeight="1">
      <c r="A3557" t="s">
        <v>3618</v>
      </c>
      <c r="B3557" t="s">
        <v>3583</v>
      </c>
      <c r="C3557" t="s">
        <v>62</v>
      </c>
      <c r="D3557" t="s">
        <v>63</v>
      </c>
      <c r="E3557">
        <v>7.0</v>
      </c>
      <c r="F3557">
        <v>7.0</v>
      </c>
      <c r="G3557" s="2" t="s">
        <v>67</v>
      </c>
      <c r="H3557" s="2">
        <v>18.0</v>
      </c>
      <c r="I3557" s="2">
        <v>48.0</v>
      </c>
      <c r="J3557" s="37">
        <v>466.68000000000006</v>
      </c>
      <c r="K3557" s="2">
        <v>22.0</v>
      </c>
      <c r="L3557" s="2">
        <v>112.0</v>
      </c>
      <c r="M3557" s="37">
        <v>639.72</v>
      </c>
    </row>
    <row r="3558" ht="14.25" customHeight="1">
      <c r="A3558" t="s">
        <v>3619</v>
      </c>
      <c r="B3558" t="s">
        <v>3583</v>
      </c>
      <c r="C3558" t="s">
        <v>62</v>
      </c>
      <c r="D3558" t="s">
        <v>63</v>
      </c>
      <c r="E3558">
        <v>8.8</v>
      </c>
      <c r="F3558">
        <v>8.8</v>
      </c>
      <c r="G3558" s="2" t="s">
        <v>67</v>
      </c>
      <c r="H3558" s="2">
        <v>24.0</v>
      </c>
      <c r="I3558" s="2">
        <v>69.0</v>
      </c>
      <c r="J3558" s="37">
        <v>628.74</v>
      </c>
      <c r="K3558" s="2">
        <v>27.0</v>
      </c>
      <c r="L3558" s="2">
        <v>149.0</v>
      </c>
      <c r="M3558" s="37">
        <v>800.1200000000001</v>
      </c>
    </row>
    <row r="3559" ht="14.25" customHeight="1">
      <c r="A3559" t="s">
        <v>3620</v>
      </c>
      <c r="B3559" t="s">
        <v>3583</v>
      </c>
      <c r="C3559" t="s">
        <v>62</v>
      </c>
      <c r="D3559" t="s">
        <v>467</v>
      </c>
      <c r="E3559">
        <v>2.2</v>
      </c>
      <c r="F3559">
        <v>1.9</v>
      </c>
      <c r="G3559" s="2" t="s">
        <v>64</v>
      </c>
      <c r="H3559" s="2">
        <v>0.0</v>
      </c>
      <c r="I3559" s="2">
        <v>0.0</v>
      </c>
      <c r="J3559" s="37">
        <v>0.0</v>
      </c>
      <c r="K3559" s="2">
        <v>0.0</v>
      </c>
      <c r="L3559" s="2">
        <v>0.0</v>
      </c>
      <c r="M3559" s="37">
        <v>0.0</v>
      </c>
    </row>
    <row r="3560" ht="14.25" customHeight="1">
      <c r="A3560" t="s">
        <v>3621</v>
      </c>
      <c r="B3560" t="s">
        <v>3583</v>
      </c>
      <c r="C3560" t="s">
        <v>62</v>
      </c>
      <c r="D3560" t="s">
        <v>467</v>
      </c>
      <c r="E3560">
        <v>2.8</v>
      </c>
      <c r="F3560">
        <v>2.45</v>
      </c>
      <c r="G3560" s="2" t="s">
        <v>64</v>
      </c>
      <c r="H3560" s="2">
        <v>0.0</v>
      </c>
      <c r="I3560" s="2">
        <v>0.0</v>
      </c>
      <c r="J3560" s="37">
        <v>0.0</v>
      </c>
      <c r="K3560" s="2">
        <v>0.0</v>
      </c>
      <c r="L3560" s="2">
        <v>0.0</v>
      </c>
      <c r="M3560" s="37">
        <v>0.0</v>
      </c>
    </row>
    <row r="3561" ht="14.25" customHeight="1">
      <c r="A3561" t="s">
        <v>3622</v>
      </c>
      <c r="B3561" t="s">
        <v>3583</v>
      </c>
      <c r="C3561" t="s">
        <v>62</v>
      </c>
      <c r="D3561" t="s">
        <v>467</v>
      </c>
      <c r="E3561">
        <v>3.9</v>
      </c>
      <c r="F3561">
        <v>3.6</v>
      </c>
      <c r="G3561" s="2" t="s">
        <v>64</v>
      </c>
      <c r="H3561" s="2">
        <v>0.0</v>
      </c>
      <c r="I3561" s="2">
        <v>0.0</v>
      </c>
      <c r="J3561" s="37">
        <v>0.0</v>
      </c>
      <c r="K3561" s="2">
        <v>0.0</v>
      </c>
      <c r="L3561" s="2">
        <v>0.0</v>
      </c>
      <c r="M3561" s="37">
        <v>0.0</v>
      </c>
    </row>
    <row r="3562" ht="14.25" customHeight="1">
      <c r="A3562" t="s">
        <v>3623</v>
      </c>
      <c r="B3562" t="s">
        <v>3583</v>
      </c>
      <c r="C3562" t="s">
        <v>62</v>
      </c>
      <c r="D3562" t="s">
        <v>467</v>
      </c>
      <c r="E3562">
        <v>5.3</v>
      </c>
      <c r="F3562">
        <v>4.8</v>
      </c>
      <c r="G3562" s="2" t="s">
        <v>64</v>
      </c>
      <c r="H3562" s="2">
        <v>0.0</v>
      </c>
      <c r="I3562" s="2">
        <v>0.0</v>
      </c>
      <c r="J3562" s="37">
        <v>0.0</v>
      </c>
      <c r="K3562" s="2">
        <v>0.0</v>
      </c>
      <c r="L3562" s="2">
        <v>0.0</v>
      </c>
      <c r="M3562" s="37">
        <v>0.0</v>
      </c>
    </row>
    <row r="3563" ht="14.25" customHeight="1">
      <c r="A3563" t="s">
        <v>3624</v>
      </c>
      <c r="B3563" t="s">
        <v>3625</v>
      </c>
      <c r="C3563" t="s">
        <v>62</v>
      </c>
      <c r="D3563" t="s">
        <v>63</v>
      </c>
      <c r="E3563">
        <v>2.64</v>
      </c>
      <c r="F3563">
        <v>4.05</v>
      </c>
      <c r="G3563" s="2" t="s">
        <v>64</v>
      </c>
      <c r="H3563" s="2">
        <v>0.0</v>
      </c>
      <c r="I3563" s="2">
        <v>0.0</v>
      </c>
      <c r="J3563" s="37">
        <v>0.0</v>
      </c>
      <c r="K3563" s="2">
        <v>0.0</v>
      </c>
      <c r="L3563" s="2">
        <v>0.0</v>
      </c>
      <c r="M3563" s="37">
        <v>0.0</v>
      </c>
    </row>
    <row r="3564" ht="14.25" customHeight="1">
      <c r="A3564" t="s">
        <v>3626</v>
      </c>
      <c r="B3564" t="s">
        <v>3627</v>
      </c>
      <c r="C3564" t="s">
        <v>75</v>
      </c>
      <c r="D3564" t="s">
        <v>82</v>
      </c>
      <c r="E3564">
        <v>43.31</v>
      </c>
      <c r="F3564">
        <v>44.43</v>
      </c>
      <c r="G3564" s="2" t="s">
        <v>64</v>
      </c>
      <c r="H3564" s="2">
        <v>0.0</v>
      </c>
      <c r="I3564" s="2">
        <v>0.0</v>
      </c>
      <c r="J3564" s="37">
        <v>0.0</v>
      </c>
      <c r="K3564" s="2">
        <v>0.0</v>
      </c>
      <c r="L3564" s="2">
        <v>0.0</v>
      </c>
      <c r="M3564" s="37">
        <v>0.0</v>
      </c>
    </row>
    <row r="3565" ht="14.25" customHeight="1">
      <c r="A3565" t="s">
        <v>3628</v>
      </c>
      <c r="B3565" t="s">
        <v>3627</v>
      </c>
      <c r="C3565" t="s">
        <v>75</v>
      </c>
      <c r="D3565" t="s">
        <v>82</v>
      </c>
      <c r="E3565">
        <v>34.82</v>
      </c>
      <c r="F3565">
        <v>36.98</v>
      </c>
      <c r="G3565" s="2" t="s">
        <v>64</v>
      </c>
      <c r="H3565" s="2">
        <v>0.0</v>
      </c>
      <c r="I3565" s="2">
        <v>0.0</v>
      </c>
      <c r="J3565" s="37">
        <v>0.0</v>
      </c>
      <c r="K3565" s="2">
        <v>0.0</v>
      </c>
      <c r="L3565" s="2">
        <v>0.0</v>
      </c>
      <c r="M3565" s="37">
        <v>0.0</v>
      </c>
    </row>
    <row r="3566" ht="14.25" customHeight="1">
      <c r="A3566" t="s">
        <v>3629</v>
      </c>
      <c r="B3566" t="s">
        <v>3627</v>
      </c>
      <c r="C3566" t="s">
        <v>75</v>
      </c>
      <c r="D3566" t="s">
        <v>82</v>
      </c>
      <c r="E3566">
        <v>53.55</v>
      </c>
      <c r="F3566">
        <v>56.96</v>
      </c>
      <c r="G3566" s="2" t="s">
        <v>64</v>
      </c>
      <c r="H3566" s="2">
        <v>0.0</v>
      </c>
      <c r="I3566" s="2">
        <v>0.0</v>
      </c>
      <c r="J3566" s="37">
        <v>0.0</v>
      </c>
      <c r="K3566" s="2">
        <v>0.0</v>
      </c>
      <c r="L3566" s="2">
        <v>0.0</v>
      </c>
      <c r="M3566" s="37">
        <v>0.0</v>
      </c>
    </row>
    <row r="3567" ht="14.25" customHeight="1">
      <c r="A3567" t="s">
        <v>3630</v>
      </c>
      <c r="B3567" t="s">
        <v>3627</v>
      </c>
      <c r="C3567" t="s">
        <v>75</v>
      </c>
      <c r="D3567" t="s">
        <v>82</v>
      </c>
      <c r="E3567">
        <v>24.62</v>
      </c>
      <c r="F3567">
        <v>26.86</v>
      </c>
      <c r="G3567" s="2" t="s">
        <v>64</v>
      </c>
      <c r="H3567" s="2">
        <v>0.0</v>
      </c>
      <c r="I3567" s="2">
        <v>0.0</v>
      </c>
      <c r="J3567" s="37">
        <v>0.0</v>
      </c>
      <c r="K3567" s="2">
        <v>0.0</v>
      </c>
      <c r="L3567" s="2">
        <v>0.0</v>
      </c>
      <c r="M3567" s="37">
        <v>0.0</v>
      </c>
    </row>
    <row r="3568" ht="14.25" customHeight="1">
      <c r="A3568" t="s">
        <v>3631</v>
      </c>
      <c r="B3568" t="s">
        <v>3627</v>
      </c>
      <c r="C3568" t="s">
        <v>75</v>
      </c>
      <c r="D3568" t="s">
        <v>82</v>
      </c>
      <c r="E3568">
        <v>17.43</v>
      </c>
      <c r="F3568">
        <v>16.41</v>
      </c>
      <c r="G3568" s="2" t="s">
        <v>64</v>
      </c>
      <c r="H3568" s="2">
        <v>0.0</v>
      </c>
      <c r="I3568" s="2">
        <v>0.0</v>
      </c>
      <c r="J3568" s="37">
        <v>0.0</v>
      </c>
      <c r="K3568" s="2">
        <v>0.0</v>
      </c>
      <c r="L3568" s="2">
        <v>0.0</v>
      </c>
      <c r="M3568" s="37">
        <v>0.0</v>
      </c>
    </row>
    <row r="3569" ht="14.25" customHeight="1">
      <c r="A3569" t="s">
        <v>3632</v>
      </c>
      <c r="B3569" t="s">
        <v>3627</v>
      </c>
      <c r="C3569" t="s">
        <v>75</v>
      </c>
      <c r="D3569" t="s">
        <v>82</v>
      </c>
      <c r="E3569">
        <v>14.06</v>
      </c>
      <c r="F3569">
        <v>14.81</v>
      </c>
      <c r="G3569" s="2" t="s">
        <v>64</v>
      </c>
      <c r="H3569" s="2">
        <v>0.0</v>
      </c>
      <c r="I3569" s="2">
        <v>0.0</v>
      </c>
      <c r="J3569" s="37">
        <v>0.0</v>
      </c>
      <c r="K3569" s="2">
        <v>0.0</v>
      </c>
      <c r="L3569" s="2">
        <v>0.0</v>
      </c>
      <c r="M3569" s="37">
        <v>0.0</v>
      </c>
    </row>
    <row r="3570" ht="14.25" customHeight="1">
      <c r="A3570" t="s">
        <v>3633</v>
      </c>
      <c r="B3570" t="s">
        <v>3627</v>
      </c>
      <c r="C3570" t="s">
        <v>75</v>
      </c>
      <c r="D3570" t="s">
        <v>82</v>
      </c>
      <c r="E3570">
        <v>11.33</v>
      </c>
      <c r="F3570">
        <v>10.81</v>
      </c>
      <c r="G3570" s="2" t="s">
        <v>64</v>
      </c>
      <c r="H3570" s="2">
        <v>0.0</v>
      </c>
      <c r="I3570" s="2">
        <v>0.0</v>
      </c>
      <c r="J3570" s="37">
        <v>0.0</v>
      </c>
      <c r="K3570" s="2">
        <v>0.0</v>
      </c>
      <c r="L3570" s="2">
        <v>0.0</v>
      </c>
      <c r="M3570" s="37">
        <v>0.0</v>
      </c>
    </row>
    <row r="3571" ht="14.25" customHeight="1">
      <c r="A3571" t="s">
        <v>3634</v>
      </c>
      <c r="B3571" t="s">
        <v>3627</v>
      </c>
      <c r="C3571" t="s">
        <v>75</v>
      </c>
      <c r="D3571" t="s">
        <v>82</v>
      </c>
      <c r="E3571">
        <v>19.87</v>
      </c>
      <c r="F3571">
        <v>18.55</v>
      </c>
      <c r="G3571" s="2" t="s">
        <v>64</v>
      </c>
      <c r="H3571" s="2">
        <v>0.0</v>
      </c>
      <c r="I3571" s="2">
        <v>0.0</v>
      </c>
      <c r="J3571" s="37">
        <v>0.0</v>
      </c>
      <c r="K3571" s="2">
        <v>0.0</v>
      </c>
      <c r="L3571" s="2">
        <v>0.0</v>
      </c>
      <c r="M3571" s="37">
        <v>0.0</v>
      </c>
    </row>
    <row r="3572" ht="14.25" customHeight="1">
      <c r="A3572" t="s">
        <v>3635</v>
      </c>
      <c r="B3572" t="s">
        <v>3627</v>
      </c>
      <c r="C3572" t="s">
        <v>75</v>
      </c>
      <c r="D3572" t="s">
        <v>82</v>
      </c>
      <c r="E3572">
        <v>22.39</v>
      </c>
      <c r="F3572">
        <v>22.0</v>
      </c>
      <c r="G3572" s="2" t="s">
        <v>64</v>
      </c>
      <c r="H3572" s="2">
        <v>0.0</v>
      </c>
      <c r="I3572" s="2">
        <v>0.0</v>
      </c>
      <c r="J3572" s="37">
        <v>0.0</v>
      </c>
      <c r="K3572" s="2">
        <v>0.0</v>
      </c>
      <c r="L3572" s="2">
        <v>0.0</v>
      </c>
      <c r="M3572" s="37">
        <v>0.0</v>
      </c>
    </row>
    <row r="3573" ht="14.25" customHeight="1">
      <c r="A3573" t="s">
        <v>3636</v>
      </c>
      <c r="B3573" t="s">
        <v>3627</v>
      </c>
      <c r="C3573" t="s">
        <v>75</v>
      </c>
      <c r="D3573" t="s">
        <v>82</v>
      </c>
      <c r="E3573">
        <v>42.22</v>
      </c>
      <c r="F3573">
        <v>42.2</v>
      </c>
      <c r="G3573" s="2" t="s">
        <v>64</v>
      </c>
      <c r="H3573" s="2">
        <v>0.0</v>
      </c>
      <c r="I3573" s="2">
        <v>0.0</v>
      </c>
      <c r="J3573" s="37">
        <v>0.0</v>
      </c>
      <c r="K3573" s="2">
        <v>0.0</v>
      </c>
      <c r="L3573" s="2">
        <v>0.0</v>
      </c>
      <c r="M3573" s="37">
        <v>0.0</v>
      </c>
    </row>
    <row r="3574" ht="14.25" customHeight="1">
      <c r="A3574" t="s">
        <v>3637</v>
      </c>
      <c r="B3574" t="s">
        <v>3627</v>
      </c>
      <c r="C3574" t="s">
        <v>75</v>
      </c>
      <c r="D3574" t="s">
        <v>82</v>
      </c>
      <c r="E3574">
        <v>28.339</v>
      </c>
      <c r="F3574">
        <v>27.24</v>
      </c>
      <c r="G3574" s="2" t="s">
        <v>64</v>
      </c>
      <c r="H3574" s="2">
        <v>0.0</v>
      </c>
      <c r="I3574" s="2">
        <v>0.0</v>
      </c>
      <c r="J3574" s="37">
        <v>0.0</v>
      </c>
      <c r="K3574" s="2">
        <v>0.0</v>
      </c>
      <c r="L3574" s="2">
        <v>0.0</v>
      </c>
      <c r="M3574" s="37">
        <v>0.0</v>
      </c>
    </row>
    <row r="3575" ht="14.25" customHeight="1">
      <c r="A3575" t="s">
        <v>3638</v>
      </c>
      <c r="B3575" t="s">
        <v>3627</v>
      </c>
      <c r="C3575" t="s">
        <v>75</v>
      </c>
      <c r="D3575" t="s">
        <v>82</v>
      </c>
      <c r="E3575">
        <v>15.895</v>
      </c>
      <c r="F3575">
        <v>14.215</v>
      </c>
      <c r="G3575" s="2" t="s">
        <v>64</v>
      </c>
      <c r="H3575" s="2">
        <v>0.0</v>
      </c>
      <c r="I3575" s="2">
        <v>0.0</v>
      </c>
      <c r="J3575" s="37">
        <v>0.0</v>
      </c>
      <c r="K3575" s="2">
        <v>0.0</v>
      </c>
      <c r="L3575" s="2">
        <v>0.0</v>
      </c>
      <c r="M3575" s="37">
        <v>0.0</v>
      </c>
    </row>
    <row r="3576" ht="14.25" customHeight="1">
      <c r="A3576" t="s">
        <v>3639</v>
      </c>
      <c r="B3576" t="s">
        <v>3627</v>
      </c>
      <c r="C3576" t="s">
        <v>75</v>
      </c>
      <c r="D3576" t="s">
        <v>82</v>
      </c>
      <c r="E3576">
        <v>26.9</v>
      </c>
      <c r="F3576">
        <v>24.56</v>
      </c>
      <c r="G3576" s="2" t="s">
        <v>64</v>
      </c>
      <c r="H3576" s="2">
        <v>0.0</v>
      </c>
      <c r="I3576" s="2">
        <v>0.0</v>
      </c>
      <c r="J3576" s="37">
        <v>0.0</v>
      </c>
      <c r="K3576" s="2">
        <v>0.0</v>
      </c>
      <c r="L3576" s="2">
        <v>0.0</v>
      </c>
      <c r="M3576" s="37">
        <v>0.0</v>
      </c>
    </row>
    <row r="3577" ht="14.25" customHeight="1">
      <c r="A3577" t="s">
        <v>3640</v>
      </c>
      <c r="B3577" t="s">
        <v>3627</v>
      </c>
      <c r="C3577" t="s">
        <v>75</v>
      </c>
      <c r="D3577" t="s">
        <v>82</v>
      </c>
      <c r="E3577">
        <v>24.71</v>
      </c>
      <c r="F3577">
        <v>23.44</v>
      </c>
      <c r="G3577" s="2" t="s">
        <v>64</v>
      </c>
      <c r="H3577" s="2">
        <v>0.0</v>
      </c>
      <c r="I3577" s="2">
        <v>0.0</v>
      </c>
      <c r="J3577" s="37">
        <v>0.0</v>
      </c>
      <c r="K3577" s="2">
        <v>0.0</v>
      </c>
      <c r="L3577" s="2">
        <v>0.0</v>
      </c>
      <c r="M3577" s="37">
        <v>0.0</v>
      </c>
    </row>
    <row r="3578" ht="14.25" customHeight="1">
      <c r="A3578" t="s">
        <v>3641</v>
      </c>
      <c r="B3578" t="s">
        <v>3627</v>
      </c>
      <c r="C3578" t="s">
        <v>75</v>
      </c>
      <c r="D3578" t="s">
        <v>82</v>
      </c>
      <c r="E3578">
        <v>18.156</v>
      </c>
      <c r="F3578">
        <v>16.739</v>
      </c>
      <c r="G3578" s="2" t="s">
        <v>64</v>
      </c>
      <c r="H3578" s="2">
        <v>0.0</v>
      </c>
      <c r="I3578" s="2">
        <v>0.0</v>
      </c>
      <c r="J3578" s="37">
        <v>0.0</v>
      </c>
      <c r="K3578" s="2">
        <v>0.0</v>
      </c>
      <c r="L3578" s="2">
        <v>0.0</v>
      </c>
      <c r="M3578" s="37">
        <v>0.0</v>
      </c>
    </row>
    <row r="3579" ht="14.25" customHeight="1">
      <c r="A3579" t="s">
        <v>3642</v>
      </c>
      <c r="B3579" t="s">
        <v>3627</v>
      </c>
      <c r="C3579" t="s">
        <v>75</v>
      </c>
      <c r="D3579" t="s">
        <v>82</v>
      </c>
      <c r="E3579">
        <v>19.48</v>
      </c>
      <c r="F3579">
        <v>18.97</v>
      </c>
      <c r="G3579" s="2" t="s">
        <v>64</v>
      </c>
      <c r="H3579" s="2">
        <v>0.0</v>
      </c>
      <c r="I3579" s="2">
        <v>0.0</v>
      </c>
      <c r="J3579" s="37">
        <v>0.0</v>
      </c>
      <c r="K3579" s="2">
        <v>0.0</v>
      </c>
      <c r="L3579" s="2">
        <v>0.0</v>
      </c>
      <c r="M3579" s="37">
        <v>0.0</v>
      </c>
    </row>
    <row r="3580" ht="14.25" customHeight="1">
      <c r="A3580" t="s">
        <v>3643</v>
      </c>
      <c r="B3580" t="s">
        <v>3627</v>
      </c>
      <c r="C3580" t="s">
        <v>75</v>
      </c>
      <c r="D3580" t="s">
        <v>82</v>
      </c>
      <c r="E3580">
        <v>6.18</v>
      </c>
      <c r="F3580">
        <v>6.55</v>
      </c>
      <c r="G3580" s="2" t="s">
        <v>64</v>
      </c>
      <c r="H3580" s="2">
        <v>0.0</v>
      </c>
      <c r="I3580" s="2">
        <v>0.0</v>
      </c>
      <c r="J3580" s="37">
        <v>0.0</v>
      </c>
      <c r="K3580" s="2">
        <v>0.0</v>
      </c>
      <c r="L3580" s="2">
        <v>0.0</v>
      </c>
      <c r="M3580" s="37">
        <v>0.0</v>
      </c>
    </row>
    <row r="3581" ht="14.25" customHeight="1">
      <c r="A3581" t="s">
        <v>3644</v>
      </c>
      <c r="B3581" t="s">
        <v>3627</v>
      </c>
      <c r="C3581" t="s">
        <v>75</v>
      </c>
      <c r="D3581" t="s">
        <v>82</v>
      </c>
      <c r="E3581">
        <v>9.49</v>
      </c>
      <c r="F3581">
        <v>9.45</v>
      </c>
      <c r="G3581" s="2" t="s">
        <v>64</v>
      </c>
      <c r="H3581" s="2">
        <v>0.0</v>
      </c>
      <c r="I3581" s="2">
        <v>0.0</v>
      </c>
      <c r="J3581" s="37">
        <v>0.0</v>
      </c>
      <c r="K3581" s="2">
        <v>0.0</v>
      </c>
      <c r="L3581" s="2">
        <v>0.0</v>
      </c>
      <c r="M3581" s="37">
        <v>0.0</v>
      </c>
    </row>
    <row r="3582" ht="14.25" customHeight="1">
      <c r="A3582" t="s">
        <v>3645</v>
      </c>
      <c r="B3582" t="s">
        <v>3627</v>
      </c>
      <c r="C3582" t="s">
        <v>75</v>
      </c>
      <c r="D3582" t="s">
        <v>82</v>
      </c>
      <c r="E3582">
        <v>10.68</v>
      </c>
      <c r="F3582">
        <v>9.88</v>
      </c>
      <c r="G3582" s="2" t="s">
        <v>64</v>
      </c>
      <c r="H3582" s="2">
        <v>0.0</v>
      </c>
      <c r="I3582" s="2">
        <v>0.0</v>
      </c>
      <c r="J3582" s="37">
        <v>0.0</v>
      </c>
      <c r="K3582" s="2">
        <v>0.0</v>
      </c>
      <c r="L3582" s="2">
        <v>0.0</v>
      </c>
      <c r="M3582" s="37">
        <v>0.0</v>
      </c>
    </row>
    <row r="3583" ht="14.25" customHeight="1">
      <c r="A3583" t="s">
        <v>3646</v>
      </c>
      <c r="B3583" t="s">
        <v>3627</v>
      </c>
      <c r="C3583" t="s">
        <v>75</v>
      </c>
      <c r="D3583" t="s">
        <v>82</v>
      </c>
      <c r="E3583">
        <v>10.68</v>
      </c>
      <c r="F3583">
        <v>9.88</v>
      </c>
      <c r="G3583" s="2" t="s">
        <v>64</v>
      </c>
      <c r="H3583" s="2">
        <v>0.0</v>
      </c>
      <c r="I3583" s="2">
        <v>0.0</v>
      </c>
      <c r="J3583" s="37">
        <v>0.0</v>
      </c>
      <c r="K3583" s="2">
        <v>0.0</v>
      </c>
      <c r="L3583" s="2">
        <v>0.0</v>
      </c>
      <c r="M3583" s="37">
        <v>0.0</v>
      </c>
    </row>
    <row r="3584" ht="14.25" customHeight="1">
      <c r="A3584" t="s">
        <v>3647</v>
      </c>
      <c r="B3584" t="s">
        <v>3627</v>
      </c>
      <c r="C3584" t="s">
        <v>75</v>
      </c>
      <c r="D3584" t="s">
        <v>82</v>
      </c>
      <c r="E3584">
        <v>17.43</v>
      </c>
      <c r="F3584">
        <v>16.19</v>
      </c>
      <c r="G3584" s="2" t="s">
        <v>64</v>
      </c>
      <c r="H3584" s="2">
        <v>0.0</v>
      </c>
      <c r="I3584" s="2">
        <v>0.0</v>
      </c>
      <c r="J3584" s="37">
        <v>0.0</v>
      </c>
      <c r="K3584" s="2">
        <v>0.0</v>
      </c>
      <c r="L3584" s="2">
        <v>0.0</v>
      </c>
      <c r="M3584" s="37">
        <v>0.0</v>
      </c>
    </row>
    <row r="3585" ht="14.25" customHeight="1">
      <c r="A3585" t="s">
        <v>3648</v>
      </c>
      <c r="B3585" t="s">
        <v>3627</v>
      </c>
      <c r="C3585" t="s">
        <v>75</v>
      </c>
      <c r="D3585" t="s">
        <v>82</v>
      </c>
      <c r="E3585">
        <v>8.24</v>
      </c>
      <c r="F3585">
        <v>8.2</v>
      </c>
      <c r="G3585" s="2" t="s">
        <v>64</v>
      </c>
      <c r="H3585" s="2">
        <v>0.0</v>
      </c>
      <c r="I3585" s="2">
        <v>0.0</v>
      </c>
      <c r="J3585" s="37">
        <v>0.0</v>
      </c>
      <c r="K3585" s="2">
        <v>0.0</v>
      </c>
      <c r="L3585" s="2">
        <v>0.0</v>
      </c>
      <c r="M3585" s="37">
        <v>0.0</v>
      </c>
    </row>
    <row r="3586" ht="14.25" customHeight="1">
      <c r="A3586" t="s">
        <v>3649</v>
      </c>
      <c r="B3586" t="s">
        <v>3627</v>
      </c>
      <c r="C3586" t="s">
        <v>75</v>
      </c>
      <c r="D3586" t="s">
        <v>82</v>
      </c>
      <c r="E3586">
        <v>15.66</v>
      </c>
      <c r="F3586">
        <v>15.75</v>
      </c>
      <c r="G3586" s="2" t="s">
        <v>64</v>
      </c>
      <c r="H3586" s="2">
        <v>0.0</v>
      </c>
      <c r="I3586" s="2">
        <v>0.0</v>
      </c>
      <c r="J3586" s="37">
        <v>0.0</v>
      </c>
      <c r="K3586" s="2">
        <v>0.0</v>
      </c>
      <c r="L3586" s="2">
        <v>0.0</v>
      </c>
      <c r="M3586" s="37">
        <v>0.0</v>
      </c>
    </row>
    <row r="3587" ht="14.25" customHeight="1">
      <c r="A3587" t="s">
        <v>3650</v>
      </c>
      <c r="B3587" t="s">
        <v>3627</v>
      </c>
      <c r="C3587" t="s">
        <v>75</v>
      </c>
      <c r="D3587" t="s">
        <v>82</v>
      </c>
      <c r="E3587">
        <v>12.924</v>
      </c>
      <c r="F3587">
        <v>11.718</v>
      </c>
      <c r="G3587" s="2" t="s">
        <v>64</v>
      </c>
      <c r="H3587" s="2">
        <v>0.0</v>
      </c>
      <c r="I3587" s="2">
        <v>0.0</v>
      </c>
      <c r="J3587" s="37">
        <v>0.0</v>
      </c>
      <c r="K3587" s="2">
        <v>0.0</v>
      </c>
      <c r="L3587" s="2">
        <v>0.0</v>
      </c>
      <c r="M3587" s="37">
        <v>0.0</v>
      </c>
    </row>
    <row r="3588" ht="14.25" customHeight="1">
      <c r="A3588" t="s">
        <v>3651</v>
      </c>
      <c r="B3588" t="s">
        <v>3627</v>
      </c>
      <c r="C3588" t="s">
        <v>75</v>
      </c>
      <c r="D3588" t="s">
        <v>82</v>
      </c>
      <c r="E3588">
        <v>12.924</v>
      </c>
      <c r="F3588">
        <v>11.718</v>
      </c>
      <c r="G3588" s="2" t="s">
        <v>64</v>
      </c>
      <c r="H3588" s="2">
        <v>0.0</v>
      </c>
      <c r="I3588" s="2">
        <v>0.0</v>
      </c>
      <c r="J3588" s="37">
        <v>0.0</v>
      </c>
      <c r="K3588" s="2">
        <v>0.0</v>
      </c>
      <c r="L3588" s="2">
        <v>0.0</v>
      </c>
      <c r="M3588" s="37">
        <v>0.0</v>
      </c>
    </row>
    <row r="3589" ht="14.25" customHeight="1">
      <c r="A3589" t="s">
        <v>3652</v>
      </c>
      <c r="B3589" t="s">
        <v>3627</v>
      </c>
      <c r="C3589" t="s">
        <v>75</v>
      </c>
      <c r="D3589" t="s">
        <v>82</v>
      </c>
      <c r="E3589">
        <v>43.79</v>
      </c>
      <c r="F3589">
        <v>45.757</v>
      </c>
      <c r="G3589" s="2" t="s">
        <v>64</v>
      </c>
      <c r="H3589" s="2">
        <v>0.0</v>
      </c>
      <c r="I3589" s="2">
        <v>0.0</v>
      </c>
      <c r="J3589" s="37">
        <v>0.0</v>
      </c>
      <c r="K3589" s="2">
        <v>0.0</v>
      </c>
      <c r="L3589" s="2">
        <v>0.0</v>
      </c>
      <c r="M3589" s="37">
        <v>0.0</v>
      </c>
    </row>
    <row r="3590" ht="14.25" customHeight="1">
      <c r="A3590" t="s">
        <v>3653</v>
      </c>
      <c r="B3590" t="s">
        <v>3627</v>
      </c>
      <c r="C3590" t="s">
        <v>75</v>
      </c>
      <c r="D3590" t="s">
        <v>82</v>
      </c>
      <c r="E3590">
        <v>36.717</v>
      </c>
      <c r="F3590">
        <v>34.893</v>
      </c>
      <c r="G3590" s="2" t="s">
        <v>64</v>
      </c>
      <c r="H3590" s="2">
        <v>0.0</v>
      </c>
      <c r="I3590" s="2">
        <v>0.0</v>
      </c>
      <c r="J3590" s="37">
        <v>0.0</v>
      </c>
      <c r="K3590" s="2">
        <v>0.0</v>
      </c>
      <c r="L3590" s="2">
        <v>0.0</v>
      </c>
      <c r="M3590" s="37">
        <v>0.0</v>
      </c>
    </row>
    <row r="3591" ht="14.25" customHeight="1">
      <c r="A3591" t="s">
        <v>3654</v>
      </c>
      <c r="B3591" t="s">
        <v>3627</v>
      </c>
      <c r="C3591" t="s">
        <v>75</v>
      </c>
      <c r="D3591" t="s">
        <v>82</v>
      </c>
      <c r="E3591">
        <v>22.175</v>
      </c>
      <c r="F3591">
        <v>22.694</v>
      </c>
      <c r="G3591" s="2" t="s">
        <v>64</v>
      </c>
      <c r="H3591" s="2">
        <v>0.0</v>
      </c>
      <c r="I3591" s="2">
        <v>0.0</v>
      </c>
      <c r="J3591" s="37">
        <v>0.0</v>
      </c>
      <c r="K3591" s="2">
        <v>0.0</v>
      </c>
      <c r="L3591" s="2">
        <v>0.0</v>
      </c>
      <c r="M3591" s="37">
        <v>0.0</v>
      </c>
    </row>
    <row r="3592" ht="14.25" customHeight="1">
      <c r="A3592" t="s">
        <v>3655</v>
      </c>
      <c r="B3592" t="s">
        <v>3627</v>
      </c>
      <c r="C3592" t="s">
        <v>75</v>
      </c>
      <c r="D3592" t="s">
        <v>82</v>
      </c>
      <c r="E3592">
        <v>19.22</v>
      </c>
      <c r="F3592">
        <v>18.08</v>
      </c>
      <c r="G3592" s="2" t="s">
        <v>64</v>
      </c>
      <c r="H3592" s="2">
        <v>0.0</v>
      </c>
      <c r="I3592" s="2">
        <v>0.0</v>
      </c>
      <c r="J3592" s="37">
        <v>0.0</v>
      </c>
      <c r="K3592" s="2">
        <v>0.0</v>
      </c>
      <c r="L3592" s="2">
        <v>0.0</v>
      </c>
      <c r="M3592" s="37">
        <v>0.0</v>
      </c>
    </row>
    <row r="3593" ht="14.25" customHeight="1">
      <c r="A3593" t="s">
        <v>3656</v>
      </c>
      <c r="B3593" t="s">
        <v>3627</v>
      </c>
      <c r="C3593" t="s">
        <v>75</v>
      </c>
      <c r="D3593" t="s">
        <v>82</v>
      </c>
      <c r="E3593">
        <v>27.564</v>
      </c>
      <c r="F3593">
        <v>25.039</v>
      </c>
      <c r="G3593" s="2" t="s">
        <v>64</v>
      </c>
      <c r="H3593" s="2">
        <v>0.0</v>
      </c>
      <c r="I3593" s="2">
        <v>0.0</v>
      </c>
      <c r="J3593" s="37">
        <v>0.0</v>
      </c>
      <c r="K3593" s="2">
        <v>0.0</v>
      </c>
      <c r="L3593" s="2">
        <v>0.0</v>
      </c>
      <c r="M3593" s="37">
        <v>0.0</v>
      </c>
    </row>
    <row r="3594" ht="14.25" customHeight="1">
      <c r="A3594" t="s">
        <v>3657</v>
      </c>
      <c r="B3594" t="s">
        <v>3627</v>
      </c>
      <c r="C3594" t="s">
        <v>75</v>
      </c>
      <c r="D3594" t="s">
        <v>82</v>
      </c>
      <c r="E3594">
        <v>56.466</v>
      </c>
      <c r="F3594">
        <v>54.13</v>
      </c>
      <c r="G3594" s="2" t="s">
        <v>64</v>
      </c>
      <c r="H3594" s="2">
        <v>0.0</v>
      </c>
      <c r="I3594" s="2">
        <v>0.0</v>
      </c>
      <c r="J3594" s="37">
        <v>0.0</v>
      </c>
      <c r="K3594" s="2">
        <v>0.0</v>
      </c>
      <c r="L3594" s="2">
        <v>0.0</v>
      </c>
      <c r="M3594" s="37">
        <v>0.0</v>
      </c>
    </row>
    <row r="3595" ht="14.25" customHeight="1">
      <c r="A3595" t="s">
        <v>3658</v>
      </c>
      <c r="B3595" t="s">
        <v>3627</v>
      </c>
      <c r="C3595" t="s">
        <v>75</v>
      </c>
      <c r="D3595" t="s">
        <v>82</v>
      </c>
      <c r="E3595">
        <v>17.76</v>
      </c>
      <c r="F3595">
        <v>17.535</v>
      </c>
      <c r="G3595" s="2" t="s">
        <v>64</v>
      </c>
      <c r="H3595" s="2">
        <v>0.0</v>
      </c>
      <c r="I3595" s="2">
        <v>0.0</v>
      </c>
      <c r="J3595" s="37">
        <v>0.0</v>
      </c>
      <c r="K3595" s="2">
        <v>0.0</v>
      </c>
      <c r="L3595" s="2">
        <v>0.0</v>
      </c>
      <c r="M3595" s="37">
        <v>0.0</v>
      </c>
    </row>
    <row r="3596" ht="14.25" customHeight="1">
      <c r="A3596" t="s">
        <v>3659</v>
      </c>
      <c r="B3596" t="s">
        <v>3627</v>
      </c>
      <c r="C3596" t="s">
        <v>75</v>
      </c>
      <c r="D3596" t="s">
        <v>63</v>
      </c>
      <c r="E3596">
        <v>31.48</v>
      </c>
      <c r="F3596">
        <v>31.29</v>
      </c>
      <c r="G3596" s="2" t="s">
        <v>64</v>
      </c>
      <c r="H3596" s="2">
        <v>0.0</v>
      </c>
      <c r="I3596" s="2">
        <v>0.0</v>
      </c>
      <c r="J3596" s="37">
        <v>0.0</v>
      </c>
      <c r="K3596" s="2">
        <v>0.0</v>
      </c>
      <c r="L3596" s="2">
        <v>0.0</v>
      </c>
      <c r="M3596" s="37">
        <v>0.0</v>
      </c>
    </row>
    <row r="3597" ht="14.25" customHeight="1">
      <c r="A3597" t="s">
        <v>3660</v>
      </c>
      <c r="B3597" t="s">
        <v>3627</v>
      </c>
      <c r="C3597" t="s">
        <v>75</v>
      </c>
      <c r="D3597" t="s">
        <v>82</v>
      </c>
      <c r="E3597">
        <v>9.905</v>
      </c>
      <c r="F3597">
        <v>8.991</v>
      </c>
      <c r="G3597" s="2" t="s">
        <v>64</v>
      </c>
      <c r="H3597" s="2">
        <v>0.0</v>
      </c>
      <c r="I3597" s="2">
        <v>0.0</v>
      </c>
      <c r="J3597" s="37">
        <v>0.0</v>
      </c>
      <c r="K3597" s="2">
        <v>0.0</v>
      </c>
      <c r="L3597" s="2">
        <v>0.0</v>
      </c>
      <c r="M3597" s="37">
        <v>0.0</v>
      </c>
    </row>
    <row r="3598" ht="14.25" customHeight="1">
      <c r="A3598" t="s">
        <v>3661</v>
      </c>
      <c r="B3598" t="s">
        <v>3627</v>
      </c>
      <c r="C3598" t="s">
        <v>75</v>
      </c>
      <c r="D3598" t="s">
        <v>82</v>
      </c>
      <c r="E3598">
        <v>19.88</v>
      </c>
      <c r="F3598">
        <v>19.7</v>
      </c>
      <c r="G3598" s="2" t="s">
        <v>67</v>
      </c>
      <c r="H3598" s="2">
        <v>52.0</v>
      </c>
      <c r="I3598" s="2">
        <v>226.0</v>
      </c>
      <c r="J3598" s="37">
        <v>1461.72</v>
      </c>
      <c r="K3598" s="2">
        <v>62.0</v>
      </c>
      <c r="L3598" s="2">
        <v>429.0</v>
      </c>
      <c r="M3598" s="37">
        <v>1950.22</v>
      </c>
    </row>
    <row r="3599" ht="14.25" customHeight="1">
      <c r="A3599" t="s">
        <v>3662</v>
      </c>
      <c r="B3599" t="s">
        <v>3627</v>
      </c>
      <c r="C3599" t="s">
        <v>75</v>
      </c>
      <c r="D3599" t="s">
        <v>63</v>
      </c>
      <c r="E3599">
        <v>14.947</v>
      </c>
      <c r="F3599">
        <v>14.9</v>
      </c>
      <c r="G3599" s="2" t="s">
        <v>64</v>
      </c>
      <c r="H3599" s="2">
        <v>0.0</v>
      </c>
      <c r="I3599" s="2">
        <v>0.0</v>
      </c>
      <c r="J3599" s="37">
        <v>0.0</v>
      </c>
      <c r="K3599" s="2">
        <v>0.0</v>
      </c>
      <c r="L3599" s="2">
        <v>0.0</v>
      </c>
      <c r="M3599" s="37">
        <v>0.0</v>
      </c>
    </row>
    <row r="3600" ht="14.25" customHeight="1">
      <c r="A3600" t="s">
        <v>3663</v>
      </c>
      <c r="B3600" t="s">
        <v>3627</v>
      </c>
      <c r="C3600" t="s">
        <v>75</v>
      </c>
      <c r="D3600" t="s">
        <v>63</v>
      </c>
      <c r="E3600">
        <v>22.53</v>
      </c>
      <c r="F3600">
        <v>23.28</v>
      </c>
      <c r="G3600" s="2" t="s">
        <v>64</v>
      </c>
      <c r="H3600" s="2">
        <v>0.0</v>
      </c>
      <c r="I3600" s="2">
        <v>0.0</v>
      </c>
      <c r="J3600" s="37">
        <v>0.0</v>
      </c>
      <c r="K3600" s="2">
        <v>0.0</v>
      </c>
      <c r="L3600" s="2">
        <v>0.0</v>
      </c>
      <c r="M3600" s="37">
        <v>0.0</v>
      </c>
    </row>
    <row r="3601" ht="14.25" customHeight="1">
      <c r="A3601" t="s">
        <v>3664</v>
      </c>
      <c r="B3601" t="s">
        <v>3627</v>
      </c>
      <c r="C3601" t="s">
        <v>75</v>
      </c>
      <c r="D3601" t="s">
        <v>63</v>
      </c>
      <c r="E3601">
        <v>14.46</v>
      </c>
      <c r="F3601">
        <v>14.9</v>
      </c>
      <c r="G3601" s="2" t="s">
        <v>64</v>
      </c>
      <c r="H3601" s="2">
        <v>0.0</v>
      </c>
      <c r="I3601" s="2">
        <v>0.0</v>
      </c>
      <c r="J3601" s="37">
        <v>0.0</v>
      </c>
      <c r="K3601" s="2">
        <v>0.0</v>
      </c>
      <c r="L3601" s="2">
        <v>0.0</v>
      </c>
      <c r="M3601" s="37">
        <v>0.0</v>
      </c>
    </row>
    <row r="3602" ht="14.25" customHeight="1">
      <c r="A3602" t="s">
        <v>3665</v>
      </c>
      <c r="B3602" t="s">
        <v>3627</v>
      </c>
      <c r="C3602" t="s">
        <v>75</v>
      </c>
      <c r="D3602" t="s">
        <v>63</v>
      </c>
      <c r="E3602">
        <v>19.0</v>
      </c>
      <c r="F3602">
        <v>20.76</v>
      </c>
      <c r="G3602" s="2" t="s">
        <v>64</v>
      </c>
      <c r="H3602" s="2">
        <v>0.0</v>
      </c>
      <c r="I3602" s="2">
        <v>0.0</v>
      </c>
      <c r="J3602" s="37">
        <v>0.0</v>
      </c>
      <c r="K3602" s="2">
        <v>0.0</v>
      </c>
      <c r="L3602" s="2">
        <v>0.0</v>
      </c>
      <c r="M3602" s="37">
        <v>0.0</v>
      </c>
    </row>
    <row r="3603" ht="14.25" customHeight="1">
      <c r="A3603" t="s">
        <v>3666</v>
      </c>
      <c r="B3603" t="s">
        <v>3627</v>
      </c>
      <c r="C3603" t="s">
        <v>75</v>
      </c>
      <c r="D3603" t="s">
        <v>82</v>
      </c>
      <c r="E3603">
        <v>16.35</v>
      </c>
      <c r="F3603">
        <v>17.3</v>
      </c>
      <c r="G3603" s="2" t="s">
        <v>64</v>
      </c>
      <c r="H3603" s="2">
        <v>0.0</v>
      </c>
      <c r="I3603" s="2">
        <v>0.0</v>
      </c>
      <c r="J3603" s="37">
        <v>0.0</v>
      </c>
      <c r="K3603" s="2">
        <v>0.0</v>
      </c>
      <c r="L3603" s="2">
        <v>0.0</v>
      </c>
      <c r="M3603" s="37">
        <v>0.0</v>
      </c>
    </row>
    <row r="3604" ht="14.25" customHeight="1">
      <c r="A3604" t="s">
        <v>3666</v>
      </c>
      <c r="B3604" t="s">
        <v>3627</v>
      </c>
      <c r="C3604" t="s">
        <v>75</v>
      </c>
      <c r="D3604" t="s">
        <v>82</v>
      </c>
      <c r="E3604">
        <v>16.35</v>
      </c>
      <c r="F3604">
        <v>17.3</v>
      </c>
      <c r="G3604" s="2" t="s">
        <v>67</v>
      </c>
      <c r="H3604" s="2">
        <v>0.0</v>
      </c>
      <c r="I3604" s="2">
        <v>0.0</v>
      </c>
      <c r="J3604" s="37">
        <v>0.0</v>
      </c>
      <c r="K3604" s="2">
        <v>0.0</v>
      </c>
      <c r="L3604" s="2">
        <v>0.0</v>
      </c>
      <c r="M3604" s="37">
        <v>0.0</v>
      </c>
    </row>
    <row r="3605" ht="14.25" customHeight="1">
      <c r="A3605" t="s">
        <v>3661</v>
      </c>
      <c r="B3605" t="s">
        <v>3627</v>
      </c>
      <c r="C3605" t="s">
        <v>75</v>
      </c>
      <c r="D3605" t="s">
        <v>82</v>
      </c>
      <c r="E3605">
        <v>19.88</v>
      </c>
      <c r="F3605">
        <v>19.7</v>
      </c>
      <c r="G3605" s="2" t="s">
        <v>67</v>
      </c>
      <c r="H3605" s="2">
        <v>52.0</v>
      </c>
      <c r="I3605" s="2">
        <v>226.0</v>
      </c>
      <c r="J3605" s="37">
        <v>1461.72</v>
      </c>
      <c r="K3605" s="2">
        <v>62.0</v>
      </c>
      <c r="L3605" s="2">
        <v>429.0</v>
      </c>
      <c r="M3605" s="37">
        <v>1950.22</v>
      </c>
    </row>
    <row r="3606" ht="14.25" customHeight="1">
      <c r="A3606" t="s">
        <v>3667</v>
      </c>
      <c r="B3606" t="s">
        <v>3627</v>
      </c>
      <c r="C3606" t="s">
        <v>75</v>
      </c>
      <c r="D3606" t="s">
        <v>82</v>
      </c>
      <c r="E3606">
        <v>9.64</v>
      </c>
      <c r="F3606">
        <v>11.12</v>
      </c>
      <c r="G3606" s="2" t="s">
        <v>64</v>
      </c>
      <c r="H3606" s="2">
        <v>0.0</v>
      </c>
      <c r="I3606" s="2">
        <v>0.0</v>
      </c>
      <c r="J3606" s="37">
        <v>0.0</v>
      </c>
      <c r="K3606" s="2">
        <v>0.0</v>
      </c>
      <c r="L3606" s="2">
        <v>0.0</v>
      </c>
      <c r="M3606" s="37">
        <v>0.0</v>
      </c>
    </row>
    <row r="3607" ht="14.25" customHeight="1">
      <c r="A3607" t="s">
        <v>3668</v>
      </c>
      <c r="B3607" t="s">
        <v>3627</v>
      </c>
      <c r="C3607" t="s">
        <v>75</v>
      </c>
      <c r="D3607" t="s">
        <v>82</v>
      </c>
      <c r="E3607">
        <v>7.9</v>
      </c>
      <c r="F3607">
        <v>8.87</v>
      </c>
      <c r="G3607" s="2" t="s">
        <v>64</v>
      </c>
      <c r="H3607" s="2">
        <v>0.0</v>
      </c>
      <c r="I3607" s="2">
        <v>0.0</v>
      </c>
      <c r="J3607" s="37">
        <v>0.0</v>
      </c>
      <c r="K3607" s="2">
        <v>0.0</v>
      </c>
      <c r="L3607" s="2">
        <v>0.0</v>
      </c>
      <c r="M3607" s="37">
        <v>0.0</v>
      </c>
    </row>
    <row r="3608" ht="14.25" customHeight="1">
      <c r="A3608" t="s">
        <v>3669</v>
      </c>
      <c r="B3608" t="s">
        <v>3627</v>
      </c>
      <c r="C3608" t="s">
        <v>75</v>
      </c>
      <c r="D3608" t="s">
        <v>82</v>
      </c>
      <c r="E3608">
        <v>11.9</v>
      </c>
      <c r="F3608">
        <v>11.92</v>
      </c>
      <c r="G3608" s="2" t="s">
        <v>64</v>
      </c>
      <c r="H3608" s="2">
        <v>0.0</v>
      </c>
      <c r="I3608" s="2">
        <v>0.0</v>
      </c>
      <c r="J3608" s="37">
        <v>0.0</v>
      </c>
      <c r="K3608" s="2">
        <v>0.0</v>
      </c>
      <c r="L3608" s="2">
        <v>0.0</v>
      </c>
      <c r="M3608" s="37">
        <v>0.0</v>
      </c>
    </row>
    <row r="3609" ht="14.25" customHeight="1">
      <c r="A3609" t="s">
        <v>3670</v>
      </c>
      <c r="B3609" t="s">
        <v>3627</v>
      </c>
      <c r="C3609" t="s">
        <v>75</v>
      </c>
      <c r="D3609" t="s">
        <v>82</v>
      </c>
      <c r="E3609">
        <v>35.21</v>
      </c>
      <c r="F3609">
        <v>35.43</v>
      </c>
      <c r="G3609" s="2" t="s">
        <v>64</v>
      </c>
      <c r="H3609" s="2">
        <v>0.0</v>
      </c>
      <c r="I3609" s="2">
        <v>0.0</v>
      </c>
      <c r="J3609" s="37">
        <v>0.0</v>
      </c>
      <c r="K3609" s="2">
        <v>0.0</v>
      </c>
      <c r="L3609" s="2">
        <v>0.0</v>
      </c>
      <c r="M3609" s="37">
        <v>0.0</v>
      </c>
    </row>
    <row r="3610" ht="14.25" customHeight="1">
      <c r="A3610" t="s">
        <v>3671</v>
      </c>
      <c r="B3610" t="s">
        <v>3627</v>
      </c>
      <c r="C3610" t="s">
        <v>75</v>
      </c>
      <c r="D3610" t="s">
        <v>82</v>
      </c>
      <c r="E3610">
        <v>5.78</v>
      </c>
      <c r="F3610">
        <v>5.42</v>
      </c>
      <c r="G3610" s="2" t="s">
        <v>64</v>
      </c>
      <c r="H3610" s="2">
        <v>0.0</v>
      </c>
      <c r="I3610" s="2">
        <v>0.0</v>
      </c>
      <c r="J3610" s="37">
        <v>0.0</v>
      </c>
      <c r="K3610" s="2">
        <v>0.0</v>
      </c>
      <c r="L3610" s="2">
        <v>0.0</v>
      </c>
      <c r="M3610" s="37">
        <v>0.0</v>
      </c>
    </row>
    <row r="3611" ht="14.25" customHeight="1">
      <c r="A3611" t="s">
        <v>3672</v>
      </c>
      <c r="B3611" t="s">
        <v>3627</v>
      </c>
      <c r="C3611" t="s">
        <v>75</v>
      </c>
      <c r="D3611" t="s">
        <v>82</v>
      </c>
      <c r="E3611">
        <v>3.37</v>
      </c>
      <c r="F3611">
        <v>3.63</v>
      </c>
      <c r="G3611" s="2" t="s">
        <v>64</v>
      </c>
      <c r="H3611" s="2">
        <v>0.0</v>
      </c>
      <c r="I3611" s="2">
        <v>0.0</v>
      </c>
      <c r="J3611" s="37">
        <v>0.0</v>
      </c>
      <c r="K3611" s="2">
        <v>0.0</v>
      </c>
      <c r="L3611" s="2">
        <v>0.0</v>
      </c>
      <c r="M3611" s="37">
        <v>0.0</v>
      </c>
    </row>
    <row r="3612" ht="14.25" customHeight="1">
      <c r="A3612" t="s">
        <v>3673</v>
      </c>
      <c r="B3612" t="s">
        <v>3627</v>
      </c>
      <c r="C3612" t="s">
        <v>75</v>
      </c>
      <c r="D3612" t="s">
        <v>82</v>
      </c>
      <c r="E3612">
        <v>4.27</v>
      </c>
      <c r="F3612">
        <v>4.58</v>
      </c>
      <c r="G3612" s="2" t="s">
        <v>64</v>
      </c>
      <c r="H3612" s="2">
        <v>0.0</v>
      </c>
      <c r="I3612" s="2">
        <v>0.0</v>
      </c>
      <c r="J3612" s="37">
        <v>0.0</v>
      </c>
      <c r="K3612" s="2">
        <v>0.0</v>
      </c>
      <c r="L3612" s="2">
        <v>0.0</v>
      </c>
      <c r="M3612" s="37">
        <v>0.0</v>
      </c>
    </row>
    <row r="3613" ht="14.25" customHeight="1">
      <c r="A3613" t="s">
        <v>3674</v>
      </c>
      <c r="B3613" t="s">
        <v>3675</v>
      </c>
      <c r="C3613" t="s">
        <v>62</v>
      </c>
      <c r="D3613" t="s">
        <v>63</v>
      </c>
      <c r="E3613">
        <v>4.9</v>
      </c>
      <c r="F3613">
        <v>5.8</v>
      </c>
      <c r="G3613" s="2" t="s">
        <v>64</v>
      </c>
      <c r="H3613" s="2">
        <v>0.0</v>
      </c>
      <c r="I3613" s="2">
        <v>0.0</v>
      </c>
      <c r="J3613" s="37">
        <v>0.0</v>
      </c>
      <c r="K3613" s="2">
        <v>0.0</v>
      </c>
      <c r="L3613" s="2">
        <v>0.0</v>
      </c>
      <c r="M3613" s="37">
        <v>0.0</v>
      </c>
    </row>
    <row r="3614" ht="14.25" customHeight="1">
      <c r="A3614" t="s">
        <v>3676</v>
      </c>
      <c r="B3614" t="s">
        <v>3675</v>
      </c>
      <c r="C3614" t="s">
        <v>62</v>
      </c>
      <c r="D3614" t="s">
        <v>63</v>
      </c>
      <c r="E3614">
        <v>2.4</v>
      </c>
      <c r="F3614">
        <v>3.2</v>
      </c>
      <c r="G3614" s="2" t="s">
        <v>64</v>
      </c>
      <c r="H3614" s="2">
        <v>0.0</v>
      </c>
      <c r="I3614" s="2">
        <v>0.0</v>
      </c>
      <c r="J3614" s="37">
        <v>0.0</v>
      </c>
      <c r="K3614" s="2">
        <v>0.0</v>
      </c>
      <c r="L3614" s="2">
        <v>0.0</v>
      </c>
      <c r="M3614" s="37">
        <v>0.0</v>
      </c>
    </row>
    <row r="3615" ht="14.25" customHeight="1">
      <c r="A3615" t="s">
        <v>3677</v>
      </c>
      <c r="B3615" t="s">
        <v>3675</v>
      </c>
      <c r="C3615" t="s">
        <v>62</v>
      </c>
      <c r="D3615" t="s">
        <v>63</v>
      </c>
      <c r="E3615">
        <v>4.7</v>
      </c>
      <c r="F3615">
        <v>5.6</v>
      </c>
      <c r="G3615" s="2" t="s">
        <v>64</v>
      </c>
      <c r="H3615" s="2">
        <v>0.0</v>
      </c>
      <c r="I3615" s="2">
        <v>0.0</v>
      </c>
      <c r="J3615" s="37">
        <v>0.0</v>
      </c>
      <c r="K3615" s="2">
        <v>0.0</v>
      </c>
      <c r="L3615" s="2">
        <v>0.0</v>
      </c>
      <c r="M3615" s="37">
        <v>0.0</v>
      </c>
    </row>
    <row r="3616" ht="14.25" customHeight="1">
      <c r="A3616" t="s">
        <v>3678</v>
      </c>
      <c r="B3616" t="s">
        <v>3675</v>
      </c>
      <c r="C3616" t="s">
        <v>62</v>
      </c>
      <c r="D3616" t="s">
        <v>63</v>
      </c>
      <c r="E3616">
        <v>2.0</v>
      </c>
      <c r="F3616">
        <v>2.5</v>
      </c>
      <c r="G3616" s="2" t="s">
        <v>64</v>
      </c>
      <c r="H3616" s="2">
        <v>0.0</v>
      </c>
      <c r="I3616" s="2">
        <v>0.0</v>
      </c>
      <c r="J3616" s="37">
        <v>0.0</v>
      </c>
      <c r="K3616" s="2">
        <v>0.0</v>
      </c>
      <c r="L3616" s="2">
        <v>0.0</v>
      </c>
      <c r="M3616" s="37">
        <v>0.0</v>
      </c>
    </row>
    <row r="3617" ht="14.25" customHeight="1">
      <c r="A3617" t="s">
        <v>3679</v>
      </c>
      <c r="B3617" t="s">
        <v>3675</v>
      </c>
      <c r="C3617" t="s">
        <v>62</v>
      </c>
      <c r="D3617" t="s">
        <v>63</v>
      </c>
      <c r="E3617">
        <v>2.5</v>
      </c>
      <c r="F3617">
        <v>3.2</v>
      </c>
      <c r="G3617" s="2" t="s">
        <v>67</v>
      </c>
      <c r="H3617" s="2">
        <v>6.0</v>
      </c>
      <c r="I3617" s="2">
        <v>36.0</v>
      </c>
      <c r="J3617" s="37">
        <v>181.56</v>
      </c>
      <c r="K3617" s="2">
        <v>7.0</v>
      </c>
      <c r="L3617" s="2">
        <v>56.0</v>
      </c>
      <c r="M3617" s="37">
        <v>230.01999999999998</v>
      </c>
    </row>
    <row r="3618" ht="14.25" customHeight="1">
      <c r="A3618" t="s">
        <v>3680</v>
      </c>
      <c r="B3618" t="s">
        <v>3675</v>
      </c>
      <c r="C3618" t="s">
        <v>62</v>
      </c>
      <c r="D3618" t="s">
        <v>63</v>
      </c>
      <c r="E3618">
        <v>3.5</v>
      </c>
      <c r="F3618">
        <v>3.7</v>
      </c>
      <c r="G3618" s="2" t="s">
        <v>64</v>
      </c>
      <c r="H3618" s="2">
        <v>0.0</v>
      </c>
      <c r="I3618" s="2">
        <v>0.0</v>
      </c>
      <c r="J3618" s="37">
        <v>0.0</v>
      </c>
      <c r="K3618" s="2">
        <v>0.0</v>
      </c>
      <c r="L3618" s="2">
        <v>0.0</v>
      </c>
      <c r="M3618" s="37">
        <v>0.0</v>
      </c>
    </row>
    <row r="3619" ht="14.25" customHeight="1">
      <c r="A3619" t="s">
        <v>3681</v>
      </c>
      <c r="B3619" t="s">
        <v>3675</v>
      </c>
      <c r="C3619" t="s">
        <v>62</v>
      </c>
      <c r="D3619" t="s">
        <v>63</v>
      </c>
      <c r="E3619">
        <v>4.2</v>
      </c>
      <c r="F3619">
        <v>5.4</v>
      </c>
      <c r="G3619" s="2" t="s">
        <v>64</v>
      </c>
      <c r="H3619" s="2">
        <v>0.0</v>
      </c>
      <c r="I3619" s="2">
        <v>0.0</v>
      </c>
      <c r="J3619" s="37">
        <v>0.0</v>
      </c>
      <c r="K3619" s="2">
        <v>0.0</v>
      </c>
      <c r="L3619" s="2">
        <v>0.0</v>
      </c>
      <c r="M3619" s="37">
        <v>0.0</v>
      </c>
    </row>
    <row r="3620" ht="14.25" customHeight="1">
      <c r="A3620" t="s">
        <v>3682</v>
      </c>
      <c r="B3620" t="s">
        <v>3675</v>
      </c>
      <c r="C3620" t="s">
        <v>62</v>
      </c>
      <c r="D3620" t="s">
        <v>63</v>
      </c>
      <c r="E3620">
        <v>4.8</v>
      </c>
      <c r="F3620">
        <v>5.8</v>
      </c>
      <c r="G3620" s="2" t="s">
        <v>67</v>
      </c>
      <c r="H3620" s="2">
        <v>13.0</v>
      </c>
      <c r="I3620" s="2">
        <v>98.0</v>
      </c>
      <c r="J3620" s="37">
        <v>419.38</v>
      </c>
      <c r="K3620" s="2">
        <v>15.0</v>
      </c>
      <c r="L3620" s="2">
        <v>141.0</v>
      </c>
      <c r="M3620" s="37">
        <v>520.2</v>
      </c>
    </row>
    <row r="3621" ht="14.25" customHeight="1">
      <c r="A3621" t="s">
        <v>3683</v>
      </c>
      <c r="B3621" t="s">
        <v>3675</v>
      </c>
      <c r="C3621" t="s">
        <v>62</v>
      </c>
      <c r="D3621" t="s">
        <v>63</v>
      </c>
      <c r="E3621">
        <v>6.0</v>
      </c>
      <c r="F3621">
        <v>6.9</v>
      </c>
      <c r="G3621" s="2" t="s">
        <v>67</v>
      </c>
      <c r="H3621" s="2">
        <v>15.0</v>
      </c>
      <c r="I3621" s="2">
        <v>98.0</v>
      </c>
      <c r="J3621" s="37">
        <v>464.30000000000007</v>
      </c>
      <c r="K3621" s="2">
        <v>18.0</v>
      </c>
      <c r="L3621" s="2">
        <v>153.0</v>
      </c>
      <c r="M3621" s="37">
        <v>603.1800000000001</v>
      </c>
    </row>
    <row r="3622" ht="14.25" customHeight="1">
      <c r="A3622" t="s">
        <v>3684</v>
      </c>
      <c r="B3622" t="s">
        <v>3675</v>
      </c>
      <c r="C3622" t="s">
        <v>62</v>
      </c>
      <c r="D3622" t="s">
        <v>63</v>
      </c>
      <c r="E3622">
        <v>7.1</v>
      </c>
      <c r="F3622">
        <v>8.0</v>
      </c>
      <c r="G3622" s="2" t="s">
        <v>67</v>
      </c>
      <c r="H3622" s="2">
        <v>15.0</v>
      </c>
      <c r="I3622" s="2">
        <v>81.0</v>
      </c>
      <c r="J3622" s="37">
        <v>442.20000000000005</v>
      </c>
      <c r="K3622" s="2">
        <v>19.0</v>
      </c>
      <c r="L3622" s="2">
        <v>146.0</v>
      </c>
      <c r="M3622" s="37">
        <v>616.54</v>
      </c>
    </row>
    <row r="3623" ht="14.25" customHeight="1">
      <c r="A3623" t="s">
        <v>3685</v>
      </c>
      <c r="B3623" t="s">
        <v>3675</v>
      </c>
      <c r="C3623" t="s">
        <v>75</v>
      </c>
      <c r="D3623" t="s">
        <v>63</v>
      </c>
      <c r="E3623">
        <v>5.0</v>
      </c>
      <c r="F3623">
        <v>5.3</v>
      </c>
      <c r="G3623" s="2" t="s">
        <v>64</v>
      </c>
      <c r="H3623" s="2">
        <v>0.0</v>
      </c>
      <c r="I3623" s="2">
        <v>0.0</v>
      </c>
      <c r="J3623" s="37">
        <v>0.0</v>
      </c>
      <c r="K3623" s="2">
        <v>0.0</v>
      </c>
      <c r="L3623" s="2">
        <v>0.0</v>
      </c>
      <c r="M3623" s="37">
        <v>0.0</v>
      </c>
    </row>
    <row r="3624" ht="14.25" customHeight="1">
      <c r="A3624" t="s">
        <v>3686</v>
      </c>
      <c r="B3624" t="s">
        <v>3675</v>
      </c>
      <c r="C3624" t="s">
        <v>75</v>
      </c>
      <c r="D3624" t="s">
        <v>63</v>
      </c>
      <c r="E3624">
        <v>6.7</v>
      </c>
      <c r="F3624">
        <v>7.7</v>
      </c>
      <c r="G3624" s="2" t="s">
        <v>64</v>
      </c>
      <c r="H3624" s="2">
        <v>0.0</v>
      </c>
      <c r="I3624" s="2">
        <v>0.0</v>
      </c>
      <c r="J3624" s="37">
        <v>0.0</v>
      </c>
      <c r="K3624" s="2">
        <v>0.0</v>
      </c>
      <c r="L3624" s="2">
        <v>0.0</v>
      </c>
      <c r="M3624" s="37">
        <v>0.0</v>
      </c>
    </row>
    <row r="3625" ht="14.25" customHeight="1">
      <c r="A3625" t="s">
        <v>3687</v>
      </c>
      <c r="B3625" t="s">
        <v>3675</v>
      </c>
      <c r="C3625" t="s">
        <v>75</v>
      </c>
      <c r="D3625" t="s">
        <v>63</v>
      </c>
      <c r="E3625">
        <v>9.5</v>
      </c>
      <c r="F3625">
        <v>11.2</v>
      </c>
      <c r="G3625" s="2" t="s">
        <v>64</v>
      </c>
      <c r="H3625" s="2">
        <v>0.0</v>
      </c>
      <c r="I3625" s="2">
        <v>0.0</v>
      </c>
      <c r="J3625" s="37">
        <v>0.0</v>
      </c>
      <c r="K3625" s="2">
        <v>0.0</v>
      </c>
      <c r="L3625" s="2">
        <v>0.0</v>
      </c>
      <c r="M3625" s="37">
        <v>0.0</v>
      </c>
    </row>
    <row r="3626" ht="14.25" customHeight="1">
      <c r="A3626" t="s">
        <v>3688</v>
      </c>
      <c r="B3626" t="s">
        <v>3675</v>
      </c>
      <c r="C3626" t="s">
        <v>75</v>
      </c>
      <c r="D3626" t="s">
        <v>63</v>
      </c>
      <c r="E3626">
        <v>11.0</v>
      </c>
      <c r="F3626">
        <v>13.0</v>
      </c>
      <c r="G3626" s="2" t="s">
        <v>64</v>
      </c>
      <c r="H3626" s="2">
        <v>0.0</v>
      </c>
      <c r="I3626" s="2">
        <v>0.0</v>
      </c>
      <c r="J3626" s="37">
        <v>0.0</v>
      </c>
      <c r="K3626" s="2">
        <v>0.0</v>
      </c>
      <c r="L3626" s="2">
        <v>0.0</v>
      </c>
      <c r="M3626" s="37">
        <v>0.0</v>
      </c>
    </row>
    <row r="3627" ht="14.25" customHeight="1">
      <c r="A3627" t="s">
        <v>3689</v>
      </c>
      <c r="B3627" t="s">
        <v>3675</v>
      </c>
      <c r="C3627" t="s">
        <v>62</v>
      </c>
      <c r="D3627" t="s">
        <v>63</v>
      </c>
      <c r="E3627">
        <v>5.0</v>
      </c>
      <c r="F3627">
        <v>5.3</v>
      </c>
      <c r="G3627" s="2" t="s">
        <v>64</v>
      </c>
      <c r="H3627" s="2">
        <v>0.0</v>
      </c>
      <c r="I3627" s="2">
        <v>0.0</v>
      </c>
      <c r="J3627" s="37">
        <v>0.0</v>
      </c>
      <c r="K3627" s="2">
        <v>0.0</v>
      </c>
      <c r="L3627" s="2">
        <v>0.0</v>
      </c>
      <c r="M3627" s="37">
        <v>0.0</v>
      </c>
    </row>
    <row r="3628" ht="14.25" customHeight="1">
      <c r="A3628" t="s">
        <v>3690</v>
      </c>
      <c r="B3628" t="s">
        <v>3675</v>
      </c>
      <c r="C3628" t="s">
        <v>62</v>
      </c>
      <c r="D3628" t="s">
        <v>63</v>
      </c>
      <c r="E3628">
        <v>6.7</v>
      </c>
      <c r="F3628">
        <v>7.7</v>
      </c>
      <c r="G3628" s="2" t="s">
        <v>64</v>
      </c>
      <c r="H3628" s="2">
        <v>0.0</v>
      </c>
      <c r="I3628" s="2">
        <v>0.0</v>
      </c>
      <c r="J3628" s="37">
        <v>0.0</v>
      </c>
      <c r="K3628" s="2">
        <v>0.0</v>
      </c>
      <c r="L3628" s="2">
        <v>0.0</v>
      </c>
      <c r="M3628" s="37">
        <v>0.0</v>
      </c>
    </row>
    <row r="3629" ht="14.25" customHeight="1">
      <c r="A3629" t="s">
        <v>3691</v>
      </c>
      <c r="B3629" t="s">
        <v>3675</v>
      </c>
      <c r="C3629" t="s">
        <v>62</v>
      </c>
      <c r="D3629" t="s">
        <v>63</v>
      </c>
      <c r="E3629">
        <v>9.5</v>
      </c>
      <c r="F3629">
        <v>11.2</v>
      </c>
      <c r="G3629" s="2" t="s">
        <v>64</v>
      </c>
      <c r="H3629" s="2">
        <v>0.0</v>
      </c>
      <c r="I3629" s="2">
        <v>0.0</v>
      </c>
      <c r="J3629" s="37">
        <v>0.0</v>
      </c>
      <c r="K3629" s="2">
        <v>0.0</v>
      </c>
      <c r="L3629" s="2">
        <v>0.0</v>
      </c>
      <c r="M3629" s="37">
        <v>0.0</v>
      </c>
    </row>
    <row r="3630" ht="14.25" customHeight="1">
      <c r="A3630" t="s">
        <v>3692</v>
      </c>
      <c r="B3630" t="s">
        <v>3675</v>
      </c>
      <c r="C3630" t="s">
        <v>62</v>
      </c>
      <c r="D3630" t="s">
        <v>63</v>
      </c>
      <c r="E3630">
        <v>11.0</v>
      </c>
      <c r="F3630">
        <v>13.0</v>
      </c>
      <c r="G3630" s="2" t="s">
        <v>64</v>
      </c>
      <c r="H3630" s="2">
        <v>0.0</v>
      </c>
      <c r="I3630" s="2">
        <v>0.0</v>
      </c>
      <c r="J3630" s="37">
        <v>0.0</v>
      </c>
      <c r="K3630" s="2">
        <v>0.0</v>
      </c>
      <c r="L3630" s="2">
        <v>0.0</v>
      </c>
      <c r="M3630" s="37">
        <v>0.0</v>
      </c>
    </row>
    <row r="3631" ht="14.25" customHeight="1">
      <c r="A3631" t="s">
        <v>3693</v>
      </c>
      <c r="B3631" t="s">
        <v>3675</v>
      </c>
      <c r="C3631" t="s">
        <v>62</v>
      </c>
      <c r="D3631" t="s">
        <v>63</v>
      </c>
      <c r="E3631">
        <v>2.5</v>
      </c>
      <c r="F3631">
        <v>3.4</v>
      </c>
      <c r="G3631" s="2" t="s">
        <v>64</v>
      </c>
      <c r="H3631" s="2">
        <v>0.0</v>
      </c>
      <c r="I3631" s="2">
        <v>0.0</v>
      </c>
      <c r="J3631" s="37">
        <v>0.0</v>
      </c>
      <c r="K3631" s="2">
        <v>0.0</v>
      </c>
      <c r="L3631" s="2">
        <v>0.0</v>
      </c>
      <c r="M3631" s="37">
        <v>0.0</v>
      </c>
    </row>
    <row r="3632" ht="14.25" customHeight="1">
      <c r="A3632" t="s">
        <v>3694</v>
      </c>
      <c r="B3632" t="s">
        <v>3675</v>
      </c>
      <c r="C3632" t="s">
        <v>62</v>
      </c>
      <c r="D3632" t="s">
        <v>63</v>
      </c>
      <c r="E3632">
        <v>3.6</v>
      </c>
      <c r="F3632">
        <v>4.0</v>
      </c>
      <c r="G3632" s="2" t="s">
        <v>64</v>
      </c>
      <c r="H3632" s="2">
        <v>0.0</v>
      </c>
      <c r="I3632" s="2">
        <v>0.0</v>
      </c>
      <c r="J3632" s="37">
        <v>0.0</v>
      </c>
      <c r="K3632" s="2">
        <v>0.0</v>
      </c>
      <c r="L3632" s="2">
        <v>0.0</v>
      </c>
      <c r="M3632" s="37">
        <v>0.0</v>
      </c>
    </row>
    <row r="3633" ht="14.25" customHeight="1">
      <c r="A3633" t="s">
        <v>3695</v>
      </c>
      <c r="B3633" t="s">
        <v>3675</v>
      </c>
      <c r="C3633" t="s">
        <v>62</v>
      </c>
      <c r="D3633" t="s">
        <v>63</v>
      </c>
      <c r="E3633">
        <v>5.0</v>
      </c>
      <c r="F3633">
        <v>5.3</v>
      </c>
      <c r="G3633" s="2" t="s">
        <v>64</v>
      </c>
      <c r="H3633" s="2">
        <v>0.0</v>
      </c>
      <c r="I3633" s="2">
        <v>0.0</v>
      </c>
      <c r="J3633" s="37">
        <v>0.0</v>
      </c>
      <c r="K3633" s="2">
        <v>0.0</v>
      </c>
      <c r="L3633" s="2">
        <v>0.0</v>
      </c>
      <c r="M3633" s="37">
        <v>0.0</v>
      </c>
    </row>
    <row r="3634" ht="14.25" customHeight="1">
      <c r="A3634" t="s">
        <v>3696</v>
      </c>
      <c r="B3634" t="s">
        <v>3675</v>
      </c>
      <c r="C3634" t="s">
        <v>62</v>
      </c>
      <c r="D3634" t="s">
        <v>63</v>
      </c>
      <c r="E3634">
        <v>6.7</v>
      </c>
      <c r="F3634">
        <v>7.7</v>
      </c>
      <c r="G3634" s="2" t="s">
        <v>64</v>
      </c>
      <c r="H3634" s="2">
        <v>0.0</v>
      </c>
      <c r="I3634" s="2">
        <v>0.0</v>
      </c>
      <c r="J3634" s="37">
        <v>0.0</v>
      </c>
      <c r="K3634" s="2">
        <v>0.0</v>
      </c>
      <c r="L3634" s="2">
        <v>0.0</v>
      </c>
      <c r="M3634" s="37">
        <v>0.0</v>
      </c>
    </row>
    <row r="3635" ht="14.25" customHeight="1">
      <c r="A3635" t="s">
        <v>3697</v>
      </c>
      <c r="B3635" t="s">
        <v>3675</v>
      </c>
      <c r="C3635" t="s">
        <v>62</v>
      </c>
      <c r="D3635" t="s">
        <v>63</v>
      </c>
      <c r="E3635">
        <v>3.6</v>
      </c>
      <c r="F3635">
        <v>4.0</v>
      </c>
      <c r="G3635" s="2" t="s">
        <v>64</v>
      </c>
      <c r="H3635" s="2">
        <v>0.0</v>
      </c>
      <c r="I3635" s="2">
        <v>0.0</v>
      </c>
      <c r="J3635" s="37">
        <v>0.0</v>
      </c>
      <c r="K3635" s="2">
        <v>0.0</v>
      </c>
      <c r="L3635" s="2">
        <v>0.0</v>
      </c>
      <c r="M3635" s="37">
        <v>0.0</v>
      </c>
    </row>
    <row r="3636" ht="14.25" customHeight="1">
      <c r="A3636" t="s">
        <v>3698</v>
      </c>
      <c r="B3636" t="s">
        <v>3675</v>
      </c>
      <c r="C3636" t="s">
        <v>62</v>
      </c>
      <c r="D3636" t="s">
        <v>63</v>
      </c>
      <c r="E3636">
        <v>5.0</v>
      </c>
      <c r="F3636">
        <v>5.3</v>
      </c>
      <c r="G3636" s="2" t="s">
        <v>64</v>
      </c>
      <c r="H3636" s="2">
        <v>0.0</v>
      </c>
      <c r="I3636" s="2">
        <v>0.0</v>
      </c>
      <c r="J3636" s="37">
        <v>0.0</v>
      </c>
      <c r="K3636" s="2">
        <v>0.0</v>
      </c>
      <c r="L3636" s="2">
        <v>0.0</v>
      </c>
      <c r="M3636" s="37">
        <v>0.0</v>
      </c>
    </row>
    <row r="3637" ht="14.25" customHeight="1">
      <c r="A3637" t="s">
        <v>3699</v>
      </c>
      <c r="B3637" t="s">
        <v>3675</v>
      </c>
      <c r="C3637" t="s">
        <v>62</v>
      </c>
      <c r="D3637" t="s">
        <v>63</v>
      </c>
      <c r="E3637">
        <v>6.7</v>
      </c>
      <c r="F3637">
        <v>7.7</v>
      </c>
      <c r="G3637" s="2" t="s">
        <v>64</v>
      </c>
      <c r="H3637" s="2">
        <v>0.0</v>
      </c>
      <c r="I3637" s="2">
        <v>0.0</v>
      </c>
      <c r="J3637" s="37">
        <v>0.0</v>
      </c>
      <c r="K3637" s="2">
        <v>0.0</v>
      </c>
      <c r="L3637" s="2">
        <v>0.0</v>
      </c>
      <c r="M3637" s="37">
        <v>0.0</v>
      </c>
    </row>
    <row r="3638" ht="14.25" customHeight="1">
      <c r="A3638" t="s">
        <v>3700</v>
      </c>
      <c r="B3638" t="s">
        <v>3675</v>
      </c>
      <c r="C3638" t="s">
        <v>62</v>
      </c>
      <c r="D3638" t="s">
        <v>63</v>
      </c>
      <c r="E3638">
        <v>9.5</v>
      </c>
      <c r="F3638">
        <v>11.2</v>
      </c>
      <c r="G3638" s="2" t="s">
        <v>64</v>
      </c>
      <c r="H3638" s="2">
        <v>0.0</v>
      </c>
      <c r="I3638" s="2">
        <v>0.0</v>
      </c>
      <c r="J3638" s="37">
        <v>0.0</v>
      </c>
      <c r="K3638" s="2">
        <v>0.0</v>
      </c>
      <c r="L3638" s="2">
        <v>0.0</v>
      </c>
      <c r="M3638" s="37">
        <v>0.0</v>
      </c>
    </row>
    <row r="3639" ht="14.25" customHeight="1">
      <c r="A3639" t="s">
        <v>3701</v>
      </c>
      <c r="B3639" t="s">
        <v>3675</v>
      </c>
      <c r="C3639" t="s">
        <v>62</v>
      </c>
      <c r="D3639" t="s">
        <v>63</v>
      </c>
      <c r="E3639">
        <v>11.0</v>
      </c>
      <c r="F3639">
        <v>13.0</v>
      </c>
      <c r="G3639" s="2" t="s">
        <v>64</v>
      </c>
      <c r="H3639" s="2">
        <v>0.0</v>
      </c>
      <c r="I3639" s="2">
        <v>0.0</v>
      </c>
      <c r="J3639" s="37">
        <v>0.0</v>
      </c>
      <c r="K3639" s="2">
        <v>0.0</v>
      </c>
      <c r="L3639" s="2">
        <v>0.0</v>
      </c>
      <c r="M3639" s="37">
        <v>0.0</v>
      </c>
    </row>
    <row r="3640" ht="14.25" customHeight="1">
      <c r="A3640" t="s">
        <v>3702</v>
      </c>
      <c r="B3640" t="s">
        <v>3675</v>
      </c>
      <c r="C3640" t="s">
        <v>62</v>
      </c>
      <c r="D3640" t="s">
        <v>63</v>
      </c>
      <c r="E3640">
        <v>2.5</v>
      </c>
      <c r="F3640">
        <v>3.4</v>
      </c>
      <c r="G3640" s="2" t="s">
        <v>64</v>
      </c>
      <c r="H3640" s="2">
        <v>0.0</v>
      </c>
      <c r="I3640" s="2">
        <v>0.0</v>
      </c>
      <c r="J3640" s="37">
        <v>0.0</v>
      </c>
      <c r="K3640" s="2">
        <v>0.0</v>
      </c>
      <c r="L3640" s="2">
        <v>0.0</v>
      </c>
      <c r="M3640" s="37">
        <v>0.0</v>
      </c>
    </row>
    <row r="3641" ht="14.25" customHeight="1">
      <c r="A3641" t="s">
        <v>3703</v>
      </c>
      <c r="B3641" t="s">
        <v>3675</v>
      </c>
      <c r="C3641" t="s">
        <v>62</v>
      </c>
      <c r="D3641" t="s">
        <v>63</v>
      </c>
      <c r="E3641">
        <v>3.6</v>
      </c>
      <c r="F3641">
        <v>4.0</v>
      </c>
      <c r="G3641" s="2" t="s">
        <v>64</v>
      </c>
      <c r="H3641" s="2">
        <v>0.0</v>
      </c>
      <c r="I3641" s="2">
        <v>0.0</v>
      </c>
      <c r="J3641" s="37">
        <v>0.0</v>
      </c>
      <c r="K3641" s="2">
        <v>0.0</v>
      </c>
      <c r="L3641" s="2">
        <v>0.0</v>
      </c>
      <c r="M3641" s="37">
        <v>0.0</v>
      </c>
    </row>
    <row r="3642" ht="14.25" customHeight="1">
      <c r="A3642" t="s">
        <v>3704</v>
      </c>
      <c r="B3642" t="s">
        <v>3675</v>
      </c>
      <c r="C3642" t="s">
        <v>62</v>
      </c>
      <c r="D3642" t="s">
        <v>63</v>
      </c>
      <c r="E3642">
        <v>5.0</v>
      </c>
      <c r="F3642">
        <v>5.3</v>
      </c>
      <c r="G3642" s="2" t="s">
        <v>64</v>
      </c>
      <c r="H3642" s="2">
        <v>0.0</v>
      </c>
      <c r="I3642" s="2">
        <v>0.0</v>
      </c>
      <c r="J3642" s="37">
        <v>0.0</v>
      </c>
      <c r="K3642" s="2">
        <v>0.0</v>
      </c>
      <c r="L3642" s="2">
        <v>0.0</v>
      </c>
      <c r="M3642" s="37">
        <v>0.0</v>
      </c>
    </row>
    <row r="3643" ht="14.25" customHeight="1">
      <c r="A3643" t="s">
        <v>3705</v>
      </c>
      <c r="B3643" t="s">
        <v>3675</v>
      </c>
      <c r="C3643" t="s">
        <v>75</v>
      </c>
      <c r="D3643" t="s">
        <v>63</v>
      </c>
      <c r="E3643">
        <v>2.5</v>
      </c>
      <c r="F3643">
        <v>3.4</v>
      </c>
      <c r="G3643" s="2" t="s">
        <v>64</v>
      </c>
      <c r="H3643" s="2">
        <v>0.0</v>
      </c>
      <c r="I3643" s="2">
        <v>0.0</v>
      </c>
      <c r="J3643" s="37">
        <v>0.0</v>
      </c>
      <c r="K3643" s="2">
        <v>0.0</v>
      </c>
      <c r="L3643" s="2">
        <v>0.0</v>
      </c>
      <c r="M3643" s="37">
        <v>0.0</v>
      </c>
    </row>
    <row r="3644" ht="14.25" customHeight="1">
      <c r="A3644" t="s">
        <v>3706</v>
      </c>
      <c r="B3644" t="s">
        <v>3675</v>
      </c>
      <c r="C3644" t="s">
        <v>75</v>
      </c>
      <c r="D3644" t="s">
        <v>63</v>
      </c>
      <c r="E3644">
        <v>3.6</v>
      </c>
      <c r="F3644">
        <v>4.0</v>
      </c>
      <c r="G3644" s="2" t="s">
        <v>67</v>
      </c>
      <c r="H3644" s="2">
        <v>8.0</v>
      </c>
      <c r="I3644" s="2">
        <v>68.0</v>
      </c>
      <c r="J3644" s="37">
        <v>268.08000000000004</v>
      </c>
      <c r="K3644" s="2">
        <v>10.0</v>
      </c>
      <c r="L3644" s="2">
        <v>105.0</v>
      </c>
      <c r="M3644" s="37">
        <v>361.1</v>
      </c>
    </row>
    <row r="3645" ht="14.25" customHeight="1">
      <c r="A3645" t="s">
        <v>3707</v>
      </c>
      <c r="B3645" t="s">
        <v>3675</v>
      </c>
      <c r="C3645" t="s">
        <v>75</v>
      </c>
      <c r="D3645" t="s">
        <v>63</v>
      </c>
      <c r="E3645">
        <v>5.0</v>
      </c>
      <c r="F3645">
        <v>5.3</v>
      </c>
      <c r="G3645" s="2" t="s">
        <v>64</v>
      </c>
      <c r="H3645" s="2">
        <v>0.0</v>
      </c>
      <c r="I3645" s="2">
        <v>0.0</v>
      </c>
      <c r="J3645" s="37">
        <v>0.0</v>
      </c>
      <c r="K3645" s="2">
        <v>0.0</v>
      </c>
      <c r="L3645" s="2">
        <v>0.0</v>
      </c>
      <c r="M3645" s="37">
        <v>0.0</v>
      </c>
    </row>
    <row r="3646" ht="14.25" customHeight="1">
      <c r="A3646" t="s">
        <v>3708</v>
      </c>
      <c r="B3646" t="s">
        <v>3675</v>
      </c>
      <c r="C3646" t="s">
        <v>62</v>
      </c>
      <c r="D3646" t="s">
        <v>63</v>
      </c>
      <c r="E3646">
        <v>5.0</v>
      </c>
      <c r="F3646">
        <v>5.6</v>
      </c>
      <c r="G3646" s="2" t="s">
        <v>67</v>
      </c>
      <c r="H3646" s="2">
        <v>12.0</v>
      </c>
      <c r="I3646" s="2">
        <v>98.0</v>
      </c>
      <c r="J3646" s="37">
        <v>396.91999999999996</v>
      </c>
      <c r="K3646" s="2">
        <v>14.0</v>
      </c>
      <c r="L3646" s="2">
        <v>144.0</v>
      </c>
      <c r="M3646" s="37">
        <v>501.64</v>
      </c>
    </row>
    <row r="3647" ht="14.25" customHeight="1">
      <c r="A3647" t="s">
        <v>3709</v>
      </c>
      <c r="B3647" t="s">
        <v>3675</v>
      </c>
      <c r="C3647" t="s">
        <v>62</v>
      </c>
      <c r="D3647" t="s">
        <v>63</v>
      </c>
      <c r="E3647">
        <v>7.1</v>
      </c>
      <c r="F3647">
        <v>8.0</v>
      </c>
      <c r="G3647" s="2" t="s">
        <v>67</v>
      </c>
      <c r="H3647" s="2">
        <v>19.0</v>
      </c>
      <c r="I3647" s="2">
        <v>185.0</v>
      </c>
      <c r="J3647" s="37">
        <v>667.24</v>
      </c>
      <c r="K3647" s="2">
        <v>23.0</v>
      </c>
      <c r="L3647" s="2">
        <v>250.0</v>
      </c>
      <c r="M3647" s="37">
        <v>841.58</v>
      </c>
    </row>
    <row r="3648" ht="14.25" customHeight="1">
      <c r="A3648" t="s">
        <v>3710</v>
      </c>
      <c r="B3648" t="s">
        <v>3675</v>
      </c>
      <c r="C3648" t="s">
        <v>62</v>
      </c>
      <c r="D3648" t="s">
        <v>63</v>
      </c>
      <c r="E3648">
        <v>10.0</v>
      </c>
      <c r="F3648">
        <v>11.2</v>
      </c>
      <c r="G3648" s="2" t="s">
        <v>67</v>
      </c>
      <c r="H3648" s="2">
        <v>31.0</v>
      </c>
      <c r="I3648" s="2">
        <v>324.0</v>
      </c>
      <c r="J3648" s="37">
        <v>1117.46</v>
      </c>
      <c r="K3648" s="2">
        <v>36.0</v>
      </c>
      <c r="L3648" s="2">
        <v>427.0</v>
      </c>
      <c r="M3648" s="37">
        <v>1363.66</v>
      </c>
    </row>
    <row r="3649" ht="14.25" customHeight="1">
      <c r="A3649" t="s">
        <v>3711</v>
      </c>
      <c r="B3649" t="s">
        <v>3675</v>
      </c>
      <c r="C3649" t="s">
        <v>62</v>
      </c>
      <c r="D3649" t="s">
        <v>63</v>
      </c>
      <c r="E3649">
        <v>12.5</v>
      </c>
      <c r="F3649">
        <v>14.0</v>
      </c>
      <c r="G3649" s="2" t="s">
        <v>67</v>
      </c>
      <c r="H3649" s="2">
        <v>34.0</v>
      </c>
      <c r="I3649" s="2">
        <v>258.0</v>
      </c>
      <c r="J3649" s="37">
        <v>1099.04</v>
      </c>
      <c r="K3649" s="2">
        <v>41.0</v>
      </c>
      <c r="L3649" s="2">
        <v>386.0</v>
      </c>
      <c r="M3649" s="37">
        <v>1422.66</v>
      </c>
    </row>
    <row r="3650" ht="14.25" customHeight="1">
      <c r="A3650" t="s">
        <v>3712</v>
      </c>
      <c r="B3650" t="s">
        <v>3675</v>
      </c>
      <c r="C3650" t="s">
        <v>62</v>
      </c>
      <c r="D3650" t="s">
        <v>3713</v>
      </c>
      <c r="E3650">
        <v>10.0</v>
      </c>
      <c r="F3650">
        <v>11.2</v>
      </c>
      <c r="G3650" s="2" t="s">
        <v>67</v>
      </c>
      <c r="H3650" s="2">
        <v>31.0</v>
      </c>
      <c r="I3650" s="2">
        <v>324.0</v>
      </c>
      <c r="J3650" s="37">
        <v>1117.46</v>
      </c>
      <c r="K3650" s="2">
        <v>36.0</v>
      </c>
      <c r="L3650" s="2">
        <v>427.0</v>
      </c>
      <c r="M3650" s="37">
        <v>1363.66</v>
      </c>
    </row>
    <row r="3651" ht="14.25" customHeight="1">
      <c r="A3651" t="s">
        <v>3714</v>
      </c>
      <c r="B3651" t="s">
        <v>3675</v>
      </c>
      <c r="C3651" t="s">
        <v>62</v>
      </c>
      <c r="D3651" t="s">
        <v>3713</v>
      </c>
      <c r="E3651">
        <v>12.5</v>
      </c>
      <c r="F3651">
        <v>14.0</v>
      </c>
      <c r="G3651" s="2" t="s">
        <v>67</v>
      </c>
      <c r="H3651" s="2">
        <v>34.0</v>
      </c>
      <c r="I3651" s="2">
        <v>258.0</v>
      </c>
      <c r="J3651" s="37">
        <v>1099.04</v>
      </c>
      <c r="K3651" s="2">
        <v>40.0</v>
      </c>
      <c r="L3651" s="2">
        <v>386.0</v>
      </c>
      <c r="M3651" s="37">
        <v>1400.2</v>
      </c>
    </row>
    <row r="3652" ht="14.25" customHeight="1">
      <c r="A3652" t="s">
        <v>3715</v>
      </c>
      <c r="B3652" t="s">
        <v>3675</v>
      </c>
      <c r="C3652" t="s">
        <v>62</v>
      </c>
      <c r="D3652" t="s">
        <v>63</v>
      </c>
      <c r="E3652">
        <v>5.0</v>
      </c>
      <c r="F3652">
        <v>5.6</v>
      </c>
      <c r="G3652" s="2" t="s">
        <v>64</v>
      </c>
      <c r="H3652" s="2">
        <v>0.0</v>
      </c>
      <c r="I3652" s="2">
        <v>0.0</v>
      </c>
      <c r="J3652" s="37">
        <v>0.0</v>
      </c>
      <c r="K3652" s="2">
        <v>0.0</v>
      </c>
      <c r="L3652" s="2">
        <v>0.0</v>
      </c>
      <c r="M3652" s="37">
        <v>0.0</v>
      </c>
    </row>
    <row r="3653" ht="14.25" customHeight="1">
      <c r="A3653" t="s">
        <v>3716</v>
      </c>
      <c r="B3653" t="s">
        <v>3675</v>
      </c>
      <c r="C3653" t="s">
        <v>62</v>
      </c>
      <c r="D3653" t="s">
        <v>3713</v>
      </c>
      <c r="E3653">
        <v>7.1</v>
      </c>
      <c r="F3653">
        <v>8.0</v>
      </c>
      <c r="G3653" s="2" t="s">
        <v>67</v>
      </c>
      <c r="H3653" s="2">
        <v>18.0</v>
      </c>
      <c r="I3653" s="2">
        <v>140.0</v>
      </c>
      <c r="J3653" s="37">
        <v>586.28</v>
      </c>
      <c r="K3653" s="2">
        <v>21.0</v>
      </c>
      <c r="L3653" s="2">
        <v>205.0</v>
      </c>
      <c r="M3653" s="37">
        <v>738.1600000000001</v>
      </c>
    </row>
    <row r="3654" ht="14.25" customHeight="1">
      <c r="A3654" t="s">
        <v>3717</v>
      </c>
      <c r="B3654" t="s">
        <v>3675</v>
      </c>
      <c r="C3654" t="s">
        <v>62</v>
      </c>
      <c r="D3654" t="s">
        <v>3713</v>
      </c>
      <c r="E3654">
        <v>10.0</v>
      </c>
      <c r="F3654">
        <v>11.2</v>
      </c>
      <c r="G3654" s="2" t="s">
        <v>67</v>
      </c>
      <c r="H3654" s="2">
        <v>27.0</v>
      </c>
      <c r="I3654" s="2">
        <v>247.0</v>
      </c>
      <c r="J3654" s="37">
        <v>927.5200000000001</v>
      </c>
      <c r="K3654" s="2">
        <v>32.0</v>
      </c>
      <c r="L3654" s="2">
        <v>350.0</v>
      </c>
      <c r="M3654" s="37">
        <v>1173.72</v>
      </c>
    </row>
    <row r="3655" ht="14.25" customHeight="1">
      <c r="A3655" t="s">
        <v>3718</v>
      </c>
      <c r="B3655" t="s">
        <v>3675</v>
      </c>
      <c r="C3655" t="s">
        <v>62</v>
      </c>
      <c r="D3655" t="s">
        <v>63</v>
      </c>
      <c r="E3655">
        <v>5.0</v>
      </c>
      <c r="F3655">
        <v>5.6</v>
      </c>
      <c r="G3655" s="2" t="s">
        <v>64</v>
      </c>
      <c r="H3655" s="2">
        <v>0.0</v>
      </c>
      <c r="I3655" s="2">
        <v>0.0</v>
      </c>
      <c r="J3655" s="37">
        <v>0.0</v>
      </c>
      <c r="K3655" s="2">
        <v>0.0</v>
      </c>
      <c r="L3655" s="2">
        <v>0.0</v>
      </c>
      <c r="M3655" s="37">
        <v>0.0</v>
      </c>
    </row>
    <row r="3656" ht="14.25" customHeight="1">
      <c r="A3656" t="s">
        <v>3719</v>
      </c>
      <c r="B3656" t="s">
        <v>3675</v>
      </c>
      <c r="C3656" t="s">
        <v>62</v>
      </c>
      <c r="D3656" t="s">
        <v>63</v>
      </c>
      <c r="E3656">
        <v>7.1</v>
      </c>
      <c r="F3656">
        <v>8.0</v>
      </c>
      <c r="G3656" s="2" t="s">
        <v>67</v>
      </c>
      <c r="H3656" s="2">
        <v>19.0</v>
      </c>
      <c r="I3656" s="2">
        <v>179.0</v>
      </c>
      <c r="J3656" s="37">
        <v>659.44</v>
      </c>
      <c r="K3656" s="2">
        <v>22.0</v>
      </c>
      <c r="L3656" s="2">
        <v>244.0</v>
      </c>
      <c r="M3656" s="37">
        <v>811.3199999999999</v>
      </c>
    </row>
    <row r="3657" ht="14.25" customHeight="1">
      <c r="A3657" t="s">
        <v>3720</v>
      </c>
      <c r="B3657" t="s">
        <v>3675</v>
      </c>
      <c r="C3657" t="s">
        <v>62</v>
      </c>
      <c r="D3657" t="s">
        <v>63</v>
      </c>
      <c r="E3657">
        <v>10.0</v>
      </c>
      <c r="F3657">
        <v>11.2</v>
      </c>
      <c r="G3657" s="2" t="s">
        <v>67</v>
      </c>
      <c r="H3657" s="2">
        <v>30.0</v>
      </c>
      <c r="I3657" s="2">
        <v>295.0</v>
      </c>
      <c r="J3657" s="37">
        <v>1057.3000000000002</v>
      </c>
      <c r="K3657" s="2">
        <v>35.0</v>
      </c>
      <c r="L3657" s="2">
        <v>397.0</v>
      </c>
      <c r="M3657" s="37">
        <v>1302.2</v>
      </c>
    </row>
    <row r="3658" ht="14.25" customHeight="1">
      <c r="A3658" t="s">
        <v>3721</v>
      </c>
      <c r="B3658" t="s">
        <v>3675</v>
      </c>
      <c r="C3658" t="s">
        <v>62</v>
      </c>
      <c r="D3658" t="s">
        <v>63</v>
      </c>
      <c r="E3658">
        <v>12.5</v>
      </c>
      <c r="F3658">
        <v>14.0</v>
      </c>
      <c r="G3658" s="2" t="s">
        <v>64</v>
      </c>
      <c r="H3658" s="2">
        <v>0.0</v>
      </c>
      <c r="I3658" s="2">
        <v>0.0</v>
      </c>
      <c r="J3658" s="37">
        <v>0.0</v>
      </c>
      <c r="K3658" s="2">
        <v>0.0</v>
      </c>
      <c r="L3658" s="2">
        <v>0.0</v>
      </c>
      <c r="M3658" s="37">
        <v>0.0</v>
      </c>
    </row>
    <row r="3659" ht="14.25" customHeight="1">
      <c r="A3659" t="s">
        <v>3722</v>
      </c>
      <c r="B3659" t="s">
        <v>3675</v>
      </c>
      <c r="C3659" t="s">
        <v>62</v>
      </c>
      <c r="D3659" t="s">
        <v>3713</v>
      </c>
      <c r="E3659">
        <v>7.1</v>
      </c>
      <c r="F3659">
        <v>8.0</v>
      </c>
      <c r="G3659" s="2" t="s">
        <v>67</v>
      </c>
      <c r="H3659" s="2">
        <v>19.0</v>
      </c>
      <c r="I3659" s="2">
        <v>179.0</v>
      </c>
      <c r="J3659" s="37">
        <v>659.44</v>
      </c>
      <c r="K3659" s="2">
        <v>22.0</v>
      </c>
      <c r="L3659" s="2">
        <v>244.0</v>
      </c>
      <c r="M3659" s="37">
        <v>811.3199999999999</v>
      </c>
    </row>
    <row r="3660" ht="14.25" customHeight="1">
      <c r="A3660" t="s">
        <v>3723</v>
      </c>
      <c r="B3660" t="s">
        <v>3675</v>
      </c>
      <c r="C3660" t="s">
        <v>62</v>
      </c>
      <c r="D3660" t="s">
        <v>3713</v>
      </c>
      <c r="E3660">
        <v>10.0</v>
      </c>
      <c r="F3660">
        <v>11.2</v>
      </c>
      <c r="G3660" s="2" t="s">
        <v>67</v>
      </c>
      <c r="H3660" s="2">
        <v>30.0</v>
      </c>
      <c r="I3660" s="2">
        <v>295.0</v>
      </c>
      <c r="J3660" s="37">
        <v>1057.3000000000002</v>
      </c>
      <c r="K3660" s="2">
        <v>35.0</v>
      </c>
      <c r="L3660" s="2">
        <v>397.0</v>
      </c>
      <c r="M3660" s="37">
        <v>1302.2</v>
      </c>
    </row>
    <row r="3661" ht="14.25" customHeight="1">
      <c r="A3661" t="s">
        <v>3724</v>
      </c>
      <c r="B3661" t="s">
        <v>3675</v>
      </c>
      <c r="C3661" t="s">
        <v>62</v>
      </c>
      <c r="D3661" t="s">
        <v>3713</v>
      </c>
      <c r="E3661">
        <v>12.5</v>
      </c>
      <c r="F3661">
        <v>14.0</v>
      </c>
      <c r="G3661" s="2" t="s">
        <v>64</v>
      </c>
      <c r="H3661" s="2">
        <v>0.0</v>
      </c>
      <c r="I3661" s="2">
        <v>0.0</v>
      </c>
      <c r="J3661" s="37">
        <v>0.0</v>
      </c>
      <c r="K3661" s="2">
        <v>0.0</v>
      </c>
      <c r="L3661" s="2">
        <v>0.0</v>
      </c>
      <c r="M3661" s="37">
        <v>0.0</v>
      </c>
    </row>
    <row r="3662" ht="14.25" customHeight="1">
      <c r="A3662" t="s">
        <v>3725</v>
      </c>
      <c r="B3662" t="s">
        <v>3675</v>
      </c>
      <c r="C3662" t="s">
        <v>75</v>
      </c>
      <c r="D3662" t="s">
        <v>63</v>
      </c>
      <c r="E3662">
        <v>5.0</v>
      </c>
      <c r="F3662">
        <v>5.6</v>
      </c>
      <c r="G3662" s="2" t="s">
        <v>64</v>
      </c>
      <c r="H3662" s="2">
        <v>0.0</v>
      </c>
      <c r="I3662" s="2">
        <v>0.0</v>
      </c>
      <c r="J3662" s="37">
        <v>0.0</v>
      </c>
      <c r="K3662" s="2">
        <v>0.0</v>
      </c>
      <c r="L3662" s="2">
        <v>0.0</v>
      </c>
      <c r="M3662" s="37">
        <v>0.0</v>
      </c>
    </row>
    <row r="3663" ht="14.25" customHeight="1">
      <c r="A3663" t="s">
        <v>3726</v>
      </c>
      <c r="B3663" t="s">
        <v>3675</v>
      </c>
      <c r="C3663" t="s">
        <v>75</v>
      </c>
      <c r="D3663" t="s">
        <v>63</v>
      </c>
      <c r="E3663">
        <v>7.1</v>
      </c>
      <c r="F3663">
        <v>8.0</v>
      </c>
      <c r="G3663" s="2" t="s">
        <v>67</v>
      </c>
      <c r="H3663" s="2">
        <v>20.0</v>
      </c>
      <c r="I3663" s="2">
        <v>195.0</v>
      </c>
      <c r="J3663" s="37">
        <v>702.7</v>
      </c>
      <c r="K3663" s="2">
        <v>24.0</v>
      </c>
      <c r="L3663" s="2">
        <v>268.0</v>
      </c>
      <c r="M3663" s="37">
        <v>887.44</v>
      </c>
    </row>
    <row r="3664" ht="14.25" customHeight="1">
      <c r="A3664" t="s">
        <v>3727</v>
      </c>
      <c r="B3664" t="s">
        <v>3675</v>
      </c>
      <c r="C3664" t="s">
        <v>75</v>
      </c>
      <c r="D3664" t="s">
        <v>63</v>
      </c>
      <c r="E3664">
        <v>10.0</v>
      </c>
      <c r="F3664">
        <v>11.2</v>
      </c>
      <c r="G3664" s="2" t="s">
        <v>67</v>
      </c>
      <c r="H3664" s="2">
        <v>26.0</v>
      </c>
      <c r="I3664" s="2">
        <v>244.0</v>
      </c>
      <c r="J3664" s="37">
        <v>901.1600000000001</v>
      </c>
      <c r="K3664" s="2">
        <v>32.0</v>
      </c>
      <c r="L3664" s="2">
        <v>347.0</v>
      </c>
      <c r="M3664" s="37">
        <v>1169.8200000000002</v>
      </c>
    </row>
    <row r="3665" ht="14.25" customHeight="1">
      <c r="A3665" t="s">
        <v>3728</v>
      </c>
      <c r="B3665" t="s">
        <v>3675</v>
      </c>
      <c r="C3665" t="s">
        <v>75</v>
      </c>
      <c r="D3665" t="s">
        <v>63</v>
      </c>
      <c r="E3665">
        <v>12.5</v>
      </c>
      <c r="F3665">
        <v>14.0</v>
      </c>
      <c r="G3665" s="2" t="s">
        <v>64</v>
      </c>
      <c r="H3665" s="2">
        <v>0.0</v>
      </c>
      <c r="I3665" s="2">
        <v>0.0</v>
      </c>
      <c r="J3665" s="37">
        <v>0.0</v>
      </c>
      <c r="K3665" s="2">
        <v>0.0</v>
      </c>
      <c r="L3665" s="2">
        <v>0.0</v>
      </c>
      <c r="M3665" s="37">
        <v>0.0</v>
      </c>
    </row>
    <row r="3666" ht="14.25" customHeight="1">
      <c r="A3666" t="s">
        <v>3729</v>
      </c>
      <c r="B3666" t="s">
        <v>3675</v>
      </c>
      <c r="C3666" t="s">
        <v>62</v>
      </c>
      <c r="D3666" t="s">
        <v>63</v>
      </c>
      <c r="E3666">
        <v>5.0</v>
      </c>
      <c r="F3666">
        <v>5.6</v>
      </c>
      <c r="G3666" s="2" t="s">
        <v>64</v>
      </c>
      <c r="H3666" s="2">
        <v>0.0</v>
      </c>
      <c r="I3666" s="2">
        <v>0.0</v>
      </c>
      <c r="J3666" s="37">
        <v>0.0</v>
      </c>
      <c r="K3666" s="2">
        <v>0.0</v>
      </c>
      <c r="L3666" s="2">
        <v>0.0</v>
      </c>
      <c r="M3666" s="37">
        <v>0.0</v>
      </c>
    </row>
    <row r="3667" ht="14.25" customHeight="1">
      <c r="A3667" t="s">
        <v>3730</v>
      </c>
      <c r="B3667" t="s">
        <v>3675</v>
      </c>
      <c r="C3667" t="s">
        <v>62</v>
      </c>
      <c r="D3667" t="s">
        <v>63</v>
      </c>
      <c r="E3667">
        <v>7.1</v>
      </c>
      <c r="F3667">
        <v>8.0</v>
      </c>
      <c r="G3667" s="2" t="s">
        <v>64</v>
      </c>
      <c r="H3667" s="2">
        <v>0.0</v>
      </c>
      <c r="I3667" s="2">
        <v>0.0</v>
      </c>
      <c r="J3667" s="37">
        <v>0.0</v>
      </c>
      <c r="K3667" s="2">
        <v>0.0</v>
      </c>
      <c r="L3667" s="2">
        <v>0.0</v>
      </c>
      <c r="M3667" s="37">
        <v>0.0</v>
      </c>
    </row>
    <row r="3668" ht="14.25" customHeight="1">
      <c r="A3668" t="s">
        <v>3731</v>
      </c>
      <c r="B3668" t="s">
        <v>3675</v>
      </c>
      <c r="C3668" t="s">
        <v>62</v>
      </c>
      <c r="D3668" t="s">
        <v>3713</v>
      </c>
      <c r="E3668">
        <v>10.0</v>
      </c>
      <c r="F3668">
        <v>11.2</v>
      </c>
      <c r="G3668" s="2" t="s">
        <v>67</v>
      </c>
      <c r="H3668" s="2">
        <v>26.0</v>
      </c>
      <c r="I3668" s="2">
        <v>233.0</v>
      </c>
      <c r="J3668" s="37">
        <v>886.8600000000001</v>
      </c>
      <c r="K3668" s="2">
        <v>31.0</v>
      </c>
      <c r="L3668" s="2">
        <v>335.0</v>
      </c>
      <c r="M3668" s="37">
        <v>1131.76</v>
      </c>
    </row>
    <row r="3669" ht="14.25" customHeight="1">
      <c r="A3669" t="s">
        <v>3732</v>
      </c>
      <c r="B3669" t="s">
        <v>3675</v>
      </c>
      <c r="C3669" t="s">
        <v>62</v>
      </c>
      <c r="D3669" t="s">
        <v>3713</v>
      </c>
      <c r="E3669">
        <v>12.5</v>
      </c>
      <c r="F3669">
        <v>14.0</v>
      </c>
      <c r="G3669" s="2" t="s">
        <v>64</v>
      </c>
      <c r="H3669" s="2">
        <v>0.0</v>
      </c>
      <c r="I3669" s="2">
        <v>0.0</v>
      </c>
      <c r="J3669" s="37">
        <v>0.0</v>
      </c>
      <c r="K3669" s="2">
        <v>0.0</v>
      </c>
      <c r="L3669" s="2">
        <v>0.0</v>
      </c>
      <c r="M3669" s="37">
        <v>0.0</v>
      </c>
    </row>
    <row r="3670" ht="14.25" customHeight="1">
      <c r="A3670" t="s">
        <v>3733</v>
      </c>
      <c r="B3670" t="s">
        <v>3675</v>
      </c>
      <c r="C3670" t="s">
        <v>62</v>
      </c>
      <c r="D3670" t="s">
        <v>63</v>
      </c>
      <c r="E3670">
        <v>3.6</v>
      </c>
      <c r="F3670">
        <v>4.0</v>
      </c>
      <c r="G3670" s="2" t="s">
        <v>64</v>
      </c>
      <c r="H3670" s="2">
        <v>0.0</v>
      </c>
      <c r="I3670" s="2">
        <v>0.0</v>
      </c>
      <c r="J3670" s="37">
        <v>0.0</v>
      </c>
      <c r="K3670" s="2">
        <v>0.0</v>
      </c>
      <c r="L3670" s="2">
        <v>0.0</v>
      </c>
      <c r="M3670" s="37">
        <v>0.0</v>
      </c>
    </row>
    <row r="3671" ht="14.25" customHeight="1">
      <c r="A3671" t="s">
        <v>3734</v>
      </c>
      <c r="B3671" t="s">
        <v>3675</v>
      </c>
      <c r="C3671" t="s">
        <v>62</v>
      </c>
      <c r="D3671" t="s">
        <v>3713</v>
      </c>
      <c r="E3671">
        <v>12.2999999999999</v>
      </c>
      <c r="F3671">
        <v>14.0</v>
      </c>
      <c r="G3671" s="2" t="s">
        <v>64</v>
      </c>
      <c r="H3671" s="2">
        <v>0.0</v>
      </c>
      <c r="I3671" s="2">
        <v>0.0</v>
      </c>
      <c r="J3671" s="37">
        <v>0.0</v>
      </c>
      <c r="K3671" s="2">
        <v>0.0</v>
      </c>
      <c r="L3671" s="2">
        <v>0.0</v>
      </c>
      <c r="M3671" s="37">
        <v>0.0</v>
      </c>
    </row>
    <row r="3672" ht="14.25" customHeight="1">
      <c r="A3672" t="s">
        <v>3735</v>
      </c>
      <c r="B3672" t="s">
        <v>3675</v>
      </c>
      <c r="C3672" t="s">
        <v>62</v>
      </c>
      <c r="D3672" t="s">
        <v>63</v>
      </c>
      <c r="E3672">
        <v>12.5</v>
      </c>
      <c r="F3672">
        <v>14.0</v>
      </c>
      <c r="G3672" s="2" t="s">
        <v>67</v>
      </c>
      <c r="H3672" s="2">
        <v>30.0</v>
      </c>
      <c r="I3672" s="2">
        <v>181.0</v>
      </c>
      <c r="J3672" s="37">
        <v>909.1000000000001</v>
      </c>
      <c r="K3672" s="2">
        <v>37.0</v>
      </c>
      <c r="L3672" s="2">
        <v>309.0</v>
      </c>
      <c r="M3672" s="37">
        <v>1232.72</v>
      </c>
    </row>
    <row r="3673" ht="14.25" customHeight="1">
      <c r="A3673" t="s">
        <v>3736</v>
      </c>
      <c r="B3673" t="s">
        <v>3675</v>
      </c>
      <c r="C3673" t="s">
        <v>62</v>
      </c>
      <c r="D3673" t="s">
        <v>3713</v>
      </c>
      <c r="E3673">
        <v>14.0</v>
      </c>
      <c r="F3673">
        <v>16.0</v>
      </c>
      <c r="G3673" s="2" t="s">
        <v>64</v>
      </c>
      <c r="H3673" s="2">
        <v>0.0</v>
      </c>
      <c r="I3673" s="2">
        <v>0.0</v>
      </c>
      <c r="J3673" s="37">
        <v>0.0</v>
      </c>
      <c r="K3673" s="2">
        <v>0.0</v>
      </c>
      <c r="L3673" s="2">
        <v>0.0</v>
      </c>
      <c r="M3673" s="37">
        <v>0.0</v>
      </c>
    </row>
    <row r="3674" ht="14.25" customHeight="1">
      <c r="A3674" t="s">
        <v>3737</v>
      </c>
      <c r="B3674" t="s">
        <v>3675</v>
      </c>
      <c r="C3674" t="s">
        <v>62</v>
      </c>
      <c r="D3674" t="s">
        <v>63</v>
      </c>
      <c r="E3674">
        <v>14.0</v>
      </c>
      <c r="F3674">
        <v>16.0</v>
      </c>
      <c r="G3674" s="2" t="s">
        <v>64</v>
      </c>
      <c r="H3674" s="2">
        <v>0.0</v>
      </c>
      <c r="I3674" s="2">
        <v>0.0</v>
      </c>
      <c r="J3674" s="37">
        <v>0.0</v>
      </c>
      <c r="K3674" s="2">
        <v>0.0</v>
      </c>
      <c r="L3674" s="2">
        <v>0.0</v>
      </c>
      <c r="M3674" s="37">
        <v>0.0</v>
      </c>
    </row>
    <row r="3675" ht="14.25" customHeight="1">
      <c r="A3675" t="s">
        <v>3738</v>
      </c>
      <c r="B3675" t="s">
        <v>3675</v>
      </c>
      <c r="C3675" t="s">
        <v>62</v>
      </c>
      <c r="D3675" t="s">
        <v>3713</v>
      </c>
      <c r="E3675">
        <v>12.5</v>
      </c>
      <c r="F3675">
        <v>14.0</v>
      </c>
      <c r="G3675" s="2" t="s">
        <v>67</v>
      </c>
      <c r="H3675" s="2">
        <v>30.0</v>
      </c>
      <c r="I3675" s="2">
        <v>181.0</v>
      </c>
      <c r="J3675" s="37">
        <v>909.1000000000001</v>
      </c>
      <c r="K3675" s="2">
        <v>37.0</v>
      </c>
      <c r="L3675" s="2">
        <v>309.0</v>
      </c>
      <c r="M3675" s="37">
        <v>1232.72</v>
      </c>
    </row>
    <row r="3676" ht="14.25" customHeight="1">
      <c r="A3676" t="s">
        <v>3739</v>
      </c>
      <c r="B3676" t="s">
        <v>3675</v>
      </c>
      <c r="C3676" t="s">
        <v>62</v>
      </c>
      <c r="D3676" t="s">
        <v>3713</v>
      </c>
      <c r="E3676">
        <v>14.0</v>
      </c>
      <c r="F3676">
        <v>16.0</v>
      </c>
      <c r="G3676" s="2" t="s">
        <v>64</v>
      </c>
      <c r="H3676" s="2">
        <v>0.0</v>
      </c>
      <c r="I3676" s="2">
        <v>0.0</v>
      </c>
      <c r="J3676" s="37">
        <v>0.0</v>
      </c>
      <c r="K3676" s="2">
        <v>0.0</v>
      </c>
      <c r="L3676" s="2">
        <v>0.0</v>
      </c>
      <c r="M3676" s="37">
        <v>0.0</v>
      </c>
    </row>
    <row r="3677" ht="14.25" customHeight="1">
      <c r="A3677" t="s">
        <v>3740</v>
      </c>
      <c r="B3677" t="s">
        <v>3675</v>
      </c>
      <c r="C3677" t="s">
        <v>75</v>
      </c>
      <c r="D3677" t="s">
        <v>63</v>
      </c>
      <c r="E3677">
        <v>12.5</v>
      </c>
      <c r="F3677">
        <v>14.0</v>
      </c>
      <c r="G3677" s="2" t="s">
        <v>64</v>
      </c>
      <c r="H3677" s="2">
        <v>0.0</v>
      </c>
      <c r="I3677" s="2">
        <v>0.0</v>
      </c>
      <c r="J3677" s="37">
        <v>0.0</v>
      </c>
      <c r="K3677" s="2">
        <v>0.0</v>
      </c>
      <c r="L3677" s="2">
        <v>0.0</v>
      </c>
      <c r="M3677" s="37">
        <v>0.0</v>
      </c>
    </row>
    <row r="3678" ht="14.25" customHeight="1">
      <c r="A3678" t="s">
        <v>3741</v>
      </c>
      <c r="B3678" t="s">
        <v>3675</v>
      </c>
      <c r="C3678" t="s">
        <v>75</v>
      </c>
      <c r="D3678" t="s">
        <v>63</v>
      </c>
      <c r="E3678">
        <v>14.0</v>
      </c>
      <c r="F3678">
        <v>16.0</v>
      </c>
      <c r="G3678" s="2" t="s">
        <v>64</v>
      </c>
      <c r="H3678" s="2">
        <v>0.0</v>
      </c>
      <c r="I3678" s="2">
        <v>0.0</v>
      </c>
      <c r="J3678" s="37">
        <v>0.0</v>
      </c>
      <c r="K3678" s="2">
        <v>0.0</v>
      </c>
      <c r="L3678" s="2">
        <v>0.0</v>
      </c>
      <c r="M3678" s="37">
        <v>0.0</v>
      </c>
    </row>
    <row r="3679" ht="14.25" customHeight="1">
      <c r="A3679" t="s">
        <v>3742</v>
      </c>
      <c r="B3679" t="s">
        <v>3675</v>
      </c>
      <c r="C3679" t="s">
        <v>62</v>
      </c>
      <c r="D3679" t="s">
        <v>63</v>
      </c>
      <c r="E3679">
        <v>12.5</v>
      </c>
      <c r="F3679">
        <v>14.0</v>
      </c>
      <c r="G3679" s="2" t="s">
        <v>64</v>
      </c>
      <c r="H3679" s="2">
        <v>0.0</v>
      </c>
      <c r="I3679" s="2">
        <v>0.0</v>
      </c>
      <c r="J3679" s="37">
        <v>0.0</v>
      </c>
      <c r="K3679" s="2">
        <v>0.0</v>
      </c>
      <c r="L3679" s="2">
        <v>0.0</v>
      </c>
      <c r="M3679" s="37">
        <v>0.0</v>
      </c>
    </row>
    <row r="3680" ht="14.25" customHeight="1">
      <c r="A3680" t="s">
        <v>3743</v>
      </c>
      <c r="B3680" t="s">
        <v>3675</v>
      </c>
      <c r="C3680" t="s">
        <v>62</v>
      </c>
      <c r="D3680" t="s">
        <v>63</v>
      </c>
      <c r="E3680">
        <v>14.0</v>
      </c>
      <c r="F3680">
        <v>16.0</v>
      </c>
      <c r="G3680" s="2" t="s">
        <v>64</v>
      </c>
      <c r="H3680" s="2">
        <v>0.0</v>
      </c>
      <c r="I3680" s="2">
        <v>0.0</v>
      </c>
      <c r="J3680" s="37">
        <v>0.0</v>
      </c>
      <c r="K3680" s="2">
        <v>0.0</v>
      </c>
      <c r="L3680" s="2">
        <v>0.0</v>
      </c>
      <c r="M3680" s="37">
        <v>0.0</v>
      </c>
    </row>
    <row r="3681" ht="14.25" customHeight="1">
      <c r="A3681" t="s">
        <v>3744</v>
      </c>
      <c r="B3681" t="s">
        <v>3675</v>
      </c>
      <c r="C3681" t="s">
        <v>62</v>
      </c>
      <c r="D3681" t="s">
        <v>3713</v>
      </c>
      <c r="E3681">
        <v>12.5</v>
      </c>
      <c r="F3681">
        <v>14.0</v>
      </c>
      <c r="G3681" s="2" t="s">
        <v>64</v>
      </c>
      <c r="H3681" s="2">
        <v>0.0</v>
      </c>
      <c r="I3681" s="2">
        <v>0.0</v>
      </c>
      <c r="J3681" s="37">
        <v>0.0</v>
      </c>
      <c r="K3681" s="2">
        <v>0.0</v>
      </c>
      <c r="L3681" s="2">
        <v>0.0</v>
      </c>
      <c r="M3681" s="37">
        <v>0.0</v>
      </c>
    </row>
    <row r="3682" ht="14.25" customHeight="1">
      <c r="A3682" t="s">
        <v>3745</v>
      </c>
      <c r="B3682" t="s">
        <v>3675</v>
      </c>
      <c r="C3682" t="s">
        <v>62</v>
      </c>
      <c r="D3682" t="s">
        <v>3713</v>
      </c>
      <c r="E3682">
        <v>14.0</v>
      </c>
      <c r="F3682">
        <v>16.0</v>
      </c>
      <c r="G3682" s="2" t="s">
        <v>64</v>
      </c>
      <c r="H3682" s="2">
        <v>0.0</v>
      </c>
      <c r="I3682" s="2">
        <v>0.0</v>
      </c>
      <c r="J3682" s="37">
        <v>0.0</v>
      </c>
      <c r="K3682" s="2">
        <v>0.0</v>
      </c>
      <c r="L3682" s="2">
        <v>0.0</v>
      </c>
      <c r="M3682" s="37">
        <v>0.0</v>
      </c>
    </row>
    <row r="3683" ht="14.25" customHeight="1">
      <c r="A3683" t="s">
        <v>3746</v>
      </c>
      <c r="B3683" t="s">
        <v>3675</v>
      </c>
      <c r="C3683" t="s">
        <v>62</v>
      </c>
      <c r="D3683" t="s">
        <v>63</v>
      </c>
      <c r="E3683">
        <v>9.5</v>
      </c>
      <c r="F3683">
        <v>11.2</v>
      </c>
      <c r="G3683" s="2" t="s">
        <v>64</v>
      </c>
      <c r="H3683" s="2">
        <v>0.0</v>
      </c>
      <c r="I3683" s="2">
        <v>0.0</v>
      </c>
      <c r="J3683" s="37">
        <v>0.0</v>
      </c>
      <c r="K3683" s="2">
        <v>0.0</v>
      </c>
      <c r="L3683" s="2">
        <v>0.0</v>
      </c>
      <c r="M3683" s="37">
        <v>0.0</v>
      </c>
    </row>
    <row r="3684" ht="14.25" customHeight="1">
      <c r="A3684" t="s">
        <v>3747</v>
      </c>
      <c r="B3684" t="s">
        <v>3675</v>
      </c>
      <c r="C3684" t="s">
        <v>62</v>
      </c>
      <c r="D3684" t="s">
        <v>63</v>
      </c>
      <c r="E3684">
        <v>2.5</v>
      </c>
      <c r="F3684">
        <v>3.2</v>
      </c>
      <c r="G3684" s="2" t="s">
        <v>64</v>
      </c>
      <c r="H3684" s="2">
        <v>0.0</v>
      </c>
      <c r="I3684" s="2">
        <v>0.0</v>
      </c>
      <c r="J3684" s="37">
        <v>0.0</v>
      </c>
      <c r="K3684" s="2">
        <v>0.0</v>
      </c>
      <c r="L3684" s="2">
        <v>0.0</v>
      </c>
      <c r="M3684" s="37">
        <v>0.0</v>
      </c>
    </row>
    <row r="3685" ht="14.25" customHeight="1">
      <c r="A3685" t="s">
        <v>3748</v>
      </c>
      <c r="B3685" t="s">
        <v>3675</v>
      </c>
      <c r="C3685" t="s">
        <v>62</v>
      </c>
      <c r="D3685" t="s">
        <v>63</v>
      </c>
      <c r="E3685">
        <v>4.0</v>
      </c>
      <c r="F3685">
        <v>4.2</v>
      </c>
      <c r="G3685" s="2" t="s">
        <v>67</v>
      </c>
      <c r="H3685" s="2">
        <v>12.0</v>
      </c>
      <c r="I3685" s="2">
        <v>42.0</v>
      </c>
      <c r="J3685" s="37">
        <v>324.12</v>
      </c>
      <c r="K3685" s="2">
        <v>13.0</v>
      </c>
      <c r="L3685" s="2">
        <v>78.0</v>
      </c>
      <c r="M3685" s="37">
        <v>393.38</v>
      </c>
    </row>
    <row r="3686" ht="14.25" customHeight="1">
      <c r="A3686" t="s">
        <v>3749</v>
      </c>
      <c r="B3686" t="s">
        <v>3675</v>
      </c>
      <c r="C3686" t="s">
        <v>62</v>
      </c>
      <c r="D3686" t="s">
        <v>63</v>
      </c>
      <c r="E3686">
        <v>5.0</v>
      </c>
      <c r="F3686">
        <v>5.8</v>
      </c>
      <c r="G3686" s="2" t="s">
        <v>64</v>
      </c>
      <c r="H3686" s="2">
        <v>0.0</v>
      </c>
      <c r="I3686" s="2">
        <v>0.0</v>
      </c>
      <c r="J3686" s="37">
        <v>0.0</v>
      </c>
      <c r="K3686" s="2">
        <v>0.0</v>
      </c>
      <c r="L3686" s="2">
        <v>0.0</v>
      </c>
      <c r="M3686" s="37">
        <v>0.0</v>
      </c>
    </row>
    <row r="3687" ht="14.25" customHeight="1">
      <c r="A3687" t="s">
        <v>3750</v>
      </c>
      <c r="B3687" t="s">
        <v>3675</v>
      </c>
      <c r="C3687" t="s">
        <v>62</v>
      </c>
      <c r="D3687" t="s">
        <v>63</v>
      </c>
      <c r="E3687">
        <v>8.0</v>
      </c>
      <c r="F3687">
        <v>9.0</v>
      </c>
      <c r="G3687" s="2" t="s">
        <v>64</v>
      </c>
      <c r="H3687" s="2">
        <v>0.0</v>
      </c>
      <c r="I3687" s="2">
        <v>0.0</v>
      </c>
      <c r="J3687" s="37">
        <v>0.0</v>
      </c>
      <c r="K3687" s="2">
        <v>0.0</v>
      </c>
      <c r="L3687" s="2">
        <v>0.0</v>
      </c>
      <c r="M3687" s="37">
        <v>0.0</v>
      </c>
    </row>
    <row r="3688" ht="14.25" customHeight="1">
      <c r="A3688" t="s">
        <v>3751</v>
      </c>
      <c r="B3688" t="s">
        <v>3675</v>
      </c>
      <c r="C3688" t="s">
        <v>62</v>
      </c>
      <c r="D3688" t="s">
        <v>63</v>
      </c>
      <c r="E3688">
        <v>8.0</v>
      </c>
      <c r="F3688">
        <v>9.0</v>
      </c>
      <c r="G3688" s="2" t="s">
        <v>67</v>
      </c>
      <c r="H3688" s="2">
        <v>25.0</v>
      </c>
      <c r="I3688" s="2">
        <v>78.0</v>
      </c>
      <c r="J3688" s="37">
        <v>662.9</v>
      </c>
      <c r="K3688" s="2">
        <v>29.0</v>
      </c>
      <c r="L3688" s="2">
        <v>151.0</v>
      </c>
      <c r="M3688" s="37">
        <v>847.6400000000001</v>
      </c>
    </row>
    <row r="3689" ht="14.25" customHeight="1">
      <c r="A3689" t="s">
        <v>3752</v>
      </c>
      <c r="B3689" t="s">
        <v>3675</v>
      </c>
      <c r="C3689" t="s">
        <v>62</v>
      </c>
      <c r="D3689" t="s">
        <v>63</v>
      </c>
      <c r="E3689">
        <v>5.0</v>
      </c>
      <c r="F3689">
        <v>5.3</v>
      </c>
      <c r="G3689" s="2" t="s">
        <v>64</v>
      </c>
      <c r="H3689" s="2">
        <v>0.0</v>
      </c>
      <c r="I3689" s="2">
        <v>0.0</v>
      </c>
      <c r="J3689" s="37">
        <v>0.0</v>
      </c>
      <c r="K3689" s="2">
        <v>0.0</v>
      </c>
      <c r="L3689" s="2">
        <v>0.0</v>
      </c>
      <c r="M3689" s="37">
        <v>0.0</v>
      </c>
    </row>
    <row r="3690" ht="14.25" customHeight="1">
      <c r="A3690" t="s">
        <v>3753</v>
      </c>
      <c r="B3690" t="s">
        <v>3675</v>
      </c>
      <c r="C3690" t="s">
        <v>62</v>
      </c>
      <c r="D3690" t="s">
        <v>63</v>
      </c>
      <c r="E3690">
        <v>6.7</v>
      </c>
      <c r="F3690">
        <v>8.5</v>
      </c>
      <c r="G3690" s="2" t="s">
        <v>64</v>
      </c>
      <c r="H3690" s="2">
        <v>0.0</v>
      </c>
      <c r="I3690" s="2">
        <v>0.0</v>
      </c>
      <c r="J3690" s="37">
        <v>0.0</v>
      </c>
      <c r="K3690" s="2">
        <v>0.0</v>
      </c>
      <c r="L3690" s="2">
        <v>0.0</v>
      </c>
      <c r="M3690" s="37">
        <v>0.0</v>
      </c>
    </row>
    <row r="3691" ht="14.25" customHeight="1">
      <c r="A3691" t="s">
        <v>3754</v>
      </c>
      <c r="B3691" t="s">
        <v>3675</v>
      </c>
      <c r="C3691" t="s">
        <v>75</v>
      </c>
      <c r="D3691" t="s">
        <v>63</v>
      </c>
      <c r="E3691">
        <v>8.0</v>
      </c>
      <c r="F3691">
        <v>9.0</v>
      </c>
      <c r="G3691" s="2" t="s">
        <v>67</v>
      </c>
      <c r="H3691" s="2">
        <v>25.0</v>
      </c>
      <c r="I3691" s="2">
        <v>35.0</v>
      </c>
      <c r="J3691" s="37">
        <v>607.0</v>
      </c>
      <c r="K3691" s="2">
        <v>29.0</v>
      </c>
      <c r="L3691" s="2">
        <v>117.0</v>
      </c>
      <c r="M3691" s="37">
        <v>803.44</v>
      </c>
    </row>
    <row r="3692" ht="14.25" customHeight="1">
      <c r="A3692" t="s">
        <v>3755</v>
      </c>
      <c r="B3692" t="s">
        <v>3756</v>
      </c>
      <c r="C3692" t="s">
        <v>62</v>
      </c>
      <c r="D3692" t="s">
        <v>63</v>
      </c>
      <c r="E3692">
        <v>2.0</v>
      </c>
      <c r="F3692">
        <v>2.5</v>
      </c>
      <c r="G3692" s="2" t="s">
        <v>64</v>
      </c>
      <c r="H3692" s="2">
        <v>0.0</v>
      </c>
      <c r="I3692" s="2">
        <v>0.0</v>
      </c>
      <c r="J3692" s="37">
        <v>0.0</v>
      </c>
      <c r="K3692" s="2">
        <v>0.0</v>
      </c>
      <c r="L3692" s="2">
        <v>0.0</v>
      </c>
      <c r="M3692" s="37">
        <v>0.0</v>
      </c>
    </row>
    <row r="3693" ht="14.25" customHeight="1">
      <c r="A3693" t="s">
        <v>3757</v>
      </c>
      <c r="B3693" t="s">
        <v>3756</v>
      </c>
      <c r="C3693" t="s">
        <v>62</v>
      </c>
      <c r="D3693" t="s">
        <v>63</v>
      </c>
      <c r="E3693">
        <v>2.5</v>
      </c>
      <c r="F3693">
        <v>3.2</v>
      </c>
      <c r="G3693" s="2" t="s">
        <v>64</v>
      </c>
      <c r="H3693" s="2">
        <v>0.0</v>
      </c>
      <c r="I3693" s="2">
        <v>0.0</v>
      </c>
      <c r="J3693" s="37">
        <v>0.0</v>
      </c>
      <c r="K3693" s="2">
        <v>0.0</v>
      </c>
      <c r="L3693" s="2">
        <v>0.0</v>
      </c>
      <c r="M3693" s="37">
        <v>0.0</v>
      </c>
    </row>
    <row r="3694" ht="14.25" customHeight="1">
      <c r="A3694" t="s">
        <v>3758</v>
      </c>
      <c r="B3694" t="s">
        <v>3756</v>
      </c>
      <c r="C3694" t="s">
        <v>62</v>
      </c>
      <c r="D3694" t="s">
        <v>63</v>
      </c>
      <c r="E3694">
        <v>3.5</v>
      </c>
      <c r="F3694">
        <v>4.0</v>
      </c>
      <c r="G3694" s="2" t="s">
        <v>64</v>
      </c>
      <c r="H3694" s="2">
        <v>0.0</v>
      </c>
      <c r="I3694" s="2">
        <v>0.0</v>
      </c>
      <c r="J3694" s="37">
        <v>0.0</v>
      </c>
      <c r="K3694" s="2">
        <v>0.0</v>
      </c>
      <c r="L3694" s="2">
        <v>0.0</v>
      </c>
      <c r="M3694" s="37">
        <v>0.0</v>
      </c>
    </row>
    <row r="3695" ht="14.25" customHeight="1">
      <c r="A3695" t="s">
        <v>3759</v>
      </c>
      <c r="B3695" t="s">
        <v>3756</v>
      </c>
      <c r="C3695" t="s">
        <v>62</v>
      </c>
      <c r="D3695" t="s">
        <v>63</v>
      </c>
      <c r="E3695">
        <v>4.2</v>
      </c>
      <c r="F3695">
        <v>5.4</v>
      </c>
      <c r="G3695" s="2" t="s">
        <v>64</v>
      </c>
      <c r="H3695" s="2">
        <v>0.0</v>
      </c>
      <c r="I3695" s="2">
        <v>0.0</v>
      </c>
      <c r="J3695" s="37">
        <v>0.0</v>
      </c>
      <c r="K3695" s="2">
        <v>0.0</v>
      </c>
      <c r="L3695" s="2">
        <v>0.0</v>
      </c>
      <c r="M3695" s="37">
        <v>0.0</v>
      </c>
    </row>
    <row r="3696" ht="14.25" customHeight="1">
      <c r="A3696" t="s">
        <v>3760</v>
      </c>
      <c r="B3696" t="s">
        <v>3756</v>
      </c>
      <c r="C3696" t="s">
        <v>62</v>
      </c>
      <c r="D3696" t="s">
        <v>63</v>
      </c>
      <c r="E3696">
        <v>5.0</v>
      </c>
      <c r="F3696">
        <v>5.6</v>
      </c>
      <c r="G3696" s="2" t="s">
        <v>64</v>
      </c>
      <c r="H3696" s="2">
        <v>0.0</v>
      </c>
      <c r="I3696" s="2">
        <v>0.0</v>
      </c>
      <c r="J3696" s="37">
        <v>0.0</v>
      </c>
      <c r="K3696" s="2">
        <v>0.0</v>
      </c>
      <c r="L3696" s="2">
        <v>0.0</v>
      </c>
      <c r="M3696" s="37">
        <v>0.0</v>
      </c>
    </row>
    <row r="3697" ht="14.25" customHeight="1">
      <c r="A3697" t="s">
        <v>3761</v>
      </c>
      <c r="B3697" t="s">
        <v>3756</v>
      </c>
      <c r="C3697" t="s">
        <v>62</v>
      </c>
      <c r="D3697" t="s">
        <v>63</v>
      </c>
      <c r="E3697">
        <v>6.0</v>
      </c>
      <c r="F3697">
        <v>6.9</v>
      </c>
      <c r="G3697" s="2" t="s">
        <v>64</v>
      </c>
      <c r="H3697" s="2">
        <v>0.0</v>
      </c>
      <c r="I3697" s="2">
        <v>0.0</v>
      </c>
      <c r="J3697" s="37">
        <v>0.0</v>
      </c>
      <c r="K3697" s="2">
        <v>0.0</v>
      </c>
      <c r="L3697" s="2">
        <v>0.0</v>
      </c>
      <c r="M3697" s="37">
        <v>0.0</v>
      </c>
    </row>
    <row r="3698" ht="14.25" customHeight="1">
      <c r="A3698" t="s">
        <v>3762</v>
      </c>
      <c r="B3698" t="s">
        <v>3756</v>
      </c>
      <c r="C3698" t="s">
        <v>62</v>
      </c>
      <c r="D3698" t="s">
        <v>63</v>
      </c>
      <c r="E3698">
        <v>7.1</v>
      </c>
      <c r="F3698">
        <v>8.0</v>
      </c>
      <c r="G3698" s="2" t="s">
        <v>64</v>
      </c>
      <c r="H3698" s="2">
        <v>0.0</v>
      </c>
      <c r="I3698" s="2">
        <v>0.0</v>
      </c>
      <c r="J3698" s="37">
        <v>0.0</v>
      </c>
      <c r="K3698" s="2">
        <v>0.0</v>
      </c>
      <c r="L3698" s="2">
        <v>0.0</v>
      </c>
      <c r="M3698" s="37">
        <v>0.0</v>
      </c>
    </row>
    <row r="3699" ht="14.25" customHeight="1">
      <c r="A3699" t="s">
        <v>3763</v>
      </c>
      <c r="B3699" t="s">
        <v>3756</v>
      </c>
      <c r="C3699" t="s">
        <v>62</v>
      </c>
      <c r="D3699" t="s">
        <v>63</v>
      </c>
      <c r="E3699">
        <v>2.0</v>
      </c>
      <c r="F3699">
        <v>2.5</v>
      </c>
      <c r="G3699" s="2" t="s">
        <v>64</v>
      </c>
      <c r="H3699" s="2">
        <v>0.0</v>
      </c>
      <c r="I3699" s="2">
        <v>0.0</v>
      </c>
      <c r="J3699" s="37">
        <v>0.0</v>
      </c>
      <c r="K3699" s="2">
        <v>0.0</v>
      </c>
      <c r="L3699" s="2">
        <v>0.0</v>
      </c>
      <c r="M3699" s="37">
        <v>0.0</v>
      </c>
    </row>
    <row r="3700" ht="14.25" customHeight="1">
      <c r="A3700" t="s">
        <v>3764</v>
      </c>
      <c r="B3700" t="s">
        <v>3756</v>
      </c>
      <c r="C3700" t="s">
        <v>62</v>
      </c>
      <c r="D3700" t="s">
        <v>63</v>
      </c>
      <c r="E3700">
        <v>2.5</v>
      </c>
      <c r="F3700">
        <v>3.2</v>
      </c>
      <c r="G3700" s="2" t="s">
        <v>64</v>
      </c>
      <c r="H3700" s="2">
        <v>0.0</v>
      </c>
      <c r="I3700" s="2">
        <v>0.0</v>
      </c>
      <c r="J3700" s="37">
        <v>0.0</v>
      </c>
      <c r="K3700" s="2">
        <v>0.0</v>
      </c>
      <c r="L3700" s="2">
        <v>0.0</v>
      </c>
      <c r="M3700" s="37">
        <v>0.0</v>
      </c>
    </row>
    <row r="3701" ht="14.25" customHeight="1">
      <c r="A3701" t="s">
        <v>3765</v>
      </c>
      <c r="B3701" t="s">
        <v>3756</v>
      </c>
      <c r="C3701" t="s">
        <v>62</v>
      </c>
      <c r="D3701" t="s">
        <v>63</v>
      </c>
      <c r="E3701">
        <v>3.5</v>
      </c>
      <c r="F3701">
        <v>4.0</v>
      </c>
      <c r="G3701" s="2" t="s">
        <v>64</v>
      </c>
      <c r="H3701" s="2">
        <v>0.0</v>
      </c>
      <c r="I3701" s="2">
        <v>0.0</v>
      </c>
      <c r="J3701" s="37">
        <v>0.0</v>
      </c>
      <c r="K3701" s="2">
        <v>0.0</v>
      </c>
      <c r="L3701" s="2">
        <v>0.0</v>
      </c>
      <c r="M3701" s="37">
        <v>0.0</v>
      </c>
    </row>
    <row r="3702" ht="14.25" customHeight="1">
      <c r="A3702" t="s">
        <v>3766</v>
      </c>
      <c r="B3702" t="s">
        <v>3756</v>
      </c>
      <c r="C3702" t="s">
        <v>62</v>
      </c>
      <c r="D3702" t="s">
        <v>63</v>
      </c>
      <c r="E3702">
        <v>4.2</v>
      </c>
      <c r="F3702">
        <v>5.4</v>
      </c>
      <c r="G3702" s="2" t="s">
        <v>64</v>
      </c>
      <c r="H3702" s="2">
        <v>0.0</v>
      </c>
      <c r="I3702" s="2">
        <v>0.0</v>
      </c>
      <c r="J3702" s="37">
        <v>0.0</v>
      </c>
      <c r="K3702" s="2">
        <v>0.0</v>
      </c>
      <c r="L3702" s="2">
        <v>0.0</v>
      </c>
      <c r="M3702" s="37">
        <v>0.0</v>
      </c>
    </row>
    <row r="3703" ht="14.25" customHeight="1">
      <c r="A3703" t="s">
        <v>3767</v>
      </c>
      <c r="B3703" t="s">
        <v>3756</v>
      </c>
      <c r="C3703" t="s">
        <v>62</v>
      </c>
      <c r="D3703" t="s">
        <v>63</v>
      </c>
      <c r="E3703">
        <v>5.0</v>
      </c>
      <c r="F3703">
        <v>5.6</v>
      </c>
      <c r="G3703" s="2" t="s">
        <v>64</v>
      </c>
      <c r="H3703" s="2">
        <v>0.0</v>
      </c>
      <c r="I3703" s="2">
        <v>0.0</v>
      </c>
      <c r="J3703" s="37">
        <v>0.0</v>
      </c>
      <c r="K3703" s="2">
        <v>0.0</v>
      </c>
      <c r="L3703" s="2">
        <v>0.0</v>
      </c>
      <c r="M3703" s="37">
        <v>0.0</v>
      </c>
    </row>
    <row r="3704" ht="14.25" customHeight="1">
      <c r="A3704" t="s">
        <v>3768</v>
      </c>
      <c r="B3704" t="s">
        <v>3756</v>
      </c>
      <c r="C3704" t="s">
        <v>62</v>
      </c>
      <c r="D3704" t="s">
        <v>63</v>
      </c>
      <c r="E3704">
        <v>6.0</v>
      </c>
      <c r="F3704">
        <v>6.9</v>
      </c>
      <c r="G3704" s="2" t="s">
        <v>64</v>
      </c>
      <c r="H3704" s="2">
        <v>0.0</v>
      </c>
      <c r="I3704" s="2">
        <v>0.0</v>
      </c>
      <c r="J3704" s="37">
        <v>0.0</v>
      </c>
      <c r="K3704" s="2">
        <v>0.0</v>
      </c>
      <c r="L3704" s="2">
        <v>0.0</v>
      </c>
      <c r="M3704" s="37">
        <v>0.0</v>
      </c>
    </row>
    <row r="3705" ht="14.25" customHeight="1">
      <c r="A3705" t="s">
        <v>3769</v>
      </c>
      <c r="B3705" t="s">
        <v>3756</v>
      </c>
      <c r="C3705" t="s">
        <v>62</v>
      </c>
      <c r="D3705" t="s">
        <v>63</v>
      </c>
      <c r="E3705">
        <v>7.1</v>
      </c>
      <c r="F3705">
        <v>8.0</v>
      </c>
      <c r="G3705" s="2" t="s">
        <v>64</v>
      </c>
      <c r="H3705" s="2">
        <v>0.0</v>
      </c>
      <c r="I3705" s="2">
        <v>0.0</v>
      </c>
      <c r="J3705" s="37">
        <v>0.0</v>
      </c>
      <c r="K3705" s="2">
        <v>0.0</v>
      </c>
      <c r="L3705" s="2">
        <v>0.0</v>
      </c>
      <c r="M3705" s="37">
        <v>0.0</v>
      </c>
    </row>
    <row r="3706" ht="14.25" customHeight="1">
      <c r="A3706" t="s">
        <v>3770</v>
      </c>
      <c r="B3706" t="s">
        <v>3756</v>
      </c>
      <c r="C3706" t="s">
        <v>62</v>
      </c>
      <c r="D3706" t="s">
        <v>63</v>
      </c>
      <c r="E3706">
        <v>8.0</v>
      </c>
      <c r="F3706">
        <v>9.0</v>
      </c>
      <c r="G3706" s="2" t="s">
        <v>64</v>
      </c>
      <c r="H3706" s="2">
        <v>0.0</v>
      </c>
      <c r="I3706" s="2">
        <v>0.0</v>
      </c>
      <c r="J3706" s="37">
        <v>0.0</v>
      </c>
      <c r="K3706" s="2">
        <v>0.0</v>
      </c>
      <c r="L3706" s="2">
        <v>0.0</v>
      </c>
      <c r="M3706" s="37">
        <v>0.0</v>
      </c>
    </row>
    <row r="3707" ht="14.25" customHeight="1">
      <c r="A3707" t="s">
        <v>3771</v>
      </c>
      <c r="B3707" t="s">
        <v>3756</v>
      </c>
      <c r="C3707" t="s">
        <v>62</v>
      </c>
      <c r="D3707" t="s">
        <v>63</v>
      </c>
      <c r="E3707">
        <v>9.0</v>
      </c>
      <c r="F3707">
        <v>10.0</v>
      </c>
      <c r="G3707" s="2" t="s">
        <v>64</v>
      </c>
      <c r="H3707" s="2">
        <v>0.0</v>
      </c>
      <c r="I3707" s="2">
        <v>0.0</v>
      </c>
      <c r="J3707" s="37">
        <v>0.0</v>
      </c>
      <c r="K3707" s="2">
        <v>0.0</v>
      </c>
      <c r="L3707" s="2">
        <v>0.0</v>
      </c>
      <c r="M3707" s="37">
        <v>0.0</v>
      </c>
    </row>
    <row r="3708" ht="14.25" customHeight="1">
      <c r="A3708" t="s">
        <v>3772</v>
      </c>
      <c r="B3708" t="s">
        <v>3756</v>
      </c>
      <c r="C3708" t="s">
        <v>62</v>
      </c>
      <c r="D3708" t="s">
        <v>63</v>
      </c>
      <c r="E3708">
        <v>10.0</v>
      </c>
      <c r="F3708">
        <v>11.5</v>
      </c>
      <c r="G3708" s="2" t="s">
        <v>64</v>
      </c>
      <c r="H3708" s="2">
        <v>0.0</v>
      </c>
      <c r="I3708" s="2">
        <v>0.0</v>
      </c>
      <c r="J3708" s="37">
        <v>0.0</v>
      </c>
      <c r="K3708" s="2">
        <v>0.0</v>
      </c>
      <c r="L3708" s="2">
        <v>0.0</v>
      </c>
      <c r="M3708" s="37">
        <v>0.0</v>
      </c>
    </row>
    <row r="3709" ht="14.25" customHeight="1">
      <c r="A3709" t="s">
        <v>3773</v>
      </c>
      <c r="B3709" t="s">
        <v>3756</v>
      </c>
      <c r="C3709" t="s">
        <v>62</v>
      </c>
      <c r="D3709" t="s">
        <v>63</v>
      </c>
      <c r="E3709">
        <v>2.0</v>
      </c>
      <c r="F3709">
        <v>2.5</v>
      </c>
      <c r="G3709" s="2" t="s">
        <v>64</v>
      </c>
      <c r="H3709" s="2">
        <v>0.0</v>
      </c>
      <c r="I3709" s="2">
        <v>0.0</v>
      </c>
      <c r="J3709" s="37">
        <v>0.0</v>
      </c>
      <c r="K3709" s="2">
        <v>0.0</v>
      </c>
      <c r="L3709" s="2">
        <v>0.0</v>
      </c>
      <c r="M3709" s="37">
        <v>0.0</v>
      </c>
    </row>
    <row r="3710" ht="14.25" customHeight="1">
      <c r="A3710" t="s">
        <v>3774</v>
      </c>
      <c r="B3710" t="s">
        <v>3756</v>
      </c>
      <c r="C3710" t="s">
        <v>62</v>
      </c>
      <c r="D3710" t="s">
        <v>63</v>
      </c>
      <c r="E3710">
        <v>2.5</v>
      </c>
      <c r="F3710">
        <v>3.2</v>
      </c>
      <c r="G3710" s="2" t="s">
        <v>64</v>
      </c>
      <c r="H3710" s="2">
        <v>0.0</v>
      </c>
      <c r="I3710" s="2">
        <v>0.0</v>
      </c>
      <c r="J3710" s="37">
        <v>0.0</v>
      </c>
      <c r="K3710" s="2">
        <v>0.0</v>
      </c>
      <c r="L3710" s="2">
        <v>0.0</v>
      </c>
      <c r="M3710" s="37">
        <v>0.0</v>
      </c>
    </row>
    <row r="3711" ht="14.25" customHeight="1">
      <c r="A3711" t="s">
        <v>3775</v>
      </c>
      <c r="B3711" t="s">
        <v>3756</v>
      </c>
      <c r="C3711" t="s">
        <v>62</v>
      </c>
      <c r="D3711" t="s">
        <v>63</v>
      </c>
      <c r="E3711">
        <v>3.5</v>
      </c>
      <c r="F3711">
        <v>3.7</v>
      </c>
      <c r="G3711" s="2" t="s">
        <v>64</v>
      </c>
      <c r="H3711" s="2">
        <v>0.0</v>
      </c>
      <c r="I3711" s="2">
        <v>0.0</v>
      </c>
      <c r="J3711" s="37">
        <v>0.0</v>
      </c>
      <c r="K3711" s="2">
        <v>0.0</v>
      </c>
      <c r="L3711" s="2">
        <v>0.0</v>
      </c>
      <c r="M3711" s="37">
        <v>0.0</v>
      </c>
    </row>
    <row r="3712" ht="14.25" customHeight="1">
      <c r="A3712" t="s">
        <v>3776</v>
      </c>
      <c r="B3712" t="s">
        <v>3756</v>
      </c>
      <c r="C3712" t="s">
        <v>62</v>
      </c>
      <c r="D3712" t="s">
        <v>63</v>
      </c>
      <c r="E3712">
        <v>4.2</v>
      </c>
      <c r="F3712">
        <v>5.4</v>
      </c>
      <c r="G3712" s="2" t="s">
        <v>67</v>
      </c>
      <c r="H3712" s="2">
        <v>14.0</v>
      </c>
      <c r="I3712" s="2">
        <v>51.0</v>
      </c>
      <c r="J3712" s="37">
        <v>380.74</v>
      </c>
      <c r="K3712" s="2">
        <v>17.0</v>
      </c>
      <c r="L3712" s="2">
        <v>89.0</v>
      </c>
      <c r="M3712" s="37">
        <v>497.52</v>
      </c>
    </row>
    <row r="3713" ht="14.25" customHeight="1">
      <c r="A3713" t="s">
        <v>3777</v>
      </c>
      <c r="B3713" t="s">
        <v>3756</v>
      </c>
      <c r="C3713" t="s">
        <v>62</v>
      </c>
      <c r="D3713" t="s">
        <v>63</v>
      </c>
      <c r="E3713">
        <v>5.0</v>
      </c>
      <c r="F3713">
        <v>5.8</v>
      </c>
      <c r="G3713" s="2" t="s">
        <v>67</v>
      </c>
      <c r="H3713" s="2">
        <v>17.0</v>
      </c>
      <c r="I3713" s="2">
        <v>74.0</v>
      </c>
      <c r="J3713" s="37">
        <v>478.02</v>
      </c>
      <c r="K3713" s="2">
        <v>19.0</v>
      </c>
      <c r="L3713" s="2">
        <v>120.0</v>
      </c>
      <c r="M3713" s="37">
        <v>582.74</v>
      </c>
    </row>
    <row r="3714" ht="14.25" customHeight="1">
      <c r="A3714" t="s">
        <v>3778</v>
      </c>
      <c r="B3714" t="s">
        <v>3756</v>
      </c>
      <c r="C3714" t="s">
        <v>62</v>
      </c>
      <c r="D3714" t="s">
        <v>63</v>
      </c>
      <c r="E3714">
        <v>6.0</v>
      </c>
      <c r="F3714">
        <v>6.9</v>
      </c>
      <c r="G3714" s="2" t="s">
        <v>67</v>
      </c>
      <c r="H3714" s="2">
        <v>19.0</v>
      </c>
      <c r="I3714" s="2">
        <v>86.0</v>
      </c>
      <c r="J3714" s="37">
        <v>538.54</v>
      </c>
      <c r="K3714" s="2">
        <v>22.0</v>
      </c>
      <c r="L3714" s="2">
        <v>141.0</v>
      </c>
      <c r="M3714" s="37">
        <v>677.4200000000001</v>
      </c>
    </row>
    <row r="3715" ht="14.25" customHeight="1">
      <c r="A3715" t="s">
        <v>3779</v>
      </c>
      <c r="B3715" t="s">
        <v>3756</v>
      </c>
      <c r="C3715" t="s">
        <v>62</v>
      </c>
      <c r="D3715" t="s">
        <v>63</v>
      </c>
      <c r="E3715">
        <v>7.1</v>
      </c>
      <c r="F3715">
        <v>8.0</v>
      </c>
      <c r="G3715" s="2" t="s">
        <v>67</v>
      </c>
      <c r="H3715" s="2">
        <v>22.0</v>
      </c>
      <c r="I3715" s="2">
        <v>60.0</v>
      </c>
      <c r="J3715" s="37">
        <v>572.12</v>
      </c>
      <c r="K3715" s="2">
        <v>25.0</v>
      </c>
      <c r="L3715" s="2">
        <v>125.0</v>
      </c>
      <c r="M3715" s="37">
        <v>724.0</v>
      </c>
    </row>
    <row r="3716" ht="14.25" customHeight="1">
      <c r="A3716" t="s">
        <v>3780</v>
      </c>
      <c r="B3716" t="s">
        <v>3756</v>
      </c>
      <c r="C3716" t="s">
        <v>75</v>
      </c>
      <c r="D3716" t="s">
        <v>63</v>
      </c>
      <c r="E3716">
        <v>20.0</v>
      </c>
      <c r="F3716">
        <v>22.4</v>
      </c>
      <c r="G3716" s="2" t="s">
        <v>64</v>
      </c>
      <c r="H3716" s="2">
        <v>0.0</v>
      </c>
      <c r="I3716" s="2">
        <v>0.0</v>
      </c>
      <c r="J3716" s="37">
        <v>0.0</v>
      </c>
      <c r="K3716" s="2">
        <v>0.0</v>
      </c>
      <c r="L3716" s="2">
        <v>0.0</v>
      </c>
      <c r="M3716" s="37">
        <v>0.0</v>
      </c>
    </row>
    <row r="3717" ht="14.25" customHeight="1">
      <c r="A3717" t="s">
        <v>3781</v>
      </c>
      <c r="B3717" t="s">
        <v>3756</v>
      </c>
      <c r="C3717" t="s">
        <v>75</v>
      </c>
      <c r="D3717" t="s">
        <v>63</v>
      </c>
      <c r="E3717">
        <v>24.0</v>
      </c>
      <c r="F3717">
        <v>27.0</v>
      </c>
      <c r="G3717" s="2" t="s">
        <v>64</v>
      </c>
      <c r="H3717" s="2">
        <v>0.0</v>
      </c>
      <c r="I3717" s="2">
        <v>0.0</v>
      </c>
      <c r="J3717" s="37">
        <v>0.0</v>
      </c>
      <c r="K3717" s="2">
        <v>0.0</v>
      </c>
      <c r="L3717" s="2">
        <v>0.0</v>
      </c>
      <c r="M3717" s="37">
        <v>0.0</v>
      </c>
    </row>
    <row r="3718" ht="14.25" customHeight="1">
      <c r="A3718" t="s">
        <v>3775</v>
      </c>
      <c r="B3718" t="s">
        <v>3675</v>
      </c>
      <c r="C3718" t="s">
        <v>62</v>
      </c>
      <c r="D3718" t="s">
        <v>63</v>
      </c>
      <c r="E3718">
        <v>3.5</v>
      </c>
      <c r="F3718">
        <v>3.7</v>
      </c>
      <c r="G3718" s="2" t="s">
        <v>64</v>
      </c>
      <c r="H3718" s="2">
        <v>0.0</v>
      </c>
      <c r="I3718" s="2">
        <v>0.0</v>
      </c>
      <c r="J3718" s="37">
        <v>0.0</v>
      </c>
      <c r="K3718" s="2">
        <v>0.0</v>
      </c>
      <c r="L3718" s="2">
        <v>0.0</v>
      </c>
      <c r="M3718" s="37">
        <v>0.0</v>
      </c>
    </row>
    <row r="3719" ht="14.25" customHeight="1">
      <c r="A3719" t="s">
        <v>3770</v>
      </c>
      <c r="B3719" t="s">
        <v>3675</v>
      </c>
      <c r="C3719" t="s">
        <v>62</v>
      </c>
      <c r="D3719" t="s">
        <v>63</v>
      </c>
      <c r="E3719">
        <v>8.0</v>
      </c>
      <c r="F3719">
        <v>9.0</v>
      </c>
      <c r="G3719" s="2" t="s">
        <v>64</v>
      </c>
      <c r="H3719" s="2">
        <v>0.0</v>
      </c>
      <c r="I3719" s="2">
        <v>0.0</v>
      </c>
      <c r="J3719" s="37">
        <v>0.0</v>
      </c>
      <c r="K3719" s="2">
        <v>0.0</v>
      </c>
      <c r="L3719" s="2">
        <v>0.0</v>
      </c>
      <c r="M3719" s="37">
        <v>0.0</v>
      </c>
    </row>
    <row r="3720" ht="14.25" customHeight="1">
      <c r="A3720" t="s">
        <v>3782</v>
      </c>
      <c r="B3720" t="s">
        <v>3675</v>
      </c>
      <c r="C3720" t="s">
        <v>75</v>
      </c>
      <c r="D3720" t="s">
        <v>63</v>
      </c>
      <c r="E3720">
        <v>5.0</v>
      </c>
      <c r="F3720">
        <v>5.6</v>
      </c>
      <c r="G3720" s="2" t="s">
        <v>64</v>
      </c>
      <c r="H3720" s="2">
        <v>0.0</v>
      </c>
      <c r="I3720" s="2">
        <v>0.0</v>
      </c>
      <c r="J3720" s="37">
        <v>0.0</v>
      </c>
      <c r="K3720" s="2">
        <v>0.0</v>
      </c>
      <c r="L3720" s="2">
        <v>0.0</v>
      </c>
      <c r="M3720" s="37">
        <v>0.0</v>
      </c>
    </row>
    <row r="3721" ht="14.25" customHeight="1">
      <c r="A3721" t="s">
        <v>3783</v>
      </c>
      <c r="B3721" t="s">
        <v>3756</v>
      </c>
      <c r="C3721" t="s">
        <v>62</v>
      </c>
      <c r="D3721" t="s">
        <v>63</v>
      </c>
      <c r="E3721">
        <v>8.0</v>
      </c>
      <c r="F3721">
        <v>9.0</v>
      </c>
      <c r="G3721" s="2" t="s">
        <v>64</v>
      </c>
      <c r="H3721" s="2">
        <v>0.0</v>
      </c>
      <c r="I3721" s="2">
        <v>0.0</v>
      </c>
      <c r="J3721" s="37">
        <v>0.0</v>
      </c>
      <c r="K3721" s="2">
        <v>0.0</v>
      </c>
      <c r="L3721" s="2">
        <v>0.0</v>
      </c>
      <c r="M3721" s="37">
        <v>0.0</v>
      </c>
    </row>
    <row r="3722" ht="14.25" customHeight="1">
      <c r="A3722" t="s">
        <v>3784</v>
      </c>
      <c r="B3722" t="s">
        <v>3756</v>
      </c>
      <c r="C3722" t="s">
        <v>62</v>
      </c>
      <c r="D3722" t="s">
        <v>63</v>
      </c>
      <c r="E3722">
        <v>3.5</v>
      </c>
      <c r="F3722">
        <v>3.7</v>
      </c>
      <c r="G3722" s="2" t="s">
        <v>64</v>
      </c>
      <c r="H3722" s="2">
        <v>0.0</v>
      </c>
      <c r="I3722" s="2">
        <v>0.0</v>
      </c>
      <c r="J3722" s="37">
        <v>0.0</v>
      </c>
      <c r="K3722" s="2">
        <v>0.0</v>
      </c>
      <c r="L3722" s="2">
        <v>0.0</v>
      </c>
      <c r="M3722" s="37">
        <v>0.0</v>
      </c>
    </row>
    <row r="3723" ht="14.25" customHeight="1">
      <c r="A3723" t="s">
        <v>3785</v>
      </c>
      <c r="B3723" t="s">
        <v>3756</v>
      </c>
      <c r="C3723" t="s">
        <v>62</v>
      </c>
      <c r="D3723" t="s">
        <v>63</v>
      </c>
      <c r="E3723">
        <v>5.0</v>
      </c>
      <c r="F3723">
        <v>5.6</v>
      </c>
      <c r="G3723" s="2" t="s">
        <v>64</v>
      </c>
      <c r="H3723" s="2">
        <v>0.0</v>
      </c>
      <c r="I3723" s="2">
        <v>0.0</v>
      </c>
      <c r="J3723" s="37">
        <v>0.0</v>
      </c>
      <c r="K3723" s="2">
        <v>0.0</v>
      </c>
      <c r="L3723" s="2">
        <v>0.0</v>
      </c>
      <c r="M3723" s="37">
        <v>0.0</v>
      </c>
    </row>
    <row r="3724" ht="14.25" customHeight="1">
      <c r="A3724" t="s">
        <v>3786</v>
      </c>
      <c r="B3724" t="s">
        <v>3756</v>
      </c>
      <c r="C3724" t="s">
        <v>62</v>
      </c>
      <c r="D3724" t="s">
        <v>63</v>
      </c>
      <c r="E3724">
        <v>7.1</v>
      </c>
      <c r="F3724">
        <v>8.0</v>
      </c>
      <c r="G3724" s="2" t="s">
        <v>67</v>
      </c>
      <c r="H3724" s="2">
        <v>21.0</v>
      </c>
      <c r="I3724" s="2">
        <v>114.0</v>
      </c>
      <c r="J3724" s="37">
        <v>619.86</v>
      </c>
      <c r="K3724" s="2">
        <v>25.0</v>
      </c>
      <c r="L3724" s="2">
        <v>178.0</v>
      </c>
      <c r="M3724" s="37">
        <v>792.9</v>
      </c>
    </row>
    <row r="3725" ht="14.25" customHeight="1">
      <c r="A3725" t="s">
        <v>3787</v>
      </c>
      <c r="B3725" t="s">
        <v>3756</v>
      </c>
      <c r="C3725" t="s">
        <v>75</v>
      </c>
      <c r="D3725" t="s">
        <v>63</v>
      </c>
      <c r="E3725">
        <v>5.0</v>
      </c>
      <c r="F3725">
        <v>5.6</v>
      </c>
      <c r="G3725" s="2" t="s">
        <v>67</v>
      </c>
      <c r="H3725" s="2">
        <v>16.0</v>
      </c>
      <c r="I3725" s="2">
        <v>77.0</v>
      </c>
      <c r="J3725" s="37">
        <v>459.46000000000004</v>
      </c>
      <c r="K3725" s="2">
        <v>19.0</v>
      </c>
      <c r="L3725" s="2">
        <v>129.0</v>
      </c>
      <c r="M3725" s="37">
        <v>594.44</v>
      </c>
    </row>
    <row r="3726" ht="14.25" customHeight="1">
      <c r="A3726" t="s">
        <v>3788</v>
      </c>
      <c r="B3726" t="s">
        <v>3756</v>
      </c>
      <c r="C3726" t="s">
        <v>75</v>
      </c>
      <c r="D3726" t="s">
        <v>63</v>
      </c>
      <c r="E3726">
        <v>7.1</v>
      </c>
      <c r="F3726">
        <v>8.0</v>
      </c>
      <c r="G3726" s="2" t="s">
        <v>64</v>
      </c>
      <c r="H3726" s="2">
        <v>0.0</v>
      </c>
      <c r="I3726" s="2">
        <v>0.0</v>
      </c>
      <c r="J3726" s="37">
        <v>0.0</v>
      </c>
      <c r="K3726" s="2">
        <v>0.0</v>
      </c>
      <c r="L3726" s="2">
        <v>0.0</v>
      </c>
      <c r="M3726" s="37">
        <v>0.0</v>
      </c>
    </row>
    <row r="3727" ht="14.25" customHeight="1">
      <c r="A3727" t="s">
        <v>3789</v>
      </c>
      <c r="B3727" t="s">
        <v>3756</v>
      </c>
      <c r="C3727" t="s">
        <v>75</v>
      </c>
      <c r="D3727" t="s">
        <v>63</v>
      </c>
      <c r="E3727">
        <v>10.0</v>
      </c>
      <c r="F3727">
        <v>11.2</v>
      </c>
      <c r="G3727" s="2" t="s">
        <v>64</v>
      </c>
      <c r="H3727" s="2">
        <v>0.0</v>
      </c>
      <c r="I3727" s="2">
        <v>0.0</v>
      </c>
      <c r="J3727" s="37">
        <v>0.0</v>
      </c>
      <c r="K3727" s="2">
        <v>0.0</v>
      </c>
      <c r="L3727" s="2">
        <v>0.0</v>
      </c>
      <c r="M3727" s="37">
        <v>0.0</v>
      </c>
    </row>
    <row r="3728" ht="14.25" customHeight="1">
      <c r="A3728" t="s">
        <v>3790</v>
      </c>
      <c r="B3728" t="s">
        <v>3756</v>
      </c>
      <c r="C3728" t="s">
        <v>75</v>
      </c>
      <c r="D3728" t="s">
        <v>63</v>
      </c>
      <c r="E3728">
        <v>10.0</v>
      </c>
      <c r="F3728">
        <v>11.2</v>
      </c>
      <c r="G3728" s="2" t="s">
        <v>64</v>
      </c>
      <c r="H3728" s="2">
        <v>0.0</v>
      </c>
      <c r="I3728" s="2">
        <v>0.0</v>
      </c>
      <c r="J3728" s="37">
        <v>0.0</v>
      </c>
      <c r="K3728" s="2">
        <v>0.0</v>
      </c>
      <c r="L3728" s="2">
        <v>0.0</v>
      </c>
      <c r="M3728" s="37">
        <v>0.0</v>
      </c>
    </row>
    <row r="3729" ht="14.25" customHeight="1">
      <c r="A3729" t="s">
        <v>3791</v>
      </c>
      <c r="B3729" t="s">
        <v>3756</v>
      </c>
      <c r="C3729" t="s">
        <v>75</v>
      </c>
      <c r="D3729" t="s">
        <v>63</v>
      </c>
      <c r="E3729">
        <v>12.5</v>
      </c>
      <c r="F3729">
        <v>14.0</v>
      </c>
      <c r="G3729" s="2" t="s">
        <v>64</v>
      </c>
      <c r="H3729" s="2">
        <v>0.0</v>
      </c>
      <c r="I3729" s="2">
        <v>0.0</v>
      </c>
      <c r="J3729" s="37">
        <v>0.0</v>
      </c>
      <c r="K3729" s="2">
        <v>0.0</v>
      </c>
      <c r="L3729" s="2">
        <v>0.0</v>
      </c>
      <c r="M3729" s="37">
        <v>0.0</v>
      </c>
    </row>
    <row r="3730" ht="14.25" customHeight="1">
      <c r="A3730" t="s">
        <v>3792</v>
      </c>
      <c r="B3730" t="s">
        <v>3756</v>
      </c>
      <c r="C3730" t="s">
        <v>75</v>
      </c>
      <c r="D3730" t="s">
        <v>63</v>
      </c>
      <c r="E3730">
        <v>12.5</v>
      </c>
      <c r="F3730">
        <v>14.0</v>
      </c>
      <c r="G3730" s="2" t="s">
        <v>64</v>
      </c>
      <c r="H3730" s="2">
        <v>0.0</v>
      </c>
      <c r="I3730" s="2">
        <v>0.0</v>
      </c>
      <c r="J3730" s="37">
        <v>0.0</v>
      </c>
      <c r="K3730" s="2">
        <v>0.0</v>
      </c>
      <c r="L3730" s="2">
        <v>0.0</v>
      </c>
      <c r="M3730" s="37">
        <v>0.0</v>
      </c>
    </row>
    <row r="3731" ht="14.25" customHeight="1">
      <c r="A3731" t="s">
        <v>3793</v>
      </c>
      <c r="B3731" t="s">
        <v>3756</v>
      </c>
      <c r="C3731" t="s">
        <v>75</v>
      </c>
      <c r="D3731" t="s">
        <v>63</v>
      </c>
      <c r="E3731">
        <v>14.0</v>
      </c>
      <c r="F3731">
        <v>16.0</v>
      </c>
      <c r="G3731" s="2" t="s">
        <v>67</v>
      </c>
      <c r="H3731" s="2">
        <v>40.0</v>
      </c>
      <c r="I3731" s="2">
        <v>84.0</v>
      </c>
      <c r="J3731" s="37">
        <v>1007.6000000000001</v>
      </c>
      <c r="K3731" s="2">
        <v>48.0</v>
      </c>
      <c r="L3731" s="2">
        <v>228.0</v>
      </c>
      <c r="M3731" s="37">
        <v>1374.48</v>
      </c>
    </row>
    <row r="3732" ht="14.25" customHeight="1">
      <c r="A3732" t="s">
        <v>3794</v>
      </c>
      <c r="B3732" t="s">
        <v>3756</v>
      </c>
      <c r="C3732" t="s">
        <v>75</v>
      </c>
      <c r="D3732" t="s">
        <v>63</v>
      </c>
      <c r="E3732">
        <v>14.0</v>
      </c>
      <c r="F3732">
        <v>16.0</v>
      </c>
      <c r="G3732" s="2" t="s">
        <v>67</v>
      </c>
      <c r="H3732" s="2">
        <v>40.0</v>
      </c>
      <c r="I3732" s="2">
        <v>84.0</v>
      </c>
      <c r="J3732" s="37">
        <v>1007.6000000000001</v>
      </c>
      <c r="K3732" s="2">
        <v>48.0</v>
      </c>
      <c r="L3732" s="2">
        <v>228.0</v>
      </c>
      <c r="M3732" s="37">
        <v>1374.48</v>
      </c>
    </row>
    <row r="3733" ht="14.25" customHeight="1">
      <c r="A3733" t="s">
        <v>3795</v>
      </c>
      <c r="B3733" t="s">
        <v>3756</v>
      </c>
      <c r="C3733" t="s">
        <v>75</v>
      </c>
      <c r="D3733" t="s">
        <v>63</v>
      </c>
      <c r="E3733">
        <v>5.0</v>
      </c>
      <c r="F3733">
        <v>5.6</v>
      </c>
      <c r="G3733" s="2" t="s">
        <v>67</v>
      </c>
      <c r="H3733" s="2">
        <v>15.0</v>
      </c>
      <c r="I3733" s="2">
        <v>57.0</v>
      </c>
      <c r="J3733" s="37">
        <v>411.00000000000006</v>
      </c>
      <c r="K3733" s="2">
        <v>18.0</v>
      </c>
      <c r="L3733" s="2">
        <v>108.0</v>
      </c>
      <c r="M3733" s="37">
        <v>544.6800000000001</v>
      </c>
    </row>
    <row r="3734" ht="14.25" customHeight="1">
      <c r="A3734" t="s">
        <v>3796</v>
      </c>
      <c r="B3734" t="s">
        <v>3756</v>
      </c>
      <c r="C3734" t="s">
        <v>75</v>
      </c>
      <c r="D3734" t="s">
        <v>63</v>
      </c>
      <c r="E3734">
        <v>7.1</v>
      </c>
      <c r="F3734">
        <v>8.0</v>
      </c>
      <c r="G3734" s="2" t="s">
        <v>67</v>
      </c>
      <c r="H3734" s="2">
        <v>22.0</v>
      </c>
      <c r="I3734" s="2">
        <v>109.0</v>
      </c>
      <c r="J3734" s="37">
        <v>635.82</v>
      </c>
      <c r="K3734" s="2">
        <v>26.0</v>
      </c>
      <c r="L3734" s="2">
        <v>182.0</v>
      </c>
      <c r="M3734" s="37">
        <v>820.5600000000001</v>
      </c>
    </row>
    <row r="3735" ht="14.25" customHeight="1">
      <c r="A3735" t="s">
        <v>3797</v>
      </c>
      <c r="B3735" t="s">
        <v>3756</v>
      </c>
      <c r="C3735" t="s">
        <v>75</v>
      </c>
      <c r="D3735" t="s">
        <v>63</v>
      </c>
      <c r="E3735">
        <v>10.0</v>
      </c>
      <c r="F3735">
        <v>11.2</v>
      </c>
      <c r="G3735" s="2" t="s">
        <v>67</v>
      </c>
      <c r="H3735" s="2">
        <v>33.0</v>
      </c>
      <c r="I3735" s="2">
        <v>233.0</v>
      </c>
      <c r="J3735" s="37">
        <v>1044.0800000000002</v>
      </c>
      <c r="K3735" s="2">
        <v>38.0</v>
      </c>
      <c r="L3735" s="2">
        <v>335.0</v>
      </c>
      <c r="M3735" s="37">
        <v>1288.98</v>
      </c>
    </row>
    <row r="3736" ht="14.25" customHeight="1">
      <c r="A3736" t="s">
        <v>3798</v>
      </c>
      <c r="B3736" t="s">
        <v>3756</v>
      </c>
      <c r="C3736" t="s">
        <v>75</v>
      </c>
      <c r="D3736" t="s">
        <v>63</v>
      </c>
      <c r="E3736">
        <v>10.0</v>
      </c>
      <c r="F3736">
        <v>11.2</v>
      </c>
      <c r="G3736" s="2" t="s">
        <v>67</v>
      </c>
      <c r="H3736" s="2">
        <v>32.0</v>
      </c>
      <c r="I3736" s="2">
        <v>233.0</v>
      </c>
      <c r="J3736" s="37">
        <v>1021.6200000000001</v>
      </c>
      <c r="K3736" s="2">
        <v>38.0</v>
      </c>
      <c r="L3736" s="2">
        <v>335.0</v>
      </c>
      <c r="M3736" s="37">
        <v>1288.98</v>
      </c>
    </row>
    <row r="3737" ht="14.25" customHeight="1">
      <c r="A3737" t="s">
        <v>3799</v>
      </c>
      <c r="B3737" t="s">
        <v>3756</v>
      </c>
      <c r="C3737" t="s">
        <v>75</v>
      </c>
      <c r="D3737" t="s">
        <v>63</v>
      </c>
      <c r="E3737">
        <v>12.5</v>
      </c>
      <c r="F3737">
        <v>14.0</v>
      </c>
      <c r="G3737" s="2" t="s">
        <v>64</v>
      </c>
      <c r="H3737" s="2">
        <v>0.0</v>
      </c>
      <c r="I3737" s="2">
        <v>0.0</v>
      </c>
      <c r="J3737" s="37">
        <v>0.0</v>
      </c>
      <c r="K3737" s="2">
        <v>0.0</v>
      </c>
      <c r="L3737" s="2">
        <v>0.0</v>
      </c>
      <c r="M3737" s="37">
        <v>0.0</v>
      </c>
    </row>
    <row r="3738" ht="14.25" customHeight="1">
      <c r="A3738" t="s">
        <v>3800</v>
      </c>
      <c r="B3738" t="s">
        <v>3756</v>
      </c>
      <c r="C3738" t="s">
        <v>75</v>
      </c>
      <c r="D3738" t="s">
        <v>63</v>
      </c>
      <c r="E3738">
        <v>12.5</v>
      </c>
      <c r="F3738">
        <v>14.0</v>
      </c>
      <c r="G3738" s="2" t="s">
        <v>64</v>
      </c>
      <c r="H3738" s="2">
        <v>0.0</v>
      </c>
      <c r="I3738" s="2">
        <v>0.0</v>
      </c>
      <c r="J3738" s="37">
        <v>0.0</v>
      </c>
      <c r="K3738" s="2">
        <v>0.0</v>
      </c>
      <c r="L3738" s="2">
        <v>0.0</v>
      </c>
      <c r="M3738" s="37">
        <v>0.0</v>
      </c>
    </row>
    <row r="3739" ht="14.25" customHeight="1">
      <c r="A3739" t="s">
        <v>3801</v>
      </c>
      <c r="B3739" t="s">
        <v>3756</v>
      </c>
      <c r="C3739" t="s">
        <v>75</v>
      </c>
      <c r="D3739" t="s">
        <v>63</v>
      </c>
      <c r="E3739">
        <v>14.0</v>
      </c>
      <c r="F3739">
        <v>16.0</v>
      </c>
      <c r="G3739" s="2" t="s">
        <v>67</v>
      </c>
      <c r="H3739" s="2">
        <v>42.0</v>
      </c>
      <c r="I3739" s="2">
        <v>55.0</v>
      </c>
      <c r="J3739" s="37">
        <v>1014.82</v>
      </c>
      <c r="K3739" s="2">
        <v>49.0</v>
      </c>
      <c r="L3739" s="2">
        <v>198.0</v>
      </c>
      <c r="M3739" s="37">
        <v>1357.94</v>
      </c>
    </row>
    <row r="3740" ht="14.25" customHeight="1">
      <c r="A3740" t="s">
        <v>3802</v>
      </c>
      <c r="B3740" t="s">
        <v>3756</v>
      </c>
      <c r="C3740" t="s">
        <v>75</v>
      </c>
      <c r="D3740" t="s">
        <v>63</v>
      </c>
      <c r="E3740">
        <v>14.0</v>
      </c>
      <c r="F3740">
        <v>16.0</v>
      </c>
      <c r="G3740" s="2" t="s">
        <v>67</v>
      </c>
      <c r="H3740" s="2">
        <v>41.0</v>
      </c>
      <c r="I3740" s="2">
        <v>55.0</v>
      </c>
      <c r="J3740" s="37">
        <v>992.36</v>
      </c>
      <c r="K3740" s="2">
        <v>49.0</v>
      </c>
      <c r="L3740" s="2">
        <v>198.0</v>
      </c>
      <c r="M3740" s="37">
        <v>1357.94</v>
      </c>
    </row>
    <row r="3741" ht="14.25" customHeight="1">
      <c r="A3741" t="s">
        <v>3803</v>
      </c>
      <c r="B3741" t="s">
        <v>3756</v>
      </c>
      <c r="C3741" t="s">
        <v>62</v>
      </c>
      <c r="D3741" t="s">
        <v>63</v>
      </c>
      <c r="E3741">
        <v>5.0</v>
      </c>
      <c r="F3741">
        <v>5.6</v>
      </c>
      <c r="G3741" s="2" t="s">
        <v>67</v>
      </c>
      <c r="H3741" s="2">
        <v>17.0</v>
      </c>
      <c r="I3741" s="2">
        <v>98.0</v>
      </c>
      <c r="J3741" s="37">
        <v>509.22</v>
      </c>
      <c r="K3741" s="2">
        <v>20.0</v>
      </c>
      <c r="L3741" s="2">
        <v>144.0</v>
      </c>
      <c r="M3741" s="37">
        <v>636.4000000000001</v>
      </c>
    </row>
    <row r="3742" ht="14.25" customHeight="1">
      <c r="A3742" t="s">
        <v>3804</v>
      </c>
      <c r="B3742" t="s">
        <v>3756</v>
      </c>
      <c r="C3742" t="s">
        <v>62</v>
      </c>
      <c r="D3742" t="s">
        <v>63</v>
      </c>
      <c r="E3742">
        <v>7.1</v>
      </c>
      <c r="F3742">
        <v>8.0</v>
      </c>
      <c r="G3742" s="2" t="s">
        <v>67</v>
      </c>
      <c r="H3742" s="2">
        <v>23.0</v>
      </c>
      <c r="I3742" s="2">
        <v>126.0</v>
      </c>
      <c r="J3742" s="37">
        <v>680.3800000000001</v>
      </c>
      <c r="K3742" s="2">
        <v>26.0</v>
      </c>
      <c r="L3742" s="2">
        <v>190.0</v>
      </c>
      <c r="M3742" s="37">
        <v>830.96</v>
      </c>
    </row>
    <row r="3743" ht="14.25" customHeight="1">
      <c r="A3743" t="s">
        <v>3805</v>
      </c>
      <c r="B3743" t="s">
        <v>3756</v>
      </c>
      <c r="C3743" t="s">
        <v>62</v>
      </c>
      <c r="D3743" t="s">
        <v>63</v>
      </c>
      <c r="E3743">
        <v>10.0</v>
      </c>
      <c r="F3743">
        <v>11.2</v>
      </c>
      <c r="G3743" s="2" t="s">
        <v>67</v>
      </c>
      <c r="H3743" s="2">
        <v>34.0</v>
      </c>
      <c r="I3743" s="2">
        <v>268.0</v>
      </c>
      <c r="J3743" s="37">
        <v>1112.04</v>
      </c>
      <c r="K3743" s="2">
        <v>40.0</v>
      </c>
      <c r="L3743" s="2">
        <v>371.0</v>
      </c>
      <c r="M3743" s="37">
        <v>1380.7</v>
      </c>
    </row>
    <row r="3744" ht="14.25" customHeight="1">
      <c r="A3744" t="s">
        <v>3806</v>
      </c>
      <c r="B3744" t="s">
        <v>3756</v>
      </c>
      <c r="C3744" t="s">
        <v>62</v>
      </c>
      <c r="D3744" t="s">
        <v>63</v>
      </c>
      <c r="E3744">
        <v>10.0</v>
      </c>
      <c r="F3744">
        <v>11.2</v>
      </c>
      <c r="G3744" s="2" t="s">
        <v>67</v>
      </c>
      <c r="H3744" s="2">
        <v>34.0</v>
      </c>
      <c r="I3744" s="2">
        <v>268.0</v>
      </c>
      <c r="J3744" s="37">
        <v>1112.04</v>
      </c>
      <c r="K3744" s="2">
        <v>40.0</v>
      </c>
      <c r="L3744" s="2">
        <v>371.0</v>
      </c>
      <c r="M3744" s="37">
        <v>1380.7</v>
      </c>
    </row>
    <row r="3745" ht="14.25" customHeight="1">
      <c r="A3745" t="s">
        <v>3807</v>
      </c>
      <c r="B3745" t="s">
        <v>3756</v>
      </c>
      <c r="C3745" t="s">
        <v>62</v>
      </c>
      <c r="D3745" t="s">
        <v>63</v>
      </c>
      <c r="E3745">
        <v>12.5</v>
      </c>
      <c r="F3745">
        <v>14.0</v>
      </c>
      <c r="G3745" s="2" t="s">
        <v>67</v>
      </c>
      <c r="H3745" s="2">
        <v>40.0</v>
      </c>
      <c r="I3745" s="2">
        <v>181.0</v>
      </c>
      <c r="J3745" s="37">
        <v>1133.7</v>
      </c>
      <c r="K3745" s="2">
        <v>47.0</v>
      </c>
      <c r="L3745" s="2">
        <v>309.0</v>
      </c>
      <c r="M3745" s="37">
        <v>1457.3200000000002</v>
      </c>
    </row>
    <row r="3746" ht="14.25" customHeight="1">
      <c r="A3746" t="s">
        <v>3808</v>
      </c>
      <c r="B3746" t="s">
        <v>3756</v>
      </c>
      <c r="C3746" t="s">
        <v>62</v>
      </c>
      <c r="D3746" t="s">
        <v>63</v>
      </c>
      <c r="E3746">
        <v>12.5</v>
      </c>
      <c r="F3746">
        <v>14.0</v>
      </c>
      <c r="G3746" s="2" t="s">
        <v>67</v>
      </c>
      <c r="H3746" s="2">
        <v>40.0</v>
      </c>
      <c r="I3746" s="2">
        <v>181.0</v>
      </c>
      <c r="J3746" s="37">
        <v>1133.7</v>
      </c>
      <c r="K3746" s="2">
        <v>47.0</v>
      </c>
      <c r="L3746" s="2">
        <v>309.0</v>
      </c>
      <c r="M3746" s="37">
        <v>1457.3200000000002</v>
      </c>
    </row>
    <row r="3747" ht="14.25" customHeight="1">
      <c r="A3747" t="s">
        <v>3809</v>
      </c>
      <c r="B3747" t="s">
        <v>3756</v>
      </c>
      <c r="C3747" t="s">
        <v>62</v>
      </c>
      <c r="D3747" t="s">
        <v>63</v>
      </c>
      <c r="E3747">
        <v>14.0</v>
      </c>
      <c r="F3747">
        <v>16.0</v>
      </c>
      <c r="G3747" s="2" t="s">
        <v>67</v>
      </c>
      <c r="H3747" s="2">
        <v>44.0</v>
      </c>
      <c r="I3747" s="2">
        <v>55.0</v>
      </c>
      <c r="J3747" s="37">
        <v>1059.74</v>
      </c>
      <c r="K3747" s="2">
        <v>52.0</v>
      </c>
      <c r="L3747" s="2">
        <v>198.0</v>
      </c>
      <c r="M3747" s="37">
        <v>1425.3200000000002</v>
      </c>
    </row>
    <row r="3748" ht="14.25" customHeight="1">
      <c r="A3748" t="s">
        <v>3810</v>
      </c>
      <c r="B3748" t="s">
        <v>3756</v>
      </c>
      <c r="C3748" t="s">
        <v>62</v>
      </c>
      <c r="D3748" t="s">
        <v>63</v>
      </c>
      <c r="E3748">
        <v>14.0</v>
      </c>
      <c r="F3748">
        <v>16.0</v>
      </c>
      <c r="G3748" s="2" t="s">
        <v>67</v>
      </c>
      <c r="H3748" s="2">
        <v>44.0</v>
      </c>
      <c r="I3748" s="2">
        <v>55.0</v>
      </c>
      <c r="J3748" s="37">
        <v>1059.74</v>
      </c>
      <c r="K3748" s="2">
        <v>52.0</v>
      </c>
      <c r="L3748" s="2">
        <v>198.0</v>
      </c>
      <c r="M3748" s="37">
        <v>1425.3200000000002</v>
      </c>
    </row>
    <row r="3749" ht="14.25" customHeight="1">
      <c r="A3749" t="s">
        <v>3811</v>
      </c>
      <c r="B3749" t="s">
        <v>3756</v>
      </c>
      <c r="C3749" t="s">
        <v>62</v>
      </c>
      <c r="D3749" t="s">
        <v>63</v>
      </c>
      <c r="E3749">
        <v>5.0</v>
      </c>
      <c r="F3749">
        <v>5.6</v>
      </c>
      <c r="G3749" s="2" t="s">
        <v>64</v>
      </c>
      <c r="H3749" s="2">
        <v>0.0</v>
      </c>
      <c r="I3749" s="2">
        <v>0.0</v>
      </c>
      <c r="J3749" s="37">
        <v>0.0</v>
      </c>
      <c r="K3749" s="2">
        <v>0.0</v>
      </c>
      <c r="L3749" s="2">
        <v>0.0</v>
      </c>
      <c r="M3749" s="37">
        <v>0.0</v>
      </c>
    </row>
    <row r="3750" ht="14.25" customHeight="1">
      <c r="A3750" t="s">
        <v>3812</v>
      </c>
      <c r="B3750" t="s">
        <v>3756</v>
      </c>
      <c r="C3750" t="s">
        <v>62</v>
      </c>
      <c r="D3750" t="s">
        <v>63</v>
      </c>
      <c r="E3750">
        <v>7.1</v>
      </c>
      <c r="F3750">
        <v>8.0</v>
      </c>
      <c r="G3750" s="2" t="s">
        <v>67</v>
      </c>
      <c r="H3750" s="2">
        <v>23.0</v>
      </c>
      <c r="I3750" s="2">
        <v>170.0</v>
      </c>
      <c r="J3750" s="37">
        <v>737.58</v>
      </c>
      <c r="K3750" s="2">
        <v>26.0</v>
      </c>
      <c r="L3750" s="2">
        <v>235.0</v>
      </c>
      <c r="M3750" s="37">
        <v>889.46</v>
      </c>
    </row>
    <row r="3751" ht="14.25" customHeight="1">
      <c r="A3751" t="s">
        <v>3813</v>
      </c>
      <c r="B3751" t="s">
        <v>3756</v>
      </c>
      <c r="C3751" t="s">
        <v>62</v>
      </c>
      <c r="D3751" t="s">
        <v>63</v>
      </c>
      <c r="E3751">
        <v>10.0</v>
      </c>
      <c r="F3751">
        <v>11.2</v>
      </c>
      <c r="G3751" s="2" t="s">
        <v>67</v>
      </c>
      <c r="H3751" s="2">
        <v>34.0</v>
      </c>
      <c r="I3751" s="2">
        <v>241.0</v>
      </c>
      <c r="J3751" s="37">
        <v>1076.94</v>
      </c>
      <c r="K3751" s="2">
        <v>39.0</v>
      </c>
      <c r="L3751" s="2">
        <v>344.0</v>
      </c>
      <c r="M3751" s="37">
        <v>1323.14</v>
      </c>
    </row>
    <row r="3752" ht="14.25" customHeight="1">
      <c r="A3752" t="s">
        <v>3814</v>
      </c>
      <c r="B3752" t="s">
        <v>3756</v>
      </c>
      <c r="C3752" t="s">
        <v>62</v>
      </c>
      <c r="D3752" t="s">
        <v>63</v>
      </c>
      <c r="E3752">
        <v>10.0</v>
      </c>
      <c r="F3752">
        <v>11.2</v>
      </c>
      <c r="G3752" s="2" t="s">
        <v>67</v>
      </c>
      <c r="H3752" s="2">
        <v>34.0</v>
      </c>
      <c r="I3752" s="2">
        <v>241.0</v>
      </c>
      <c r="J3752" s="37">
        <v>1076.94</v>
      </c>
      <c r="K3752" s="2">
        <v>39.0</v>
      </c>
      <c r="L3752" s="2">
        <v>344.0</v>
      </c>
      <c r="M3752" s="37">
        <v>1323.14</v>
      </c>
    </row>
    <row r="3753" ht="14.25" customHeight="1">
      <c r="A3753" t="s">
        <v>3815</v>
      </c>
      <c r="B3753" t="s">
        <v>3756</v>
      </c>
      <c r="C3753" t="s">
        <v>62</v>
      </c>
      <c r="D3753" t="s">
        <v>63</v>
      </c>
      <c r="E3753">
        <v>12.5</v>
      </c>
      <c r="F3753">
        <v>14.0</v>
      </c>
      <c r="G3753" s="2" t="s">
        <v>67</v>
      </c>
      <c r="H3753" s="2">
        <v>39.0</v>
      </c>
      <c r="I3753" s="2">
        <v>163.0</v>
      </c>
      <c r="J3753" s="37">
        <v>1087.8400000000001</v>
      </c>
      <c r="K3753" s="2">
        <v>46.0</v>
      </c>
      <c r="L3753" s="2">
        <v>291.0</v>
      </c>
      <c r="M3753" s="37">
        <v>1411.46</v>
      </c>
    </row>
    <row r="3754" ht="14.25" customHeight="1">
      <c r="A3754" t="s">
        <v>3816</v>
      </c>
      <c r="B3754" t="s">
        <v>3756</v>
      </c>
      <c r="C3754" t="s">
        <v>62</v>
      </c>
      <c r="D3754" t="s">
        <v>63</v>
      </c>
      <c r="E3754">
        <v>12.5</v>
      </c>
      <c r="F3754">
        <v>14.0</v>
      </c>
      <c r="G3754" s="2" t="s">
        <v>67</v>
      </c>
      <c r="H3754" s="2">
        <v>39.0</v>
      </c>
      <c r="I3754" s="2">
        <v>163.0</v>
      </c>
      <c r="J3754" s="37">
        <v>1087.8400000000001</v>
      </c>
      <c r="K3754" s="2">
        <v>46.0</v>
      </c>
      <c r="L3754" s="2">
        <v>291.0</v>
      </c>
      <c r="M3754" s="37">
        <v>1411.46</v>
      </c>
    </row>
    <row r="3755" ht="14.25" customHeight="1">
      <c r="A3755" t="s">
        <v>3817</v>
      </c>
      <c r="B3755" t="s">
        <v>3756</v>
      </c>
      <c r="C3755" t="s">
        <v>62</v>
      </c>
      <c r="D3755" t="s">
        <v>63</v>
      </c>
      <c r="E3755">
        <v>14.0</v>
      </c>
      <c r="F3755">
        <v>16.0</v>
      </c>
      <c r="G3755" s="2" t="s">
        <v>67</v>
      </c>
      <c r="H3755" s="2">
        <v>44.0</v>
      </c>
      <c r="I3755" s="2">
        <v>117.0</v>
      </c>
      <c r="J3755" s="37">
        <v>1140.34</v>
      </c>
      <c r="K3755" s="2">
        <v>52.0</v>
      </c>
      <c r="L3755" s="2">
        <v>260.0</v>
      </c>
      <c r="M3755" s="37">
        <v>1505.92</v>
      </c>
    </row>
    <row r="3756" ht="14.25" customHeight="1">
      <c r="A3756" t="s">
        <v>3818</v>
      </c>
      <c r="B3756" t="s">
        <v>3756</v>
      </c>
      <c r="C3756" t="s">
        <v>62</v>
      </c>
      <c r="D3756" t="s">
        <v>63</v>
      </c>
      <c r="E3756">
        <v>14.0</v>
      </c>
      <c r="F3756">
        <v>16.0</v>
      </c>
      <c r="G3756" s="2" t="s">
        <v>67</v>
      </c>
      <c r="H3756" s="2">
        <v>44.0</v>
      </c>
      <c r="I3756" s="2">
        <v>117.0</v>
      </c>
      <c r="J3756" s="37">
        <v>1140.34</v>
      </c>
      <c r="K3756" s="2">
        <v>52.0</v>
      </c>
      <c r="L3756" s="2">
        <v>260.0</v>
      </c>
      <c r="M3756" s="37">
        <v>1505.92</v>
      </c>
    </row>
    <row r="3757" ht="14.25" customHeight="1">
      <c r="A3757" t="s">
        <v>3819</v>
      </c>
      <c r="B3757" t="s">
        <v>3756</v>
      </c>
      <c r="C3757" t="s">
        <v>62</v>
      </c>
      <c r="D3757" t="s">
        <v>63</v>
      </c>
      <c r="E3757">
        <v>2.5</v>
      </c>
      <c r="F3757">
        <v>3.4</v>
      </c>
      <c r="G3757" s="2" t="s">
        <v>64</v>
      </c>
      <c r="H3757" s="2">
        <v>0.0</v>
      </c>
      <c r="I3757" s="2">
        <v>0.0</v>
      </c>
      <c r="J3757" s="37">
        <v>0.0</v>
      </c>
      <c r="K3757" s="2">
        <v>0.0</v>
      </c>
      <c r="L3757" s="2">
        <v>0.0</v>
      </c>
      <c r="M3757" s="37">
        <v>0.0</v>
      </c>
    </row>
    <row r="3758" ht="14.25" customHeight="1">
      <c r="A3758" t="s">
        <v>3820</v>
      </c>
      <c r="B3758" t="s">
        <v>3756</v>
      </c>
      <c r="C3758" t="s">
        <v>62</v>
      </c>
      <c r="D3758" t="s">
        <v>63</v>
      </c>
      <c r="E3758">
        <v>3.6</v>
      </c>
      <c r="F3758">
        <v>4.0</v>
      </c>
      <c r="G3758" s="2" t="s">
        <v>64</v>
      </c>
      <c r="H3758" s="2">
        <v>0.0</v>
      </c>
      <c r="I3758" s="2">
        <v>0.0</v>
      </c>
      <c r="J3758" s="37">
        <v>0.0</v>
      </c>
      <c r="K3758" s="2">
        <v>0.0</v>
      </c>
      <c r="L3758" s="2">
        <v>0.0</v>
      </c>
      <c r="M3758" s="37">
        <v>0.0</v>
      </c>
    </row>
    <row r="3759" ht="14.25" customHeight="1">
      <c r="A3759" t="s">
        <v>3821</v>
      </c>
      <c r="B3759" t="s">
        <v>3756</v>
      </c>
      <c r="C3759" t="s">
        <v>62</v>
      </c>
      <c r="D3759" t="s">
        <v>63</v>
      </c>
      <c r="E3759">
        <v>5.0</v>
      </c>
      <c r="F3759">
        <v>5.3</v>
      </c>
      <c r="G3759" s="2" t="s">
        <v>64</v>
      </c>
      <c r="H3759" s="2">
        <v>0.0</v>
      </c>
      <c r="I3759" s="2">
        <v>0.0</v>
      </c>
      <c r="J3759" s="37">
        <v>0.0</v>
      </c>
      <c r="K3759" s="2">
        <v>0.0</v>
      </c>
      <c r="L3759" s="2">
        <v>0.0</v>
      </c>
      <c r="M3759" s="37">
        <v>0.0</v>
      </c>
    </row>
    <row r="3760" ht="14.25" customHeight="1">
      <c r="A3760" t="s">
        <v>3822</v>
      </c>
      <c r="B3760" t="s">
        <v>3756</v>
      </c>
      <c r="C3760" t="s">
        <v>62</v>
      </c>
      <c r="D3760" t="s">
        <v>63</v>
      </c>
      <c r="E3760">
        <v>7.1</v>
      </c>
      <c r="F3760">
        <v>8.0</v>
      </c>
      <c r="G3760" s="2" t="s">
        <v>64</v>
      </c>
      <c r="H3760" s="2">
        <v>0.0</v>
      </c>
      <c r="I3760" s="2">
        <v>0.0</v>
      </c>
      <c r="J3760" s="37">
        <v>0.0</v>
      </c>
      <c r="K3760" s="2">
        <v>0.0</v>
      </c>
      <c r="L3760" s="2">
        <v>0.0</v>
      </c>
      <c r="M3760" s="37">
        <v>0.0</v>
      </c>
    </row>
    <row r="3761" ht="14.25" customHeight="1">
      <c r="A3761" t="s">
        <v>3823</v>
      </c>
      <c r="B3761" t="s">
        <v>3756</v>
      </c>
      <c r="C3761" t="s">
        <v>62</v>
      </c>
      <c r="D3761" t="s">
        <v>63</v>
      </c>
      <c r="E3761">
        <v>2.5</v>
      </c>
      <c r="F3761">
        <v>3.4</v>
      </c>
      <c r="G3761" s="2" t="s">
        <v>64</v>
      </c>
      <c r="H3761" s="2">
        <v>0.0</v>
      </c>
      <c r="I3761" s="2">
        <v>0.0</v>
      </c>
      <c r="J3761" s="37">
        <v>0.0</v>
      </c>
      <c r="K3761" s="2">
        <v>0.0</v>
      </c>
      <c r="L3761" s="2">
        <v>0.0</v>
      </c>
      <c r="M3761" s="37">
        <v>0.0</v>
      </c>
    </row>
    <row r="3762" ht="14.25" customHeight="1">
      <c r="A3762" t="s">
        <v>3824</v>
      </c>
      <c r="B3762" t="s">
        <v>3756</v>
      </c>
      <c r="C3762" t="s">
        <v>62</v>
      </c>
      <c r="D3762" t="s">
        <v>63</v>
      </c>
      <c r="E3762">
        <v>3.6</v>
      </c>
      <c r="F3762">
        <v>4.0</v>
      </c>
      <c r="G3762" s="2" t="s">
        <v>64</v>
      </c>
      <c r="H3762" s="2">
        <v>0.0</v>
      </c>
      <c r="I3762" s="2">
        <v>0.0</v>
      </c>
      <c r="J3762" s="37">
        <v>0.0</v>
      </c>
      <c r="K3762" s="2">
        <v>0.0</v>
      </c>
      <c r="L3762" s="2">
        <v>0.0</v>
      </c>
      <c r="M3762" s="37">
        <v>0.0</v>
      </c>
    </row>
    <row r="3763" ht="14.25" customHeight="1">
      <c r="A3763" t="s">
        <v>3825</v>
      </c>
      <c r="B3763" t="s">
        <v>3756</v>
      </c>
      <c r="C3763" t="s">
        <v>62</v>
      </c>
      <c r="D3763" t="s">
        <v>63</v>
      </c>
      <c r="E3763">
        <v>5.0</v>
      </c>
      <c r="F3763">
        <v>5.3</v>
      </c>
      <c r="G3763" s="2" t="s">
        <v>64</v>
      </c>
      <c r="H3763" s="2">
        <v>0.0</v>
      </c>
      <c r="I3763" s="2">
        <v>0.0</v>
      </c>
      <c r="J3763" s="37">
        <v>0.0</v>
      </c>
      <c r="K3763" s="2">
        <v>0.0</v>
      </c>
      <c r="L3763" s="2">
        <v>0.0</v>
      </c>
      <c r="M3763" s="37">
        <v>0.0</v>
      </c>
    </row>
    <row r="3764" ht="14.25" customHeight="1">
      <c r="A3764" t="s">
        <v>3826</v>
      </c>
      <c r="B3764" t="s">
        <v>3756</v>
      </c>
      <c r="C3764" t="s">
        <v>62</v>
      </c>
      <c r="D3764" t="s">
        <v>63</v>
      </c>
      <c r="E3764">
        <v>5.0</v>
      </c>
      <c r="F3764">
        <v>5.3</v>
      </c>
      <c r="G3764" s="2" t="s">
        <v>64</v>
      </c>
      <c r="H3764" s="2">
        <v>0.0</v>
      </c>
      <c r="I3764" s="2">
        <v>0.0</v>
      </c>
      <c r="J3764" s="37">
        <v>0.0</v>
      </c>
      <c r="K3764" s="2">
        <v>0.0</v>
      </c>
      <c r="L3764" s="2">
        <v>0.0</v>
      </c>
      <c r="M3764" s="37">
        <v>0.0</v>
      </c>
    </row>
    <row r="3765" ht="14.25" customHeight="1">
      <c r="A3765" t="s">
        <v>3827</v>
      </c>
      <c r="B3765" t="s">
        <v>3756</v>
      </c>
      <c r="C3765" t="s">
        <v>62</v>
      </c>
      <c r="D3765" t="s">
        <v>63</v>
      </c>
      <c r="E3765">
        <v>7.1</v>
      </c>
      <c r="F3765">
        <v>8.0</v>
      </c>
      <c r="G3765" s="2" t="s">
        <v>67</v>
      </c>
      <c r="H3765" s="2">
        <v>21.0</v>
      </c>
      <c r="I3765" s="2">
        <v>69.0</v>
      </c>
      <c r="J3765" s="37">
        <v>561.36</v>
      </c>
      <c r="K3765" s="2">
        <v>25.0</v>
      </c>
      <c r="L3765" s="2">
        <v>134.0</v>
      </c>
      <c r="M3765" s="37">
        <v>735.7</v>
      </c>
    </row>
    <row r="3766" ht="14.25" customHeight="1">
      <c r="A3766" t="s">
        <v>3828</v>
      </c>
      <c r="B3766" t="s">
        <v>3756</v>
      </c>
      <c r="C3766" t="s">
        <v>62</v>
      </c>
      <c r="D3766" t="s">
        <v>63</v>
      </c>
      <c r="E3766">
        <v>10.0</v>
      </c>
      <c r="F3766">
        <v>11.2</v>
      </c>
      <c r="G3766" s="2" t="s">
        <v>67</v>
      </c>
      <c r="H3766" s="2">
        <v>32.0</v>
      </c>
      <c r="I3766" s="2">
        <v>108.0</v>
      </c>
      <c r="J3766" s="37">
        <v>859.12</v>
      </c>
      <c r="K3766" s="2">
        <v>37.0</v>
      </c>
      <c r="L3766" s="2">
        <v>210.0</v>
      </c>
      <c r="M3766" s="37">
        <v>1104.02</v>
      </c>
    </row>
    <row r="3767" ht="14.25" customHeight="1">
      <c r="A3767" t="s">
        <v>3829</v>
      </c>
      <c r="B3767" t="s">
        <v>3756</v>
      </c>
      <c r="C3767" t="s">
        <v>62</v>
      </c>
      <c r="D3767" t="s">
        <v>63</v>
      </c>
      <c r="E3767">
        <v>12.5</v>
      </c>
      <c r="F3767">
        <v>14.0</v>
      </c>
      <c r="G3767" s="2" t="s">
        <v>67</v>
      </c>
      <c r="H3767" s="2">
        <v>38.0</v>
      </c>
      <c r="I3767" s="2">
        <v>36.0</v>
      </c>
      <c r="J3767" s="37">
        <v>900.28</v>
      </c>
      <c r="K3767" s="2">
        <v>45.0</v>
      </c>
      <c r="L3767" s="2">
        <v>164.0</v>
      </c>
      <c r="M3767" s="37">
        <v>1223.9</v>
      </c>
    </row>
    <row r="3768" ht="14.25" customHeight="1">
      <c r="A3768" t="s">
        <v>3830</v>
      </c>
      <c r="B3768" t="s">
        <v>3756</v>
      </c>
      <c r="C3768" t="s">
        <v>62</v>
      </c>
      <c r="D3768" t="s">
        <v>63</v>
      </c>
      <c r="E3768">
        <v>14.0</v>
      </c>
      <c r="F3768">
        <v>16.0</v>
      </c>
      <c r="G3768" s="2" t="s">
        <v>67</v>
      </c>
      <c r="H3768" s="2">
        <v>45.0</v>
      </c>
      <c r="I3768" s="2">
        <v>43.0</v>
      </c>
      <c r="J3768" s="37">
        <v>1066.6000000000001</v>
      </c>
      <c r="K3768" s="2">
        <v>53.0</v>
      </c>
      <c r="L3768" s="2">
        <v>186.0</v>
      </c>
      <c r="M3768" s="37">
        <v>1432.18</v>
      </c>
    </row>
    <row r="3769" ht="14.25" customHeight="1">
      <c r="A3769" t="s">
        <v>3831</v>
      </c>
      <c r="B3769" t="s">
        <v>3756</v>
      </c>
      <c r="C3769" t="s">
        <v>62</v>
      </c>
      <c r="D3769" t="s">
        <v>63</v>
      </c>
      <c r="E3769">
        <v>14.0</v>
      </c>
      <c r="F3769">
        <v>16.0</v>
      </c>
      <c r="G3769" s="2" t="s">
        <v>67</v>
      </c>
      <c r="H3769" s="2">
        <v>45.0</v>
      </c>
      <c r="I3769" s="2">
        <v>43.0</v>
      </c>
      <c r="J3769" s="37">
        <v>1066.6000000000001</v>
      </c>
      <c r="K3769" s="2">
        <v>53.0</v>
      </c>
      <c r="L3769" s="2">
        <v>186.0</v>
      </c>
      <c r="M3769" s="37">
        <v>1432.18</v>
      </c>
    </row>
    <row r="3770" ht="14.25" customHeight="1">
      <c r="A3770" t="s">
        <v>3832</v>
      </c>
      <c r="B3770" t="s">
        <v>3756</v>
      </c>
      <c r="C3770" t="s">
        <v>62</v>
      </c>
      <c r="D3770" t="s">
        <v>63</v>
      </c>
      <c r="E3770">
        <v>5.0</v>
      </c>
      <c r="F3770">
        <v>5.3</v>
      </c>
      <c r="G3770" s="2" t="s">
        <v>64</v>
      </c>
      <c r="H3770" s="2">
        <v>0.0</v>
      </c>
      <c r="I3770" s="2">
        <v>0.0</v>
      </c>
      <c r="J3770" s="37">
        <v>0.0</v>
      </c>
      <c r="K3770" s="2">
        <v>0.0</v>
      </c>
      <c r="L3770" s="2">
        <v>0.0</v>
      </c>
      <c r="M3770" s="37">
        <v>0.0</v>
      </c>
    </row>
    <row r="3771" ht="14.25" customHeight="1">
      <c r="A3771" t="s">
        <v>3833</v>
      </c>
      <c r="B3771" t="s">
        <v>3756</v>
      </c>
      <c r="C3771" t="s">
        <v>62</v>
      </c>
      <c r="D3771" t="s">
        <v>63</v>
      </c>
      <c r="E3771">
        <v>7.1</v>
      </c>
      <c r="F3771">
        <v>8.0</v>
      </c>
      <c r="G3771" s="2" t="s">
        <v>64</v>
      </c>
      <c r="H3771" s="2">
        <v>0.0</v>
      </c>
      <c r="I3771" s="2">
        <v>0.0</v>
      </c>
      <c r="J3771" s="37">
        <v>0.0</v>
      </c>
      <c r="K3771" s="2">
        <v>0.0</v>
      </c>
      <c r="L3771" s="2">
        <v>0.0</v>
      </c>
      <c r="M3771" s="37">
        <v>0.0</v>
      </c>
    </row>
    <row r="3772" ht="14.25" customHeight="1">
      <c r="A3772" t="s">
        <v>3834</v>
      </c>
      <c r="B3772" t="s">
        <v>3756</v>
      </c>
      <c r="C3772" t="s">
        <v>62</v>
      </c>
      <c r="D3772" t="s">
        <v>63</v>
      </c>
      <c r="E3772">
        <v>10.0</v>
      </c>
      <c r="F3772">
        <v>11.2</v>
      </c>
      <c r="G3772" s="2" t="s">
        <v>67</v>
      </c>
      <c r="H3772" s="2">
        <v>32.0</v>
      </c>
      <c r="I3772" s="2">
        <v>72.0</v>
      </c>
      <c r="J3772" s="37">
        <v>812.32</v>
      </c>
      <c r="K3772" s="2">
        <v>37.0</v>
      </c>
      <c r="L3772" s="2">
        <v>175.0</v>
      </c>
      <c r="M3772" s="37">
        <v>1058.52</v>
      </c>
    </row>
    <row r="3773" ht="14.25" customHeight="1">
      <c r="A3773" t="s">
        <v>3835</v>
      </c>
      <c r="B3773" t="s">
        <v>3756</v>
      </c>
      <c r="C3773" t="s">
        <v>62</v>
      </c>
      <c r="D3773" t="s">
        <v>63</v>
      </c>
      <c r="E3773">
        <v>12.5</v>
      </c>
      <c r="F3773">
        <v>14.0</v>
      </c>
      <c r="G3773" s="2" t="s">
        <v>67</v>
      </c>
      <c r="H3773" s="2">
        <v>38.0</v>
      </c>
      <c r="I3773" s="2">
        <v>0.0</v>
      </c>
      <c r="J3773" s="37">
        <v>853.48</v>
      </c>
      <c r="K3773" s="2">
        <v>45.0</v>
      </c>
      <c r="L3773" s="2">
        <v>128.0</v>
      </c>
      <c r="M3773" s="37">
        <v>1177.1000000000001</v>
      </c>
    </row>
    <row r="3774" ht="14.25" customHeight="1">
      <c r="A3774" t="s">
        <v>3836</v>
      </c>
      <c r="B3774" t="s">
        <v>3756</v>
      </c>
      <c r="C3774" t="s">
        <v>62</v>
      </c>
      <c r="D3774" t="s">
        <v>63</v>
      </c>
      <c r="E3774">
        <v>14.0</v>
      </c>
      <c r="F3774">
        <v>16.0</v>
      </c>
      <c r="G3774" s="2" t="s">
        <v>67</v>
      </c>
      <c r="H3774" s="2">
        <v>45.0</v>
      </c>
      <c r="I3774" s="2">
        <v>1.0</v>
      </c>
      <c r="J3774" s="37">
        <v>1012.0</v>
      </c>
      <c r="K3774" s="2">
        <v>53.0</v>
      </c>
      <c r="L3774" s="2">
        <v>145.0</v>
      </c>
      <c r="M3774" s="37">
        <v>1378.88</v>
      </c>
    </row>
    <row r="3775" ht="14.25" customHeight="1">
      <c r="A3775" t="s">
        <v>3837</v>
      </c>
      <c r="B3775" t="s">
        <v>3756</v>
      </c>
      <c r="C3775" t="s">
        <v>62</v>
      </c>
      <c r="D3775" t="s">
        <v>63</v>
      </c>
      <c r="E3775">
        <v>14.0</v>
      </c>
      <c r="F3775">
        <v>16.0</v>
      </c>
      <c r="G3775" s="2" t="s">
        <v>67</v>
      </c>
      <c r="H3775" s="2">
        <v>45.0</v>
      </c>
      <c r="I3775" s="2">
        <v>1.0</v>
      </c>
      <c r="J3775" s="37">
        <v>1012.0</v>
      </c>
      <c r="K3775" s="2">
        <v>53.0</v>
      </c>
      <c r="L3775" s="2">
        <v>145.0</v>
      </c>
      <c r="M3775" s="37">
        <v>1378.88</v>
      </c>
    </row>
    <row r="3776" ht="14.25" customHeight="1">
      <c r="A3776" t="s">
        <v>3838</v>
      </c>
      <c r="B3776" t="s">
        <v>3756</v>
      </c>
      <c r="C3776" t="s">
        <v>75</v>
      </c>
      <c r="D3776" t="s">
        <v>63</v>
      </c>
      <c r="E3776">
        <v>5.0</v>
      </c>
      <c r="F3776">
        <v>5.3</v>
      </c>
      <c r="G3776" s="2" t="s">
        <v>64</v>
      </c>
      <c r="H3776" s="2">
        <v>0.0</v>
      </c>
      <c r="I3776" s="2">
        <v>0.0</v>
      </c>
      <c r="J3776" s="37">
        <v>0.0</v>
      </c>
      <c r="K3776" s="2">
        <v>0.0</v>
      </c>
      <c r="L3776" s="2">
        <v>0.0</v>
      </c>
      <c r="M3776" s="37">
        <v>0.0</v>
      </c>
    </row>
    <row r="3777" ht="14.25" customHeight="1">
      <c r="A3777" t="s">
        <v>3839</v>
      </c>
      <c r="B3777" t="s">
        <v>3756</v>
      </c>
      <c r="C3777" t="s">
        <v>75</v>
      </c>
      <c r="D3777" t="s">
        <v>63</v>
      </c>
      <c r="E3777">
        <v>7.1</v>
      </c>
      <c r="F3777">
        <v>8.0</v>
      </c>
      <c r="G3777" s="2" t="s">
        <v>64</v>
      </c>
      <c r="H3777" s="2">
        <v>0.0</v>
      </c>
      <c r="I3777" s="2">
        <v>0.0</v>
      </c>
      <c r="J3777" s="37">
        <v>0.0</v>
      </c>
      <c r="K3777" s="2">
        <v>0.0</v>
      </c>
      <c r="L3777" s="2">
        <v>0.0</v>
      </c>
      <c r="M3777" s="37">
        <v>0.0</v>
      </c>
    </row>
    <row r="3778" ht="14.25" customHeight="1">
      <c r="A3778" t="s">
        <v>3840</v>
      </c>
      <c r="B3778" t="s">
        <v>3756</v>
      </c>
      <c r="C3778" t="s">
        <v>75</v>
      </c>
      <c r="D3778" t="s">
        <v>63</v>
      </c>
      <c r="E3778">
        <v>10.0</v>
      </c>
      <c r="F3778">
        <v>11.2</v>
      </c>
      <c r="G3778" s="2" t="s">
        <v>64</v>
      </c>
      <c r="H3778" s="2">
        <v>0.0</v>
      </c>
      <c r="I3778" s="2">
        <v>0.0</v>
      </c>
      <c r="J3778" s="37">
        <v>0.0</v>
      </c>
      <c r="K3778" s="2">
        <v>0.0</v>
      </c>
      <c r="L3778" s="2">
        <v>0.0</v>
      </c>
      <c r="M3778" s="37">
        <v>0.0</v>
      </c>
    </row>
    <row r="3779" ht="14.25" customHeight="1">
      <c r="A3779" t="s">
        <v>3841</v>
      </c>
      <c r="B3779" t="s">
        <v>3756</v>
      </c>
      <c r="C3779" t="s">
        <v>75</v>
      </c>
      <c r="D3779" t="s">
        <v>63</v>
      </c>
      <c r="E3779">
        <v>12.5</v>
      </c>
      <c r="F3779">
        <v>14.0</v>
      </c>
      <c r="G3779" s="2" t="s">
        <v>64</v>
      </c>
      <c r="H3779" s="2">
        <v>0.0</v>
      </c>
      <c r="I3779" s="2">
        <v>0.0</v>
      </c>
      <c r="J3779" s="37">
        <v>0.0</v>
      </c>
      <c r="K3779" s="2">
        <v>0.0</v>
      </c>
      <c r="L3779" s="2">
        <v>0.0</v>
      </c>
      <c r="M3779" s="37">
        <v>0.0</v>
      </c>
    </row>
    <row r="3780" ht="14.25" customHeight="1">
      <c r="A3780" t="s">
        <v>3842</v>
      </c>
      <c r="B3780" t="s">
        <v>3756</v>
      </c>
      <c r="C3780" t="s">
        <v>75</v>
      </c>
      <c r="D3780" t="s">
        <v>63</v>
      </c>
      <c r="E3780">
        <v>14.0</v>
      </c>
      <c r="F3780">
        <v>16.0</v>
      </c>
      <c r="G3780" s="2" t="s">
        <v>64</v>
      </c>
      <c r="H3780" s="2">
        <v>0.0</v>
      </c>
      <c r="I3780" s="2">
        <v>0.0</v>
      </c>
      <c r="J3780" s="37">
        <v>0.0</v>
      </c>
      <c r="K3780" s="2">
        <v>0.0</v>
      </c>
      <c r="L3780" s="2">
        <v>0.0</v>
      </c>
      <c r="M3780" s="37">
        <v>0.0</v>
      </c>
    </row>
    <row r="3781" ht="14.25" customHeight="1">
      <c r="A3781" t="s">
        <v>3843</v>
      </c>
      <c r="B3781" t="s">
        <v>3756</v>
      </c>
      <c r="C3781" t="s">
        <v>75</v>
      </c>
      <c r="D3781" t="s">
        <v>63</v>
      </c>
      <c r="E3781">
        <v>14.0</v>
      </c>
      <c r="F3781">
        <v>16.0</v>
      </c>
      <c r="G3781" s="2" t="s">
        <v>64</v>
      </c>
      <c r="H3781" s="2">
        <v>0.0</v>
      </c>
      <c r="I3781" s="2">
        <v>0.0</v>
      </c>
      <c r="J3781" s="37">
        <v>0.0</v>
      </c>
      <c r="K3781" s="2">
        <v>0.0</v>
      </c>
      <c r="L3781" s="2">
        <v>0.0</v>
      </c>
      <c r="M3781" s="37">
        <v>0.0</v>
      </c>
    </row>
    <row r="3782" ht="14.25" customHeight="1">
      <c r="A3782" t="s">
        <v>3844</v>
      </c>
      <c r="B3782" t="s">
        <v>3756</v>
      </c>
      <c r="C3782" t="s">
        <v>75</v>
      </c>
      <c r="D3782" t="s">
        <v>63</v>
      </c>
      <c r="E3782">
        <v>5.0</v>
      </c>
      <c r="F3782">
        <v>5.3</v>
      </c>
      <c r="G3782" s="2" t="s">
        <v>64</v>
      </c>
      <c r="H3782" s="2">
        <v>0.0</v>
      </c>
      <c r="I3782" s="2">
        <v>0.0</v>
      </c>
      <c r="J3782" s="37">
        <v>0.0</v>
      </c>
      <c r="K3782" s="2">
        <v>0.0</v>
      </c>
      <c r="L3782" s="2">
        <v>0.0</v>
      </c>
      <c r="M3782" s="37">
        <v>0.0</v>
      </c>
    </row>
    <row r="3783" ht="14.25" customHeight="1">
      <c r="A3783" t="s">
        <v>3845</v>
      </c>
      <c r="B3783" t="s">
        <v>3756</v>
      </c>
      <c r="C3783" t="s">
        <v>75</v>
      </c>
      <c r="D3783" t="s">
        <v>63</v>
      </c>
      <c r="E3783">
        <v>7.1</v>
      </c>
      <c r="F3783">
        <v>8.0</v>
      </c>
      <c r="G3783" s="2" t="s">
        <v>64</v>
      </c>
      <c r="H3783" s="2">
        <v>0.0</v>
      </c>
      <c r="I3783" s="2">
        <v>0.0</v>
      </c>
      <c r="J3783" s="37">
        <v>0.0</v>
      </c>
      <c r="K3783" s="2">
        <v>0.0</v>
      </c>
      <c r="L3783" s="2">
        <v>0.0</v>
      </c>
      <c r="M3783" s="37">
        <v>0.0</v>
      </c>
    </row>
    <row r="3784" ht="14.25" customHeight="1">
      <c r="A3784" t="s">
        <v>3846</v>
      </c>
      <c r="B3784" t="s">
        <v>3756</v>
      </c>
      <c r="C3784" t="s">
        <v>75</v>
      </c>
      <c r="D3784" t="s">
        <v>63</v>
      </c>
      <c r="E3784">
        <v>10.0</v>
      </c>
      <c r="F3784">
        <v>11.2</v>
      </c>
      <c r="G3784" s="2" t="s">
        <v>67</v>
      </c>
      <c r="H3784" s="2">
        <v>31.0</v>
      </c>
      <c r="I3784" s="2">
        <v>72.0</v>
      </c>
      <c r="J3784" s="37">
        <v>789.86</v>
      </c>
      <c r="K3784" s="2">
        <v>36.0</v>
      </c>
      <c r="L3784" s="2">
        <v>175.0</v>
      </c>
      <c r="M3784" s="37">
        <v>1036.06</v>
      </c>
    </row>
    <row r="3785" ht="14.25" customHeight="1">
      <c r="A3785" t="s">
        <v>3847</v>
      </c>
      <c r="B3785" t="s">
        <v>3756</v>
      </c>
      <c r="C3785" t="s">
        <v>75</v>
      </c>
      <c r="D3785" t="s">
        <v>63</v>
      </c>
      <c r="E3785">
        <v>12.5</v>
      </c>
      <c r="F3785">
        <v>14.0</v>
      </c>
      <c r="G3785" s="2" t="s">
        <v>64</v>
      </c>
      <c r="H3785" s="2">
        <v>0.0</v>
      </c>
      <c r="I3785" s="2">
        <v>0.0</v>
      </c>
      <c r="J3785" s="37">
        <v>0.0</v>
      </c>
      <c r="K3785" s="2">
        <v>0.0</v>
      </c>
      <c r="L3785" s="2">
        <v>0.0</v>
      </c>
      <c r="M3785" s="37">
        <v>0.0</v>
      </c>
    </row>
    <row r="3786" ht="14.25" customHeight="1">
      <c r="A3786" t="s">
        <v>3848</v>
      </c>
      <c r="B3786" t="s">
        <v>3756</v>
      </c>
      <c r="C3786" t="s">
        <v>75</v>
      </c>
      <c r="D3786" t="s">
        <v>63</v>
      </c>
      <c r="E3786">
        <v>14.0</v>
      </c>
      <c r="F3786">
        <v>16.0</v>
      </c>
      <c r="G3786" s="2" t="s">
        <v>67</v>
      </c>
      <c r="H3786" s="2">
        <v>44.0</v>
      </c>
      <c r="I3786" s="2">
        <v>43.0</v>
      </c>
      <c r="J3786" s="37">
        <v>1044.14</v>
      </c>
      <c r="K3786" s="2">
        <v>51.0</v>
      </c>
      <c r="L3786" s="2">
        <v>186.0</v>
      </c>
      <c r="M3786" s="37">
        <v>1387.26</v>
      </c>
    </row>
    <row r="3787" ht="14.25" customHeight="1">
      <c r="A3787" t="s">
        <v>3849</v>
      </c>
      <c r="B3787" t="s">
        <v>3756</v>
      </c>
      <c r="C3787" t="s">
        <v>75</v>
      </c>
      <c r="D3787" t="s">
        <v>63</v>
      </c>
      <c r="E3787">
        <v>14.0</v>
      </c>
      <c r="F3787">
        <v>16.0</v>
      </c>
      <c r="G3787" s="2" t="s">
        <v>67</v>
      </c>
      <c r="H3787" s="2">
        <v>44.0</v>
      </c>
      <c r="I3787" s="2">
        <v>43.0</v>
      </c>
      <c r="J3787" s="37">
        <v>1044.14</v>
      </c>
      <c r="K3787" s="2">
        <v>51.0</v>
      </c>
      <c r="L3787" s="2">
        <v>186.0</v>
      </c>
      <c r="M3787" s="37">
        <v>1387.26</v>
      </c>
    </row>
    <row r="3788" ht="14.25" customHeight="1">
      <c r="A3788" t="s">
        <v>3850</v>
      </c>
      <c r="B3788" t="s">
        <v>3756</v>
      </c>
      <c r="C3788" t="s">
        <v>75</v>
      </c>
      <c r="D3788" t="s">
        <v>63</v>
      </c>
      <c r="E3788">
        <v>20.0</v>
      </c>
      <c r="F3788">
        <v>22.4</v>
      </c>
      <c r="G3788" s="2" t="s">
        <v>64</v>
      </c>
      <c r="H3788" s="2">
        <v>0.0</v>
      </c>
      <c r="I3788" s="2">
        <v>0.0</v>
      </c>
      <c r="J3788" s="37">
        <v>0.0</v>
      </c>
      <c r="K3788" s="2">
        <v>0.0</v>
      </c>
      <c r="L3788" s="2">
        <v>0.0</v>
      </c>
      <c r="M3788" s="37">
        <v>0.0</v>
      </c>
    </row>
    <row r="3789" ht="14.25" customHeight="1">
      <c r="A3789" t="s">
        <v>3851</v>
      </c>
      <c r="B3789" t="s">
        <v>3756</v>
      </c>
      <c r="C3789" t="s">
        <v>75</v>
      </c>
      <c r="D3789" t="s">
        <v>63</v>
      </c>
      <c r="E3789">
        <v>24.0</v>
      </c>
      <c r="F3789">
        <v>27.0</v>
      </c>
      <c r="G3789" s="2" t="s">
        <v>64</v>
      </c>
      <c r="H3789" s="2">
        <v>0.0</v>
      </c>
      <c r="I3789" s="2">
        <v>0.0</v>
      </c>
      <c r="J3789" s="37">
        <v>0.0</v>
      </c>
      <c r="K3789" s="2">
        <v>0.0</v>
      </c>
      <c r="L3789" s="2">
        <v>0.0</v>
      </c>
      <c r="M3789" s="37">
        <v>0.0</v>
      </c>
    </row>
    <row r="3790" ht="14.25" customHeight="1">
      <c r="A3790" t="s">
        <v>3852</v>
      </c>
      <c r="B3790" t="s">
        <v>3756</v>
      </c>
      <c r="C3790" t="s">
        <v>75</v>
      </c>
      <c r="D3790" t="s">
        <v>63</v>
      </c>
      <c r="E3790">
        <v>20.0</v>
      </c>
      <c r="F3790">
        <v>27.0</v>
      </c>
      <c r="G3790" s="2" t="s">
        <v>64</v>
      </c>
      <c r="H3790" s="2">
        <v>0.0</v>
      </c>
      <c r="I3790" s="2">
        <v>0.0</v>
      </c>
      <c r="J3790" s="37">
        <v>0.0</v>
      </c>
      <c r="K3790" s="2">
        <v>0.0</v>
      </c>
      <c r="L3790" s="2">
        <v>0.0</v>
      </c>
      <c r="M3790" s="37">
        <v>0.0</v>
      </c>
    </row>
    <row r="3791" ht="14.25" customHeight="1">
      <c r="A3791" t="s">
        <v>3853</v>
      </c>
      <c r="B3791" t="s">
        <v>3756</v>
      </c>
      <c r="C3791" t="s">
        <v>62</v>
      </c>
      <c r="D3791" t="s">
        <v>63</v>
      </c>
      <c r="E3791">
        <v>2.5</v>
      </c>
      <c r="F3791">
        <v>3.2</v>
      </c>
      <c r="G3791" s="2" t="s">
        <v>64</v>
      </c>
      <c r="H3791" s="2">
        <v>0.0</v>
      </c>
      <c r="I3791" s="2">
        <v>0.0</v>
      </c>
      <c r="J3791" s="37">
        <v>0.0</v>
      </c>
      <c r="K3791" s="2">
        <v>0.0</v>
      </c>
      <c r="L3791" s="2">
        <v>0.0</v>
      </c>
      <c r="M3791" s="37">
        <v>0.0</v>
      </c>
    </row>
    <row r="3792" ht="14.25" customHeight="1">
      <c r="A3792" t="s">
        <v>3854</v>
      </c>
      <c r="B3792" t="s">
        <v>3756</v>
      </c>
      <c r="C3792" t="s">
        <v>62</v>
      </c>
      <c r="D3792" t="s">
        <v>63</v>
      </c>
      <c r="E3792">
        <v>3.5</v>
      </c>
      <c r="F3792">
        <v>4.2</v>
      </c>
      <c r="G3792" s="2" t="s">
        <v>64</v>
      </c>
      <c r="H3792" s="2">
        <v>0.0</v>
      </c>
      <c r="I3792" s="2">
        <v>0.0</v>
      </c>
      <c r="J3792" s="37">
        <v>0.0</v>
      </c>
      <c r="K3792" s="2">
        <v>0.0</v>
      </c>
      <c r="L3792" s="2">
        <v>0.0</v>
      </c>
      <c r="M3792" s="37">
        <v>0.0</v>
      </c>
    </row>
    <row r="3793" ht="14.25" customHeight="1">
      <c r="A3793" t="s">
        <v>3855</v>
      </c>
      <c r="B3793" t="s">
        <v>3756</v>
      </c>
      <c r="C3793" t="s">
        <v>62</v>
      </c>
      <c r="D3793" t="s">
        <v>63</v>
      </c>
      <c r="E3793">
        <v>4.6</v>
      </c>
      <c r="F3793">
        <v>5.5</v>
      </c>
      <c r="G3793" s="2" t="s">
        <v>64</v>
      </c>
      <c r="H3793" s="2">
        <v>0.0</v>
      </c>
      <c r="I3793" s="2">
        <v>0.0</v>
      </c>
      <c r="J3793" s="37">
        <v>0.0</v>
      </c>
      <c r="K3793" s="2">
        <v>0.0</v>
      </c>
      <c r="L3793" s="2">
        <v>0.0</v>
      </c>
      <c r="M3793" s="37">
        <v>0.0</v>
      </c>
    </row>
    <row r="3794" ht="14.25" customHeight="1">
      <c r="A3794" t="s">
        <v>3747</v>
      </c>
      <c r="B3794" t="s">
        <v>3756</v>
      </c>
      <c r="C3794" t="s">
        <v>62</v>
      </c>
      <c r="D3794" t="s">
        <v>63</v>
      </c>
      <c r="E3794">
        <v>2.5</v>
      </c>
      <c r="F3794">
        <v>3.2</v>
      </c>
      <c r="G3794" s="2" t="s">
        <v>64</v>
      </c>
      <c r="H3794" s="2">
        <v>0.0</v>
      </c>
      <c r="I3794" s="2">
        <v>0.0</v>
      </c>
      <c r="J3794" s="37">
        <v>0.0</v>
      </c>
      <c r="K3794" s="2">
        <v>0.0</v>
      </c>
      <c r="L3794" s="2">
        <v>0.0</v>
      </c>
      <c r="M3794" s="37">
        <v>0.0</v>
      </c>
    </row>
    <row r="3795" ht="14.25" customHeight="1">
      <c r="A3795" t="s">
        <v>3856</v>
      </c>
      <c r="B3795" t="s">
        <v>3756</v>
      </c>
      <c r="C3795" t="s">
        <v>62</v>
      </c>
      <c r="D3795" t="s">
        <v>63</v>
      </c>
      <c r="E3795">
        <v>4.0</v>
      </c>
      <c r="F3795">
        <v>4.2</v>
      </c>
      <c r="G3795" s="2" t="s">
        <v>67</v>
      </c>
      <c r="H3795" s="2">
        <v>12.0</v>
      </c>
      <c r="I3795" s="2">
        <v>42.0</v>
      </c>
      <c r="J3795" s="37">
        <v>324.12</v>
      </c>
      <c r="K3795" s="2">
        <v>13.0</v>
      </c>
      <c r="L3795" s="2">
        <v>78.0</v>
      </c>
      <c r="M3795" s="37">
        <v>393.38</v>
      </c>
    </row>
    <row r="3796" ht="14.25" customHeight="1">
      <c r="A3796" t="s">
        <v>3749</v>
      </c>
      <c r="B3796" t="s">
        <v>3756</v>
      </c>
      <c r="C3796" t="s">
        <v>62</v>
      </c>
      <c r="D3796" t="s">
        <v>63</v>
      </c>
      <c r="E3796">
        <v>5.0</v>
      </c>
      <c r="F3796">
        <v>5.8</v>
      </c>
      <c r="G3796" s="2" t="s">
        <v>64</v>
      </c>
      <c r="H3796" s="2">
        <v>0.0</v>
      </c>
      <c r="I3796" s="2">
        <v>0.0</v>
      </c>
      <c r="J3796" s="37">
        <v>0.0</v>
      </c>
      <c r="K3796" s="2">
        <v>0.0</v>
      </c>
      <c r="L3796" s="2">
        <v>0.0</v>
      </c>
      <c r="M3796" s="37">
        <v>0.0</v>
      </c>
    </row>
    <row r="3797" ht="14.25" customHeight="1">
      <c r="A3797" t="s">
        <v>3857</v>
      </c>
      <c r="B3797" t="s">
        <v>3756</v>
      </c>
      <c r="C3797" t="s">
        <v>62</v>
      </c>
      <c r="D3797" t="s">
        <v>63</v>
      </c>
      <c r="E3797">
        <v>2.5</v>
      </c>
      <c r="F3797">
        <v>3.4</v>
      </c>
      <c r="G3797" s="2" t="s">
        <v>64</v>
      </c>
      <c r="H3797" s="2">
        <v>0.0</v>
      </c>
      <c r="I3797" s="2">
        <v>0.0</v>
      </c>
      <c r="J3797" s="37">
        <v>0.0</v>
      </c>
      <c r="K3797" s="2">
        <v>0.0</v>
      </c>
      <c r="L3797" s="2">
        <v>0.0</v>
      </c>
      <c r="M3797" s="37">
        <v>0.0</v>
      </c>
    </row>
    <row r="3798" ht="14.25" customHeight="1">
      <c r="A3798" t="s">
        <v>3858</v>
      </c>
      <c r="B3798" t="s">
        <v>3756</v>
      </c>
      <c r="C3798" t="s">
        <v>62</v>
      </c>
      <c r="D3798" t="s">
        <v>63</v>
      </c>
      <c r="E3798">
        <v>3.6</v>
      </c>
      <c r="F3798">
        <v>4.0</v>
      </c>
      <c r="G3798" s="2" t="s">
        <v>64</v>
      </c>
      <c r="H3798" s="2">
        <v>0.0</v>
      </c>
      <c r="I3798" s="2">
        <v>0.0</v>
      </c>
      <c r="J3798" s="37">
        <v>0.0</v>
      </c>
      <c r="K3798" s="2">
        <v>0.0</v>
      </c>
      <c r="L3798" s="2">
        <v>0.0</v>
      </c>
      <c r="M3798" s="37">
        <v>0.0</v>
      </c>
    </row>
    <row r="3799" ht="14.25" customHeight="1">
      <c r="A3799" t="s">
        <v>3859</v>
      </c>
      <c r="B3799" t="s">
        <v>3756</v>
      </c>
      <c r="C3799" t="s">
        <v>62</v>
      </c>
      <c r="D3799" t="s">
        <v>63</v>
      </c>
      <c r="E3799">
        <v>5.0</v>
      </c>
      <c r="F3799">
        <v>5.3</v>
      </c>
      <c r="G3799" s="2" t="s">
        <v>64</v>
      </c>
      <c r="H3799" s="2">
        <v>0.0</v>
      </c>
      <c r="I3799" s="2">
        <v>0.0</v>
      </c>
      <c r="J3799" s="37">
        <v>0.0</v>
      </c>
      <c r="K3799" s="2">
        <v>0.0</v>
      </c>
      <c r="L3799" s="2">
        <v>0.0</v>
      </c>
      <c r="M3799" s="37">
        <v>0.0</v>
      </c>
    </row>
    <row r="3800" ht="14.25" customHeight="1">
      <c r="A3800" t="s">
        <v>3860</v>
      </c>
      <c r="B3800" t="s">
        <v>3756</v>
      </c>
      <c r="C3800" t="s">
        <v>62</v>
      </c>
      <c r="D3800" t="s">
        <v>63</v>
      </c>
      <c r="E3800">
        <v>2.0</v>
      </c>
      <c r="F3800">
        <v>2.5</v>
      </c>
      <c r="G3800" s="2" t="s">
        <v>64</v>
      </c>
      <c r="H3800" s="2">
        <v>0.0</v>
      </c>
      <c r="I3800" s="2">
        <v>0.0</v>
      </c>
      <c r="J3800" s="37">
        <v>0.0</v>
      </c>
      <c r="K3800" s="2">
        <v>0.0</v>
      </c>
      <c r="L3800" s="2">
        <v>0.0</v>
      </c>
      <c r="M3800" s="37">
        <v>0.0</v>
      </c>
    </row>
    <row r="3801" ht="14.25" customHeight="1">
      <c r="A3801" t="s">
        <v>3861</v>
      </c>
      <c r="B3801" t="s">
        <v>3756</v>
      </c>
      <c r="C3801" t="s">
        <v>62</v>
      </c>
      <c r="D3801" t="s">
        <v>63</v>
      </c>
      <c r="E3801">
        <v>2.5</v>
      </c>
      <c r="F3801">
        <v>3.2</v>
      </c>
      <c r="G3801" s="2" t="s">
        <v>67</v>
      </c>
      <c r="H3801" s="2">
        <v>7.0</v>
      </c>
      <c r="I3801" s="2">
        <v>33.0</v>
      </c>
      <c r="J3801" s="37">
        <v>200.12</v>
      </c>
      <c r="K3801" s="2">
        <v>9.0</v>
      </c>
      <c r="L3801" s="2">
        <v>53.0</v>
      </c>
      <c r="M3801" s="37">
        <v>271.04</v>
      </c>
    </row>
    <row r="3802" ht="14.25" customHeight="1">
      <c r="A3802" t="s">
        <v>3862</v>
      </c>
      <c r="B3802" t="s">
        <v>3756</v>
      </c>
      <c r="C3802" t="s">
        <v>62</v>
      </c>
      <c r="D3802" t="s">
        <v>63</v>
      </c>
      <c r="E3802">
        <v>3.5</v>
      </c>
      <c r="F3802">
        <v>3.7</v>
      </c>
      <c r="G3802" s="2" t="s">
        <v>67</v>
      </c>
      <c r="H3802" s="2">
        <v>9.0</v>
      </c>
      <c r="I3802" s="2">
        <v>43.0</v>
      </c>
      <c r="J3802" s="37">
        <v>258.04</v>
      </c>
      <c r="K3802" s="2">
        <v>11.0</v>
      </c>
      <c r="L3802" s="2">
        <v>71.0</v>
      </c>
      <c r="M3802" s="37">
        <v>339.36</v>
      </c>
    </row>
    <row r="3803" ht="14.25" customHeight="1">
      <c r="A3803" t="s">
        <v>3863</v>
      </c>
      <c r="B3803" t="s">
        <v>3756</v>
      </c>
      <c r="C3803" t="s">
        <v>62</v>
      </c>
      <c r="D3803" t="s">
        <v>63</v>
      </c>
      <c r="E3803">
        <v>4.2</v>
      </c>
      <c r="F3803">
        <v>5.4</v>
      </c>
      <c r="G3803" s="2" t="s">
        <v>67</v>
      </c>
      <c r="H3803" s="2">
        <v>15.0</v>
      </c>
      <c r="I3803" s="2">
        <v>54.0</v>
      </c>
      <c r="J3803" s="37">
        <v>407.1</v>
      </c>
      <c r="K3803" s="2">
        <v>17.0</v>
      </c>
      <c r="L3803" s="2">
        <v>92.0</v>
      </c>
      <c r="M3803" s="37">
        <v>501.42</v>
      </c>
    </row>
    <row r="3804" ht="14.25" customHeight="1">
      <c r="A3804" t="s">
        <v>3864</v>
      </c>
      <c r="B3804" t="s">
        <v>3756</v>
      </c>
      <c r="C3804" t="s">
        <v>62</v>
      </c>
      <c r="D3804" t="s">
        <v>63</v>
      </c>
      <c r="E3804">
        <v>5.0</v>
      </c>
      <c r="F3804">
        <v>5.8</v>
      </c>
      <c r="G3804" s="2" t="s">
        <v>67</v>
      </c>
      <c r="H3804" s="2">
        <v>17.0</v>
      </c>
      <c r="I3804" s="2">
        <v>74.0</v>
      </c>
      <c r="J3804" s="37">
        <v>478.02</v>
      </c>
      <c r="K3804" s="2">
        <v>19.0</v>
      </c>
      <c r="L3804" s="2">
        <v>120.0</v>
      </c>
      <c r="M3804" s="37">
        <v>582.74</v>
      </c>
    </row>
    <row r="3805" ht="14.25" customHeight="1">
      <c r="A3805" t="s">
        <v>3865</v>
      </c>
      <c r="B3805" t="s">
        <v>3756</v>
      </c>
      <c r="C3805" t="s">
        <v>62</v>
      </c>
      <c r="D3805" t="s">
        <v>63</v>
      </c>
      <c r="E3805">
        <v>6.0</v>
      </c>
      <c r="F3805">
        <v>6.9</v>
      </c>
      <c r="G3805" s="2" t="s">
        <v>67</v>
      </c>
      <c r="H3805" s="2">
        <v>20.0</v>
      </c>
      <c r="I3805" s="2">
        <v>98.0</v>
      </c>
      <c r="J3805" s="37">
        <v>576.6</v>
      </c>
      <c r="K3805" s="2">
        <v>23.0</v>
      </c>
      <c r="L3805" s="2">
        <v>153.0</v>
      </c>
      <c r="M3805" s="37">
        <v>715.48</v>
      </c>
    </row>
    <row r="3806" ht="14.25" customHeight="1">
      <c r="A3806" t="s">
        <v>3866</v>
      </c>
      <c r="B3806" t="s">
        <v>3756</v>
      </c>
      <c r="C3806" t="s">
        <v>62</v>
      </c>
      <c r="D3806" t="s">
        <v>63</v>
      </c>
      <c r="E3806">
        <v>7.1</v>
      </c>
      <c r="F3806">
        <v>8.0</v>
      </c>
      <c r="G3806" s="2" t="s">
        <v>67</v>
      </c>
      <c r="H3806" s="2">
        <v>22.0</v>
      </c>
      <c r="I3806" s="2">
        <v>90.0</v>
      </c>
      <c r="J3806" s="37">
        <v>611.12</v>
      </c>
      <c r="K3806" s="2">
        <v>26.0</v>
      </c>
      <c r="L3806" s="2">
        <v>155.0</v>
      </c>
      <c r="M3806" s="37">
        <v>785.46</v>
      </c>
    </row>
    <row r="3807" ht="14.25" customHeight="1">
      <c r="A3807" t="s">
        <v>3867</v>
      </c>
      <c r="B3807" t="s">
        <v>3756</v>
      </c>
      <c r="C3807" t="s">
        <v>62</v>
      </c>
      <c r="D3807" t="s">
        <v>63</v>
      </c>
      <c r="E3807">
        <v>5.0</v>
      </c>
      <c r="F3807">
        <v>5.8</v>
      </c>
      <c r="G3807" s="2" t="s">
        <v>64</v>
      </c>
      <c r="H3807" s="2">
        <v>0.0</v>
      </c>
      <c r="I3807" s="2">
        <v>0.0</v>
      </c>
      <c r="J3807" s="37">
        <v>0.0</v>
      </c>
      <c r="K3807" s="2">
        <v>0.0</v>
      </c>
      <c r="L3807" s="2">
        <v>0.0</v>
      </c>
      <c r="M3807" s="37">
        <v>0.0</v>
      </c>
    </row>
    <row r="3808" ht="14.25" customHeight="1">
      <c r="A3808" t="s">
        <v>3868</v>
      </c>
      <c r="B3808" t="s">
        <v>3756</v>
      </c>
      <c r="C3808" t="s">
        <v>75</v>
      </c>
      <c r="D3808" t="s">
        <v>63</v>
      </c>
      <c r="E3808">
        <v>7.1</v>
      </c>
      <c r="F3808">
        <v>8.0</v>
      </c>
      <c r="G3808" s="2" t="s">
        <v>67</v>
      </c>
      <c r="H3808" s="2">
        <v>22.0</v>
      </c>
      <c r="I3808" s="2">
        <v>139.0</v>
      </c>
      <c r="J3808" s="37">
        <v>674.82</v>
      </c>
      <c r="K3808" s="2">
        <v>26.0</v>
      </c>
      <c r="L3808" s="2">
        <v>212.0</v>
      </c>
      <c r="M3808" s="37">
        <v>859.5600000000001</v>
      </c>
    </row>
    <row r="3809" ht="14.25" customHeight="1">
      <c r="A3809" t="s">
        <v>3869</v>
      </c>
      <c r="B3809" t="s">
        <v>3756</v>
      </c>
      <c r="C3809" t="s">
        <v>75</v>
      </c>
      <c r="D3809" t="s">
        <v>63</v>
      </c>
      <c r="E3809">
        <v>10.0</v>
      </c>
      <c r="F3809">
        <v>11.2</v>
      </c>
      <c r="G3809" s="2" t="s">
        <v>67</v>
      </c>
      <c r="H3809" s="2">
        <v>31.0</v>
      </c>
      <c r="I3809" s="2">
        <v>117.0</v>
      </c>
      <c r="J3809" s="37">
        <v>848.36</v>
      </c>
      <c r="K3809" s="2">
        <v>37.0</v>
      </c>
      <c r="L3809" s="2">
        <v>219.0</v>
      </c>
      <c r="M3809" s="37">
        <v>1115.72</v>
      </c>
    </row>
    <row r="3810" ht="14.25" customHeight="1">
      <c r="A3810" t="s">
        <v>3870</v>
      </c>
      <c r="B3810" t="s">
        <v>3756</v>
      </c>
      <c r="C3810" t="s">
        <v>75</v>
      </c>
      <c r="D3810" t="s">
        <v>63</v>
      </c>
      <c r="E3810">
        <v>12.5</v>
      </c>
      <c r="F3810">
        <v>14.0</v>
      </c>
      <c r="G3810" s="2" t="s">
        <v>64</v>
      </c>
      <c r="H3810" s="2">
        <v>0.0</v>
      </c>
      <c r="I3810" s="2">
        <v>0.0</v>
      </c>
      <c r="J3810" s="37">
        <v>0.0</v>
      </c>
      <c r="K3810" s="2">
        <v>0.0</v>
      </c>
      <c r="L3810" s="2">
        <v>0.0</v>
      </c>
      <c r="M3810" s="37">
        <v>0.0</v>
      </c>
    </row>
    <row r="3811" ht="14.25" customHeight="1">
      <c r="A3811" t="s">
        <v>3871</v>
      </c>
      <c r="B3811" t="s">
        <v>3756</v>
      </c>
      <c r="C3811" t="s">
        <v>75</v>
      </c>
      <c r="D3811" t="s">
        <v>63</v>
      </c>
      <c r="E3811">
        <v>14.0</v>
      </c>
      <c r="F3811">
        <v>16.0</v>
      </c>
      <c r="G3811" s="2" t="s">
        <v>67</v>
      </c>
      <c r="H3811" s="2">
        <v>44.0</v>
      </c>
      <c r="I3811" s="2">
        <v>129.0</v>
      </c>
      <c r="J3811" s="37">
        <v>1155.94</v>
      </c>
      <c r="K3811" s="2">
        <v>51.0</v>
      </c>
      <c r="L3811" s="2">
        <v>272.0</v>
      </c>
      <c r="M3811" s="37">
        <v>1499.06</v>
      </c>
    </row>
    <row r="3812" ht="14.25" customHeight="1">
      <c r="A3812" t="s">
        <v>3872</v>
      </c>
      <c r="B3812" t="s">
        <v>3756</v>
      </c>
      <c r="C3812" t="s">
        <v>75</v>
      </c>
      <c r="D3812" t="s">
        <v>63</v>
      </c>
      <c r="E3812">
        <v>14.0</v>
      </c>
      <c r="F3812">
        <v>16.0</v>
      </c>
      <c r="G3812" s="2" t="s">
        <v>67</v>
      </c>
      <c r="H3812" s="2">
        <v>44.0</v>
      </c>
      <c r="I3812" s="2">
        <v>129.0</v>
      </c>
      <c r="J3812" s="37">
        <v>1155.94</v>
      </c>
      <c r="K3812" s="2">
        <v>51.0</v>
      </c>
      <c r="L3812" s="2">
        <v>272.0</v>
      </c>
      <c r="M3812" s="37">
        <v>1499.06</v>
      </c>
    </row>
    <row r="3813" ht="14.25" customHeight="1">
      <c r="A3813" t="s">
        <v>3873</v>
      </c>
      <c r="B3813" t="s">
        <v>3756</v>
      </c>
      <c r="C3813" t="s">
        <v>75</v>
      </c>
      <c r="D3813" t="s">
        <v>63</v>
      </c>
      <c r="E3813">
        <v>7.1</v>
      </c>
      <c r="F3813">
        <v>8.0</v>
      </c>
      <c r="G3813" s="2" t="s">
        <v>67</v>
      </c>
      <c r="H3813" s="2">
        <v>22.0</v>
      </c>
      <c r="I3813" s="2">
        <v>152.0</v>
      </c>
      <c r="J3813" s="37">
        <v>691.72</v>
      </c>
      <c r="K3813" s="2">
        <v>26.0</v>
      </c>
      <c r="L3813" s="2">
        <v>225.0</v>
      </c>
      <c r="M3813" s="37">
        <v>876.46</v>
      </c>
    </row>
    <row r="3814" ht="14.25" customHeight="1">
      <c r="A3814" t="s">
        <v>3874</v>
      </c>
      <c r="B3814" t="s">
        <v>3756</v>
      </c>
      <c r="C3814" t="s">
        <v>75</v>
      </c>
      <c r="D3814" t="s">
        <v>63</v>
      </c>
      <c r="E3814">
        <v>10.0</v>
      </c>
      <c r="F3814">
        <v>11.2</v>
      </c>
      <c r="G3814" s="2" t="s">
        <v>67</v>
      </c>
      <c r="H3814" s="2">
        <v>31.0</v>
      </c>
      <c r="I3814" s="2">
        <v>164.0</v>
      </c>
      <c r="J3814" s="37">
        <v>909.46</v>
      </c>
      <c r="K3814" s="2">
        <v>36.0</v>
      </c>
      <c r="L3814" s="2">
        <v>267.0</v>
      </c>
      <c r="M3814" s="37">
        <v>1155.66</v>
      </c>
    </row>
    <row r="3815" ht="14.25" customHeight="1">
      <c r="A3815" t="s">
        <v>3875</v>
      </c>
      <c r="B3815" t="s">
        <v>3756</v>
      </c>
      <c r="C3815" t="s">
        <v>75</v>
      </c>
      <c r="D3815" t="s">
        <v>63</v>
      </c>
      <c r="E3815">
        <v>10.0</v>
      </c>
      <c r="F3815">
        <v>11.2</v>
      </c>
      <c r="G3815" s="2" t="s">
        <v>67</v>
      </c>
      <c r="H3815" s="2">
        <v>31.0</v>
      </c>
      <c r="I3815" s="2">
        <v>164.0</v>
      </c>
      <c r="J3815" s="37">
        <v>909.46</v>
      </c>
      <c r="K3815" s="2">
        <v>36.0</v>
      </c>
      <c r="L3815" s="2">
        <v>267.0</v>
      </c>
      <c r="M3815" s="37">
        <v>1155.66</v>
      </c>
    </row>
    <row r="3816" ht="14.25" customHeight="1">
      <c r="A3816" t="s">
        <v>3876</v>
      </c>
      <c r="B3816" t="s">
        <v>3756</v>
      </c>
      <c r="C3816" t="s">
        <v>75</v>
      </c>
      <c r="D3816" t="s">
        <v>63</v>
      </c>
      <c r="E3816">
        <v>12.5</v>
      </c>
      <c r="F3816">
        <v>14.0</v>
      </c>
      <c r="G3816" s="2" t="s">
        <v>67</v>
      </c>
      <c r="H3816" s="2">
        <v>38.0</v>
      </c>
      <c r="I3816" s="2">
        <v>148.0</v>
      </c>
      <c r="J3816" s="37">
        <v>1045.88</v>
      </c>
      <c r="K3816" s="2">
        <v>45.0</v>
      </c>
      <c r="L3816" s="2">
        <v>277.0</v>
      </c>
      <c r="M3816" s="37">
        <v>1370.8000000000002</v>
      </c>
    </row>
    <row r="3817" ht="14.25" customHeight="1">
      <c r="A3817" t="s">
        <v>3877</v>
      </c>
      <c r="B3817" t="s">
        <v>3756</v>
      </c>
      <c r="C3817" t="s">
        <v>75</v>
      </c>
      <c r="D3817" t="s">
        <v>63</v>
      </c>
      <c r="E3817">
        <v>12.5</v>
      </c>
      <c r="F3817">
        <v>14.0</v>
      </c>
      <c r="G3817" s="2" t="s">
        <v>67</v>
      </c>
      <c r="H3817" s="2">
        <v>38.0</v>
      </c>
      <c r="I3817" s="2">
        <v>148.0</v>
      </c>
      <c r="J3817" s="37">
        <v>1045.88</v>
      </c>
      <c r="K3817" s="2">
        <v>45.0</v>
      </c>
      <c r="L3817" s="2">
        <v>277.0</v>
      </c>
      <c r="M3817" s="37">
        <v>1370.8000000000002</v>
      </c>
    </row>
    <row r="3818" ht="14.25" customHeight="1">
      <c r="A3818" t="s">
        <v>3878</v>
      </c>
      <c r="B3818" t="s">
        <v>3756</v>
      </c>
      <c r="C3818" t="s">
        <v>75</v>
      </c>
      <c r="D3818" t="s">
        <v>63</v>
      </c>
      <c r="E3818">
        <v>14.0</v>
      </c>
      <c r="F3818">
        <v>16.0</v>
      </c>
      <c r="G3818" s="2" t="s">
        <v>67</v>
      </c>
      <c r="H3818" s="2">
        <v>43.0</v>
      </c>
      <c r="I3818" s="2">
        <v>153.0</v>
      </c>
      <c r="J3818" s="37">
        <v>1164.68</v>
      </c>
      <c r="K3818" s="2">
        <v>50.0</v>
      </c>
      <c r="L3818" s="2">
        <v>296.0</v>
      </c>
      <c r="M3818" s="37">
        <v>1507.8</v>
      </c>
    </row>
    <row r="3819" ht="14.25" customHeight="1">
      <c r="A3819" t="s">
        <v>3879</v>
      </c>
      <c r="B3819" t="s">
        <v>3756</v>
      </c>
      <c r="C3819" t="s">
        <v>75</v>
      </c>
      <c r="D3819" t="s">
        <v>63</v>
      </c>
      <c r="E3819">
        <v>14.0</v>
      </c>
      <c r="F3819">
        <v>16.0</v>
      </c>
      <c r="G3819" s="2" t="s">
        <v>67</v>
      </c>
      <c r="H3819" s="2">
        <v>42.0</v>
      </c>
      <c r="I3819" s="2">
        <v>153.0</v>
      </c>
      <c r="J3819" s="37">
        <v>1142.22</v>
      </c>
      <c r="K3819" s="2">
        <v>50.0</v>
      </c>
      <c r="L3819" s="2">
        <v>296.0</v>
      </c>
      <c r="M3819" s="37">
        <v>1507.8</v>
      </c>
    </row>
    <row r="3820" ht="14.25" customHeight="1">
      <c r="A3820" t="s">
        <v>3880</v>
      </c>
      <c r="B3820" t="s">
        <v>3756</v>
      </c>
      <c r="C3820" t="s">
        <v>62</v>
      </c>
      <c r="D3820" t="s">
        <v>63</v>
      </c>
      <c r="E3820">
        <v>2.0</v>
      </c>
      <c r="F3820">
        <v>2.5</v>
      </c>
      <c r="G3820" s="2" t="s">
        <v>64</v>
      </c>
      <c r="H3820" s="2">
        <v>0.0</v>
      </c>
      <c r="I3820" s="2">
        <v>0.0</v>
      </c>
      <c r="J3820" s="37">
        <v>0.0</v>
      </c>
      <c r="K3820" s="2">
        <v>0.0</v>
      </c>
      <c r="L3820" s="2">
        <v>0.0</v>
      </c>
      <c r="M3820" s="37">
        <v>0.0</v>
      </c>
    </row>
    <row r="3821" ht="14.25" customHeight="1">
      <c r="A3821" t="s">
        <v>3881</v>
      </c>
      <c r="B3821" t="s">
        <v>3756</v>
      </c>
      <c r="C3821" t="s">
        <v>62</v>
      </c>
      <c r="D3821" t="s">
        <v>63</v>
      </c>
      <c r="E3821">
        <v>2.5</v>
      </c>
      <c r="F3821">
        <v>3.2</v>
      </c>
      <c r="G3821" s="2" t="s">
        <v>67</v>
      </c>
      <c r="H3821" s="2">
        <v>8.0</v>
      </c>
      <c r="I3821" s="2">
        <v>39.0</v>
      </c>
      <c r="J3821" s="37">
        <v>230.38</v>
      </c>
      <c r="K3821" s="2">
        <v>9.0</v>
      </c>
      <c r="L3821" s="2">
        <v>59.0</v>
      </c>
      <c r="M3821" s="37">
        <v>278.84000000000003</v>
      </c>
    </row>
    <row r="3822" ht="14.25" customHeight="1">
      <c r="A3822" t="s">
        <v>3882</v>
      </c>
      <c r="B3822" t="s">
        <v>3756</v>
      </c>
      <c r="C3822" t="s">
        <v>62</v>
      </c>
      <c r="D3822" t="s">
        <v>63</v>
      </c>
      <c r="E3822">
        <v>3.5</v>
      </c>
      <c r="F3822">
        <v>4.0</v>
      </c>
      <c r="G3822" s="2" t="s">
        <v>67</v>
      </c>
      <c r="H3822" s="2">
        <v>10.0</v>
      </c>
      <c r="I3822" s="2">
        <v>46.0</v>
      </c>
      <c r="J3822" s="37">
        <v>284.40000000000003</v>
      </c>
      <c r="K3822" s="2">
        <v>12.0</v>
      </c>
      <c r="L3822" s="2">
        <v>74.0</v>
      </c>
      <c r="M3822" s="37">
        <v>365.71999999999997</v>
      </c>
    </row>
    <row r="3823" ht="14.25" customHeight="1">
      <c r="A3823" t="s">
        <v>3883</v>
      </c>
      <c r="B3823" t="s">
        <v>3756</v>
      </c>
      <c r="C3823" t="s">
        <v>62</v>
      </c>
      <c r="D3823" t="s">
        <v>63</v>
      </c>
      <c r="E3823">
        <v>4.2</v>
      </c>
      <c r="F3823">
        <v>5.4</v>
      </c>
      <c r="G3823" s="2" t="s">
        <v>64</v>
      </c>
      <c r="H3823" s="2">
        <v>0.0</v>
      </c>
      <c r="I3823" s="2">
        <v>0.0</v>
      </c>
      <c r="J3823" s="37">
        <v>0.0</v>
      </c>
      <c r="K3823" s="2">
        <v>0.0</v>
      </c>
      <c r="L3823" s="2">
        <v>0.0</v>
      </c>
      <c r="M3823" s="37">
        <v>0.0</v>
      </c>
    </row>
    <row r="3824" ht="14.25" customHeight="1">
      <c r="A3824" t="s">
        <v>3884</v>
      </c>
      <c r="B3824" t="s">
        <v>3756</v>
      </c>
      <c r="C3824" t="s">
        <v>62</v>
      </c>
      <c r="D3824" t="s">
        <v>63</v>
      </c>
      <c r="E3824">
        <v>5.0</v>
      </c>
      <c r="F3824">
        <v>5.6</v>
      </c>
      <c r="G3824" s="2" t="s">
        <v>67</v>
      </c>
      <c r="H3824" s="2">
        <v>16.0</v>
      </c>
      <c r="I3824" s="2">
        <v>63.0</v>
      </c>
      <c r="J3824" s="37">
        <v>441.26</v>
      </c>
      <c r="K3824" s="2">
        <v>18.0</v>
      </c>
      <c r="L3824" s="2">
        <v>108.0</v>
      </c>
      <c r="M3824" s="37">
        <v>544.6800000000001</v>
      </c>
    </row>
    <row r="3825" ht="14.25" customHeight="1">
      <c r="A3825" t="s">
        <v>3885</v>
      </c>
      <c r="B3825" t="s">
        <v>3756</v>
      </c>
      <c r="C3825" t="s">
        <v>62</v>
      </c>
      <c r="D3825" t="s">
        <v>63</v>
      </c>
      <c r="E3825">
        <v>6.0</v>
      </c>
      <c r="F3825">
        <v>6.9</v>
      </c>
      <c r="G3825" s="2" t="s">
        <v>64</v>
      </c>
      <c r="H3825" s="2">
        <v>0.0</v>
      </c>
      <c r="I3825" s="2">
        <v>0.0</v>
      </c>
      <c r="J3825" s="37">
        <v>0.0</v>
      </c>
      <c r="K3825" s="2">
        <v>0.0</v>
      </c>
      <c r="L3825" s="2">
        <v>0.0</v>
      </c>
      <c r="M3825" s="37">
        <v>0.0</v>
      </c>
    </row>
    <row r="3826" ht="14.25" customHeight="1">
      <c r="A3826" t="s">
        <v>3886</v>
      </c>
      <c r="B3826" t="s">
        <v>3756</v>
      </c>
      <c r="C3826" t="s">
        <v>62</v>
      </c>
      <c r="D3826" t="s">
        <v>63</v>
      </c>
      <c r="E3826">
        <v>7.1</v>
      </c>
      <c r="F3826">
        <v>8.0</v>
      </c>
      <c r="G3826" s="2" t="s">
        <v>67</v>
      </c>
      <c r="H3826" s="2">
        <v>22.0</v>
      </c>
      <c r="I3826" s="2">
        <v>96.0</v>
      </c>
      <c r="J3826" s="37">
        <v>618.9200000000001</v>
      </c>
      <c r="K3826" s="2">
        <v>25.0</v>
      </c>
      <c r="L3826" s="2">
        <v>161.0</v>
      </c>
      <c r="M3826" s="37">
        <v>770.8</v>
      </c>
    </row>
    <row r="3827" ht="14.25" customHeight="1">
      <c r="A3827" t="s">
        <v>3887</v>
      </c>
      <c r="B3827" t="s">
        <v>3756</v>
      </c>
      <c r="C3827" t="s">
        <v>62</v>
      </c>
      <c r="D3827" t="s">
        <v>63</v>
      </c>
      <c r="E3827">
        <v>8.0</v>
      </c>
      <c r="F3827">
        <v>9.0</v>
      </c>
      <c r="G3827" s="2" t="s">
        <v>67</v>
      </c>
      <c r="H3827" s="2">
        <v>25.0</v>
      </c>
      <c r="I3827" s="2">
        <v>54.0</v>
      </c>
      <c r="J3827" s="37">
        <v>631.7</v>
      </c>
      <c r="K3827" s="2">
        <v>28.0</v>
      </c>
      <c r="L3827" s="2">
        <v>127.0</v>
      </c>
      <c r="M3827" s="37">
        <v>793.98</v>
      </c>
    </row>
    <row r="3828" ht="14.25" customHeight="1">
      <c r="A3828" t="s">
        <v>3888</v>
      </c>
      <c r="B3828" t="s">
        <v>3756</v>
      </c>
      <c r="C3828" t="s">
        <v>62</v>
      </c>
      <c r="D3828" t="s">
        <v>63</v>
      </c>
      <c r="E3828">
        <v>9.0</v>
      </c>
      <c r="F3828">
        <v>10.3</v>
      </c>
      <c r="G3828" s="2" t="s">
        <v>67</v>
      </c>
      <c r="H3828" s="2">
        <v>29.0</v>
      </c>
      <c r="I3828" s="2">
        <v>57.0</v>
      </c>
      <c r="J3828" s="37">
        <v>725.44</v>
      </c>
      <c r="K3828" s="2">
        <v>34.0</v>
      </c>
      <c r="L3828" s="2">
        <v>139.0</v>
      </c>
      <c r="M3828" s="37">
        <v>944.34</v>
      </c>
    </row>
    <row r="3829" ht="14.25" customHeight="1">
      <c r="A3829" t="s">
        <v>3889</v>
      </c>
      <c r="B3829" t="s">
        <v>3756</v>
      </c>
      <c r="C3829" t="s">
        <v>62</v>
      </c>
      <c r="D3829" t="s">
        <v>63</v>
      </c>
      <c r="E3829">
        <v>10.0</v>
      </c>
      <c r="F3829">
        <v>11.5</v>
      </c>
      <c r="G3829" s="2" t="s">
        <v>67</v>
      </c>
      <c r="H3829" s="2">
        <v>33.0</v>
      </c>
      <c r="I3829" s="2">
        <v>37.0</v>
      </c>
      <c r="J3829" s="37">
        <v>789.2800000000001</v>
      </c>
      <c r="K3829" s="2">
        <v>38.0</v>
      </c>
      <c r="L3829" s="2">
        <v>139.0</v>
      </c>
      <c r="M3829" s="37">
        <v>1034.18</v>
      </c>
    </row>
    <row r="3830" ht="14.25" customHeight="1">
      <c r="A3830" t="s">
        <v>3890</v>
      </c>
      <c r="B3830" t="s">
        <v>3756</v>
      </c>
      <c r="C3830" t="s">
        <v>62</v>
      </c>
      <c r="D3830" t="s">
        <v>63</v>
      </c>
      <c r="E3830">
        <v>7.1</v>
      </c>
      <c r="F3830">
        <v>8.0</v>
      </c>
      <c r="G3830" s="2" t="s">
        <v>67</v>
      </c>
      <c r="H3830" s="2">
        <v>22.0</v>
      </c>
      <c r="I3830" s="2">
        <v>96.0</v>
      </c>
      <c r="J3830" s="37">
        <v>618.9200000000001</v>
      </c>
      <c r="K3830" s="2">
        <v>25.0</v>
      </c>
      <c r="L3830" s="2">
        <v>161.0</v>
      </c>
      <c r="M3830" s="37">
        <v>770.8</v>
      </c>
    </row>
    <row r="3831" ht="14.25" customHeight="1">
      <c r="A3831" t="s">
        <v>3891</v>
      </c>
      <c r="B3831" t="s">
        <v>3756</v>
      </c>
      <c r="C3831" t="s">
        <v>75</v>
      </c>
      <c r="D3831" t="s">
        <v>63</v>
      </c>
      <c r="E3831">
        <v>5.0</v>
      </c>
      <c r="F3831">
        <v>5.3</v>
      </c>
      <c r="G3831" s="2" t="s">
        <v>64</v>
      </c>
      <c r="H3831" s="2">
        <v>0.0</v>
      </c>
      <c r="I3831" s="2">
        <v>0.0</v>
      </c>
      <c r="J3831" s="37">
        <v>0.0</v>
      </c>
      <c r="K3831" s="2">
        <v>0.0</v>
      </c>
      <c r="L3831" s="2">
        <v>0.0</v>
      </c>
      <c r="M3831" s="37">
        <v>0.0</v>
      </c>
    </row>
    <row r="3832" ht="14.25" customHeight="1">
      <c r="A3832" t="s">
        <v>3892</v>
      </c>
      <c r="B3832" t="s">
        <v>3756</v>
      </c>
      <c r="C3832" t="s">
        <v>75</v>
      </c>
      <c r="D3832" t="s">
        <v>63</v>
      </c>
      <c r="E3832">
        <v>5.0</v>
      </c>
      <c r="F3832">
        <v>5.6</v>
      </c>
      <c r="G3832" s="2" t="s">
        <v>67</v>
      </c>
      <c r="H3832" s="2">
        <v>16.0</v>
      </c>
      <c r="I3832" s="2">
        <v>63.0</v>
      </c>
      <c r="J3832" s="37">
        <v>441.26</v>
      </c>
      <c r="K3832" s="2">
        <v>18.0</v>
      </c>
      <c r="L3832" s="2">
        <v>114.0</v>
      </c>
      <c r="M3832" s="37">
        <v>552.48</v>
      </c>
    </row>
    <row r="3833" ht="14.25" customHeight="1">
      <c r="A3833" t="s">
        <v>3893</v>
      </c>
      <c r="B3833" t="s">
        <v>3756</v>
      </c>
      <c r="C3833" t="s">
        <v>62</v>
      </c>
      <c r="D3833" t="s">
        <v>63</v>
      </c>
      <c r="E3833">
        <v>5.0</v>
      </c>
      <c r="F3833">
        <v>5.3</v>
      </c>
      <c r="G3833" s="2" t="s">
        <v>64</v>
      </c>
      <c r="H3833" s="2">
        <v>0.0</v>
      </c>
      <c r="I3833" s="2">
        <v>0.0</v>
      </c>
      <c r="J3833" s="37">
        <v>0.0</v>
      </c>
      <c r="K3833" s="2">
        <v>0.0</v>
      </c>
      <c r="L3833" s="2">
        <v>0.0</v>
      </c>
      <c r="M3833" s="37">
        <v>0.0</v>
      </c>
    </row>
    <row r="3834" ht="14.25" customHeight="1">
      <c r="A3834" t="s">
        <v>3894</v>
      </c>
      <c r="B3834" t="s">
        <v>3756</v>
      </c>
      <c r="C3834" t="s">
        <v>62</v>
      </c>
      <c r="D3834" t="s">
        <v>63</v>
      </c>
      <c r="E3834">
        <v>5.0</v>
      </c>
      <c r="F3834">
        <v>5.6</v>
      </c>
      <c r="G3834" s="2" t="s">
        <v>67</v>
      </c>
      <c r="H3834" s="2">
        <v>16.0</v>
      </c>
      <c r="I3834" s="2">
        <v>66.0</v>
      </c>
      <c r="J3834" s="37">
        <v>445.16</v>
      </c>
      <c r="K3834" s="2">
        <v>19.0</v>
      </c>
      <c r="L3834" s="2">
        <v>111.0</v>
      </c>
      <c r="M3834" s="37">
        <v>571.04</v>
      </c>
    </row>
    <row r="3835" ht="14.25" customHeight="1">
      <c r="A3835" t="s">
        <v>3895</v>
      </c>
      <c r="B3835" t="s">
        <v>3756</v>
      </c>
      <c r="C3835" t="s">
        <v>75</v>
      </c>
      <c r="D3835" t="s">
        <v>63</v>
      </c>
      <c r="E3835">
        <v>5.0</v>
      </c>
      <c r="F3835">
        <v>5.3</v>
      </c>
      <c r="G3835" s="2" t="s">
        <v>67</v>
      </c>
      <c r="H3835" s="2">
        <v>15.0</v>
      </c>
      <c r="I3835" s="2">
        <v>69.0</v>
      </c>
      <c r="J3835" s="37">
        <v>426.6</v>
      </c>
      <c r="K3835" s="2">
        <v>18.0</v>
      </c>
      <c r="L3835" s="2">
        <v>120.0</v>
      </c>
      <c r="M3835" s="37">
        <v>560.28</v>
      </c>
    </row>
    <row r="3836" ht="14.25" customHeight="1">
      <c r="A3836" t="s">
        <v>3896</v>
      </c>
      <c r="B3836" t="s">
        <v>3756</v>
      </c>
      <c r="C3836" t="s">
        <v>75</v>
      </c>
      <c r="D3836" t="s">
        <v>63</v>
      </c>
      <c r="E3836">
        <v>5.0</v>
      </c>
      <c r="F3836">
        <v>5.6</v>
      </c>
      <c r="G3836" s="2" t="s">
        <v>67</v>
      </c>
      <c r="H3836" s="2">
        <v>17.0</v>
      </c>
      <c r="I3836" s="2">
        <v>95.0</v>
      </c>
      <c r="J3836" s="37">
        <v>505.32</v>
      </c>
      <c r="K3836" s="2">
        <v>20.0</v>
      </c>
      <c r="L3836" s="2">
        <v>146.0</v>
      </c>
      <c r="M3836" s="37">
        <v>639.0</v>
      </c>
    </row>
    <row r="3837" ht="14.25" customHeight="1">
      <c r="A3837" t="s">
        <v>3897</v>
      </c>
      <c r="B3837" t="s">
        <v>3756</v>
      </c>
      <c r="C3837" t="s">
        <v>62</v>
      </c>
      <c r="D3837" t="s">
        <v>63</v>
      </c>
      <c r="E3837">
        <v>5.0</v>
      </c>
      <c r="F3837">
        <v>5.3</v>
      </c>
      <c r="G3837" s="2" t="s">
        <v>64</v>
      </c>
      <c r="H3837" s="2">
        <v>0.0</v>
      </c>
      <c r="I3837" s="2">
        <v>0.0</v>
      </c>
      <c r="J3837" s="37">
        <v>0.0</v>
      </c>
      <c r="K3837" s="2">
        <v>0.0</v>
      </c>
      <c r="L3837" s="2">
        <v>0.0</v>
      </c>
      <c r="M3837" s="37">
        <v>0.0</v>
      </c>
    </row>
    <row r="3838" ht="14.25" customHeight="1">
      <c r="A3838" t="s">
        <v>3898</v>
      </c>
      <c r="B3838" t="s">
        <v>3756</v>
      </c>
      <c r="C3838" t="s">
        <v>62</v>
      </c>
      <c r="D3838" t="s">
        <v>63</v>
      </c>
      <c r="E3838">
        <v>5.0</v>
      </c>
      <c r="F3838">
        <v>5.6</v>
      </c>
      <c r="G3838" s="2" t="s">
        <v>67</v>
      </c>
      <c r="H3838" s="2">
        <v>16.0</v>
      </c>
      <c r="I3838" s="2">
        <v>86.0</v>
      </c>
      <c r="J3838" s="37">
        <v>471.16</v>
      </c>
      <c r="K3838" s="2">
        <v>18.0</v>
      </c>
      <c r="L3838" s="2">
        <v>132.0</v>
      </c>
      <c r="M3838" s="37">
        <v>575.88</v>
      </c>
    </row>
    <row r="3839" ht="14.25" customHeight="1">
      <c r="A3839" t="s">
        <v>3899</v>
      </c>
      <c r="B3839" t="s">
        <v>3756</v>
      </c>
      <c r="C3839" t="s">
        <v>62</v>
      </c>
      <c r="D3839" t="s">
        <v>63</v>
      </c>
      <c r="E3839">
        <v>5.0</v>
      </c>
      <c r="F3839">
        <v>5.3</v>
      </c>
      <c r="G3839" s="2" t="s">
        <v>64</v>
      </c>
      <c r="H3839" s="2">
        <v>0.0</v>
      </c>
      <c r="I3839" s="2">
        <v>0.0</v>
      </c>
      <c r="J3839" s="37">
        <v>0.0</v>
      </c>
      <c r="K3839" s="2">
        <v>0.0</v>
      </c>
      <c r="L3839" s="2">
        <v>0.0</v>
      </c>
      <c r="M3839" s="37">
        <v>0.0</v>
      </c>
    </row>
    <row r="3840" ht="14.25" customHeight="1">
      <c r="A3840" t="s">
        <v>3900</v>
      </c>
      <c r="B3840" t="s">
        <v>3756</v>
      </c>
      <c r="C3840" t="s">
        <v>62</v>
      </c>
      <c r="D3840" t="s">
        <v>63</v>
      </c>
      <c r="E3840">
        <v>5.0</v>
      </c>
      <c r="F3840">
        <v>5.6</v>
      </c>
      <c r="G3840" s="2" t="s">
        <v>67</v>
      </c>
      <c r="H3840" s="2">
        <v>17.0</v>
      </c>
      <c r="I3840" s="2">
        <v>98.0</v>
      </c>
      <c r="J3840" s="37">
        <v>509.22</v>
      </c>
      <c r="K3840" s="2">
        <v>19.0</v>
      </c>
      <c r="L3840" s="2">
        <v>144.0</v>
      </c>
      <c r="M3840" s="37">
        <v>613.94</v>
      </c>
    </row>
    <row r="3841" ht="14.25" customHeight="1">
      <c r="A3841" t="s">
        <v>3901</v>
      </c>
      <c r="B3841" t="s">
        <v>3756</v>
      </c>
      <c r="C3841" t="s">
        <v>62</v>
      </c>
      <c r="D3841" t="s">
        <v>63</v>
      </c>
      <c r="E3841">
        <v>5.0</v>
      </c>
      <c r="F3841">
        <v>5.3</v>
      </c>
      <c r="G3841" s="2" t="s">
        <v>64</v>
      </c>
      <c r="H3841" s="2">
        <v>0.0</v>
      </c>
      <c r="I3841" s="2">
        <v>0.0</v>
      </c>
      <c r="J3841" s="37">
        <v>0.0</v>
      </c>
      <c r="K3841" s="2">
        <v>0.0</v>
      </c>
      <c r="L3841" s="2">
        <v>0.0</v>
      </c>
      <c r="M3841" s="37">
        <v>0.0</v>
      </c>
    </row>
    <row r="3842" ht="14.25" customHeight="1">
      <c r="A3842" t="s">
        <v>3902</v>
      </c>
      <c r="B3842" t="s">
        <v>3903</v>
      </c>
      <c r="C3842" t="s">
        <v>62</v>
      </c>
      <c r="D3842" t="s">
        <v>467</v>
      </c>
      <c r="E3842">
        <v>5.3</v>
      </c>
      <c r="F3842">
        <v>4.8</v>
      </c>
      <c r="G3842" s="2" t="s">
        <v>64</v>
      </c>
      <c r="H3842" s="2">
        <v>0.0</v>
      </c>
      <c r="I3842" s="2">
        <v>0.0</v>
      </c>
      <c r="J3842" s="37">
        <v>0.0</v>
      </c>
      <c r="K3842" s="2">
        <v>0.0</v>
      </c>
      <c r="L3842" s="2">
        <v>0.0</v>
      </c>
      <c r="M3842" s="37">
        <v>0.0</v>
      </c>
    </row>
    <row r="3843" ht="14.25" customHeight="1">
      <c r="A3843" t="s">
        <v>1814</v>
      </c>
      <c r="B3843" t="s">
        <v>3903</v>
      </c>
      <c r="C3843" t="s">
        <v>62</v>
      </c>
      <c r="D3843" t="s">
        <v>467</v>
      </c>
      <c r="E3843">
        <v>5.3</v>
      </c>
      <c r="F3843">
        <v>4.8</v>
      </c>
      <c r="G3843" s="2" t="s">
        <v>64</v>
      </c>
      <c r="H3843" s="2">
        <v>0.0</v>
      </c>
      <c r="I3843" s="2">
        <v>0.0</v>
      </c>
      <c r="J3843" s="37">
        <v>0.0</v>
      </c>
      <c r="K3843" s="2">
        <v>0.0</v>
      </c>
      <c r="L3843" s="2">
        <v>0.0</v>
      </c>
      <c r="M3843" s="37">
        <v>0.0</v>
      </c>
    </row>
    <row r="3844" ht="14.25" customHeight="1">
      <c r="A3844" t="s">
        <v>3904</v>
      </c>
      <c r="B3844" t="s">
        <v>3903</v>
      </c>
      <c r="C3844" t="s">
        <v>62</v>
      </c>
      <c r="D3844" t="s">
        <v>467</v>
      </c>
      <c r="E3844">
        <v>2.2</v>
      </c>
      <c r="F3844">
        <v>1.9</v>
      </c>
      <c r="G3844" s="2" t="s">
        <v>64</v>
      </c>
      <c r="H3844" s="2">
        <v>0.0</v>
      </c>
      <c r="I3844" s="2">
        <v>0.0</v>
      </c>
      <c r="J3844" s="37">
        <v>0.0</v>
      </c>
      <c r="K3844" s="2">
        <v>0.0</v>
      </c>
      <c r="L3844" s="2">
        <v>0.0</v>
      </c>
      <c r="M3844" s="37">
        <v>0.0</v>
      </c>
    </row>
    <row r="3845" ht="14.25" customHeight="1">
      <c r="A3845" t="s">
        <v>3905</v>
      </c>
      <c r="B3845" t="s">
        <v>3903</v>
      </c>
      <c r="C3845" t="s">
        <v>62</v>
      </c>
      <c r="D3845" t="s">
        <v>467</v>
      </c>
      <c r="E3845">
        <v>2.2</v>
      </c>
      <c r="F3845">
        <v>1.9</v>
      </c>
      <c r="G3845" s="2" t="s">
        <v>64</v>
      </c>
      <c r="H3845" s="2">
        <v>0.0</v>
      </c>
      <c r="I3845" s="2">
        <v>0.0</v>
      </c>
      <c r="J3845" s="37">
        <v>0.0</v>
      </c>
      <c r="K3845" s="2">
        <v>0.0</v>
      </c>
      <c r="L3845" s="2">
        <v>0.0</v>
      </c>
      <c r="M3845" s="37">
        <v>0.0</v>
      </c>
    </row>
    <row r="3846" ht="14.25" customHeight="1">
      <c r="A3846" t="s">
        <v>1818</v>
      </c>
      <c r="B3846" t="s">
        <v>3903</v>
      </c>
      <c r="C3846" t="s">
        <v>62</v>
      </c>
      <c r="D3846" t="s">
        <v>467</v>
      </c>
      <c r="E3846">
        <v>2.2</v>
      </c>
      <c r="F3846">
        <v>1.9</v>
      </c>
      <c r="G3846" s="2" t="s">
        <v>64</v>
      </c>
      <c r="H3846" s="2">
        <v>0.0</v>
      </c>
      <c r="I3846" s="2">
        <v>0.0</v>
      </c>
      <c r="J3846" s="37">
        <v>0.0</v>
      </c>
      <c r="K3846" s="2">
        <v>0.0</v>
      </c>
      <c r="L3846" s="2">
        <v>0.0</v>
      </c>
      <c r="M3846" s="37">
        <v>0.0</v>
      </c>
    </row>
    <row r="3847" ht="14.25" customHeight="1">
      <c r="A3847" t="s">
        <v>3906</v>
      </c>
      <c r="B3847" t="s">
        <v>3903</v>
      </c>
      <c r="C3847" t="s">
        <v>62</v>
      </c>
      <c r="D3847" t="s">
        <v>467</v>
      </c>
      <c r="E3847">
        <v>3.9</v>
      </c>
      <c r="F3847">
        <v>3.6</v>
      </c>
      <c r="G3847" s="2" t="s">
        <v>64</v>
      </c>
      <c r="H3847" s="2">
        <v>0.0</v>
      </c>
      <c r="I3847" s="2">
        <v>0.0</v>
      </c>
      <c r="J3847" s="37">
        <v>0.0</v>
      </c>
      <c r="K3847" s="2">
        <v>0.0</v>
      </c>
      <c r="L3847" s="2">
        <v>0.0</v>
      </c>
      <c r="M3847" s="37">
        <v>0.0</v>
      </c>
    </row>
    <row r="3848" ht="14.25" customHeight="1">
      <c r="A3848" t="s">
        <v>1820</v>
      </c>
      <c r="B3848" t="s">
        <v>3903</v>
      </c>
      <c r="C3848" t="s">
        <v>62</v>
      </c>
      <c r="D3848" t="s">
        <v>467</v>
      </c>
      <c r="E3848">
        <v>3.9</v>
      </c>
      <c r="F3848">
        <v>3.6</v>
      </c>
      <c r="G3848" s="2" t="s">
        <v>64</v>
      </c>
      <c r="H3848" s="2">
        <v>0.0</v>
      </c>
      <c r="I3848" s="2">
        <v>0.0</v>
      </c>
      <c r="J3848" s="37">
        <v>0.0</v>
      </c>
      <c r="K3848" s="2">
        <v>0.0</v>
      </c>
      <c r="L3848" s="2">
        <v>0.0</v>
      </c>
      <c r="M3848" s="37">
        <v>0.0</v>
      </c>
    </row>
    <row r="3849" ht="14.25" customHeight="1">
      <c r="A3849" t="s">
        <v>3907</v>
      </c>
      <c r="B3849" t="s">
        <v>3903</v>
      </c>
      <c r="C3849" t="s">
        <v>62</v>
      </c>
      <c r="D3849" t="s">
        <v>467</v>
      </c>
      <c r="E3849">
        <v>2.8</v>
      </c>
      <c r="F3849">
        <v>2.45</v>
      </c>
      <c r="G3849" s="2" t="s">
        <v>64</v>
      </c>
      <c r="H3849" s="2">
        <v>0.0</v>
      </c>
      <c r="I3849" s="2">
        <v>0.0</v>
      </c>
      <c r="J3849" s="37">
        <v>0.0</v>
      </c>
      <c r="K3849" s="2">
        <v>0.0</v>
      </c>
      <c r="L3849" s="2">
        <v>0.0</v>
      </c>
      <c r="M3849" s="37">
        <v>0.0</v>
      </c>
    </row>
    <row r="3850" ht="14.25" customHeight="1">
      <c r="A3850" t="s">
        <v>1822</v>
      </c>
      <c r="B3850" t="s">
        <v>3903</v>
      </c>
      <c r="C3850" t="s">
        <v>62</v>
      </c>
      <c r="D3850" t="s">
        <v>467</v>
      </c>
      <c r="E3850">
        <v>2.8</v>
      </c>
      <c r="F3850">
        <v>2.45</v>
      </c>
      <c r="G3850" s="2" t="s">
        <v>64</v>
      </c>
      <c r="H3850" s="2">
        <v>0.0</v>
      </c>
      <c r="I3850" s="2">
        <v>0.0</v>
      </c>
      <c r="J3850" s="37">
        <v>0.0</v>
      </c>
      <c r="K3850" s="2">
        <v>0.0</v>
      </c>
      <c r="L3850" s="2">
        <v>0.0</v>
      </c>
      <c r="M3850" s="37">
        <v>0.0</v>
      </c>
    </row>
    <row r="3851" ht="14.25" customHeight="1">
      <c r="A3851" t="s">
        <v>3908</v>
      </c>
      <c r="B3851" t="s">
        <v>3903</v>
      </c>
      <c r="C3851" t="s">
        <v>62</v>
      </c>
      <c r="D3851" t="s">
        <v>467</v>
      </c>
      <c r="E3851">
        <v>2.8</v>
      </c>
      <c r="F3851">
        <v>2.45</v>
      </c>
      <c r="G3851" s="2" t="s">
        <v>64</v>
      </c>
      <c r="H3851" s="2">
        <v>0.0</v>
      </c>
      <c r="I3851" s="2">
        <v>0.0</v>
      </c>
      <c r="J3851" s="37">
        <v>0.0</v>
      </c>
      <c r="K3851" s="2">
        <v>0.0</v>
      </c>
      <c r="L3851" s="2">
        <v>0.0</v>
      </c>
      <c r="M3851" s="37">
        <v>0.0</v>
      </c>
    </row>
    <row r="3852" ht="14.25" customHeight="1">
      <c r="A3852" t="s">
        <v>3909</v>
      </c>
      <c r="B3852" t="s">
        <v>3903</v>
      </c>
      <c r="C3852" t="s">
        <v>62</v>
      </c>
      <c r="D3852" t="s">
        <v>467</v>
      </c>
      <c r="E3852">
        <v>6.09</v>
      </c>
      <c r="F3852">
        <v>5.8</v>
      </c>
      <c r="G3852" s="2" t="s">
        <v>64</v>
      </c>
      <c r="H3852" s="2">
        <v>0.0</v>
      </c>
      <c r="I3852" s="2">
        <v>0.0</v>
      </c>
      <c r="J3852" s="37">
        <v>0.0</v>
      </c>
      <c r="K3852" s="2">
        <v>0.0</v>
      </c>
      <c r="L3852" s="2">
        <v>0.0</v>
      </c>
      <c r="M3852" s="37">
        <v>0.0</v>
      </c>
    </row>
    <row r="3853" ht="14.25" customHeight="1">
      <c r="A3853" t="s">
        <v>1823</v>
      </c>
      <c r="B3853" t="s">
        <v>3903</v>
      </c>
      <c r="C3853" t="s">
        <v>62</v>
      </c>
      <c r="D3853" t="s">
        <v>467</v>
      </c>
      <c r="E3853">
        <v>6.09</v>
      </c>
      <c r="F3853">
        <v>5.8</v>
      </c>
      <c r="G3853" s="2" t="s">
        <v>64</v>
      </c>
      <c r="H3853" s="2">
        <v>0.0</v>
      </c>
      <c r="I3853" s="2">
        <v>0.0</v>
      </c>
      <c r="J3853" s="37">
        <v>0.0</v>
      </c>
      <c r="K3853" s="2">
        <v>0.0</v>
      </c>
      <c r="L3853" s="2">
        <v>0.0</v>
      </c>
      <c r="M3853" s="37">
        <v>0.0</v>
      </c>
    </row>
    <row r="3854" ht="14.25" customHeight="1">
      <c r="A3854" t="s">
        <v>3910</v>
      </c>
      <c r="B3854" t="s">
        <v>3903</v>
      </c>
      <c r="C3854" t="s">
        <v>62</v>
      </c>
      <c r="D3854" t="s">
        <v>63</v>
      </c>
      <c r="E3854">
        <v>7.3</v>
      </c>
      <c r="F3854">
        <v>8.3</v>
      </c>
      <c r="G3854" s="2" t="s">
        <v>67</v>
      </c>
      <c r="H3854" s="2">
        <v>24.0</v>
      </c>
      <c r="I3854" s="2">
        <v>88.0</v>
      </c>
      <c r="J3854" s="37">
        <v>653.4399999999999</v>
      </c>
      <c r="K3854" s="2">
        <v>28.0</v>
      </c>
      <c r="L3854" s="2">
        <v>154.0</v>
      </c>
      <c r="M3854" s="37">
        <v>829.08</v>
      </c>
    </row>
    <row r="3855" ht="14.25" customHeight="1">
      <c r="A3855" t="s">
        <v>3911</v>
      </c>
      <c r="B3855" t="s">
        <v>3903</v>
      </c>
      <c r="C3855" t="s">
        <v>62</v>
      </c>
      <c r="D3855" t="s">
        <v>63</v>
      </c>
      <c r="E3855">
        <v>7.3</v>
      </c>
      <c r="F3855">
        <v>8.3</v>
      </c>
      <c r="G3855" s="2" t="s">
        <v>67</v>
      </c>
      <c r="H3855" s="2">
        <v>24.0</v>
      </c>
      <c r="I3855" s="2">
        <v>88.0</v>
      </c>
      <c r="J3855" s="37">
        <v>653.4399999999999</v>
      </c>
      <c r="K3855" s="2">
        <v>28.0</v>
      </c>
      <c r="L3855" s="2">
        <v>154.0</v>
      </c>
      <c r="M3855" s="37">
        <v>829.08</v>
      </c>
    </row>
    <row r="3856" ht="14.25" customHeight="1">
      <c r="A3856" t="s">
        <v>3912</v>
      </c>
      <c r="B3856" t="s">
        <v>3903</v>
      </c>
      <c r="C3856" t="s">
        <v>62</v>
      </c>
      <c r="D3856" t="s">
        <v>63</v>
      </c>
      <c r="E3856">
        <v>7.3</v>
      </c>
      <c r="F3856">
        <v>8.3</v>
      </c>
      <c r="G3856" s="2" t="s">
        <v>67</v>
      </c>
      <c r="H3856" s="2">
        <v>24.0</v>
      </c>
      <c r="I3856" s="2">
        <v>88.0</v>
      </c>
      <c r="J3856" s="37">
        <v>653.4399999999999</v>
      </c>
      <c r="K3856" s="2">
        <v>28.0</v>
      </c>
      <c r="L3856" s="2">
        <v>154.0</v>
      </c>
      <c r="M3856" s="37">
        <v>829.08</v>
      </c>
    </row>
    <row r="3857" ht="14.25" customHeight="1">
      <c r="A3857" t="s">
        <v>3911</v>
      </c>
      <c r="B3857" t="s">
        <v>3903</v>
      </c>
      <c r="C3857" t="s">
        <v>62</v>
      </c>
      <c r="D3857" t="s">
        <v>63</v>
      </c>
      <c r="E3857">
        <v>7.3</v>
      </c>
      <c r="F3857">
        <v>8.3</v>
      </c>
      <c r="G3857" s="2" t="s">
        <v>67</v>
      </c>
      <c r="H3857" s="2">
        <v>24.0</v>
      </c>
      <c r="I3857" s="2">
        <v>88.0</v>
      </c>
      <c r="J3857" s="37">
        <v>653.4399999999999</v>
      </c>
      <c r="K3857" s="2">
        <v>28.0</v>
      </c>
      <c r="L3857" s="2">
        <v>154.0</v>
      </c>
      <c r="M3857" s="37">
        <v>829.08</v>
      </c>
    </row>
    <row r="3858" ht="14.25" customHeight="1">
      <c r="A3858" t="s">
        <v>3913</v>
      </c>
      <c r="B3858" t="s">
        <v>3903</v>
      </c>
      <c r="C3858" t="s">
        <v>62</v>
      </c>
      <c r="D3858" t="s">
        <v>63</v>
      </c>
      <c r="E3858">
        <v>9.1</v>
      </c>
      <c r="F3858">
        <v>10.4</v>
      </c>
      <c r="G3858" s="2" t="s">
        <v>64</v>
      </c>
      <c r="H3858" s="2">
        <v>0.0</v>
      </c>
      <c r="I3858" s="2">
        <v>0.0</v>
      </c>
      <c r="J3858" s="37">
        <v>0.0</v>
      </c>
      <c r="K3858" s="2">
        <v>0.0</v>
      </c>
      <c r="L3858" s="2">
        <v>0.0</v>
      </c>
      <c r="M3858" s="37">
        <v>0.0</v>
      </c>
    </row>
    <row r="3859" ht="14.25" customHeight="1">
      <c r="A3859" t="s">
        <v>3914</v>
      </c>
      <c r="B3859" t="s">
        <v>3903</v>
      </c>
      <c r="C3859" t="s">
        <v>62</v>
      </c>
      <c r="D3859" t="s">
        <v>63</v>
      </c>
      <c r="E3859">
        <v>9.1</v>
      </c>
      <c r="F3859">
        <v>10.4</v>
      </c>
      <c r="G3859" s="2" t="s">
        <v>64</v>
      </c>
      <c r="H3859" s="2">
        <v>0.0</v>
      </c>
      <c r="I3859" s="2">
        <v>0.0</v>
      </c>
      <c r="J3859" s="37">
        <v>0.0</v>
      </c>
      <c r="K3859" s="2">
        <v>0.0</v>
      </c>
      <c r="L3859" s="2">
        <v>0.0</v>
      </c>
      <c r="M3859" s="37">
        <v>0.0</v>
      </c>
    </row>
    <row r="3860" ht="14.25" customHeight="1">
      <c r="A3860" t="s">
        <v>3915</v>
      </c>
      <c r="B3860" t="s">
        <v>3903</v>
      </c>
      <c r="C3860" t="s">
        <v>62</v>
      </c>
      <c r="D3860" t="s">
        <v>63</v>
      </c>
      <c r="E3860">
        <v>9.1</v>
      </c>
      <c r="F3860">
        <v>10.4</v>
      </c>
      <c r="G3860" s="2" t="s">
        <v>64</v>
      </c>
      <c r="H3860" s="2">
        <v>0.0</v>
      </c>
      <c r="I3860" s="2">
        <v>0.0</v>
      </c>
      <c r="J3860" s="37">
        <v>0.0</v>
      </c>
      <c r="K3860" s="2">
        <v>0.0</v>
      </c>
      <c r="L3860" s="2">
        <v>0.0</v>
      </c>
      <c r="M3860" s="37">
        <v>0.0</v>
      </c>
    </row>
    <row r="3861" ht="14.25" customHeight="1">
      <c r="A3861" t="s">
        <v>3916</v>
      </c>
      <c r="B3861" t="s">
        <v>3903</v>
      </c>
      <c r="C3861" t="s">
        <v>62</v>
      </c>
      <c r="D3861" t="s">
        <v>63</v>
      </c>
      <c r="E3861">
        <v>5.1</v>
      </c>
      <c r="F3861">
        <v>6.1</v>
      </c>
      <c r="G3861" s="2" t="s">
        <v>67</v>
      </c>
      <c r="H3861" s="2">
        <v>19.0</v>
      </c>
      <c r="I3861" s="2">
        <v>119.0</v>
      </c>
      <c r="J3861" s="37">
        <v>581.44</v>
      </c>
      <c r="K3861" s="2">
        <v>21.0</v>
      </c>
      <c r="L3861" s="2">
        <v>166.0</v>
      </c>
      <c r="M3861" s="37">
        <v>687.46</v>
      </c>
    </row>
    <row r="3862" ht="14.25" customHeight="1">
      <c r="A3862" t="s">
        <v>3917</v>
      </c>
      <c r="B3862" t="s">
        <v>3903</v>
      </c>
      <c r="C3862" t="s">
        <v>62</v>
      </c>
      <c r="D3862" t="s">
        <v>63</v>
      </c>
      <c r="E3862">
        <v>5.1</v>
      </c>
      <c r="F3862">
        <v>6.1</v>
      </c>
      <c r="G3862" s="2" t="s">
        <v>67</v>
      </c>
      <c r="H3862" s="2">
        <v>19.0</v>
      </c>
      <c r="I3862" s="2">
        <v>119.0</v>
      </c>
      <c r="J3862" s="37">
        <v>581.44</v>
      </c>
      <c r="K3862" s="2">
        <v>21.0</v>
      </c>
      <c r="L3862" s="2">
        <v>166.0</v>
      </c>
      <c r="M3862" s="37">
        <v>687.46</v>
      </c>
    </row>
    <row r="3863" ht="14.25" customHeight="1">
      <c r="A3863" t="s">
        <v>3918</v>
      </c>
      <c r="B3863" t="s">
        <v>3903</v>
      </c>
      <c r="C3863" t="s">
        <v>62</v>
      </c>
      <c r="D3863" t="s">
        <v>63</v>
      </c>
      <c r="E3863">
        <v>5.1</v>
      </c>
      <c r="F3863">
        <v>6.1</v>
      </c>
      <c r="G3863" s="2" t="s">
        <v>67</v>
      </c>
      <c r="H3863" s="2">
        <v>19.0</v>
      </c>
      <c r="I3863" s="2">
        <v>119.0</v>
      </c>
      <c r="J3863" s="37">
        <v>581.44</v>
      </c>
      <c r="K3863" s="2">
        <v>21.0</v>
      </c>
      <c r="L3863" s="2">
        <v>166.0</v>
      </c>
      <c r="M3863" s="37">
        <v>687.46</v>
      </c>
    </row>
    <row r="3864" ht="14.25" customHeight="1">
      <c r="A3864" t="s">
        <v>3919</v>
      </c>
      <c r="B3864" t="s">
        <v>3903</v>
      </c>
      <c r="C3864" t="s">
        <v>62</v>
      </c>
      <c r="D3864" t="s">
        <v>63</v>
      </c>
      <c r="E3864">
        <v>2.65</v>
      </c>
      <c r="F3864">
        <v>3.45</v>
      </c>
      <c r="G3864" s="2" t="s">
        <v>67</v>
      </c>
      <c r="H3864" s="2">
        <v>9.0</v>
      </c>
      <c r="I3864" s="2">
        <v>69.0</v>
      </c>
      <c r="J3864" s="37">
        <v>291.84000000000003</v>
      </c>
      <c r="K3864" s="2">
        <v>10.0</v>
      </c>
      <c r="L3864" s="2">
        <v>90.0</v>
      </c>
      <c r="M3864" s="37">
        <v>341.6</v>
      </c>
    </row>
    <row r="3865" ht="14.25" customHeight="1">
      <c r="A3865" t="s">
        <v>3920</v>
      </c>
      <c r="B3865" t="s">
        <v>3903</v>
      </c>
      <c r="C3865" t="s">
        <v>62</v>
      </c>
      <c r="D3865" t="s">
        <v>63</v>
      </c>
      <c r="E3865">
        <v>2.65</v>
      </c>
      <c r="F3865">
        <v>3.45</v>
      </c>
      <c r="G3865" s="2" t="s">
        <v>67</v>
      </c>
      <c r="H3865" s="2">
        <v>9.0</v>
      </c>
      <c r="I3865" s="2">
        <v>69.0</v>
      </c>
      <c r="J3865" s="37">
        <v>291.84000000000003</v>
      </c>
      <c r="K3865" s="2">
        <v>10.0</v>
      </c>
      <c r="L3865" s="2">
        <v>90.0</v>
      </c>
      <c r="M3865" s="37">
        <v>341.6</v>
      </c>
    </row>
    <row r="3866" ht="14.25" customHeight="1">
      <c r="A3866" t="s">
        <v>3921</v>
      </c>
      <c r="B3866" t="s">
        <v>3903</v>
      </c>
      <c r="C3866" t="s">
        <v>62</v>
      </c>
      <c r="D3866" t="s">
        <v>63</v>
      </c>
      <c r="E3866">
        <v>2.65</v>
      </c>
      <c r="F3866">
        <v>3.45</v>
      </c>
      <c r="G3866" s="2" t="s">
        <v>67</v>
      </c>
      <c r="H3866" s="2">
        <v>9.0</v>
      </c>
      <c r="I3866" s="2">
        <v>69.0</v>
      </c>
      <c r="J3866" s="37">
        <v>291.84000000000003</v>
      </c>
      <c r="K3866" s="2">
        <v>10.0</v>
      </c>
      <c r="L3866" s="2">
        <v>90.0</v>
      </c>
      <c r="M3866" s="37">
        <v>341.6</v>
      </c>
    </row>
    <row r="3867" ht="14.25" customHeight="1">
      <c r="A3867" t="s">
        <v>3922</v>
      </c>
      <c r="B3867" t="s">
        <v>3903</v>
      </c>
      <c r="C3867" t="s">
        <v>62</v>
      </c>
      <c r="D3867" t="s">
        <v>63</v>
      </c>
      <c r="E3867">
        <v>3.6</v>
      </c>
      <c r="F3867">
        <v>4.4</v>
      </c>
      <c r="G3867" s="2" t="s">
        <v>67</v>
      </c>
      <c r="H3867" s="2">
        <v>12.0</v>
      </c>
      <c r="I3867" s="2">
        <v>73.0</v>
      </c>
      <c r="J3867" s="37">
        <v>364.41999999999996</v>
      </c>
      <c r="K3867" s="2">
        <v>13.0</v>
      </c>
      <c r="L3867" s="2">
        <v>102.0</v>
      </c>
      <c r="M3867" s="37">
        <v>424.58000000000004</v>
      </c>
    </row>
    <row r="3868" ht="14.25" customHeight="1">
      <c r="A3868" t="s">
        <v>3923</v>
      </c>
      <c r="B3868" t="s">
        <v>3903</v>
      </c>
      <c r="C3868" t="s">
        <v>62</v>
      </c>
      <c r="D3868" t="s">
        <v>63</v>
      </c>
      <c r="E3868">
        <v>3.6</v>
      </c>
      <c r="F3868">
        <v>4.4</v>
      </c>
      <c r="G3868" s="2" t="s">
        <v>67</v>
      </c>
      <c r="H3868" s="2">
        <v>12.0</v>
      </c>
      <c r="I3868" s="2">
        <v>73.0</v>
      </c>
      <c r="J3868" s="37">
        <v>364.41999999999996</v>
      </c>
      <c r="K3868" s="2">
        <v>13.0</v>
      </c>
      <c r="L3868" s="2">
        <v>102.0</v>
      </c>
      <c r="M3868" s="37">
        <v>424.58000000000004</v>
      </c>
    </row>
    <row r="3869" ht="14.25" customHeight="1">
      <c r="A3869" t="s">
        <v>3924</v>
      </c>
      <c r="B3869" t="s">
        <v>3903</v>
      </c>
      <c r="C3869" t="s">
        <v>62</v>
      </c>
      <c r="D3869" t="s">
        <v>63</v>
      </c>
      <c r="E3869">
        <v>3.6</v>
      </c>
      <c r="F3869">
        <v>4.4</v>
      </c>
      <c r="G3869" s="2" t="s">
        <v>67</v>
      </c>
      <c r="H3869" s="2">
        <v>12.0</v>
      </c>
      <c r="I3869" s="2">
        <v>73.0</v>
      </c>
      <c r="J3869" s="37">
        <v>364.41999999999996</v>
      </c>
      <c r="K3869" s="2">
        <v>13.0</v>
      </c>
      <c r="L3869" s="2">
        <v>102.0</v>
      </c>
      <c r="M3869" s="37">
        <v>424.58000000000004</v>
      </c>
    </row>
    <row r="3870" ht="14.25" customHeight="1">
      <c r="A3870" t="s">
        <v>3925</v>
      </c>
      <c r="B3870" t="s">
        <v>3926</v>
      </c>
      <c r="C3870" t="s">
        <v>62</v>
      </c>
      <c r="D3870" t="s">
        <v>63</v>
      </c>
      <c r="E3870">
        <v>2.5</v>
      </c>
      <c r="F3870">
        <v>2.5</v>
      </c>
      <c r="G3870" s="2" t="s">
        <v>67</v>
      </c>
      <c r="H3870" s="2">
        <v>5.0</v>
      </c>
      <c r="I3870" s="2">
        <v>46.0</v>
      </c>
      <c r="J3870" s="37">
        <v>172.10000000000002</v>
      </c>
      <c r="K3870" s="2">
        <v>6.0</v>
      </c>
      <c r="L3870" s="2">
        <v>66.0</v>
      </c>
      <c r="M3870" s="37">
        <v>220.56</v>
      </c>
    </row>
    <row r="3871" ht="14.25" customHeight="1">
      <c r="A3871" t="s">
        <v>3927</v>
      </c>
      <c r="B3871" t="s">
        <v>3926</v>
      </c>
      <c r="C3871" t="s">
        <v>62</v>
      </c>
      <c r="D3871" t="s">
        <v>63</v>
      </c>
      <c r="E3871">
        <v>5.2</v>
      </c>
      <c r="F3871">
        <v>5.2</v>
      </c>
      <c r="G3871" s="2" t="s">
        <v>67</v>
      </c>
      <c r="H3871" s="2">
        <v>12.0</v>
      </c>
      <c r="I3871" s="2">
        <v>123.0</v>
      </c>
      <c r="J3871" s="37">
        <v>429.41999999999996</v>
      </c>
      <c r="K3871" s="2">
        <v>14.0</v>
      </c>
      <c r="L3871" s="2">
        <v>170.0</v>
      </c>
      <c r="M3871" s="37">
        <v>535.44</v>
      </c>
    </row>
    <row r="3872" ht="14.25" customHeight="1">
      <c r="A3872" t="s">
        <v>3928</v>
      </c>
      <c r="B3872" t="s">
        <v>3926</v>
      </c>
      <c r="C3872" t="s">
        <v>62</v>
      </c>
      <c r="D3872" t="s">
        <v>63</v>
      </c>
      <c r="E3872">
        <v>7.02999999999999</v>
      </c>
      <c r="F3872">
        <v>7.03</v>
      </c>
      <c r="G3872" s="2" t="s">
        <v>67</v>
      </c>
      <c r="H3872" s="2">
        <v>13.0</v>
      </c>
      <c r="I3872" s="2">
        <v>94.0</v>
      </c>
      <c r="J3872" s="37">
        <v>414.18</v>
      </c>
      <c r="K3872" s="2">
        <v>17.0</v>
      </c>
      <c r="L3872" s="2">
        <v>158.0</v>
      </c>
      <c r="M3872" s="37">
        <v>587.22</v>
      </c>
    </row>
    <row r="3873" ht="14.25" customHeight="1">
      <c r="A3873" t="s">
        <v>3929</v>
      </c>
      <c r="B3873" t="s">
        <v>3926</v>
      </c>
      <c r="C3873" t="s">
        <v>62</v>
      </c>
      <c r="D3873" t="s">
        <v>63</v>
      </c>
      <c r="E3873">
        <v>3.4</v>
      </c>
      <c r="F3873">
        <v>3.5</v>
      </c>
      <c r="G3873" s="2" t="s">
        <v>67</v>
      </c>
      <c r="H3873" s="2">
        <v>7.0</v>
      </c>
      <c r="I3873" s="2">
        <v>56.0</v>
      </c>
      <c r="J3873" s="37">
        <v>230.01999999999998</v>
      </c>
      <c r="K3873" s="2">
        <v>8.0</v>
      </c>
      <c r="L3873" s="2">
        <v>83.0</v>
      </c>
      <c r="M3873" s="37">
        <v>287.58000000000004</v>
      </c>
    </row>
    <row r="3874" ht="14.25" customHeight="1">
      <c r="A3874" t="s">
        <v>3930</v>
      </c>
      <c r="B3874" t="s">
        <v>3931</v>
      </c>
      <c r="C3874" t="s">
        <v>62</v>
      </c>
      <c r="D3874" t="s">
        <v>63</v>
      </c>
      <c r="E3874">
        <v>2.5</v>
      </c>
      <c r="F3874">
        <v>3.0</v>
      </c>
      <c r="G3874" s="2" t="s">
        <v>64</v>
      </c>
      <c r="H3874" s="2">
        <v>0.0</v>
      </c>
      <c r="I3874" s="2">
        <v>0.0</v>
      </c>
      <c r="J3874" s="37">
        <v>0.0</v>
      </c>
      <c r="K3874" s="2">
        <v>0.0</v>
      </c>
      <c r="L3874" s="2">
        <v>0.0</v>
      </c>
      <c r="M3874" s="37">
        <v>0.0</v>
      </c>
    </row>
  </sheetData>
  <autoFilter ref="$A$1:$M$3874"/>
  <conditionalFormatting sqref="G1:G3874">
    <cfRule type="beginsWith" dxfId="2" priority="1" operator="beginsWith" text="ELIGIBLE">
      <formula>LEFT((G1),LEN("ELIGIBLE"))=("ELIGIBLE")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4.0"/>
    <col customWidth="1" min="3" max="3" width="8.71"/>
    <col customWidth="1" min="4" max="4" width="8.57"/>
    <col customWidth="1" min="5" max="5" width="19.57"/>
    <col customWidth="1" min="6" max="11" width="8.71"/>
  </cols>
  <sheetData>
    <row r="1" ht="14.25" customHeight="1">
      <c r="A1" s="38" t="s">
        <v>3935</v>
      </c>
      <c r="B1" s="38" t="s">
        <v>3936</v>
      </c>
      <c r="D1" s="39" t="s">
        <v>3937</v>
      </c>
      <c r="E1" s="39" t="s">
        <v>3938</v>
      </c>
      <c r="F1" s="39" t="s">
        <v>3939</v>
      </c>
      <c r="G1" s="39" t="s">
        <v>3940</v>
      </c>
      <c r="H1" s="39" t="s">
        <v>3941</v>
      </c>
    </row>
    <row r="2" ht="14.25" customHeight="1">
      <c r="A2" s="40">
        <v>2000.0</v>
      </c>
      <c r="B2" s="40" t="s">
        <v>38</v>
      </c>
      <c r="D2" s="41">
        <v>2000.0</v>
      </c>
      <c r="E2" s="41">
        <v>5.0</v>
      </c>
      <c r="F2" s="41">
        <v>1.0</v>
      </c>
      <c r="G2" s="41" t="s">
        <v>38</v>
      </c>
      <c r="H2" s="41">
        <v>1.04</v>
      </c>
    </row>
    <row r="3" ht="14.25" customHeight="1">
      <c r="A3" s="40">
        <v>2007.0</v>
      </c>
      <c r="B3" s="40" t="s">
        <v>38</v>
      </c>
      <c r="D3" s="41">
        <v>2006.0</v>
      </c>
      <c r="E3" s="41">
        <v>5.0</v>
      </c>
      <c r="F3" s="41">
        <v>1.0</v>
      </c>
      <c r="G3" s="41" t="s">
        <v>38</v>
      </c>
      <c r="H3" s="41">
        <v>1.04</v>
      </c>
    </row>
    <row r="4" ht="14.25" customHeight="1">
      <c r="A4" s="40">
        <v>2008.0</v>
      </c>
      <c r="B4" s="40" t="s">
        <v>38</v>
      </c>
      <c r="D4" s="41">
        <v>2007.0</v>
      </c>
      <c r="E4" s="41">
        <v>5.0</v>
      </c>
      <c r="F4" s="41">
        <v>1.0</v>
      </c>
      <c r="G4" s="41" t="s">
        <v>38</v>
      </c>
      <c r="H4" s="41">
        <v>1.04</v>
      </c>
    </row>
    <row r="5" ht="14.25" customHeight="1">
      <c r="A5" s="40">
        <v>2009.0</v>
      </c>
      <c r="B5" s="40" t="s">
        <v>38</v>
      </c>
      <c r="D5" s="41">
        <v>2008.0</v>
      </c>
      <c r="E5" s="41">
        <v>5.0</v>
      </c>
      <c r="F5" s="41">
        <v>1.0</v>
      </c>
      <c r="G5" s="41" t="s">
        <v>38</v>
      </c>
      <c r="H5" s="41">
        <v>1.04</v>
      </c>
    </row>
    <row r="6" ht="14.25" customHeight="1">
      <c r="A6" s="40">
        <v>2010.0</v>
      </c>
      <c r="B6" s="40" t="s">
        <v>38</v>
      </c>
      <c r="D6" s="41">
        <v>2009.0</v>
      </c>
      <c r="E6" s="41">
        <v>5.0</v>
      </c>
      <c r="F6" s="41">
        <v>1.0</v>
      </c>
      <c r="G6" s="41" t="s">
        <v>38</v>
      </c>
      <c r="H6" s="41">
        <v>1.04</v>
      </c>
    </row>
    <row r="7" ht="14.25" customHeight="1">
      <c r="A7" s="40">
        <v>2011.0</v>
      </c>
      <c r="B7" s="40" t="s">
        <v>38</v>
      </c>
      <c r="D7" s="41">
        <v>2010.0</v>
      </c>
      <c r="E7" s="41">
        <v>5.0</v>
      </c>
      <c r="F7" s="41">
        <v>1.0</v>
      </c>
      <c r="G7" s="41" t="s">
        <v>38</v>
      </c>
      <c r="H7" s="41">
        <v>1.04</v>
      </c>
    </row>
    <row r="8" ht="14.25" customHeight="1">
      <c r="A8" s="40">
        <v>2015.0</v>
      </c>
      <c r="B8" s="40" t="s">
        <v>38</v>
      </c>
      <c r="D8" s="41">
        <v>2011.0</v>
      </c>
      <c r="E8" s="41">
        <v>5.0</v>
      </c>
      <c r="F8" s="41">
        <v>1.0</v>
      </c>
      <c r="G8" s="41" t="s">
        <v>38</v>
      </c>
      <c r="H8" s="41">
        <v>1.04</v>
      </c>
    </row>
    <row r="9" ht="14.25" customHeight="1">
      <c r="A9" s="40">
        <v>2016.0</v>
      </c>
      <c r="B9" s="40" t="s">
        <v>38</v>
      </c>
      <c r="D9" s="41">
        <v>2015.0</v>
      </c>
      <c r="E9" s="41">
        <v>5.0</v>
      </c>
      <c r="F9" s="41">
        <v>1.0</v>
      </c>
      <c r="G9" s="41" t="s">
        <v>38</v>
      </c>
      <c r="H9" s="41">
        <v>1.04</v>
      </c>
    </row>
    <row r="10" ht="14.25" customHeight="1">
      <c r="A10" s="40">
        <v>2017.0</v>
      </c>
      <c r="B10" s="40" t="s">
        <v>38</v>
      </c>
      <c r="D10" s="41">
        <v>2016.0</v>
      </c>
      <c r="E10" s="41">
        <v>5.0</v>
      </c>
      <c r="F10" s="41">
        <v>1.0</v>
      </c>
      <c r="G10" s="41" t="s">
        <v>38</v>
      </c>
      <c r="H10" s="41">
        <v>1.04</v>
      </c>
    </row>
    <row r="11" ht="14.25" customHeight="1">
      <c r="A11" s="40">
        <v>2018.0</v>
      </c>
      <c r="B11" s="40" t="s">
        <v>38</v>
      </c>
      <c r="D11" s="41">
        <v>2017.0</v>
      </c>
      <c r="E11" s="41">
        <v>5.0</v>
      </c>
      <c r="F11" s="41">
        <v>1.0</v>
      </c>
      <c r="G11" s="41" t="s">
        <v>38</v>
      </c>
      <c r="H11" s="41">
        <v>1.04</v>
      </c>
    </row>
    <row r="12" ht="14.25" customHeight="1">
      <c r="A12" s="40">
        <v>2019.0</v>
      </c>
      <c r="B12" s="40" t="s">
        <v>38</v>
      </c>
      <c r="D12" s="41">
        <v>2018.0</v>
      </c>
      <c r="E12" s="41">
        <v>5.0</v>
      </c>
      <c r="F12" s="41">
        <v>1.0</v>
      </c>
      <c r="G12" s="41" t="s">
        <v>38</v>
      </c>
      <c r="H12" s="41">
        <v>1.04</v>
      </c>
    </row>
    <row r="13" ht="14.25" customHeight="1">
      <c r="A13" s="40">
        <v>2020.0</v>
      </c>
      <c r="B13" s="40" t="s">
        <v>38</v>
      </c>
      <c r="D13" s="41">
        <v>2019.0</v>
      </c>
      <c r="E13" s="41">
        <v>5.0</v>
      </c>
      <c r="F13" s="41">
        <v>1.0</v>
      </c>
      <c r="G13" s="41" t="s">
        <v>38</v>
      </c>
      <c r="H13" s="41">
        <v>1.04</v>
      </c>
    </row>
    <row r="14" ht="14.25" customHeight="1">
      <c r="A14" s="40">
        <v>2021.0</v>
      </c>
      <c r="B14" s="40" t="s">
        <v>38</v>
      </c>
      <c r="D14" s="41">
        <v>2020.0</v>
      </c>
      <c r="E14" s="41">
        <v>5.0</v>
      </c>
      <c r="F14" s="41">
        <v>1.0</v>
      </c>
      <c r="G14" s="41" t="s">
        <v>38</v>
      </c>
      <c r="H14" s="41">
        <v>1.04</v>
      </c>
    </row>
    <row r="15" ht="14.25" customHeight="1">
      <c r="A15" s="40">
        <v>2022.0</v>
      </c>
      <c r="B15" s="40" t="s">
        <v>38</v>
      </c>
      <c r="D15" s="41">
        <v>2021.0</v>
      </c>
      <c r="E15" s="41">
        <v>5.0</v>
      </c>
      <c r="F15" s="41">
        <v>1.0</v>
      </c>
      <c r="G15" s="41" t="s">
        <v>38</v>
      </c>
      <c r="H15" s="41">
        <v>1.04</v>
      </c>
    </row>
    <row r="16" ht="14.25" customHeight="1">
      <c r="A16" s="40">
        <v>2023.0</v>
      </c>
      <c r="B16" s="40" t="s">
        <v>38</v>
      </c>
      <c r="D16" s="41">
        <v>2022.0</v>
      </c>
      <c r="E16" s="41">
        <v>5.0</v>
      </c>
      <c r="F16" s="41">
        <v>1.0</v>
      </c>
      <c r="G16" s="41" t="s">
        <v>38</v>
      </c>
      <c r="H16" s="41">
        <v>1.04</v>
      </c>
    </row>
    <row r="17" ht="14.25" customHeight="1">
      <c r="A17" s="40">
        <v>2024.0</v>
      </c>
      <c r="B17" s="40" t="s">
        <v>38</v>
      </c>
      <c r="D17" s="41">
        <v>2023.0</v>
      </c>
      <c r="E17" s="41">
        <v>5.0</v>
      </c>
      <c r="F17" s="41">
        <v>1.0</v>
      </c>
      <c r="G17" s="41" t="s">
        <v>38</v>
      </c>
      <c r="H17" s="41">
        <v>1.04</v>
      </c>
    </row>
    <row r="18" ht="14.25" customHeight="1">
      <c r="A18" s="40">
        <v>2025.0</v>
      </c>
      <c r="B18" s="40" t="s">
        <v>38</v>
      </c>
      <c r="D18" s="41">
        <v>2024.0</v>
      </c>
      <c r="E18" s="41">
        <v>5.0</v>
      </c>
      <c r="F18" s="41">
        <v>1.0</v>
      </c>
      <c r="G18" s="41" t="s">
        <v>38</v>
      </c>
      <c r="H18" s="41">
        <v>1.04</v>
      </c>
    </row>
    <row r="19" ht="14.25" customHeight="1">
      <c r="A19" s="40">
        <v>2026.0</v>
      </c>
      <c r="B19" s="40" t="s">
        <v>38</v>
      </c>
      <c r="D19" s="41">
        <v>2025.0</v>
      </c>
      <c r="E19" s="41">
        <v>5.0</v>
      </c>
      <c r="F19" s="41">
        <v>1.0</v>
      </c>
      <c r="G19" s="41" t="s">
        <v>38</v>
      </c>
      <c r="H19" s="41">
        <v>1.04</v>
      </c>
    </row>
    <row r="20" ht="14.25" customHeight="1">
      <c r="A20" s="40">
        <v>2027.0</v>
      </c>
      <c r="B20" s="40" t="s">
        <v>38</v>
      </c>
      <c r="D20" s="41">
        <v>2026.0</v>
      </c>
      <c r="E20" s="41">
        <v>5.0</v>
      </c>
      <c r="F20" s="41">
        <v>1.0</v>
      </c>
      <c r="G20" s="41" t="s">
        <v>38</v>
      </c>
      <c r="H20" s="41">
        <v>1.04</v>
      </c>
    </row>
    <row r="21" ht="14.25" customHeight="1">
      <c r="A21" s="40">
        <v>2028.0</v>
      </c>
      <c r="B21" s="40" t="s">
        <v>38</v>
      </c>
      <c r="D21" s="41">
        <v>2027.0</v>
      </c>
      <c r="E21" s="41">
        <v>5.0</v>
      </c>
      <c r="F21" s="41">
        <v>1.0</v>
      </c>
      <c r="G21" s="41" t="s">
        <v>38</v>
      </c>
      <c r="H21" s="41">
        <v>1.04</v>
      </c>
    </row>
    <row r="22" ht="14.25" customHeight="1">
      <c r="A22" s="40">
        <v>2029.0</v>
      </c>
      <c r="B22" s="40" t="s">
        <v>38</v>
      </c>
      <c r="D22" s="41">
        <v>2028.0</v>
      </c>
      <c r="E22" s="41">
        <v>5.0</v>
      </c>
      <c r="F22" s="41">
        <v>1.0</v>
      </c>
      <c r="G22" s="41" t="s">
        <v>38</v>
      </c>
      <c r="H22" s="41">
        <v>1.05</v>
      </c>
    </row>
    <row r="23" ht="14.25" customHeight="1">
      <c r="A23" s="40">
        <v>2030.0</v>
      </c>
      <c r="B23" s="40" t="s">
        <v>38</v>
      </c>
      <c r="D23" s="41">
        <v>2029.0</v>
      </c>
      <c r="E23" s="41">
        <v>5.0</v>
      </c>
      <c r="F23" s="41">
        <v>1.0</v>
      </c>
      <c r="G23" s="41" t="s">
        <v>38</v>
      </c>
      <c r="H23" s="41">
        <v>1.04</v>
      </c>
    </row>
    <row r="24" ht="14.25" customHeight="1">
      <c r="A24" s="40">
        <v>2031.0</v>
      </c>
      <c r="B24" s="40" t="s">
        <v>38</v>
      </c>
      <c r="D24" s="41">
        <v>2030.0</v>
      </c>
      <c r="E24" s="41">
        <v>5.0</v>
      </c>
      <c r="F24" s="41">
        <v>1.0</v>
      </c>
      <c r="G24" s="41" t="s">
        <v>38</v>
      </c>
      <c r="H24" s="41">
        <v>1.05</v>
      </c>
    </row>
    <row r="25" ht="14.25" customHeight="1">
      <c r="A25" s="40">
        <v>2032.0</v>
      </c>
      <c r="B25" s="40" t="s">
        <v>38</v>
      </c>
      <c r="D25" s="41">
        <v>2031.0</v>
      </c>
      <c r="E25" s="41">
        <v>5.0</v>
      </c>
      <c r="F25" s="41">
        <v>1.0</v>
      </c>
      <c r="G25" s="41" t="s">
        <v>38</v>
      </c>
      <c r="H25" s="41">
        <v>1.04</v>
      </c>
    </row>
    <row r="26" ht="14.25" customHeight="1">
      <c r="A26" s="40">
        <v>2033.0</v>
      </c>
      <c r="B26" s="40" t="s">
        <v>38</v>
      </c>
      <c r="D26" s="41">
        <v>2032.0</v>
      </c>
      <c r="E26" s="41">
        <v>5.0</v>
      </c>
      <c r="F26" s="41">
        <v>1.0</v>
      </c>
      <c r="G26" s="41" t="s">
        <v>38</v>
      </c>
      <c r="H26" s="41">
        <v>1.04</v>
      </c>
    </row>
    <row r="27" ht="14.25" customHeight="1">
      <c r="A27" s="40">
        <v>2034.0</v>
      </c>
      <c r="B27" s="40" t="s">
        <v>38</v>
      </c>
      <c r="D27" s="41">
        <v>2033.0</v>
      </c>
      <c r="E27" s="41">
        <v>5.0</v>
      </c>
      <c r="F27" s="41">
        <v>1.0</v>
      </c>
      <c r="G27" s="41" t="s">
        <v>38</v>
      </c>
      <c r="H27" s="41">
        <v>1.04</v>
      </c>
    </row>
    <row r="28" ht="14.25" customHeight="1">
      <c r="A28" s="40">
        <v>2035.0</v>
      </c>
      <c r="B28" s="40" t="s">
        <v>38</v>
      </c>
      <c r="D28" s="41">
        <v>2034.0</v>
      </c>
      <c r="E28" s="41">
        <v>5.0</v>
      </c>
      <c r="F28" s="41">
        <v>1.0</v>
      </c>
      <c r="G28" s="41" t="s">
        <v>38</v>
      </c>
      <c r="H28" s="41">
        <v>1.04</v>
      </c>
    </row>
    <row r="29" ht="14.25" customHeight="1">
      <c r="A29" s="40">
        <v>2036.0</v>
      </c>
      <c r="B29" s="40" t="s">
        <v>38</v>
      </c>
      <c r="D29" s="41">
        <v>2035.0</v>
      </c>
      <c r="E29" s="41">
        <v>5.0</v>
      </c>
      <c r="F29" s="41">
        <v>1.0</v>
      </c>
      <c r="G29" s="41" t="s">
        <v>38</v>
      </c>
      <c r="H29" s="41">
        <v>1.04</v>
      </c>
    </row>
    <row r="30" ht="14.25" customHeight="1">
      <c r="A30" s="40">
        <v>2037.0</v>
      </c>
      <c r="B30" s="40" t="s">
        <v>38</v>
      </c>
      <c r="D30" s="41">
        <v>2036.0</v>
      </c>
      <c r="E30" s="41">
        <v>5.0</v>
      </c>
      <c r="F30" s="41">
        <v>1.0</v>
      </c>
      <c r="G30" s="41" t="s">
        <v>38</v>
      </c>
      <c r="H30" s="41">
        <v>1.04</v>
      </c>
    </row>
    <row r="31" ht="14.25" customHeight="1">
      <c r="A31" s="40">
        <v>2038.0</v>
      </c>
      <c r="B31" s="40" t="s">
        <v>38</v>
      </c>
      <c r="D31" s="41">
        <v>2037.0</v>
      </c>
      <c r="E31" s="41">
        <v>5.0</v>
      </c>
      <c r="F31" s="41">
        <v>1.0</v>
      </c>
      <c r="G31" s="41" t="s">
        <v>38</v>
      </c>
      <c r="H31" s="41">
        <v>1.04</v>
      </c>
    </row>
    <row r="32" ht="14.25" customHeight="1">
      <c r="A32" s="40">
        <v>2039.0</v>
      </c>
      <c r="B32" s="40" t="s">
        <v>38</v>
      </c>
      <c r="D32" s="41">
        <v>2038.0</v>
      </c>
      <c r="E32" s="41">
        <v>5.0</v>
      </c>
      <c r="F32" s="41">
        <v>1.0</v>
      </c>
      <c r="G32" s="41" t="s">
        <v>38</v>
      </c>
      <c r="H32" s="41">
        <v>1.04</v>
      </c>
    </row>
    <row r="33" ht="14.25" customHeight="1">
      <c r="A33" s="40">
        <v>2040.0</v>
      </c>
      <c r="B33" s="40" t="s">
        <v>38</v>
      </c>
      <c r="D33" s="41">
        <v>2039.0</v>
      </c>
      <c r="E33" s="41">
        <v>5.0</v>
      </c>
      <c r="F33" s="41">
        <v>1.0</v>
      </c>
      <c r="G33" s="41" t="s">
        <v>38</v>
      </c>
      <c r="H33" s="41">
        <v>1.04</v>
      </c>
    </row>
    <row r="34" ht="14.25" customHeight="1">
      <c r="A34" s="40">
        <v>2041.0</v>
      </c>
      <c r="B34" s="40" t="s">
        <v>38</v>
      </c>
      <c r="D34" s="41">
        <v>2040.0</v>
      </c>
      <c r="E34" s="41">
        <v>5.0</v>
      </c>
      <c r="F34" s="41">
        <v>1.0</v>
      </c>
      <c r="G34" s="41" t="s">
        <v>38</v>
      </c>
      <c r="H34" s="41">
        <v>1.04</v>
      </c>
    </row>
    <row r="35" ht="14.25" customHeight="1">
      <c r="A35" s="40">
        <v>2042.0</v>
      </c>
      <c r="B35" s="40" t="s">
        <v>38</v>
      </c>
      <c r="D35" s="41">
        <v>2041.0</v>
      </c>
      <c r="E35" s="41">
        <v>5.0</v>
      </c>
      <c r="F35" s="41">
        <v>1.0</v>
      </c>
      <c r="G35" s="41" t="s">
        <v>38</v>
      </c>
      <c r="H35" s="41">
        <v>1.04</v>
      </c>
    </row>
    <row r="36" ht="14.25" customHeight="1">
      <c r="A36" s="40">
        <v>2043.0</v>
      </c>
      <c r="B36" s="40" t="s">
        <v>38</v>
      </c>
      <c r="D36" s="41">
        <v>2042.0</v>
      </c>
      <c r="E36" s="41">
        <v>5.0</v>
      </c>
      <c r="F36" s="41">
        <v>1.0</v>
      </c>
      <c r="G36" s="41" t="s">
        <v>38</v>
      </c>
      <c r="H36" s="41">
        <v>1.04</v>
      </c>
    </row>
    <row r="37" ht="14.25" customHeight="1">
      <c r="A37" s="40">
        <v>2044.0</v>
      </c>
      <c r="B37" s="40" t="s">
        <v>38</v>
      </c>
      <c r="D37" s="41">
        <v>2043.0</v>
      </c>
      <c r="E37" s="41">
        <v>5.0</v>
      </c>
      <c r="F37" s="41">
        <v>1.0</v>
      </c>
      <c r="G37" s="41" t="s">
        <v>38</v>
      </c>
      <c r="H37" s="41">
        <v>1.04</v>
      </c>
    </row>
    <row r="38" ht="14.25" customHeight="1">
      <c r="A38" s="40">
        <v>2045.0</v>
      </c>
      <c r="B38" s="40" t="s">
        <v>38</v>
      </c>
      <c r="D38" s="41">
        <v>2044.0</v>
      </c>
      <c r="E38" s="41">
        <v>5.0</v>
      </c>
      <c r="F38" s="41">
        <v>1.0</v>
      </c>
      <c r="G38" s="41" t="s">
        <v>38</v>
      </c>
      <c r="H38" s="41">
        <v>1.04</v>
      </c>
    </row>
    <row r="39" ht="14.25" customHeight="1">
      <c r="A39" s="40">
        <v>2046.0</v>
      </c>
      <c r="B39" s="40" t="s">
        <v>38</v>
      </c>
      <c r="D39" s="41">
        <v>2045.0</v>
      </c>
      <c r="E39" s="41">
        <v>5.0</v>
      </c>
      <c r="F39" s="41">
        <v>1.0</v>
      </c>
      <c r="G39" s="41" t="s">
        <v>38</v>
      </c>
      <c r="H39" s="41">
        <v>1.04</v>
      </c>
    </row>
    <row r="40" ht="14.25" customHeight="1">
      <c r="A40" s="40">
        <v>2047.0</v>
      </c>
      <c r="B40" s="40" t="s">
        <v>38</v>
      </c>
      <c r="D40" s="41">
        <v>2046.0</v>
      </c>
      <c r="E40" s="41">
        <v>5.0</v>
      </c>
      <c r="F40" s="41">
        <v>1.0</v>
      </c>
      <c r="G40" s="41" t="s">
        <v>38</v>
      </c>
      <c r="H40" s="41">
        <v>1.04</v>
      </c>
    </row>
    <row r="41" ht="14.25" customHeight="1">
      <c r="A41" s="40">
        <v>2048.0</v>
      </c>
      <c r="B41" s="40" t="s">
        <v>38</v>
      </c>
      <c r="D41" s="41">
        <v>2047.0</v>
      </c>
      <c r="E41" s="41">
        <v>5.0</v>
      </c>
      <c r="F41" s="41">
        <v>1.0</v>
      </c>
      <c r="G41" s="41" t="s">
        <v>38</v>
      </c>
      <c r="H41" s="41">
        <v>1.04</v>
      </c>
    </row>
    <row r="42" ht="14.25" customHeight="1">
      <c r="A42" s="40">
        <v>2049.0</v>
      </c>
      <c r="B42" s="40" t="s">
        <v>38</v>
      </c>
      <c r="D42" s="41">
        <v>2048.0</v>
      </c>
      <c r="E42" s="41">
        <v>5.0</v>
      </c>
      <c r="F42" s="41">
        <v>1.0</v>
      </c>
      <c r="G42" s="41" t="s">
        <v>38</v>
      </c>
      <c r="H42" s="41">
        <v>1.04</v>
      </c>
    </row>
    <row r="43" ht="14.25" customHeight="1">
      <c r="A43" s="40">
        <v>2050.0</v>
      </c>
      <c r="B43" s="40" t="s">
        <v>38</v>
      </c>
      <c r="D43" s="41">
        <v>2049.0</v>
      </c>
      <c r="E43" s="41">
        <v>5.0</v>
      </c>
      <c r="F43" s="41">
        <v>1.0</v>
      </c>
      <c r="G43" s="41" t="s">
        <v>38</v>
      </c>
      <c r="H43" s="41">
        <v>1.04</v>
      </c>
    </row>
    <row r="44" ht="14.25" customHeight="1">
      <c r="A44" s="40">
        <v>2060.0</v>
      </c>
      <c r="B44" s="40" t="s">
        <v>38</v>
      </c>
      <c r="D44" s="41">
        <v>2050.0</v>
      </c>
      <c r="E44" s="41">
        <v>5.0</v>
      </c>
      <c r="F44" s="41">
        <v>1.0</v>
      </c>
      <c r="G44" s="41" t="s">
        <v>38</v>
      </c>
      <c r="H44" s="41">
        <v>1.04</v>
      </c>
    </row>
    <row r="45" ht="14.25" customHeight="1">
      <c r="A45" s="40">
        <v>2061.0</v>
      </c>
      <c r="B45" s="40" t="s">
        <v>38</v>
      </c>
      <c r="D45" s="41">
        <v>2052.0</v>
      </c>
      <c r="E45" s="41">
        <v>5.0</v>
      </c>
      <c r="F45" s="41">
        <v>1.0</v>
      </c>
      <c r="G45" s="41" t="s">
        <v>38</v>
      </c>
      <c r="H45" s="41">
        <v>1.04</v>
      </c>
    </row>
    <row r="46" ht="14.25" customHeight="1">
      <c r="A46" s="40">
        <v>2062.0</v>
      </c>
      <c r="B46" s="40" t="s">
        <v>38</v>
      </c>
      <c r="D46" s="41">
        <v>2060.0</v>
      </c>
      <c r="E46" s="41">
        <v>5.0</v>
      </c>
      <c r="F46" s="41">
        <v>1.0</v>
      </c>
      <c r="G46" s="41" t="s">
        <v>38</v>
      </c>
      <c r="H46" s="41">
        <v>1.04</v>
      </c>
    </row>
    <row r="47" ht="14.25" customHeight="1">
      <c r="A47" s="40">
        <v>2063.0</v>
      </c>
      <c r="B47" s="40" t="s">
        <v>38</v>
      </c>
      <c r="D47" s="41">
        <v>2061.0</v>
      </c>
      <c r="E47" s="41">
        <v>5.0</v>
      </c>
      <c r="F47" s="41">
        <v>1.0</v>
      </c>
      <c r="G47" s="41" t="s">
        <v>38</v>
      </c>
      <c r="H47" s="41">
        <v>1.04</v>
      </c>
    </row>
    <row r="48" ht="14.25" customHeight="1">
      <c r="A48" s="40">
        <v>2064.0</v>
      </c>
      <c r="B48" s="40" t="s">
        <v>38</v>
      </c>
      <c r="D48" s="41">
        <v>2062.0</v>
      </c>
      <c r="E48" s="41">
        <v>5.0</v>
      </c>
      <c r="F48" s="41">
        <v>1.0</v>
      </c>
      <c r="G48" s="41" t="s">
        <v>38</v>
      </c>
      <c r="H48" s="41">
        <v>1.04</v>
      </c>
    </row>
    <row r="49" ht="14.25" customHeight="1">
      <c r="A49" s="40">
        <v>2065.0</v>
      </c>
      <c r="B49" s="40" t="s">
        <v>38</v>
      </c>
      <c r="D49" s="41">
        <v>2063.0</v>
      </c>
      <c r="E49" s="41">
        <v>5.0</v>
      </c>
      <c r="F49" s="41">
        <v>1.0</v>
      </c>
      <c r="G49" s="41" t="s">
        <v>38</v>
      </c>
      <c r="H49" s="41">
        <v>1.04</v>
      </c>
    </row>
    <row r="50" ht="14.25" customHeight="1">
      <c r="A50" s="40">
        <v>2066.0</v>
      </c>
      <c r="B50" s="40" t="s">
        <v>38</v>
      </c>
      <c r="D50" s="41">
        <v>2064.0</v>
      </c>
      <c r="E50" s="41">
        <v>5.0</v>
      </c>
      <c r="F50" s="41">
        <v>1.0</v>
      </c>
      <c r="G50" s="41" t="s">
        <v>38</v>
      </c>
      <c r="H50" s="41">
        <v>1.04</v>
      </c>
    </row>
    <row r="51" ht="14.25" customHeight="1">
      <c r="A51" s="40">
        <v>2067.0</v>
      </c>
      <c r="B51" s="40" t="s">
        <v>38</v>
      </c>
      <c r="D51" s="41">
        <v>2065.0</v>
      </c>
      <c r="E51" s="41">
        <v>5.0</v>
      </c>
      <c r="F51" s="41">
        <v>1.0</v>
      </c>
      <c r="G51" s="41" t="s">
        <v>38</v>
      </c>
      <c r="H51" s="41">
        <v>1.04</v>
      </c>
    </row>
    <row r="52" ht="14.25" customHeight="1">
      <c r="A52" s="40">
        <v>2068.0</v>
      </c>
      <c r="B52" s="40" t="s">
        <v>38</v>
      </c>
      <c r="D52" s="41">
        <v>2066.0</v>
      </c>
      <c r="E52" s="41">
        <v>5.0</v>
      </c>
      <c r="F52" s="41">
        <v>1.0</v>
      </c>
      <c r="G52" s="41" t="s">
        <v>38</v>
      </c>
      <c r="H52" s="41">
        <v>1.04</v>
      </c>
    </row>
    <row r="53" ht="14.25" customHeight="1">
      <c r="A53" s="40">
        <v>2069.0</v>
      </c>
      <c r="B53" s="40" t="s">
        <v>38</v>
      </c>
      <c r="D53" s="41">
        <v>2067.0</v>
      </c>
      <c r="E53" s="41">
        <v>5.0</v>
      </c>
      <c r="F53" s="41">
        <v>1.0</v>
      </c>
      <c r="G53" s="41" t="s">
        <v>38</v>
      </c>
      <c r="H53" s="41">
        <v>1.04</v>
      </c>
    </row>
    <row r="54" ht="14.25" customHeight="1">
      <c r="A54" s="40">
        <v>2070.0</v>
      </c>
      <c r="B54" s="40" t="s">
        <v>38</v>
      </c>
      <c r="D54" s="41">
        <v>2068.0</v>
      </c>
      <c r="E54" s="41">
        <v>5.0</v>
      </c>
      <c r="F54" s="41">
        <v>1.0</v>
      </c>
      <c r="G54" s="41" t="s">
        <v>38</v>
      </c>
      <c r="H54" s="41">
        <v>1.04</v>
      </c>
    </row>
    <row r="55" ht="14.25" customHeight="1">
      <c r="A55" s="40">
        <v>2071.0</v>
      </c>
      <c r="B55" s="40" t="s">
        <v>38</v>
      </c>
      <c r="D55" s="41">
        <v>2069.0</v>
      </c>
      <c r="E55" s="41">
        <v>5.0</v>
      </c>
      <c r="F55" s="41">
        <v>1.0</v>
      </c>
      <c r="G55" s="41" t="s">
        <v>38</v>
      </c>
      <c r="H55" s="41">
        <v>1.04</v>
      </c>
    </row>
    <row r="56" ht="14.25" customHeight="1">
      <c r="A56" s="40">
        <v>2072.0</v>
      </c>
      <c r="B56" s="40" t="s">
        <v>38</v>
      </c>
      <c r="D56" s="41">
        <v>2070.0</v>
      </c>
      <c r="E56" s="41">
        <v>5.0</v>
      </c>
      <c r="F56" s="41">
        <v>1.0</v>
      </c>
      <c r="G56" s="41" t="s">
        <v>38</v>
      </c>
      <c r="H56" s="41">
        <v>1.04</v>
      </c>
    </row>
    <row r="57" ht="14.25" customHeight="1">
      <c r="A57" s="40">
        <v>2073.0</v>
      </c>
      <c r="B57" s="40" t="s">
        <v>38</v>
      </c>
      <c r="D57" s="41">
        <v>2071.0</v>
      </c>
      <c r="E57" s="41">
        <v>5.0</v>
      </c>
      <c r="F57" s="41">
        <v>1.0</v>
      </c>
      <c r="G57" s="41" t="s">
        <v>38</v>
      </c>
      <c r="H57" s="41">
        <v>1.04</v>
      </c>
    </row>
    <row r="58" ht="14.25" customHeight="1">
      <c r="A58" s="40">
        <v>2074.0</v>
      </c>
      <c r="B58" s="40" t="s">
        <v>38</v>
      </c>
      <c r="D58" s="41">
        <v>2072.0</v>
      </c>
      <c r="E58" s="41">
        <v>5.0</v>
      </c>
      <c r="F58" s="41">
        <v>1.0</v>
      </c>
      <c r="G58" s="41" t="s">
        <v>38</v>
      </c>
      <c r="H58" s="41">
        <v>1.04</v>
      </c>
    </row>
    <row r="59" ht="14.25" customHeight="1">
      <c r="A59" s="40">
        <v>2075.0</v>
      </c>
      <c r="B59" s="40" t="s">
        <v>38</v>
      </c>
      <c r="D59" s="41">
        <v>2073.0</v>
      </c>
      <c r="E59" s="41">
        <v>5.0</v>
      </c>
      <c r="F59" s="41">
        <v>1.0</v>
      </c>
      <c r="G59" s="41" t="s">
        <v>38</v>
      </c>
      <c r="H59" s="41">
        <v>1.04</v>
      </c>
    </row>
    <row r="60" ht="14.25" customHeight="1">
      <c r="A60" s="40">
        <v>2076.0</v>
      </c>
      <c r="B60" s="40" t="s">
        <v>38</v>
      </c>
      <c r="D60" s="41">
        <v>2074.0</v>
      </c>
      <c r="E60" s="41">
        <v>5.0</v>
      </c>
      <c r="F60" s="41">
        <v>1.0</v>
      </c>
      <c r="G60" s="41" t="s">
        <v>38</v>
      </c>
      <c r="H60" s="41">
        <v>1.04</v>
      </c>
    </row>
    <row r="61" ht="14.25" customHeight="1">
      <c r="A61" s="40">
        <v>2077.0</v>
      </c>
      <c r="B61" s="40" t="s">
        <v>38</v>
      </c>
      <c r="D61" s="41">
        <v>2075.0</v>
      </c>
      <c r="E61" s="41">
        <v>5.0</v>
      </c>
      <c r="F61" s="41">
        <v>1.0</v>
      </c>
      <c r="G61" s="41" t="s">
        <v>38</v>
      </c>
      <c r="H61" s="41">
        <v>1.04</v>
      </c>
    </row>
    <row r="62" ht="14.25" customHeight="1">
      <c r="A62" s="40">
        <v>2079.0</v>
      </c>
      <c r="B62" s="40" t="s">
        <v>38</v>
      </c>
      <c r="D62" s="41">
        <v>2076.0</v>
      </c>
      <c r="E62" s="41">
        <v>5.0</v>
      </c>
      <c r="F62" s="41">
        <v>1.0</v>
      </c>
      <c r="G62" s="41" t="s">
        <v>38</v>
      </c>
      <c r="H62" s="41">
        <v>1.04</v>
      </c>
    </row>
    <row r="63" ht="14.25" customHeight="1">
      <c r="A63" s="40">
        <v>2080.0</v>
      </c>
      <c r="B63" s="40" t="s">
        <v>38</v>
      </c>
      <c r="D63" s="41">
        <v>2077.0</v>
      </c>
      <c r="E63" s="41">
        <v>5.0</v>
      </c>
      <c r="F63" s="41">
        <v>1.0</v>
      </c>
      <c r="G63" s="41" t="s">
        <v>38</v>
      </c>
      <c r="H63" s="41">
        <v>1.04</v>
      </c>
    </row>
    <row r="64" ht="14.25" customHeight="1">
      <c r="A64" s="40">
        <v>2081.0</v>
      </c>
      <c r="B64" s="40" t="s">
        <v>38</v>
      </c>
      <c r="D64" s="41">
        <v>2079.0</v>
      </c>
      <c r="E64" s="41">
        <v>5.0</v>
      </c>
      <c r="F64" s="41">
        <v>1.0</v>
      </c>
      <c r="G64" s="41" t="s">
        <v>38</v>
      </c>
      <c r="H64" s="41">
        <v>1.04</v>
      </c>
    </row>
    <row r="65" ht="14.25" customHeight="1">
      <c r="A65" s="40">
        <v>2082.0</v>
      </c>
      <c r="B65" s="40" t="s">
        <v>38</v>
      </c>
      <c r="D65" s="41">
        <v>2080.0</v>
      </c>
      <c r="E65" s="41">
        <v>5.0</v>
      </c>
      <c r="F65" s="41">
        <v>1.0</v>
      </c>
      <c r="G65" s="41" t="s">
        <v>38</v>
      </c>
      <c r="H65" s="41">
        <v>1.04</v>
      </c>
    </row>
    <row r="66" ht="14.25" customHeight="1">
      <c r="A66" s="40">
        <v>2083.0</v>
      </c>
      <c r="B66" s="40" t="s">
        <v>38</v>
      </c>
      <c r="D66" s="41">
        <v>2081.0</v>
      </c>
      <c r="E66" s="41">
        <v>5.0</v>
      </c>
      <c r="F66" s="41">
        <v>1.0</v>
      </c>
      <c r="G66" s="41" t="s">
        <v>38</v>
      </c>
      <c r="H66" s="41">
        <v>1.04</v>
      </c>
    </row>
    <row r="67" ht="14.25" customHeight="1">
      <c r="A67" s="40">
        <v>2084.0</v>
      </c>
      <c r="B67" s="40" t="s">
        <v>38</v>
      </c>
      <c r="D67" s="41">
        <v>2082.0</v>
      </c>
      <c r="E67" s="41">
        <v>5.0</v>
      </c>
      <c r="F67" s="41">
        <v>1.0</v>
      </c>
      <c r="G67" s="41" t="s">
        <v>38</v>
      </c>
      <c r="H67" s="41">
        <v>1.04</v>
      </c>
    </row>
    <row r="68" ht="14.25" customHeight="1">
      <c r="A68" s="40">
        <v>2085.0</v>
      </c>
      <c r="B68" s="40" t="s">
        <v>38</v>
      </c>
      <c r="D68" s="41">
        <v>2083.0</v>
      </c>
      <c r="E68" s="41">
        <v>5.0</v>
      </c>
      <c r="F68" s="41">
        <v>1.0</v>
      </c>
      <c r="G68" s="41" t="s">
        <v>38</v>
      </c>
      <c r="H68" s="41">
        <v>1.04</v>
      </c>
    </row>
    <row r="69" ht="14.25" customHeight="1">
      <c r="A69" s="40">
        <v>2086.0</v>
      </c>
      <c r="B69" s="40" t="s">
        <v>38</v>
      </c>
      <c r="D69" s="41">
        <v>2084.0</v>
      </c>
      <c r="E69" s="41">
        <v>5.0</v>
      </c>
      <c r="F69" s="41">
        <v>1.0</v>
      </c>
      <c r="G69" s="41" t="s">
        <v>38</v>
      </c>
      <c r="H69" s="41">
        <v>1.04</v>
      </c>
    </row>
    <row r="70" ht="14.25" customHeight="1">
      <c r="A70" s="40">
        <v>2087.0</v>
      </c>
      <c r="B70" s="40" t="s">
        <v>38</v>
      </c>
      <c r="D70" s="41">
        <v>2085.0</v>
      </c>
      <c r="E70" s="41">
        <v>5.0</v>
      </c>
      <c r="F70" s="41">
        <v>1.0</v>
      </c>
      <c r="G70" s="41" t="s">
        <v>38</v>
      </c>
      <c r="H70" s="41">
        <v>1.04</v>
      </c>
    </row>
    <row r="71" ht="14.25" customHeight="1">
      <c r="A71" s="40">
        <v>2088.0</v>
      </c>
      <c r="B71" s="40" t="s">
        <v>38</v>
      </c>
      <c r="D71" s="41">
        <v>2086.0</v>
      </c>
      <c r="E71" s="41">
        <v>5.0</v>
      </c>
      <c r="F71" s="41">
        <v>1.0</v>
      </c>
      <c r="G71" s="41" t="s">
        <v>38</v>
      </c>
      <c r="H71" s="41">
        <v>1.04</v>
      </c>
    </row>
    <row r="72" ht="14.25" customHeight="1">
      <c r="A72" s="40">
        <v>2089.0</v>
      </c>
      <c r="B72" s="40" t="s">
        <v>38</v>
      </c>
      <c r="D72" s="41">
        <v>2087.0</v>
      </c>
      <c r="E72" s="41">
        <v>5.0</v>
      </c>
      <c r="F72" s="41">
        <v>1.0</v>
      </c>
      <c r="G72" s="41" t="s">
        <v>38</v>
      </c>
      <c r="H72" s="41">
        <v>1.04</v>
      </c>
    </row>
    <row r="73" ht="14.25" customHeight="1">
      <c r="A73" s="40">
        <v>2090.0</v>
      </c>
      <c r="B73" s="40" t="s">
        <v>38</v>
      </c>
      <c r="D73" s="41">
        <v>2088.0</v>
      </c>
      <c r="E73" s="41">
        <v>5.0</v>
      </c>
      <c r="F73" s="41">
        <v>1.0</v>
      </c>
      <c r="G73" s="41" t="s">
        <v>38</v>
      </c>
      <c r="H73" s="41">
        <v>1.04</v>
      </c>
    </row>
    <row r="74" ht="14.25" customHeight="1">
      <c r="A74" s="40">
        <v>2092.0</v>
      </c>
      <c r="B74" s="40" t="s">
        <v>38</v>
      </c>
      <c r="D74" s="41">
        <v>2089.0</v>
      </c>
      <c r="E74" s="41">
        <v>5.0</v>
      </c>
      <c r="F74" s="41">
        <v>1.0</v>
      </c>
      <c r="G74" s="41" t="s">
        <v>38</v>
      </c>
      <c r="H74" s="41">
        <v>1.04</v>
      </c>
    </row>
    <row r="75" ht="14.25" customHeight="1">
      <c r="A75" s="40">
        <v>2093.0</v>
      </c>
      <c r="B75" s="40" t="s">
        <v>38</v>
      </c>
      <c r="D75" s="41">
        <v>2090.0</v>
      </c>
      <c r="E75" s="41">
        <v>5.0</v>
      </c>
      <c r="F75" s="41">
        <v>1.0</v>
      </c>
      <c r="G75" s="41" t="s">
        <v>38</v>
      </c>
      <c r="H75" s="41">
        <v>1.04</v>
      </c>
    </row>
    <row r="76" ht="14.25" customHeight="1">
      <c r="A76" s="40">
        <v>2094.0</v>
      </c>
      <c r="B76" s="40" t="s">
        <v>38</v>
      </c>
      <c r="D76" s="41">
        <v>2091.0</v>
      </c>
      <c r="E76" s="41">
        <v>5.0</v>
      </c>
      <c r="F76" s="41">
        <v>1.0</v>
      </c>
      <c r="G76" s="41" t="s">
        <v>38</v>
      </c>
      <c r="H76" s="41">
        <v>1.04</v>
      </c>
    </row>
    <row r="77" ht="14.25" customHeight="1">
      <c r="A77" s="40">
        <v>2095.0</v>
      </c>
      <c r="B77" s="40" t="s">
        <v>38</v>
      </c>
      <c r="D77" s="41">
        <v>2092.0</v>
      </c>
      <c r="E77" s="41">
        <v>5.0</v>
      </c>
      <c r="F77" s="41">
        <v>1.0</v>
      </c>
      <c r="G77" s="41" t="s">
        <v>38</v>
      </c>
      <c r="H77" s="41">
        <v>1.04</v>
      </c>
    </row>
    <row r="78" ht="14.25" customHeight="1">
      <c r="A78" s="40">
        <v>2096.0</v>
      </c>
      <c r="B78" s="40" t="s">
        <v>38</v>
      </c>
      <c r="D78" s="41">
        <v>2093.0</v>
      </c>
      <c r="E78" s="41">
        <v>5.0</v>
      </c>
      <c r="F78" s="41">
        <v>1.0</v>
      </c>
      <c r="G78" s="41" t="s">
        <v>38</v>
      </c>
      <c r="H78" s="41">
        <v>1.04</v>
      </c>
    </row>
    <row r="79" ht="14.25" customHeight="1">
      <c r="A79" s="40">
        <v>2097.0</v>
      </c>
      <c r="B79" s="40" t="s">
        <v>38</v>
      </c>
      <c r="D79" s="41">
        <v>2094.0</v>
      </c>
      <c r="E79" s="41">
        <v>5.0</v>
      </c>
      <c r="F79" s="41">
        <v>1.0</v>
      </c>
      <c r="G79" s="41" t="s">
        <v>38</v>
      </c>
      <c r="H79" s="41">
        <v>1.04</v>
      </c>
    </row>
    <row r="80" ht="14.25" customHeight="1">
      <c r="A80" s="40">
        <v>2099.0</v>
      </c>
      <c r="B80" s="40" t="s">
        <v>38</v>
      </c>
      <c r="D80" s="41">
        <v>2095.0</v>
      </c>
      <c r="E80" s="41">
        <v>5.0</v>
      </c>
      <c r="F80" s="41">
        <v>1.0</v>
      </c>
      <c r="G80" s="41" t="s">
        <v>38</v>
      </c>
      <c r="H80" s="41">
        <v>1.04</v>
      </c>
    </row>
    <row r="81" ht="14.25" customHeight="1">
      <c r="A81" s="40">
        <v>2100.0</v>
      </c>
      <c r="B81" s="40" t="s">
        <v>38</v>
      </c>
      <c r="D81" s="41">
        <v>2096.0</v>
      </c>
      <c r="E81" s="41">
        <v>5.0</v>
      </c>
      <c r="F81" s="41">
        <v>1.0</v>
      </c>
      <c r="G81" s="41" t="s">
        <v>38</v>
      </c>
      <c r="H81" s="41">
        <v>1.04</v>
      </c>
    </row>
    <row r="82" ht="14.25" customHeight="1">
      <c r="A82" s="40">
        <v>2101.0</v>
      </c>
      <c r="B82" s="40" t="s">
        <v>38</v>
      </c>
      <c r="D82" s="41">
        <v>2097.0</v>
      </c>
      <c r="E82" s="41">
        <v>5.0</v>
      </c>
      <c r="F82" s="41">
        <v>1.0</v>
      </c>
      <c r="G82" s="41" t="s">
        <v>38</v>
      </c>
      <c r="H82" s="41">
        <v>1.04</v>
      </c>
    </row>
    <row r="83" ht="14.25" customHeight="1">
      <c r="A83" s="40">
        <v>2102.0</v>
      </c>
      <c r="B83" s="40" t="s">
        <v>38</v>
      </c>
      <c r="D83" s="41">
        <v>2099.0</v>
      </c>
      <c r="E83" s="41">
        <v>5.0</v>
      </c>
      <c r="F83" s="41">
        <v>1.0</v>
      </c>
      <c r="G83" s="41" t="s">
        <v>38</v>
      </c>
      <c r="H83" s="41">
        <v>1.04</v>
      </c>
    </row>
    <row r="84" ht="14.25" customHeight="1">
      <c r="A84" s="40">
        <v>2103.0</v>
      </c>
      <c r="B84" s="40" t="s">
        <v>38</v>
      </c>
      <c r="D84" s="41">
        <v>2100.0</v>
      </c>
      <c r="E84" s="41">
        <v>5.0</v>
      </c>
      <c r="F84" s="41">
        <v>1.0</v>
      </c>
      <c r="G84" s="41" t="s">
        <v>38</v>
      </c>
      <c r="H84" s="41">
        <v>1.04</v>
      </c>
    </row>
    <row r="85" ht="14.25" customHeight="1">
      <c r="A85" s="40">
        <v>2104.0</v>
      </c>
      <c r="B85" s="40" t="s">
        <v>38</v>
      </c>
      <c r="D85" s="41">
        <v>2101.0</v>
      </c>
      <c r="E85" s="41">
        <v>5.0</v>
      </c>
      <c r="F85" s="41">
        <v>1.0</v>
      </c>
      <c r="G85" s="41" t="s">
        <v>38</v>
      </c>
      <c r="H85" s="41">
        <v>1.04</v>
      </c>
    </row>
    <row r="86" ht="14.25" customHeight="1">
      <c r="A86" s="40">
        <v>2105.0</v>
      </c>
      <c r="B86" s="40" t="s">
        <v>38</v>
      </c>
      <c r="D86" s="41">
        <v>2102.0</v>
      </c>
      <c r="E86" s="41">
        <v>5.0</v>
      </c>
      <c r="F86" s="41">
        <v>1.0</v>
      </c>
      <c r="G86" s="41" t="s">
        <v>38</v>
      </c>
      <c r="H86" s="41">
        <v>1.04</v>
      </c>
    </row>
    <row r="87" ht="14.25" customHeight="1">
      <c r="A87" s="40">
        <v>2106.0</v>
      </c>
      <c r="B87" s="40" t="s">
        <v>38</v>
      </c>
      <c r="D87" s="41">
        <v>2103.0</v>
      </c>
      <c r="E87" s="41">
        <v>5.0</v>
      </c>
      <c r="F87" s="41">
        <v>1.0</v>
      </c>
      <c r="G87" s="41" t="s">
        <v>38</v>
      </c>
      <c r="H87" s="41">
        <v>1.04</v>
      </c>
    </row>
    <row r="88" ht="14.25" customHeight="1">
      <c r="A88" s="40">
        <v>2107.0</v>
      </c>
      <c r="B88" s="40" t="s">
        <v>38</v>
      </c>
      <c r="D88" s="41">
        <v>2104.0</v>
      </c>
      <c r="E88" s="41">
        <v>5.0</v>
      </c>
      <c r="F88" s="41">
        <v>1.0</v>
      </c>
      <c r="G88" s="41" t="s">
        <v>38</v>
      </c>
      <c r="H88" s="41">
        <v>1.04</v>
      </c>
    </row>
    <row r="89" ht="14.25" customHeight="1">
      <c r="A89" s="40">
        <v>2108.0</v>
      </c>
      <c r="B89" s="40" t="s">
        <v>38</v>
      </c>
      <c r="D89" s="41">
        <v>2105.0</v>
      </c>
      <c r="E89" s="41">
        <v>5.0</v>
      </c>
      <c r="F89" s="41">
        <v>1.0</v>
      </c>
      <c r="G89" s="41" t="s">
        <v>38</v>
      </c>
      <c r="H89" s="41">
        <v>1.04</v>
      </c>
    </row>
    <row r="90" ht="14.25" customHeight="1">
      <c r="A90" s="40">
        <v>2110.0</v>
      </c>
      <c r="B90" s="40" t="s">
        <v>38</v>
      </c>
      <c r="D90" s="41">
        <v>2106.0</v>
      </c>
      <c r="E90" s="41">
        <v>5.0</v>
      </c>
      <c r="F90" s="41">
        <v>1.0</v>
      </c>
      <c r="G90" s="41" t="s">
        <v>38</v>
      </c>
      <c r="H90" s="41">
        <v>1.04</v>
      </c>
    </row>
    <row r="91" ht="14.25" customHeight="1">
      <c r="A91" s="40">
        <v>2111.0</v>
      </c>
      <c r="B91" s="40" t="s">
        <v>38</v>
      </c>
      <c r="D91" s="41">
        <v>2107.0</v>
      </c>
      <c r="E91" s="41">
        <v>5.0</v>
      </c>
      <c r="F91" s="41">
        <v>1.0</v>
      </c>
      <c r="G91" s="41" t="s">
        <v>38</v>
      </c>
      <c r="H91" s="41">
        <v>1.04</v>
      </c>
    </row>
    <row r="92" ht="14.25" customHeight="1">
      <c r="A92" s="40">
        <v>2112.0</v>
      </c>
      <c r="B92" s="40" t="s">
        <v>38</v>
      </c>
      <c r="D92" s="41">
        <v>2108.0</v>
      </c>
      <c r="E92" s="41">
        <v>5.0</v>
      </c>
      <c r="F92" s="41">
        <v>1.0</v>
      </c>
      <c r="G92" s="41" t="s">
        <v>38</v>
      </c>
      <c r="H92" s="41">
        <v>1.04</v>
      </c>
    </row>
    <row r="93" ht="14.25" customHeight="1">
      <c r="A93" s="40">
        <v>2113.0</v>
      </c>
      <c r="B93" s="40" t="s">
        <v>38</v>
      </c>
      <c r="D93" s="41">
        <v>2109.0</v>
      </c>
      <c r="E93" s="41">
        <v>5.0</v>
      </c>
      <c r="F93" s="41">
        <v>1.0</v>
      </c>
      <c r="G93" s="41" t="s">
        <v>38</v>
      </c>
      <c r="H93" s="41">
        <v>1.04</v>
      </c>
    </row>
    <row r="94" ht="14.25" customHeight="1">
      <c r="A94" s="40">
        <v>2114.0</v>
      </c>
      <c r="B94" s="40" t="s">
        <v>38</v>
      </c>
      <c r="D94" s="41">
        <v>2110.0</v>
      </c>
      <c r="E94" s="41">
        <v>5.0</v>
      </c>
      <c r="F94" s="41">
        <v>1.0</v>
      </c>
      <c r="G94" s="41" t="s">
        <v>38</v>
      </c>
      <c r="H94" s="41">
        <v>1.04</v>
      </c>
    </row>
    <row r="95" ht="14.25" customHeight="1">
      <c r="A95" s="40">
        <v>2115.0</v>
      </c>
      <c r="B95" s="40" t="s">
        <v>38</v>
      </c>
      <c r="D95" s="41">
        <v>2111.0</v>
      </c>
      <c r="E95" s="41">
        <v>5.0</v>
      </c>
      <c r="F95" s="41">
        <v>1.0</v>
      </c>
      <c r="G95" s="41" t="s">
        <v>38</v>
      </c>
      <c r="H95" s="41">
        <v>1.04</v>
      </c>
    </row>
    <row r="96" ht="14.25" customHeight="1">
      <c r="A96" s="40">
        <v>2116.0</v>
      </c>
      <c r="B96" s="40" t="s">
        <v>38</v>
      </c>
      <c r="D96" s="41">
        <v>2112.0</v>
      </c>
      <c r="E96" s="41">
        <v>5.0</v>
      </c>
      <c r="F96" s="41">
        <v>1.0</v>
      </c>
      <c r="G96" s="41" t="s">
        <v>38</v>
      </c>
      <c r="H96" s="41">
        <v>1.04</v>
      </c>
    </row>
    <row r="97" ht="14.25" customHeight="1">
      <c r="A97" s="40">
        <v>2117.0</v>
      </c>
      <c r="B97" s="40" t="s">
        <v>38</v>
      </c>
      <c r="D97" s="41">
        <v>2113.0</v>
      </c>
      <c r="E97" s="41">
        <v>5.0</v>
      </c>
      <c r="F97" s="41">
        <v>1.0</v>
      </c>
      <c r="G97" s="41" t="s">
        <v>38</v>
      </c>
      <c r="H97" s="41">
        <v>1.04</v>
      </c>
    </row>
    <row r="98" ht="14.25" customHeight="1">
      <c r="A98" s="40">
        <v>2118.0</v>
      </c>
      <c r="B98" s="40" t="s">
        <v>38</v>
      </c>
      <c r="D98" s="41">
        <v>2114.0</v>
      </c>
      <c r="E98" s="41">
        <v>5.0</v>
      </c>
      <c r="F98" s="41">
        <v>1.0</v>
      </c>
      <c r="G98" s="41" t="s">
        <v>38</v>
      </c>
      <c r="H98" s="41">
        <v>1.05</v>
      </c>
    </row>
    <row r="99" ht="14.25" customHeight="1">
      <c r="A99" s="40">
        <v>2119.0</v>
      </c>
      <c r="B99" s="40" t="s">
        <v>38</v>
      </c>
      <c r="D99" s="41">
        <v>2115.0</v>
      </c>
      <c r="E99" s="41">
        <v>5.0</v>
      </c>
      <c r="F99" s="41">
        <v>1.0</v>
      </c>
      <c r="G99" s="41" t="s">
        <v>38</v>
      </c>
      <c r="H99" s="41">
        <v>1.05</v>
      </c>
    </row>
    <row r="100" ht="14.25" customHeight="1">
      <c r="A100" s="40">
        <v>2120.0</v>
      </c>
      <c r="B100" s="40" t="s">
        <v>38</v>
      </c>
      <c r="D100" s="41">
        <v>2116.0</v>
      </c>
      <c r="E100" s="41">
        <v>5.0</v>
      </c>
      <c r="F100" s="41">
        <v>1.0</v>
      </c>
      <c r="G100" s="41" t="s">
        <v>38</v>
      </c>
      <c r="H100" s="41">
        <v>1.05</v>
      </c>
    </row>
    <row r="101" ht="14.25" customHeight="1">
      <c r="A101" s="40">
        <v>2121.0</v>
      </c>
      <c r="B101" s="40" t="s">
        <v>38</v>
      </c>
      <c r="D101" s="41">
        <v>2117.0</v>
      </c>
      <c r="E101" s="41">
        <v>5.0</v>
      </c>
      <c r="F101" s="41" t="s">
        <v>3942</v>
      </c>
      <c r="G101" s="41" t="s">
        <v>38</v>
      </c>
      <c r="H101" s="41">
        <v>1.05</v>
      </c>
    </row>
    <row r="102" ht="14.25" customHeight="1">
      <c r="A102" s="40">
        <v>2122.0</v>
      </c>
      <c r="B102" s="40" t="s">
        <v>38</v>
      </c>
      <c r="D102" s="41">
        <v>2118.0</v>
      </c>
      <c r="E102" s="41">
        <v>5.0</v>
      </c>
      <c r="F102" s="41" t="s">
        <v>3942</v>
      </c>
      <c r="G102" s="41" t="s">
        <v>38</v>
      </c>
      <c r="H102" s="41">
        <v>1.05</v>
      </c>
    </row>
    <row r="103" ht="14.25" customHeight="1">
      <c r="A103" s="40">
        <v>2125.0</v>
      </c>
      <c r="B103" s="40" t="s">
        <v>38</v>
      </c>
      <c r="D103" s="41">
        <v>2119.0</v>
      </c>
      <c r="E103" s="41">
        <v>5.0</v>
      </c>
      <c r="F103" s="41" t="s">
        <v>3942</v>
      </c>
      <c r="G103" s="41" t="s">
        <v>38</v>
      </c>
      <c r="H103" s="41">
        <v>1.05</v>
      </c>
    </row>
    <row r="104" ht="14.25" customHeight="1">
      <c r="A104" s="40">
        <v>2126.0</v>
      </c>
      <c r="B104" s="40" t="s">
        <v>38</v>
      </c>
      <c r="D104" s="41">
        <v>2120.0</v>
      </c>
      <c r="E104" s="41">
        <v>5.0</v>
      </c>
      <c r="F104" s="41" t="s">
        <v>3942</v>
      </c>
      <c r="G104" s="41" t="s">
        <v>38</v>
      </c>
      <c r="H104" s="41">
        <v>1.04</v>
      </c>
    </row>
    <row r="105" ht="14.25" customHeight="1">
      <c r="A105" s="40">
        <v>2127.0</v>
      </c>
      <c r="B105" s="40" t="s">
        <v>38</v>
      </c>
      <c r="D105" s="41">
        <v>2121.0</v>
      </c>
      <c r="E105" s="41">
        <v>5.0</v>
      </c>
      <c r="F105" s="41" t="s">
        <v>3942</v>
      </c>
      <c r="G105" s="41" t="s">
        <v>38</v>
      </c>
      <c r="H105" s="41">
        <v>1.05</v>
      </c>
    </row>
    <row r="106" ht="14.25" customHeight="1">
      <c r="A106" s="40">
        <v>2128.0</v>
      </c>
      <c r="B106" s="40" t="s">
        <v>38</v>
      </c>
      <c r="D106" s="41">
        <v>2122.0</v>
      </c>
      <c r="E106" s="41">
        <v>5.0</v>
      </c>
      <c r="F106" s="41" t="s">
        <v>3942</v>
      </c>
      <c r="G106" s="41" t="s">
        <v>38</v>
      </c>
      <c r="H106" s="41">
        <v>1.05</v>
      </c>
    </row>
    <row r="107" ht="14.25" customHeight="1">
      <c r="A107" s="40">
        <v>2130.0</v>
      </c>
      <c r="B107" s="40" t="s">
        <v>38</v>
      </c>
      <c r="D107" s="41">
        <v>2123.0</v>
      </c>
      <c r="E107" s="41">
        <v>5.0</v>
      </c>
      <c r="F107" s="41" t="s">
        <v>3942</v>
      </c>
      <c r="G107" s="41" t="s">
        <v>38</v>
      </c>
      <c r="H107" s="41">
        <v>1.05</v>
      </c>
    </row>
    <row r="108" ht="14.25" customHeight="1">
      <c r="A108" s="40">
        <v>2131.0</v>
      </c>
      <c r="B108" s="40" t="s">
        <v>38</v>
      </c>
      <c r="D108" s="41">
        <v>2125.0</v>
      </c>
      <c r="E108" s="41">
        <v>5.0</v>
      </c>
      <c r="F108" s="41" t="s">
        <v>3942</v>
      </c>
      <c r="G108" s="41" t="s">
        <v>38</v>
      </c>
      <c r="H108" s="41">
        <v>1.05</v>
      </c>
    </row>
    <row r="109" ht="14.25" customHeight="1">
      <c r="A109" s="40">
        <v>2132.0</v>
      </c>
      <c r="B109" s="40" t="s">
        <v>38</v>
      </c>
      <c r="D109" s="41">
        <v>2126.0</v>
      </c>
      <c r="E109" s="41">
        <v>5.0</v>
      </c>
      <c r="F109" s="41" t="s">
        <v>3942</v>
      </c>
      <c r="G109" s="41" t="s">
        <v>38</v>
      </c>
      <c r="H109" s="41">
        <v>1.04</v>
      </c>
    </row>
    <row r="110" ht="14.25" customHeight="1">
      <c r="A110" s="40">
        <v>2133.0</v>
      </c>
      <c r="B110" s="40" t="s">
        <v>38</v>
      </c>
      <c r="D110" s="41">
        <v>2127.0</v>
      </c>
      <c r="E110" s="41">
        <v>5.0</v>
      </c>
      <c r="F110" s="41">
        <v>1.0</v>
      </c>
      <c r="G110" s="41" t="s">
        <v>38</v>
      </c>
      <c r="H110" s="41">
        <v>1.04</v>
      </c>
    </row>
    <row r="111" ht="14.25" customHeight="1">
      <c r="A111" s="40">
        <v>2134.0</v>
      </c>
      <c r="B111" s="40" t="s">
        <v>38</v>
      </c>
      <c r="D111" s="41">
        <v>2128.0</v>
      </c>
      <c r="E111" s="41">
        <v>5.0</v>
      </c>
      <c r="F111" s="41">
        <v>1.0</v>
      </c>
      <c r="G111" s="41" t="s">
        <v>38</v>
      </c>
      <c r="H111" s="41">
        <v>1.05</v>
      </c>
    </row>
    <row r="112" ht="14.25" customHeight="1">
      <c r="A112" s="40">
        <v>2135.0</v>
      </c>
      <c r="B112" s="40" t="s">
        <v>38</v>
      </c>
      <c r="D112" s="41">
        <v>2130.0</v>
      </c>
      <c r="E112" s="41">
        <v>5.0</v>
      </c>
      <c r="F112" s="41" t="s">
        <v>3942</v>
      </c>
      <c r="G112" s="41" t="s">
        <v>38</v>
      </c>
      <c r="H112" s="41">
        <v>1.04</v>
      </c>
    </row>
    <row r="113" ht="14.25" customHeight="1">
      <c r="A113" s="40">
        <v>2136.0</v>
      </c>
      <c r="B113" s="40" t="s">
        <v>38</v>
      </c>
      <c r="D113" s="41">
        <v>2131.0</v>
      </c>
      <c r="E113" s="41">
        <v>5.0</v>
      </c>
      <c r="F113" s="41" t="s">
        <v>3942</v>
      </c>
      <c r="G113" s="41" t="s">
        <v>38</v>
      </c>
      <c r="H113" s="41">
        <v>1.04</v>
      </c>
    </row>
    <row r="114" ht="14.25" customHeight="1">
      <c r="A114" s="40">
        <v>2137.0</v>
      </c>
      <c r="B114" s="40" t="s">
        <v>38</v>
      </c>
      <c r="D114" s="41">
        <v>2132.0</v>
      </c>
      <c r="E114" s="41">
        <v>5.0</v>
      </c>
      <c r="F114" s="41" t="s">
        <v>3942</v>
      </c>
      <c r="G114" s="41" t="s">
        <v>38</v>
      </c>
      <c r="H114" s="41">
        <v>1.04</v>
      </c>
    </row>
    <row r="115" ht="14.25" customHeight="1">
      <c r="A115" s="40">
        <v>2138.0</v>
      </c>
      <c r="B115" s="40" t="s">
        <v>38</v>
      </c>
      <c r="D115" s="41">
        <v>2133.0</v>
      </c>
      <c r="E115" s="41">
        <v>5.0</v>
      </c>
      <c r="F115" s="41" t="s">
        <v>3942</v>
      </c>
      <c r="G115" s="41" t="s">
        <v>38</v>
      </c>
      <c r="H115" s="41">
        <v>1.04</v>
      </c>
    </row>
    <row r="116" ht="14.25" customHeight="1">
      <c r="A116" s="40">
        <v>2140.0</v>
      </c>
      <c r="B116" s="40" t="s">
        <v>38</v>
      </c>
      <c r="D116" s="41">
        <v>2134.0</v>
      </c>
      <c r="E116" s="41">
        <v>5.0</v>
      </c>
      <c r="F116" s="41" t="s">
        <v>3942</v>
      </c>
      <c r="G116" s="41" t="s">
        <v>38</v>
      </c>
      <c r="H116" s="41">
        <v>1.04</v>
      </c>
    </row>
    <row r="117" ht="14.25" customHeight="1">
      <c r="A117" s="40">
        <v>2141.0</v>
      </c>
      <c r="B117" s="40" t="s">
        <v>38</v>
      </c>
      <c r="D117" s="41">
        <v>2135.0</v>
      </c>
      <c r="E117" s="41">
        <v>5.0</v>
      </c>
      <c r="F117" s="41" t="s">
        <v>3942</v>
      </c>
      <c r="G117" s="41" t="s">
        <v>38</v>
      </c>
      <c r="H117" s="41">
        <v>1.04</v>
      </c>
    </row>
    <row r="118" ht="14.25" customHeight="1">
      <c r="A118" s="40">
        <v>2142.0</v>
      </c>
      <c r="B118" s="40" t="s">
        <v>38</v>
      </c>
      <c r="D118" s="41">
        <v>2136.0</v>
      </c>
      <c r="E118" s="41">
        <v>5.0</v>
      </c>
      <c r="F118" s="41" t="s">
        <v>3942</v>
      </c>
      <c r="G118" s="41" t="s">
        <v>38</v>
      </c>
      <c r="H118" s="41">
        <v>1.04</v>
      </c>
    </row>
    <row r="119" ht="14.25" customHeight="1">
      <c r="A119" s="40">
        <v>2143.0</v>
      </c>
      <c r="B119" s="40" t="s">
        <v>38</v>
      </c>
      <c r="D119" s="41">
        <v>2137.0</v>
      </c>
      <c r="E119" s="41">
        <v>5.0</v>
      </c>
      <c r="F119" s="41" t="s">
        <v>3942</v>
      </c>
      <c r="G119" s="41" t="s">
        <v>38</v>
      </c>
      <c r="H119" s="41">
        <v>1.04</v>
      </c>
    </row>
    <row r="120" ht="14.25" customHeight="1">
      <c r="A120" s="40">
        <v>2144.0</v>
      </c>
      <c r="B120" s="40" t="s">
        <v>38</v>
      </c>
      <c r="D120" s="41">
        <v>2138.0</v>
      </c>
      <c r="E120" s="41">
        <v>5.0</v>
      </c>
      <c r="F120" s="41" t="s">
        <v>3942</v>
      </c>
      <c r="G120" s="41" t="s">
        <v>38</v>
      </c>
      <c r="H120" s="41">
        <v>1.04</v>
      </c>
    </row>
    <row r="121" ht="14.25" customHeight="1">
      <c r="A121" s="40">
        <v>2145.0</v>
      </c>
      <c r="B121" s="40" t="s">
        <v>38</v>
      </c>
      <c r="D121" s="41">
        <v>2139.0</v>
      </c>
      <c r="E121" s="41">
        <v>5.0</v>
      </c>
      <c r="F121" s="41" t="s">
        <v>3942</v>
      </c>
      <c r="G121" s="41" t="s">
        <v>38</v>
      </c>
      <c r="H121" s="41">
        <v>1.04</v>
      </c>
    </row>
    <row r="122" ht="14.25" customHeight="1">
      <c r="A122" s="40">
        <v>2146.0</v>
      </c>
      <c r="B122" s="40" t="s">
        <v>38</v>
      </c>
      <c r="D122" s="41">
        <v>2140.0</v>
      </c>
      <c r="E122" s="41">
        <v>5.0</v>
      </c>
      <c r="F122" s="41" t="s">
        <v>3942</v>
      </c>
      <c r="G122" s="41" t="s">
        <v>38</v>
      </c>
      <c r="H122" s="41">
        <v>1.04</v>
      </c>
    </row>
    <row r="123" ht="14.25" customHeight="1">
      <c r="A123" s="40">
        <v>2147.0</v>
      </c>
      <c r="B123" s="40" t="s">
        <v>38</v>
      </c>
      <c r="D123" s="41">
        <v>2141.0</v>
      </c>
      <c r="E123" s="41">
        <v>5.0</v>
      </c>
      <c r="F123" s="41" t="s">
        <v>3942</v>
      </c>
      <c r="G123" s="41" t="s">
        <v>38</v>
      </c>
      <c r="H123" s="41">
        <v>1.05</v>
      </c>
    </row>
    <row r="124" ht="14.25" customHeight="1">
      <c r="A124" s="40">
        <v>2148.0</v>
      </c>
      <c r="B124" s="40" t="s">
        <v>38</v>
      </c>
      <c r="D124" s="41">
        <v>2142.0</v>
      </c>
      <c r="E124" s="41">
        <v>5.0</v>
      </c>
      <c r="F124" s="41" t="s">
        <v>3942</v>
      </c>
      <c r="G124" s="41" t="s">
        <v>38</v>
      </c>
      <c r="H124" s="41">
        <v>1.05</v>
      </c>
    </row>
    <row r="125" ht="14.25" customHeight="1">
      <c r="A125" s="40">
        <v>2150.0</v>
      </c>
      <c r="B125" s="40" t="s">
        <v>38</v>
      </c>
      <c r="D125" s="41">
        <v>2143.0</v>
      </c>
      <c r="E125" s="41">
        <v>5.0</v>
      </c>
      <c r="F125" s="41" t="s">
        <v>3942</v>
      </c>
      <c r="G125" s="41" t="s">
        <v>38</v>
      </c>
      <c r="H125" s="41">
        <v>1.04</v>
      </c>
    </row>
    <row r="126" ht="14.25" customHeight="1">
      <c r="A126" s="40">
        <v>2151.0</v>
      </c>
      <c r="B126" s="40" t="s">
        <v>38</v>
      </c>
      <c r="D126" s="41">
        <v>2144.0</v>
      </c>
      <c r="E126" s="41">
        <v>5.0</v>
      </c>
      <c r="F126" s="41" t="s">
        <v>3942</v>
      </c>
      <c r="G126" s="41" t="s">
        <v>38</v>
      </c>
      <c r="H126" s="41">
        <v>1.05</v>
      </c>
    </row>
    <row r="127" ht="14.25" customHeight="1">
      <c r="A127" s="40">
        <v>2152.0</v>
      </c>
      <c r="B127" s="40" t="s">
        <v>38</v>
      </c>
      <c r="D127" s="41">
        <v>2145.0</v>
      </c>
      <c r="E127" s="41">
        <v>6.0</v>
      </c>
      <c r="F127" s="41" t="s">
        <v>3942</v>
      </c>
      <c r="G127" s="41" t="s">
        <v>38</v>
      </c>
      <c r="H127" s="41">
        <v>1.05</v>
      </c>
    </row>
    <row r="128" ht="14.25" customHeight="1">
      <c r="A128" s="40">
        <v>2153.0</v>
      </c>
      <c r="B128" s="40" t="s">
        <v>38</v>
      </c>
      <c r="D128" s="41">
        <v>2146.0</v>
      </c>
      <c r="E128" s="41">
        <v>6.0</v>
      </c>
      <c r="F128" s="41" t="s">
        <v>3942</v>
      </c>
      <c r="G128" s="41" t="s">
        <v>38</v>
      </c>
      <c r="H128" s="41">
        <v>1.05</v>
      </c>
    </row>
    <row r="129" ht="14.25" customHeight="1">
      <c r="A129" s="40">
        <v>2154.0</v>
      </c>
      <c r="B129" s="40" t="s">
        <v>38</v>
      </c>
      <c r="D129" s="41">
        <v>2147.0</v>
      </c>
      <c r="E129" s="41">
        <v>6.0</v>
      </c>
      <c r="F129" s="41" t="s">
        <v>3942</v>
      </c>
      <c r="G129" s="41" t="s">
        <v>38</v>
      </c>
      <c r="H129" s="41">
        <v>1.05</v>
      </c>
    </row>
    <row r="130" ht="14.25" customHeight="1">
      <c r="A130" s="40">
        <v>2155.0</v>
      </c>
      <c r="B130" s="40" t="s">
        <v>38</v>
      </c>
      <c r="D130" s="41">
        <v>2148.0</v>
      </c>
      <c r="E130" s="41">
        <v>6.0</v>
      </c>
      <c r="F130" s="41" t="s">
        <v>3942</v>
      </c>
      <c r="G130" s="41" t="s">
        <v>38</v>
      </c>
      <c r="H130" s="41">
        <v>1.05</v>
      </c>
    </row>
    <row r="131" ht="14.25" customHeight="1">
      <c r="A131" s="40">
        <v>2156.0</v>
      </c>
      <c r="B131" s="40" t="s">
        <v>38</v>
      </c>
      <c r="D131" s="41">
        <v>2150.0</v>
      </c>
      <c r="E131" s="41">
        <v>5.0</v>
      </c>
      <c r="F131" s="41" t="s">
        <v>3942</v>
      </c>
      <c r="G131" s="41" t="s">
        <v>38</v>
      </c>
      <c r="H131" s="41">
        <v>1.05</v>
      </c>
    </row>
    <row r="132" ht="14.25" customHeight="1">
      <c r="A132" s="40">
        <v>2157.0</v>
      </c>
      <c r="B132" s="40" t="s">
        <v>38</v>
      </c>
      <c r="D132" s="41">
        <v>2151.0</v>
      </c>
      <c r="E132" s="41">
        <v>5.0</v>
      </c>
      <c r="F132" s="41" t="s">
        <v>3942</v>
      </c>
      <c r="G132" s="41" t="s">
        <v>38</v>
      </c>
      <c r="H132" s="41">
        <v>1.05</v>
      </c>
    </row>
    <row r="133" ht="14.25" customHeight="1">
      <c r="A133" s="40">
        <v>2158.0</v>
      </c>
      <c r="B133" s="40" t="s">
        <v>38</v>
      </c>
      <c r="D133" s="41">
        <v>2152.0</v>
      </c>
      <c r="E133" s="41">
        <v>5.0</v>
      </c>
      <c r="F133" s="41" t="s">
        <v>3942</v>
      </c>
      <c r="G133" s="41" t="s">
        <v>38</v>
      </c>
      <c r="H133" s="41">
        <v>1.05</v>
      </c>
    </row>
    <row r="134" ht="14.25" customHeight="1">
      <c r="A134" s="40">
        <v>2159.0</v>
      </c>
      <c r="B134" s="40" t="s">
        <v>38</v>
      </c>
      <c r="D134" s="41">
        <v>2153.0</v>
      </c>
      <c r="E134" s="41">
        <v>5.0</v>
      </c>
      <c r="F134" s="41" t="s">
        <v>3942</v>
      </c>
      <c r="G134" s="41" t="s">
        <v>38</v>
      </c>
      <c r="H134" s="41">
        <v>1.05</v>
      </c>
    </row>
    <row r="135" ht="14.25" customHeight="1">
      <c r="A135" s="40">
        <v>2160.0</v>
      </c>
      <c r="B135" s="40" t="s">
        <v>38</v>
      </c>
      <c r="D135" s="41">
        <v>2154.0</v>
      </c>
      <c r="E135" s="41">
        <v>5.0</v>
      </c>
      <c r="F135" s="41" t="s">
        <v>3942</v>
      </c>
      <c r="G135" s="41" t="s">
        <v>38</v>
      </c>
      <c r="H135" s="41">
        <v>1.04</v>
      </c>
    </row>
    <row r="136" ht="14.25" customHeight="1">
      <c r="A136" s="40">
        <v>2161.0</v>
      </c>
      <c r="B136" s="40" t="s">
        <v>38</v>
      </c>
      <c r="D136" s="41">
        <v>2155.0</v>
      </c>
      <c r="E136" s="41">
        <v>6.0</v>
      </c>
      <c r="F136" s="41" t="s">
        <v>3942</v>
      </c>
      <c r="G136" s="41" t="s">
        <v>38</v>
      </c>
      <c r="H136" s="41">
        <v>1.05</v>
      </c>
    </row>
    <row r="137" ht="14.25" customHeight="1">
      <c r="A137" s="40">
        <v>2162.0</v>
      </c>
      <c r="B137" s="40" t="s">
        <v>38</v>
      </c>
      <c r="D137" s="41">
        <v>2156.0</v>
      </c>
      <c r="E137" s="41">
        <v>6.0</v>
      </c>
      <c r="F137" s="41" t="s">
        <v>3942</v>
      </c>
      <c r="G137" s="41" t="s">
        <v>38</v>
      </c>
      <c r="H137" s="41">
        <v>1.04</v>
      </c>
    </row>
    <row r="138" ht="14.25" customHeight="1">
      <c r="A138" s="40">
        <v>2163.0</v>
      </c>
      <c r="B138" s="40" t="s">
        <v>38</v>
      </c>
      <c r="D138" s="41">
        <v>2157.0</v>
      </c>
      <c r="E138" s="41">
        <v>6.0</v>
      </c>
      <c r="F138" s="41" t="s">
        <v>3942</v>
      </c>
      <c r="G138" s="41" t="s">
        <v>38</v>
      </c>
      <c r="H138" s="41">
        <v>1.04</v>
      </c>
    </row>
    <row r="139" ht="14.25" customHeight="1">
      <c r="A139" s="40">
        <v>2164.0</v>
      </c>
      <c r="B139" s="40" t="s">
        <v>38</v>
      </c>
      <c r="D139" s="41">
        <v>2158.0</v>
      </c>
      <c r="E139" s="41">
        <v>6.0</v>
      </c>
      <c r="F139" s="41" t="s">
        <v>3942</v>
      </c>
      <c r="G139" s="41" t="s">
        <v>38</v>
      </c>
      <c r="H139" s="41">
        <v>1.04</v>
      </c>
    </row>
    <row r="140" ht="14.25" customHeight="1">
      <c r="A140" s="40">
        <v>2165.0</v>
      </c>
      <c r="B140" s="40" t="s">
        <v>38</v>
      </c>
      <c r="D140" s="41">
        <v>2159.0</v>
      </c>
      <c r="E140" s="41">
        <v>6.0</v>
      </c>
      <c r="F140" s="41" t="s">
        <v>3942</v>
      </c>
      <c r="G140" s="41" t="s">
        <v>38</v>
      </c>
      <c r="H140" s="41">
        <v>1.04</v>
      </c>
    </row>
    <row r="141" ht="14.25" customHeight="1">
      <c r="A141" s="40">
        <v>2166.0</v>
      </c>
      <c r="B141" s="40" t="s">
        <v>38</v>
      </c>
      <c r="D141" s="41">
        <v>2160.0</v>
      </c>
      <c r="E141" s="41">
        <v>5.0</v>
      </c>
      <c r="F141" s="41" t="s">
        <v>3942</v>
      </c>
      <c r="G141" s="41" t="s">
        <v>38</v>
      </c>
      <c r="H141" s="41">
        <v>1.05</v>
      </c>
    </row>
    <row r="142" ht="14.25" customHeight="1">
      <c r="A142" s="40">
        <v>2167.0</v>
      </c>
      <c r="B142" s="40" t="s">
        <v>38</v>
      </c>
      <c r="D142" s="41">
        <v>2161.0</v>
      </c>
      <c r="E142" s="41">
        <v>5.0</v>
      </c>
      <c r="F142" s="41" t="s">
        <v>3942</v>
      </c>
      <c r="G142" s="41" t="s">
        <v>38</v>
      </c>
      <c r="H142" s="41">
        <v>1.04</v>
      </c>
    </row>
    <row r="143" ht="14.25" customHeight="1">
      <c r="A143" s="40">
        <v>2168.0</v>
      </c>
      <c r="B143" s="40" t="s">
        <v>38</v>
      </c>
      <c r="D143" s="41">
        <v>2162.0</v>
      </c>
      <c r="E143" s="41">
        <v>5.0</v>
      </c>
      <c r="F143" s="41" t="s">
        <v>3942</v>
      </c>
      <c r="G143" s="41" t="s">
        <v>38</v>
      </c>
      <c r="H143" s="41">
        <v>1.04</v>
      </c>
    </row>
    <row r="144" ht="14.25" customHeight="1">
      <c r="A144" s="40">
        <v>2170.0</v>
      </c>
      <c r="B144" s="40" t="s">
        <v>38</v>
      </c>
      <c r="D144" s="41">
        <v>2163.0</v>
      </c>
      <c r="E144" s="41">
        <v>5.0</v>
      </c>
      <c r="F144" s="41" t="s">
        <v>3942</v>
      </c>
      <c r="G144" s="41" t="s">
        <v>38</v>
      </c>
      <c r="H144" s="41">
        <v>1.04</v>
      </c>
    </row>
    <row r="145" ht="14.25" customHeight="1">
      <c r="A145" s="40">
        <v>2171.0</v>
      </c>
      <c r="B145" s="40" t="s">
        <v>38</v>
      </c>
      <c r="D145" s="41">
        <v>2164.0</v>
      </c>
      <c r="E145" s="41">
        <v>6.0</v>
      </c>
      <c r="F145" s="41" t="s">
        <v>3942</v>
      </c>
      <c r="G145" s="41" t="s">
        <v>38</v>
      </c>
      <c r="H145" s="41">
        <v>1.04</v>
      </c>
    </row>
    <row r="146" ht="14.25" customHeight="1">
      <c r="A146" s="40">
        <v>2172.0</v>
      </c>
      <c r="B146" s="40" t="s">
        <v>38</v>
      </c>
      <c r="D146" s="41">
        <v>2165.0</v>
      </c>
      <c r="E146" s="41">
        <v>6.0</v>
      </c>
      <c r="F146" s="41" t="s">
        <v>3942</v>
      </c>
      <c r="G146" s="41" t="s">
        <v>38</v>
      </c>
      <c r="H146" s="41">
        <v>1.04</v>
      </c>
    </row>
    <row r="147" ht="14.25" customHeight="1">
      <c r="A147" s="40">
        <v>2173.0</v>
      </c>
      <c r="B147" s="40" t="s">
        <v>38</v>
      </c>
      <c r="D147" s="41">
        <v>2166.0</v>
      </c>
      <c r="E147" s="41">
        <v>6.0</v>
      </c>
      <c r="F147" s="41" t="s">
        <v>3942</v>
      </c>
      <c r="G147" s="41" t="s">
        <v>38</v>
      </c>
      <c r="H147" s="41">
        <v>1.05</v>
      </c>
    </row>
    <row r="148" ht="14.25" customHeight="1">
      <c r="A148" s="40">
        <v>2174.0</v>
      </c>
      <c r="B148" s="40" t="s">
        <v>38</v>
      </c>
      <c r="D148" s="41">
        <v>2167.0</v>
      </c>
      <c r="E148" s="41">
        <v>6.0</v>
      </c>
      <c r="F148" s="41" t="s">
        <v>3942</v>
      </c>
      <c r="G148" s="41" t="s">
        <v>38</v>
      </c>
      <c r="H148" s="41">
        <v>1.05</v>
      </c>
    </row>
    <row r="149" ht="14.25" customHeight="1">
      <c r="A149" s="40">
        <v>2175.0</v>
      </c>
      <c r="B149" s="40" t="s">
        <v>38</v>
      </c>
      <c r="D149" s="41">
        <v>2168.0</v>
      </c>
      <c r="E149" s="41">
        <v>6.0</v>
      </c>
      <c r="F149" s="41" t="s">
        <v>3942</v>
      </c>
      <c r="G149" s="41" t="s">
        <v>38</v>
      </c>
      <c r="H149" s="41">
        <v>1.05</v>
      </c>
    </row>
    <row r="150" ht="14.25" customHeight="1">
      <c r="A150" s="40">
        <v>2176.0</v>
      </c>
      <c r="B150" s="40" t="s">
        <v>38</v>
      </c>
      <c r="D150" s="41">
        <v>2170.0</v>
      </c>
      <c r="E150" s="41">
        <v>6.0</v>
      </c>
      <c r="F150" s="41" t="s">
        <v>3942</v>
      </c>
      <c r="G150" s="41" t="s">
        <v>38</v>
      </c>
      <c r="H150" s="41">
        <v>1.05</v>
      </c>
    </row>
    <row r="151" ht="14.25" customHeight="1">
      <c r="A151" s="40">
        <v>2177.0</v>
      </c>
      <c r="B151" s="40" t="s">
        <v>38</v>
      </c>
      <c r="D151" s="41">
        <v>2171.0</v>
      </c>
      <c r="E151" s="41">
        <v>6.0</v>
      </c>
      <c r="F151" s="41" t="s">
        <v>3942</v>
      </c>
      <c r="G151" s="41" t="s">
        <v>38</v>
      </c>
      <c r="H151" s="41">
        <v>1.05</v>
      </c>
    </row>
    <row r="152" ht="14.25" customHeight="1">
      <c r="A152" s="40">
        <v>2178.0</v>
      </c>
      <c r="B152" s="40" t="s">
        <v>38</v>
      </c>
      <c r="D152" s="41">
        <v>2172.0</v>
      </c>
      <c r="E152" s="41">
        <v>6.0</v>
      </c>
      <c r="F152" s="41">
        <v>1.0</v>
      </c>
      <c r="G152" s="41" t="s">
        <v>38</v>
      </c>
      <c r="H152" s="41">
        <v>1.05</v>
      </c>
    </row>
    <row r="153" ht="14.25" customHeight="1">
      <c r="A153" s="40">
        <v>2179.0</v>
      </c>
      <c r="B153" s="40" t="s">
        <v>38</v>
      </c>
      <c r="D153" s="41">
        <v>2173.0</v>
      </c>
      <c r="E153" s="41">
        <v>6.0</v>
      </c>
      <c r="F153" s="41" t="s">
        <v>3942</v>
      </c>
      <c r="G153" s="41" t="s">
        <v>38</v>
      </c>
      <c r="H153" s="41">
        <v>1.05</v>
      </c>
    </row>
    <row r="154" ht="14.25" customHeight="1">
      <c r="A154" s="40">
        <v>2190.0</v>
      </c>
      <c r="B154" s="40" t="s">
        <v>38</v>
      </c>
      <c r="D154" s="41">
        <v>2174.0</v>
      </c>
      <c r="E154" s="41">
        <v>6.0</v>
      </c>
      <c r="F154" s="41" t="s">
        <v>3942</v>
      </c>
      <c r="G154" s="41" t="s">
        <v>38</v>
      </c>
      <c r="H154" s="41">
        <v>1.05</v>
      </c>
    </row>
    <row r="155" ht="14.25" customHeight="1">
      <c r="A155" s="40">
        <v>2191.0</v>
      </c>
      <c r="B155" s="40" t="s">
        <v>38</v>
      </c>
      <c r="D155" s="41">
        <v>2175.0</v>
      </c>
      <c r="E155" s="41">
        <v>6.0</v>
      </c>
      <c r="F155" s="41">
        <v>1.0</v>
      </c>
      <c r="G155" s="41" t="s">
        <v>38</v>
      </c>
      <c r="H155" s="41">
        <v>1.05</v>
      </c>
    </row>
    <row r="156" ht="14.25" customHeight="1">
      <c r="A156" s="40">
        <v>2192.0</v>
      </c>
      <c r="B156" s="40" t="s">
        <v>38</v>
      </c>
      <c r="D156" s="41">
        <v>2176.0</v>
      </c>
      <c r="E156" s="41">
        <v>6.0</v>
      </c>
      <c r="F156" s="41" t="s">
        <v>3942</v>
      </c>
      <c r="G156" s="41" t="s">
        <v>38</v>
      </c>
      <c r="H156" s="41">
        <v>1.05</v>
      </c>
    </row>
    <row r="157" ht="14.25" customHeight="1">
      <c r="A157" s="40">
        <v>2193.0</v>
      </c>
      <c r="B157" s="40" t="s">
        <v>38</v>
      </c>
      <c r="D157" s="41">
        <v>2177.0</v>
      </c>
      <c r="E157" s="41">
        <v>6.0</v>
      </c>
      <c r="F157" s="41" t="s">
        <v>3942</v>
      </c>
      <c r="G157" s="41" t="s">
        <v>38</v>
      </c>
      <c r="H157" s="41">
        <v>1.05</v>
      </c>
    </row>
    <row r="158" ht="14.25" customHeight="1">
      <c r="A158" s="40">
        <v>2194.0</v>
      </c>
      <c r="B158" s="40" t="s">
        <v>38</v>
      </c>
      <c r="D158" s="41">
        <v>2178.0</v>
      </c>
      <c r="E158" s="41">
        <v>6.0</v>
      </c>
      <c r="F158" s="41">
        <v>1.0</v>
      </c>
      <c r="G158" s="41" t="s">
        <v>38</v>
      </c>
      <c r="H158" s="41">
        <v>1.05</v>
      </c>
    </row>
    <row r="159" ht="14.25" customHeight="1">
      <c r="A159" s="40">
        <v>2195.0</v>
      </c>
      <c r="B159" s="40" t="s">
        <v>38</v>
      </c>
      <c r="D159" s="41">
        <v>2179.0</v>
      </c>
      <c r="E159" s="41">
        <v>6.0</v>
      </c>
      <c r="F159" s="41">
        <v>1.0</v>
      </c>
      <c r="G159" s="41" t="s">
        <v>38</v>
      </c>
      <c r="H159" s="41">
        <v>1.05</v>
      </c>
    </row>
    <row r="160" ht="14.25" customHeight="1">
      <c r="A160" s="40">
        <v>2196.0</v>
      </c>
      <c r="B160" s="40" t="s">
        <v>38</v>
      </c>
      <c r="D160" s="41">
        <v>2190.0</v>
      </c>
      <c r="E160" s="41">
        <v>5.0</v>
      </c>
      <c r="F160" s="41" t="s">
        <v>3942</v>
      </c>
      <c r="G160" s="41" t="s">
        <v>38</v>
      </c>
      <c r="H160" s="41">
        <v>1.04</v>
      </c>
    </row>
    <row r="161" ht="14.25" customHeight="1">
      <c r="A161" s="40">
        <v>2197.0</v>
      </c>
      <c r="B161" s="40" t="s">
        <v>38</v>
      </c>
      <c r="D161" s="41">
        <v>2191.0</v>
      </c>
      <c r="E161" s="41">
        <v>5.0</v>
      </c>
      <c r="F161" s="41" t="s">
        <v>3942</v>
      </c>
      <c r="G161" s="41" t="s">
        <v>38</v>
      </c>
      <c r="H161" s="41">
        <v>1.04</v>
      </c>
    </row>
    <row r="162" ht="14.25" customHeight="1">
      <c r="A162" s="40">
        <v>2198.0</v>
      </c>
      <c r="B162" s="40" t="s">
        <v>38</v>
      </c>
      <c r="D162" s="41">
        <v>2192.0</v>
      </c>
      <c r="E162" s="41">
        <v>5.0</v>
      </c>
      <c r="F162" s="41" t="s">
        <v>3942</v>
      </c>
      <c r="G162" s="41" t="s">
        <v>38</v>
      </c>
      <c r="H162" s="41">
        <v>1.04</v>
      </c>
    </row>
    <row r="163" ht="14.25" customHeight="1">
      <c r="A163" s="40">
        <v>2199.0</v>
      </c>
      <c r="B163" s="40" t="s">
        <v>38</v>
      </c>
      <c r="D163" s="41">
        <v>2193.0</v>
      </c>
      <c r="E163" s="41">
        <v>5.0</v>
      </c>
      <c r="F163" s="41" t="s">
        <v>3942</v>
      </c>
      <c r="G163" s="41" t="s">
        <v>38</v>
      </c>
      <c r="H163" s="41">
        <v>1.04</v>
      </c>
    </row>
    <row r="164" ht="14.25" customHeight="1">
      <c r="A164" s="40">
        <v>2200.0</v>
      </c>
      <c r="B164" s="40" t="s">
        <v>38</v>
      </c>
      <c r="D164" s="41">
        <v>2194.0</v>
      </c>
      <c r="E164" s="41">
        <v>5.0</v>
      </c>
      <c r="F164" s="41" t="s">
        <v>3942</v>
      </c>
      <c r="G164" s="41" t="s">
        <v>38</v>
      </c>
      <c r="H164" s="41">
        <v>1.04</v>
      </c>
    </row>
    <row r="165" ht="14.25" customHeight="1">
      <c r="A165" s="40">
        <v>2203.0</v>
      </c>
      <c r="B165" s="40" t="s">
        <v>38</v>
      </c>
      <c r="D165" s="41">
        <v>2195.0</v>
      </c>
      <c r="E165" s="41">
        <v>5.0</v>
      </c>
      <c r="F165" s="41" t="s">
        <v>3942</v>
      </c>
      <c r="G165" s="41" t="s">
        <v>38</v>
      </c>
      <c r="H165" s="41">
        <v>1.04</v>
      </c>
    </row>
    <row r="166" ht="14.25" customHeight="1">
      <c r="A166" s="40">
        <v>2204.0</v>
      </c>
      <c r="B166" s="40" t="s">
        <v>38</v>
      </c>
      <c r="D166" s="41">
        <v>2196.0</v>
      </c>
      <c r="E166" s="41">
        <v>5.0</v>
      </c>
      <c r="F166" s="41" t="s">
        <v>3942</v>
      </c>
      <c r="G166" s="41" t="s">
        <v>38</v>
      </c>
      <c r="H166" s="41">
        <v>1.04</v>
      </c>
    </row>
    <row r="167" ht="14.25" customHeight="1">
      <c r="A167" s="40">
        <v>2205.0</v>
      </c>
      <c r="B167" s="40" t="s">
        <v>38</v>
      </c>
      <c r="D167" s="41">
        <v>2197.0</v>
      </c>
      <c r="E167" s="41">
        <v>5.0</v>
      </c>
      <c r="F167" s="41" t="s">
        <v>3942</v>
      </c>
      <c r="G167" s="41" t="s">
        <v>38</v>
      </c>
      <c r="H167" s="41">
        <v>1.04</v>
      </c>
    </row>
    <row r="168" ht="14.25" customHeight="1">
      <c r="A168" s="40">
        <v>2206.0</v>
      </c>
      <c r="B168" s="40" t="s">
        <v>38</v>
      </c>
      <c r="D168" s="41">
        <v>2198.0</v>
      </c>
      <c r="E168" s="41">
        <v>5.0</v>
      </c>
      <c r="F168" s="41" t="s">
        <v>3942</v>
      </c>
      <c r="G168" s="41" t="s">
        <v>38</v>
      </c>
      <c r="H168" s="41">
        <v>1.04</v>
      </c>
    </row>
    <row r="169" ht="14.25" customHeight="1">
      <c r="A169" s="40">
        <v>2207.0</v>
      </c>
      <c r="B169" s="40" t="s">
        <v>38</v>
      </c>
      <c r="D169" s="41">
        <v>2199.0</v>
      </c>
      <c r="E169" s="41">
        <v>5.0</v>
      </c>
      <c r="F169" s="41" t="s">
        <v>3942</v>
      </c>
      <c r="G169" s="41" t="s">
        <v>38</v>
      </c>
      <c r="H169" s="41">
        <v>1.04</v>
      </c>
    </row>
    <row r="170" ht="14.25" customHeight="1">
      <c r="A170" s="40">
        <v>2208.0</v>
      </c>
      <c r="B170" s="40" t="s">
        <v>38</v>
      </c>
      <c r="D170" s="41">
        <v>2200.0</v>
      </c>
      <c r="E170" s="41">
        <v>5.0</v>
      </c>
      <c r="F170" s="41" t="s">
        <v>3942</v>
      </c>
      <c r="G170" s="41" t="s">
        <v>38</v>
      </c>
      <c r="H170" s="41">
        <v>1.04</v>
      </c>
    </row>
    <row r="171" ht="14.25" customHeight="1">
      <c r="A171" s="40">
        <v>2209.0</v>
      </c>
      <c r="B171" s="40" t="s">
        <v>38</v>
      </c>
      <c r="D171" s="41">
        <v>2203.0</v>
      </c>
      <c r="E171" s="41">
        <v>5.0</v>
      </c>
      <c r="F171" s="41" t="s">
        <v>3942</v>
      </c>
      <c r="G171" s="41" t="s">
        <v>38</v>
      </c>
      <c r="H171" s="41">
        <v>1.04</v>
      </c>
    </row>
    <row r="172" ht="14.25" customHeight="1">
      <c r="A172" s="40">
        <v>2210.0</v>
      </c>
      <c r="B172" s="40" t="s">
        <v>38</v>
      </c>
      <c r="D172" s="41">
        <v>2204.0</v>
      </c>
      <c r="E172" s="41">
        <v>5.0</v>
      </c>
      <c r="F172" s="41" t="s">
        <v>3942</v>
      </c>
      <c r="G172" s="41" t="s">
        <v>38</v>
      </c>
      <c r="H172" s="41">
        <v>1.04</v>
      </c>
    </row>
    <row r="173" ht="14.25" customHeight="1">
      <c r="A173" s="40">
        <v>2211.0</v>
      </c>
      <c r="B173" s="40" t="s">
        <v>38</v>
      </c>
      <c r="D173" s="41">
        <v>2205.0</v>
      </c>
      <c r="E173" s="41">
        <v>5.0</v>
      </c>
      <c r="F173" s="41" t="s">
        <v>3942</v>
      </c>
      <c r="G173" s="41" t="s">
        <v>38</v>
      </c>
      <c r="H173" s="41">
        <v>1.04</v>
      </c>
    </row>
    <row r="174" ht="14.25" customHeight="1">
      <c r="A174" s="40">
        <v>2212.0</v>
      </c>
      <c r="B174" s="40" t="s">
        <v>38</v>
      </c>
      <c r="D174" s="41">
        <v>2206.0</v>
      </c>
      <c r="E174" s="41">
        <v>5.0</v>
      </c>
      <c r="F174" s="41" t="s">
        <v>3942</v>
      </c>
      <c r="G174" s="41" t="s">
        <v>38</v>
      </c>
      <c r="H174" s="41">
        <v>1.04</v>
      </c>
    </row>
    <row r="175" ht="14.25" customHeight="1">
      <c r="A175" s="40">
        <v>2213.0</v>
      </c>
      <c r="B175" s="40" t="s">
        <v>38</v>
      </c>
      <c r="D175" s="41">
        <v>2207.0</v>
      </c>
      <c r="E175" s="41">
        <v>5.0</v>
      </c>
      <c r="F175" s="41" t="s">
        <v>3942</v>
      </c>
      <c r="G175" s="41" t="s">
        <v>38</v>
      </c>
      <c r="H175" s="41">
        <v>1.04</v>
      </c>
    </row>
    <row r="176" ht="14.25" customHeight="1">
      <c r="A176" s="40">
        <v>2214.0</v>
      </c>
      <c r="B176" s="40" t="s">
        <v>38</v>
      </c>
      <c r="D176" s="41">
        <v>2208.0</v>
      </c>
      <c r="E176" s="41">
        <v>5.0</v>
      </c>
      <c r="F176" s="41" t="s">
        <v>3942</v>
      </c>
      <c r="G176" s="41" t="s">
        <v>38</v>
      </c>
      <c r="H176" s="41">
        <v>1.04</v>
      </c>
    </row>
    <row r="177" ht="14.25" customHeight="1">
      <c r="A177" s="40">
        <v>2216.0</v>
      </c>
      <c r="B177" s="40" t="s">
        <v>38</v>
      </c>
      <c r="D177" s="41">
        <v>2209.0</v>
      </c>
      <c r="E177" s="41">
        <v>5.0</v>
      </c>
      <c r="F177" s="41" t="s">
        <v>3942</v>
      </c>
      <c r="G177" s="41" t="s">
        <v>38</v>
      </c>
      <c r="H177" s="41">
        <v>1.04</v>
      </c>
    </row>
    <row r="178" ht="14.25" customHeight="1">
      <c r="A178" s="40">
        <v>2217.0</v>
      </c>
      <c r="B178" s="40" t="s">
        <v>38</v>
      </c>
      <c r="D178" s="41">
        <v>2210.0</v>
      </c>
      <c r="E178" s="41">
        <v>5.0</v>
      </c>
      <c r="F178" s="41" t="s">
        <v>3942</v>
      </c>
      <c r="G178" s="41" t="s">
        <v>38</v>
      </c>
      <c r="H178" s="41">
        <v>1.04</v>
      </c>
    </row>
    <row r="179" ht="14.25" customHeight="1">
      <c r="A179" s="40">
        <v>2218.0</v>
      </c>
      <c r="B179" s="40" t="s">
        <v>38</v>
      </c>
      <c r="D179" s="41">
        <v>2211.0</v>
      </c>
      <c r="E179" s="41">
        <v>5.0</v>
      </c>
      <c r="F179" s="41" t="s">
        <v>3942</v>
      </c>
      <c r="G179" s="41" t="s">
        <v>38</v>
      </c>
      <c r="H179" s="41">
        <v>1.04</v>
      </c>
    </row>
    <row r="180" ht="14.25" customHeight="1">
      <c r="A180" s="40">
        <v>2219.0</v>
      </c>
      <c r="B180" s="40" t="s">
        <v>38</v>
      </c>
      <c r="D180" s="41">
        <v>2212.0</v>
      </c>
      <c r="E180" s="41">
        <v>5.0</v>
      </c>
      <c r="F180" s="41" t="s">
        <v>3942</v>
      </c>
      <c r="G180" s="41" t="s">
        <v>38</v>
      </c>
      <c r="H180" s="41">
        <v>1.04</v>
      </c>
    </row>
    <row r="181" ht="14.25" customHeight="1">
      <c r="A181" s="40">
        <v>2220.0</v>
      </c>
      <c r="B181" s="40" t="s">
        <v>38</v>
      </c>
      <c r="D181" s="41">
        <v>2213.0</v>
      </c>
      <c r="E181" s="41">
        <v>5.0</v>
      </c>
      <c r="F181" s="41" t="s">
        <v>3942</v>
      </c>
      <c r="G181" s="41" t="s">
        <v>38</v>
      </c>
      <c r="H181" s="41">
        <v>1.04</v>
      </c>
    </row>
    <row r="182" ht="14.25" customHeight="1">
      <c r="A182" s="40">
        <v>2221.0</v>
      </c>
      <c r="B182" s="40" t="s">
        <v>38</v>
      </c>
      <c r="D182" s="41">
        <v>2214.0</v>
      </c>
      <c r="E182" s="41">
        <v>5.0</v>
      </c>
      <c r="F182" s="41" t="s">
        <v>3942</v>
      </c>
      <c r="G182" s="41" t="s">
        <v>38</v>
      </c>
      <c r="H182" s="41">
        <v>1.04</v>
      </c>
    </row>
    <row r="183" ht="14.25" customHeight="1">
      <c r="A183" s="40">
        <v>2222.0</v>
      </c>
      <c r="B183" s="40" t="s">
        <v>38</v>
      </c>
      <c r="D183" s="41">
        <v>2216.0</v>
      </c>
      <c r="E183" s="41">
        <v>5.0</v>
      </c>
      <c r="F183" s="41" t="s">
        <v>3942</v>
      </c>
      <c r="G183" s="41" t="s">
        <v>38</v>
      </c>
      <c r="H183" s="41">
        <v>1.04</v>
      </c>
    </row>
    <row r="184" ht="14.25" customHeight="1">
      <c r="A184" s="40">
        <v>2223.0</v>
      </c>
      <c r="B184" s="40" t="s">
        <v>38</v>
      </c>
      <c r="D184" s="41">
        <v>2217.0</v>
      </c>
      <c r="E184" s="41">
        <v>5.0</v>
      </c>
      <c r="F184" s="41" t="s">
        <v>3942</v>
      </c>
      <c r="G184" s="41" t="s">
        <v>38</v>
      </c>
      <c r="H184" s="41">
        <v>1.04</v>
      </c>
    </row>
    <row r="185" ht="14.25" customHeight="1">
      <c r="A185" s="40">
        <v>2224.0</v>
      </c>
      <c r="B185" s="40" t="s">
        <v>38</v>
      </c>
      <c r="D185" s="41">
        <v>2218.0</v>
      </c>
      <c r="E185" s="41">
        <v>5.0</v>
      </c>
      <c r="F185" s="41" t="s">
        <v>3942</v>
      </c>
      <c r="G185" s="41" t="s">
        <v>38</v>
      </c>
      <c r="H185" s="41">
        <v>1.04</v>
      </c>
    </row>
    <row r="186" ht="14.25" customHeight="1">
      <c r="A186" s="40">
        <v>2225.0</v>
      </c>
      <c r="B186" s="40" t="s">
        <v>38</v>
      </c>
      <c r="D186" s="41">
        <v>2219.0</v>
      </c>
      <c r="E186" s="41">
        <v>5.0</v>
      </c>
      <c r="F186" s="41" t="s">
        <v>3942</v>
      </c>
      <c r="G186" s="41" t="s">
        <v>38</v>
      </c>
      <c r="H186" s="41">
        <v>1.04</v>
      </c>
    </row>
    <row r="187" ht="14.25" customHeight="1">
      <c r="A187" s="40">
        <v>2226.0</v>
      </c>
      <c r="B187" s="40" t="s">
        <v>38</v>
      </c>
      <c r="D187" s="41">
        <v>2220.0</v>
      </c>
      <c r="E187" s="41">
        <v>5.0</v>
      </c>
      <c r="F187" s="41" t="s">
        <v>3942</v>
      </c>
      <c r="G187" s="41" t="s">
        <v>38</v>
      </c>
      <c r="H187" s="41">
        <v>1.04</v>
      </c>
    </row>
    <row r="188" ht="14.25" customHeight="1">
      <c r="A188" s="40">
        <v>2227.0</v>
      </c>
      <c r="B188" s="40" t="s">
        <v>38</v>
      </c>
      <c r="D188" s="41">
        <v>2221.0</v>
      </c>
      <c r="E188" s="41">
        <v>5.0</v>
      </c>
      <c r="F188" s="41" t="s">
        <v>3942</v>
      </c>
      <c r="G188" s="41" t="s">
        <v>38</v>
      </c>
      <c r="H188" s="41">
        <v>1.04</v>
      </c>
    </row>
    <row r="189" ht="14.25" customHeight="1">
      <c r="A189" s="40">
        <v>2228.0</v>
      </c>
      <c r="B189" s="40" t="s">
        <v>38</v>
      </c>
      <c r="D189" s="41">
        <v>2222.0</v>
      </c>
      <c r="E189" s="41">
        <v>5.0</v>
      </c>
      <c r="F189" s="41" t="s">
        <v>3942</v>
      </c>
      <c r="G189" s="41" t="s">
        <v>38</v>
      </c>
      <c r="H189" s="41">
        <v>1.04</v>
      </c>
    </row>
    <row r="190" ht="14.25" customHeight="1">
      <c r="A190" s="40">
        <v>2229.0</v>
      </c>
      <c r="B190" s="40" t="s">
        <v>38</v>
      </c>
      <c r="D190" s="41">
        <v>2223.0</v>
      </c>
      <c r="E190" s="41">
        <v>5.0</v>
      </c>
      <c r="F190" s="41" t="s">
        <v>3942</v>
      </c>
      <c r="G190" s="41" t="s">
        <v>38</v>
      </c>
      <c r="H190" s="41">
        <v>1.04</v>
      </c>
    </row>
    <row r="191" ht="14.25" customHeight="1">
      <c r="A191" s="40">
        <v>2230.0</v>
      </c>
      <c r="B191" s="40" t="s">
        <v>38</v>
      </c>
      <c r="D191" s="41">
        <v>2224.0</v>
      </c>
      <c r="E191" s="41">
        <v>5.0</v>
      </c>
      <c r="F191" s="41" t="s">
        <v>3942</v>
      </c>
      <c r="G191" s="41" t="s">
        <v>38</v>
      </c>
      <c r="H191" s="41">
        <v>1.04</v>
      </c>
    </row>
    <row r="192" ht="14.25" customHeight="1">
      <c r="A192" s="40">
        <v>2231.0</v>
      </c>
      <c r="B192" s="40" t="s">
        <v>38</v>
      </c>
      <c r="D192" s="41">
        <v>2225.0</v>
      </c>
      <c r="E192" s="41">
        <v>5.0</v>
      </c>
      <c r="F192" s="41" t="s">
        <v>3942</v>
      </c>
      <c r="G192" s="41" t="s">
        <v>38</v>
      </c>
      <c r="H192" s="41">
        <v>1.04</v>
      </c>
    </row>
    <row r="193" ht="14.25" customHeight="1">
      <c r="A193" s="40">
        <v>2232.0</v>
      </c>
      <c r="B193" s="40" t="s">
        <v>38</v>
      </c>
      <c r="D193" s="41">
        <v>2226.0</v>
      </c>
      <c r="E193" s="41">
        <v>5.0</v>
      </c>
      <c r="F193" s="41" t="s">
        <v>3942</v>
      </c>
      <c r="G193" s="41" t="s">
        <v>38</v>
      </c>
      <c r="H193" s="41">
        <v>1.04</v>
      </c>
    </row>
    <row r="194" ht="14.25" customHeight="1">
      <c r="A194" s="40">
        <v>2233.0</v>
      </c>
      <c r="B194" s="40" t="s">
        <v>38</v>
      </c>
      <c r="D194" s="41">
        <v>2227.0</v>
      </c>
      <c r="E194" s="41">
        <v>5.0</v>
      </c>
      <c r="F194" s="41" t="s">
        <v>3942</v>
      </c>
      <c r="G194" s="41" t="s">
        <v>38</v>
      </c>
      <c r="H194" s="41">
        <v>1.04</v>
      </c>
    </row>
    <row r="195" ht="14.25" customHeight="1">
      <c r="A195" s="40">
        <v>2234.0</v>
      </c>
      <c r="B195" s="40" t="s">
        <v>38</v>
      </c>
      <c r="D195" s="41">
        <v>2228.0</v>
      </c>
      <c r="E195" s="41">
        <v>5.0</v>
      </c>
      <c r="F195" s="41" t="s">
        <v>3942</v>
      </c>
      <c r="G195" s="41" t="s">
        <v>38</v>
      </c>
      <c r="H195" s="41">
        <v>1.04</v>
      </c>
    </row>
    <row r="196" ht="14.25" customHeight="1">
      <c r="A196" s="40">
        <v>2250.0</v>
      </c>
      <c r="B196" s="40" t="s">
        <v>38</v>
      </c>
      <c r="D196" s="41">
        <v>2229.0</v>
      </c>
      <c r="E196" s="41">
        <v>5.0</v>
      </c>
      <c r="F196" s="41" t="s">
        <v>3942</v>
      </c>
      <c r="G196" s="41" t="s">
        <v>38</v>
      </c>
      <c r="H196" s="41">
        <v>1.04</v>
      </c>
    </row>
    <row r="197" ht="14.25" customHeight="1">
      <c r="A197" s="40">
        <v>2251.0</v>
      </c>
      <c r="B197" s="40" t="s">
        <v>38</v>
      </c>
      <c r="D197" s="41">
        <v>2230.0</v>
      </c>
      <c r="E197" s="41">
        <v>5.0</v>
      </c>
      <c r="F197" s="41" t="s">
        <v>3942</v>
      </c>
      <c r="G197" s="41" t="s">
        <v>38</v>
      </c>
      <c r="H197" s="41">
        <v>1.04</v>
      </c>
    </row>
    <row r="198" ht="14.25" customHeight="1">
      <c r="A198" s="40">
        <v>2256.0</v>
      </c>
      <c r="B198" s="40" t="s">
        <v>38</v>
      </c>
      <c r="D198" s="41">
        <v>2231.0</v>
      </c>
      <c r="E198" s="41">
        <v>5.0</v>
      </c>
      <c r="F198" s="41" t="s">
        <v>3942</v>
      </c>
      <c r="G198" s="41" t="s">
        <v>38</v>
      </c>
      <c r="H198" s="41">
        <v>1.04</v>
      </c>
    </row>
    <row r="199" ht="14.25" customHeight="1">
      <c r="A199" s="40">
        <v>2257.0</v>
      </c>
      <c r="B199" s="40" t="s">
        <v>38</v>
      </c>
      <c r="D199" s="41">
        <v>2232.0</v>
      </c>
      <c r="E199" s="41">
        <v>5.0</v>
      </c>
      <c r="F199" s="41" t="s">
        <v>3942</v>
      </c>
      <c r="G199" s="41" t="s">
        <v>38</v>
      </c>
      <c r="H199" s="41">
        <v>1.04</v>
      </c>
    </row>
    <row r="200" ht="14.25" customHeight="1">
      <c r="A200" s="40">
        <v>2258.0</v>
      </c>
      <c r="B200" s="40" t="s">
        <v>38</v>
      </c>
      <c r="D200" s="41">
        <v>2233.0</v>
      </c>
      <c r="E200" s="41">
        <v>5.0</v>
      </c>
      <c r="F200" s="41" t="s">
        <v>3942</v>
      </c>
      <c r="G200" s="41" t="s">
        <v>38</v>
      </c>
      <c r="H200" s="41">
        <v>1.04</v>
      </c>
    </row>
    <row r="201" ht="14.25" customHeight="1">
      <c r="A201" s="40">
        <v>2259.0</v>
      </c>
      <c r="B201" s="40" t="s">
        <v>38</v>
      </c>
      <c r="D201" s="41">
        <v>2234.0</v>
      </c>
      <c r="E201" s="41">
        <v>5.0</v>
      </c>
      <c r="F201" s="41" t="s">
        <v>3942</v>
      </c>
      <c r="G201" s="41" t="s">
        <v>38</v>
      </c>
      <c r="H201" s="41">
        <v>1.04</v>
      </c>
    </row>
    <row r="202" ht="14.25" customHeight="1">
      <c r="A202" s="40">
        <v>2260.0</v>
      </c>
      <c r="B202" s="40" t="s">
        <v>38</v>
      </c>
      <c r="D202" s="41">
        <v>2250.0</v>
      </c>
      <c r="E202" s="41">
        <v>5.0</v>
      </c>
      <c r="F202" s="41" t="s">
        <v>3942</v>
      </c>
      <c r="G202" s="41" t="s">
        <v>38</v>
      </c>
      <c r="H202" s="41">
        <v>1.04</v>
      </c>
    </row>
    <row r="203" ht="14.25" customHeight="1">
      <c r="A203" s="40">
        <v>2261.0</v>
      </c>
      <c r="B203" s="40" t="s">
        <v>38</v>
      </c>
      <c r="D203" s="41">
        <v>2251.0</v>
      </c>
      <c r="E203" s="41">
        <v>5.0</v>
      </c>
      <c r="F203" s="41" t="s">
        <v>3942</v>
      </c>
      <c r="G203" s="41" t="s">
        <v>38</v>
      </c>
      <c r="H203" s="41">
        <v>1.04</v>
      </c>
    </row>
    <row r="204" ht="14.25" customHeight="1">
      <c r="A204" s="40">
        <v>2262.0</v>
      </c>
      <c r="B204" s="40" t="s">
        <v>38</v>
      </c>
      <c r="D204" s="41">
        <v>2256.0</v>
      </c>
      <c r="E204" s="41">
        <v>5.0</v>
      </c>
      <c r="F204" s="41" t="s">
        <v>3942</v>
      </c>
      <c r="G204" s="41" t="s">
        <v>38</v>
      </c>
      <c r="H204" s="41">
        <v>1.04</v>
      </c>
    </row>
    <row r="205" ht="14.25" customHeight="1">
      <c r="A205" s="40">
        <v>2263.0</v>
      </c>
      <c r="B205" s="40" t="s">
        <v>38</v>
      </c>
      <c r="D205" s="41">
        <v>2257.0</v>
      </c>
      <c r="E205" s="41">
        <v>5.0</v>
      </c>
      <c r="F205" s="41" t="s">
        <v>3942</v>
      </c>
      <c r="G205" s="41" t="s">
        <v>38</v>
      </c>
      <c r="H205" s="41">
        <v>1.04</v>
      </c>
    </row>
    <row r="206" ht="14.25" customHeight="1">
      <c r="A206" s="40">
        <v>2264.0</v>
      </c>
      <c r="B206" s="40" t="s">
        <v>38</v>
      </c>
      <c r="D206" s="41">
        <v>2258.0</v>
      </c>
      <c r="E206" s="41">
        <v>5.0</v>
      </c>
      <c r="F206" s="41" t="s">
        <v>3942</v>
      </c>
      <c r="G206" s="41" t="s">
        <v>38</v>
      </c>
      <c r="H206" s="41">
        <v>1.04</v>
      </c>
    </row>
    <row r="207" ht="14.25" customHeight="1">
      <c r="A207" s="40">
        <v>2265.0</v>
      </c>
      <c r="B207" s="40" t="s">
        <v>38</v>
      </c>
      <c r="D207" s="41">
        <v>2259.0</v>
      </c>
      <c r="E207" s="41">
        <v>5.0</v>
      </c>
      <c r="F207" s="41" t="s">
        <v>3942</v>
      </c>
      <c r="G207" s="41" t="s">
        <v>38</v>
      </c>
      <c r="H207" s="41">
        <v>1.04</v>
      </c>
    </row>
    <row r="208" ht="14.25" customHeight="1">
      <c r="A208" s="40">
        <v>2267.0</v>
      </c>
      <c r="B208" s="40" t="s">
        <v>38</v>
      </c>
      <c r="D208" s="41">
        <v>2260.0</v>
      </c>
      <c r="E208" s="41">
        <v>5.0</v>
      </c>
      <c r="F208" s="41" t="s">
        <v>3942</v>
      </c>
      <c r="G208" s="41" t="s">
        <v>38</v>
      </c>
      <c r="H208" s="41">
        <v>1.04</v>
      </c>
    </row>
    <row r="209" ht="14.25" customHeight="1">
      <c r="A209" s="40">
        <v>2278.0</v>
      </c>
      <c r="B209" s="40" t="s">
        <v>38</v>
      </c>
      <c r="D209" s="41">
        <v>2261.0</v>
      </c>
      <c r="E209" s="41">
        <v>5.0</v>
      </c>
      <c r="F209" s="41" t="s">
        <v>3942</v>
      </c>
      <c r="G209" s="41" t="s">
        <v>38</v>
      </c>
      <c r="H209" s="41">
        <v>1.04</v>
      </c>
    </row>
    <row r="210" ht="14.25" customHeight="1">
      <c r="A210" s="40">
        <v>2280.0</v>
      </c>
      <c r="B210" s="40" t="s">
        <v>38</v>
      </c>
      <c r="D210" s="41">
        <v>2262.0</v>
      </c>
      <c r="E210" s="41">
        <v>5.0</v>
      </c>
      <c r="F210" s="41" t="s">
        <v>3942</v>
      </c>
      <c r="G210" s="41" t="s">
        <v>38</v>
      </c>
      <c r="H210" s="41">
        <v>1.04</v>
      </c>
    </row>
    <row r="211" ht="14.25" customHeight="1">
      <c r="A211" s="40">
        <v>2281.0</v>
      </c>
      <c r="B211" s="40" t="s">
        <v>38</v>
      </c>
      <c r="D211" s="41">
        <v>2263.0</v>
      </c>
      <c r="E211" s="41">
        <v>5.0</v>
      </c>
      <c r="F211" s="41" t="s">
        <v>3942</v>
      </c>
      <c r="G211" s="41" t="s">
        <v>38</v>
      </c>
      <c r="H211" s="41">
        <v>1.04</v>
      </c>
    </row>
    <row r="212" ht="14.25" customHeight="1">
      <c r="A212" s="40">
        <v>2282.0</v>
      </c>
      <c r="B212" s="40" t="s">
        <v>38</v>
      </c>
      <c r="D212" s="41">
        <v>2264.0</v>
      </c>
      <c r="E212" s="41">
        <v>5.0</v>
      </c>
      <c r="F212" s="41" t="s">
        <v>3942</v>
      </c>
      <c r="G212" s="41" t="s">
        <v>38</v>
      </c>
      <c r="H212" s="41">
        <v>1.04</v>
      </c>
    </row>
    <row r="213" ht="14.25" customHeight="1">
      <c r="A213" s="40">
        <v>2283.0</v>
      </c>
      <c r="B213" s="40" t="s">
        <v>38</v>
      </c>
      <c r="D213" s="41">
        <v>2265.0</v>
      </c>
      <c r="E213" s="41">
        <v>5.0</v>
      </c>
      <c r="F213" s="41" t="s">
        <v>3942</v>
      </c>
      <c r="G213" s="41" t="s">
        <v>38</v>
      </c>
      <c r="H213" s="41">
        <v>1.04</v>
      </c>
    </row>
    <row r="214" ht="14.25" customHeight="1">
      <c r="A214" s="40">
        <v>2284.0</v>
      </c>
      <c r="B214" s="40" t="s">
        <v>38</v>
      </c>
      <c r="D214" s="41">
        <v>2267.0</v>
      </c>
      <c r="E214" s="41">
        <v>5.0</v>
      </c>
      <c r="F214" s="41" t="s">
        <v>3942</v>
      </c>
      <c r="G214" s="41" t="s">
        <v>38</v>
      </c>
      <c r="H214" s="41">
        <v>1.04</v>
      </c>
    </row>
    <row r="215" ht="14.25" customHeight="1">
      <c r="A215" s="40">
        <v>2285.0</v>
      </c>
      <c r="B215" s="40" t="s">
        <v>38</v>
      </c>
      <c r="D215" s="41">
        <v>2278.0</v>
      </c>
      <c r="E215" s="41">
        <v>5.0</v>
      </c>
      <c r="F215" s="41">
        <v>1.0</v>
      </c>
      <c r="G215" s="41" t="s">
        <v>38</v>
      </c>
      <c r="H215" s="41">
        <v>1.04</v>
      </c>
    </row>
    <row r="216" ht="14.25" customHeight="1">
      <c r="A216" s="40">
        <v>2286.0</v>
      </c>
      <c r="B216" s="40" t="s">
        <v>38</v>
      </c>
      <c r="D216" s="41">
        <v>2280.0</v>
      </c>
      <c r="E216" s="41">
        <v>5.0</v>
      </c>
      <c r="F216" s="41" t="s">
        <v>3942</v>
      </c>
      <c r="G216" s="41" t="s">
        <v>38</v>
      </c>
      <c r="H216" s="41">
        <v>1.04</v>
      </c>
    </row>
    <row r="217" ht="14.25" customHeight="1">
      <c r="A217" s="40">
        <v>2287.0</v>
      </c>
      <c r="B217" s="40" t="s">
        <v>38</v>
      </c>
      <c r="D217" s="41">
        <v>2281.0</v>
      </c>
      <c r="E217" s="41">
        <v>5.0</v>
      </c>
      <c r="F217" s="41" t="s">
        <v>3942</v>
      </c>
      <c r="G217" s="41" t="s">
        <v>38</v>
      </c>
      <c r="H217" s="41">
        <v>1.04</v>
      </c>
    </row>
    <row r="218" ht="14.25" customHeight="1">
      <c r="A218" s="40">
        <v>2289.0</v>
      </c>
      <c r="B218" s="40" t="s">
        <v>38</v>
      </c>
      <c r="D218" s="41">
        <v>2282.0</v>
      </c>
      <c r="E218" s="41">
        <v>5.0</v>
      </c>
      <c r="F218" s="41" t="s">
        <v>3942</v>
      </c>
      <c r="G218" s="41" t="s">
        <v>38</v>
      </c>
      <c r="H218" s="41">
        <v>1.04</v>
      </c>
    </row>
    <row r="219" ht="14.25" customHeight="1">
      <c r="A219" s="40">
        <v>2290.0</v>
      </c>
      <c r="B219" s="40" t="s">
        <v>38</v>
      </c>
      <c r="D219" s="41">
        <v>2283.0</v>
      </c>
      <c r="E219" s="41">
        <v>5.0</v>
      </c>
      <c r="F219" s="41" t="s">
        <v>3942</v>
      </c>
      <c r="G219" s="41" t="s">
        <v>38</v>
      </c>
      <c r="H219" s="41">
        <v>1.04</v>
      </c>
    </row>
    <row r="220" ht="14.25" customHeight="1">
      <c r="A220" s="40">
        <v>2291.0</v>
      </c>
      <c r="B220" s="40" t="s">
        <v>38</v>
      </c>
      <c r="D220" s="41">
        <v>2284.0</v>
      </c>
      <c r="E220" s="41">
        <v>5.0</v>
      </c>
      <c r="F220" s="41" t="s">
        <v>3942</v>
      </c>
      <c r="G220" s="41" t="s">
        <v>38</v>
      </c>
      <c r="H220" s="41">
        <v>1.04</v>
      </c>
    </row>
    <row r="221" ht="14.25" customHeight="1">
      <c r="A221" s="40">
        <v>2292.0</v>
      </c>
      <c r="B221" s="40" t="s">
        <v>38</v>
      </c>
      <c r="D221" s="41">
        <v>2285.0</v>
      </c>
      <c r="E221" s="41">
        <v>5.0</v>
      </c>
      <c r="F221" s="41" t="s">
        <v>3942</v>
      </c>
      <c r="G221" s="41" t="s">
        <v>38</v>
      </c>
      <c r="H221" s="41">
        <v>1.04</v>
      </c>
    </row>
    <row r="222" ht="14.25" customHeight="1">
      <c r="A222" s="40">
        <v>2293.0</v>
      </c>
      <c r="B222" s="40" t="s">
        <v>38</v>
      </c>
      <c r="D222" s="41">
        <v>2286.0</v>
      </c>
      <c r="E222" s="41">
        <v>5.0</v>
      </c>
      <c r="F222" s="41" t="s">
        <v>3942</v>
      </c>
      <c r="G222" s="41" t="s">
        <v>38</v>
      </c>
      <c r="H222" s="41">
        <v>1.04</v>
      </c>
    </row>
    <row r="223" ht="14.25" customHeight="1">
      <c r="A223" s="40">
        <v>2294.0</v>
      </c>
      <c r="B223" s="40" t="s">
        <v>38</v>
      </c>
      <c r="D223" s="41">
        <v>2287.0</v>
      </c>
      <c r="E223" s="41">
        <v>5.0</v>
      </c>
      <c r="F223" s="41" t="s">
        <v>3942</v>
      </c>
      <c r="G223" s="41" t="s">
        <v>38</v>
      </c>
      <c r="H223" s="41">
        <v>1.04</v>
      </c>
    </row>
    <row r="224" ht="14.25" customHeight="1">
      <c r="A224" s="40">
        <v>2295.0</v>
      </c>
      <c r="B224" s="40" t="s">
        <v>38</v>
      </c>
      <c r="D224" s="41">
        <v>2289.0</v>
      </c>
      <c r="E224" s="41">
        <v>5.0</v>
      </c>
      <c r="F224" s="41" t="s">
        <v>3942</v>
      </c>
      <c r="G224" s="41" t="s">
        <v>38</v>
      </c>
      <c r="H224" s="41">
        <v>1.04</v>
      </c>
    </row>
    <row r="225" ht="14.25" customHeight="1">
      <c r="A225" s="40">
        <v>2296.0</v>
      </c>
      <c r="B225" s="40" t="s">
        <v>38</v>
      </c>
      <c r="D225" s="41">
        <v>2290.0</v>
      </c>
      <c r="E225" s="41">
        <v>5.0</v>
      </c>
      <c r="F225" s="41" t="s">
        <v>3942</v>
      </c>
      <c r="G225" s="41" t="s">
        <v>38</v>
      </c>
      <c r="H225" s="41">
        <v>1.04</v>
      </c>
    </row>
    <row r="226" ht="14.25" customHeight="1">
      <c r="A226" s="40">
        <v>2297.0</v>
      </c>
      <c r="B226" s="40" t="s">
        <v>38</v>
      </c>
      <c r="D226" s="41">
        <v>2291.0</v>
      </c>
      <c r="E226" s="41">
        <v>5.0</v>
      </c>
      <c r="F226" s="41" t="s">
        <v>3942</v>
      </c>
      <c r="G226" s="41" t="s">
        <v>38</v>
      </c>
      <c r="H226" s="41">
        <v>1.04</v>
      </c>
    </row>
    <row r="227" ht="14.25" customHeight="1">
      <c r="A227" s="40">
        <v>2298.0</v>
      </c>
      <c r="B227" s="40" t="s">
        <v>38</v>
      </c>
      <c r="D227" s="41">
        <v>2292.0</v>
      </c>
      <c r="E227" s="41">
        <v>5.0</v>
      </c>
      <c r="F227" s="41" t="s">
        <v>3942</v>
      </c>
      <c r="G227" s="41" t="s">
        <v>38</v>
      </c>
      <c r="H227" s="41">
        <v>1.04</v>
      </c>
    </row>
    <row r="228" ht="14.25" customHeight="1">
      <c r="A228" s="40">
        <v>2299.0</v>
      </c>
      <c r="B228" s="40" t="s">
        <v>38</v>
      </c>
      <c r="D228" s="41">
        <v>2293.0</v>
      </c>
      <c r="E228" s="41">
        <v>5.0</v>
      </c>
      <c r="F228" s="41" t="s">
        <v>3942</v>
      </c>
      <c r="G228" s="41" t="s">
        <v>38</v>
      </c>
      <c r="H228" s="41">
        <v>1.04</v>
      </c>
    </row>
    <row r="229" ht="14.25" customHeight="1">
      <c r="A229" s="40">
        <v>2300.0</v>
      </c>
      <c r="B229" s="40" t="s">
        <v>38</v>
      </c>
      <c r="D229" s="41">
        <v>2294.0</v>
      </c>
      <c r="E229" s="41">
        <v>5.0</v>
      </c>
      <c r="F229" s="41" t="s">
        <v>3942</v>
      </c>
      <c r="G229" s="41" t="s">
        <v>38</v>
      </c>
      <c r="H229" s="41">
        <v>1.04</v>
      </c>
    </row>
    <row r="230" ht="14.25" customHeight="1">
      <c r="A230" s="40">
        <v>2302.0</v>
      </c>
      <c r="B230" s="40" t="s">
        <v>38</v>
      </c>
      <c r="D230" s="41">
        <v>2295.0</v>
      </c>
      <c r="E230" s="41">
        <v>5.0</v>
      </c>
      <c r="F230" s="41" t="s">
        <v>3942</v>
      </c>
      <c r="G230" s="41" t="s">
        <v>38</v>
      </c>
      <c r="H230" s="41">
        <v>1.04</v>
      </c>
    </row>
    <row r="231" ht="14.25" customHeight="1">
      <c r="A231" s="40">
        <v>2303.0</v>
      </c>
      <c r="B231" s="40" t="s">
        <v>38</v>
      </c>
      <c r="D231" s="41">
        <v>2296.0</v>
      </c>
      <c r="E231" s="41">
        <v>5.0</v>
      </c>
      <c r="F231" s="41" t="s">
        <v>3942</v>
      </c>
      <c r="G231" s="41" t="s">
        <v>38</v>
      </c>
      <c r="H231" s="41">
        <v>1.04</v>
      </c>
    </row>
    <row r="232" ht="14.25" customHeight="1">
      <c r="A232" s="40">
        <v>2304.0</v>
      </c>
      <c r="B232" s="40" t="s">
        <v>38</v>
      </c>
      <c r="D232" s="41">
        <v>2297.0</v>
      </c>
      <c r="E232" s="41">
        <v>5.0</v>
      </c>
      <c r="F232" s="41" t="s">
        <v>3942</v>
      </c>
      <c r="G232" s="41" t="s">
        <v>38</v>
      </c>
      <c r="H232" s="41">
        <v>1.04</v>
      </c>
    </row>
    <row r="233" ht="14.25" customHeight="1">
      <c r="A233" s="40">
        <v>2305.0</v>
      </c>
      <c r="B233" s="40" t="s">
        <v>38</v>
      </c>
      <c r="D233" s="41">
        <v>2298.0</v>
      </c>
      <c r="E233" s="41">
        <v>5.0</v>
      </c>
      <c r="F233" s="41" t="s">
        <v>3942</v>
      </c>
      <c r="G233" s="41" t="s">
        <v>38</v>
      </c>
      <c r="H233" s="41">
        <v>1.04</v>
      </c>
    </row>
    <row r="234" ht="14.25" customHeight="1">
      <c r="A234" s="40">
        <v>2306.0</v>
      </c>
      <c r="B234" s="40" t="s">
        <v>38</v>
      </c>
      <c r="D234" s="41">
        <v>2299.0</v>
      </c>
      <c r="E234" s="41">
        <v>5.0</v>
      </c>
      <c r="F234" s="41" t="s">
        <v>3942</v>
      </c>
      <c r="G234" s="41" t="s">
        <v>38</v>
      </c>
      <c r="H234" s="41">
        <v>1.04</v>
      </c>
    </row>
    <row r="235" ht="14.25" customHeight="1">
      <c r="A235" s="40">
        <v>2307.0</v>
      </c>
      <c r="B235" s="40" t="s">
        <v>38</v>
      </c>
      <c r="D235" s="41">
        <v>2300.0</v>
      </c>
      <c r="E235" s="41">
        <v>5.0</v>
      </c>
      <c r="F235" s="41" t="s">
        <v>3942</v>
      </c>
      <c r="G235" s="41" t="s">
        <v>38</v>
      </c>
      <c r="H235" s="41">
        <v>1.04</v>
      </c>
    </row>
    <row r="236" ht="14.25" customHeight="1">
      <c r="A236" s="40">
        <v>2308.0</v>
      </c>
      <c r="B236" s="40" t="s">
        <v>38</v>
      </c>
      <c r="D236" s="41">
        <v>2302.0</v>
      </c>
      <c r="E236" s="41">
        <v>5.0</v>
      </c>
      <c r="F236" s="41" t="s">
        <v>3942</v>
      </c>
      <c r="G236" s="41" t="s">
        <v>38</v>
      </c>
      <c r="H236" s="41">
        <v>1.04</v>
      </c>
    </row>
    <row r="237" ht="14.25" customHeight="1">
      <c r="A237" s="40">
        <v>2311.0</v>
      </c>
      <c r="B237" s="40" t="s">
        <v>38</v>
      </c>
      <c r="D237" s="41">
        <v>2303.0</v>
      </c>
      <c r="E237" s="41">
        <v>5.0</v>
      </c>
      <c r="F237" s="41" t="s">
        <v>3942</v>
      </c>
      <c r="G237" s="41" t="s">
        <v>38</v>
      </c>
      <c r="H237" s="41">
        <v>1.04</v>
      </c>
    </row>
    <row r="238" ht="14.25" customHeight="1">
      <c r="A238" s="40">
        <v>2312.0</v>
      </c>
      <c r="B238" s="40" t="s">
        <v>38</v>
      </c>
      <c r="D238" s="41">
        <v>2304.0</v>
      </c>
      <c r="E238" s="41">
        <v>5.0</v>
      </c>
      <c r="F238" s="41" t="s">
        <v>3942</v>
      </c>
      <c r="G238" s="41" t="s">
        <v>38</v>
      </c>
      <c r="H238" s="41">
        <v>1.04</v>
      </c>
    </row>
    <row r="239" ht="14.25" customHeight="1">
      <c r="A239" s="40">
        <v>2315.0</v>
      </c>
      <c r="B239" s="40" t="s">
        <v>38</v>
      </c>
      <c r="D239" s="41">
        <v>2305.0</v>
      </c>
      <c r="E239" s="41">
        <v>5.0</v>
      </c>
      <c r="F239" s="41" t="s">
        <v>3942</v>
      </c>
      <c r="G239" s="41" t="s">
        <v>38</v>
      </c>
      <c r="H239" s="41">
        <v>1.04</v>
      </c>
    </row>
    <row r="240" ht="14.25" customHeight="1">
      <c r="A240" s="40">
        <v>2316.0</v>
      </c>
      <c r="B240" s="40" t="s">
        <v>38</v>
      </c>
      <c r="D240" s="41">
        <v>2306.0</v>
      </c>
      <c r="E240" s="41">
        <v>5.0</v>
      </c>
      <c r="F240" s="41" t="s">
        <v>3942</v>
      </c>
      <c r="G240" s="41" t="s">
        <v>38</v>
      </c>
      <c r="H240" s="41">
        <v>1.04</v>
      </c>
    </row>
    <row r="241" ht="14.25" customHeight="1">
      <c r="A241" s="40">
        <v>2317.0</v>
      </c>
      <c r="B241" s="40" t="s">
        <v>38</v>
      </c>
      <c r="D241" s="41">
        <v>2307.0</v>
      </c>
      <c r="E241" s="41">
        <v>5.0</v>
      </c>
      <c r="F241" s="41" t="s">
        <v>3942</v>
      </c>
      <c r="G241" s="41" t="s">
        <v>38</v>
      </c>
      <c r="H241" s="41">
        <v>1.04</v>
      </c>
    </row>
    <row r="242" ht="14.25" customHeight="1">
      <c r="A242" s="40">
        <v>2318.0</v>
      </c>
      <c r="B242" s="40" t="s">
        <v>38</v>
      </c>
      <c r="D242" s="41">
        <v>2308.0</v>
      </c>
      <c r="E242" s="41">
        <v>5.0</v>
      </c>
      <c r="F242" s="41" t="s">
        <v>3942</v>
      </c>
      <c r="G242" s="41" t="s">
        <v>38</v>
      </c>
      <c r="H242" s="41">
        <v>1.04</v>
      </c>
    </row>
    <row r="243" ht="14.25" customHeight="1">
      <c r="A243" s="40">
        <v>2319.0</v>
      </c>
      <c r="B243" s="40" t="s">
        <v>38</v>
      </c>
      <c r="D243" s="41">
        <v>2309.0</v>
      </c>
      <c r="E243" s="41">
        <v>5.0</v>
      </c>
      <c r="F243" s="41" t="s">
        <v>3942</v>
      </c>
      <c r="G243" s="41" t="s">
        <v>38</v>
      </c>
      <c r="H243" s="41">
        <v>1.04</v>
      </c>
    </row>
    <row r="244" ht="14.25" customHeight="1">
      <c r="A244" s="40">
        <v>2320.0</v>
      </c>
      <c r="B244" s="40" t="s">
        <v>38</v>
      </c>
      <c r="D244" s="41">
        <v>2311.0</v>
      </c>
      <c r="E244" s="41">
        <v>5.0</v>
      </c>
      <c r="F244" s="41" t="s">
        <v>3943</v>
      </c>
      <c r="G244" s="41" t="s">
        <v>38</v>
      </c>
      <c r="H244" s="41">
        <v>1.05</v>
      </c>
    </row>
    <row r="245" ht="14.25" customHeight="1">
      <c r="A245" s="40">
        <v>2321.0</v>
      </c>
      <c r="B245" s="40" t="s">
        <v>38</v>
      </c>
      <c r="D245" s="41">
        <v>2312.0</v>
      </c>
      <c r="E245" s="41">
        <v>2.0</v>
      </c>
      <c r="F245" s="41" t="s">
        <v>3943</v>
      </c>
      <c r="G245" s="41" t="s">
        <v>38</v>
      </c>
      <c r="H245" s="41">
        <v>1.05</v>
      </c>
    </row>
    <row r="246" ht="14.25" customHeight="1">
      <c r="A246" s="40">
        <v>2322.0</v>
      </c>
      <c r="B246" s="40" t="s">
        <v>38</v>
      </c>
      <c r="D246" s="41">
        <v>2314.0</v>
      </c>
      <c r="E246" s="41">
        <v>5.0</v>
      </c>
      <c r="F246" s="41" t="s">
        <v>3942</v>
      </c>
      <c r="G246" s="41" t="s">
        <v>38</v>
      </c>
      <c r="H246" s="41">
        <v>1.04</v>
      </c>
    </row>
    <row r="247" ht="14.25" customHeight="1">
      <c r="A247" s="40">
        <v>2323.0</v>
      </c>
      <c r="B247" s="40" t="s">
        <v>38</v>
      </c>
      <c r="D247" s="41">
        <v>2315.0</v>
      </c>
      <c r="E247" s="41">
        <v>5.0</v>
      </c>
      <c r="F247" s="41" t="s">
        <v>3942</v>
      </c>
      <c r="G247" s="41" t="s">
        <v>38</v>
      </c>
      <c r="H247" s="41">
        <v>1.04</v>
      </c>
    </row>
    <row r="248" ht="14.25" customHeight="1">
      <c r="A248" s="40">
        <v>2324.0</v>
      </c>
      <c r="B248" s="40" t="s">
        <v>38</v>
      </c>
      <c r="D248" s="41">
        <v>2316.0</v>
      </c>
      <c r="E248" s="41">
        <v>5.0</v>
      </c>
      <c r="F248" s="41">
        <v>1.0</v>
      </c>
      <c r="G248" s="41" t="s">
        <v>38</v>
      </c>
      <c r="H248" s="41">
        <v>1.04</v>
      </c>
    </row>
    <row r="249" ht="14.25" customHeight="1">
      <c r="A249" s="40">
        <v>2325.0</v>
      </c>
      <c r="B249" s="40" t="s">
        <v>38</v>
      </c>
      <c r="D249" s="41">
        <v>2317.0</v>
      </c>
      <c r="E249" s="41">
        <v>5.0</v>
      </c>
      <c r="F249" s="41">
        <v>1.0</v>
      </c>
      <c r="G249" s="41" t="s">
        <v>38</v>
      </c>
      <c r="H249" s="41">
        <v>1.04</v>
      </c>
    </row>
    <row r="250" ht="14.25" customHeight="1">
      <c r="A250" s="40">
        <v>2326.0</v>
      </c>
      <c r="B250" s="40" t="s">
        <v>38</v>
      </c>
      <c r="D250" s="41">
        <v>2318.0</v>
      </c>
      <c r="E250" s="41">
        <v>5.0</v>
      </c>
      <c r="F250" s="41">
        <v>1.0</v>
      </c>
      <c r="G250" s="41" t="s">
        <v>38</v>
      </c>
      <c r="H250" s="41">
        <v>1.04</v>
      </c>
    </row>
    <row r="251" ht="14.25" customHeight="1">
      <c r="A251" s="40">
        <v>2327.0</v>
      </c>
      <c r="B251" s="40" t="s">
        <v>38</v>
      </c>
      <c r="D251" s="41">
        <v>2319.0</v>
      </c>
      <c r="E251" s="41">
        <v>5.0</v>
      </c>
      <c r="F251" s="41">
        <v>1.0</v>
      </c>
      <c r="G251" s="41" t="s">
        <v>38</v>
      </c>
      <c r="H251" s="41">
        <v>1.04</v>
      </c>
    </row>
    <row r="252" ht="14.25" customHeight="1">
      <c r="A252" s="40">
        <v>2328.0</v>
      </c>
      <c r="B252" s="40" t="s">
        <v>41</v>
      </c>
      <c r="D252" s="41">
        <v>2320.0</v>
      </c>
      <c r="E252" s="41">
        <v>6.0</v>
      </c>
      <c r="F252" s="41" t="s">
        <v>3942</v>
      </c>
      <c r="G252" s="41" t="s">
        <v>38</v>
      </c>
      <c r="H252" s="41">
        <v>1.04</v>
      </c>
    </row>
    <row r="253" ht="14.25" customHeight="1">
      <c r="A253" s="40">
        <v>2329.0</v>
      </c>
      <c r="B253" s="40" t="s">
        <v>41</v>
      </c>
      <c r="D253" s="41">
        <v>2321.0</v>
      </c>
      <c r="E253" s="41">
        <v>5.0</v>
      </c>
      <c r="F253" s="41" t="s">
        <v>3943</v>
      </c>
      <c r="G253" s="41" t="s">
        <v>38</v>
      </c>
      <c r="H253" s="41">
        <v>1.04</v>
      </c>
    </row>
    <row r="254" ht="14.25" customHeight="1">
      <c r="A254" s="40">
        <v>2330.0</v>
      </c>
      <c r="B254" s="40" t="s">
        <v>38</v>
      </c>
      <c r="D254" s="41">
        <v>2322.0</v>
      </c>
      <c r="E254" s="41">
        <v>6.0</v>
      </c>
      <c r="F254" s="41" t="s">
        <v>3942</v>
      </c>
      <c r="G254" s="41" t="s">
        <v>38</v>
      </c>
      <c r="H254" s="41">
        <v>1.04</v>
      </c>
    </row>
    <row r="255" ht="14.25" customHeight="1">
      <c r="A255" s="40">
        <v>2333.0</v>
      </c>
      <c r="B255" s="40" t="s">
        <v>41</v>
      </c>
      <c r="D255" s="41">
        <v>2323.0</v>
      </c>
      <c r="E255" s="41">
        <v>5.0</v>
      </c>
      <c r="F255" s="41" t="s">
        <v>3942</v>
      </c>
      <c r="G255" s="41" t="s">
        <v>38</v>
      </c>
      <c r="H255" s="41">
        <v>1.04</v>
      </c>
    </row>
    <row r="256" ht="14.25" customHeight="1">
      <c r="A256" s="40">
        <v>2334.0</v>
      </c>
      <c r="B256" s="40" t="s">
        <v>38</v>
      </c>
      <c r="D256" s="41">
        <v>2324.0</v>
      </c>
      <c r="E256" s="41">
        <v>2.0</v>
      </c>
      <c r="F256" s="41" t="s">
        <v>3943</v>
      </c>
      <c r="G256" s="41" t="s">
        <v>38</v>
      </c>
      <c r="H256" s="41">
        <v>1.04</v>
      </c>
    </row>
    <row r="257" ht="14.25" customHeight="1">
      <c r="A257" s="40">
        <v>2335.0</v>
      </c>
      <c r="B257" s="40" t="s">
        <v>38</v>
      </c>
      <c r="D257" s="41">
        <v>2325.0</v>
      </c>
      <c r="E257" s="41">
        <v>6.0</v>
      </c>
      <c r="F257" s="41" t="s">
        <v>3942</v>
      </c>
      <c r="G257" s="41" t="s">
        <v>38</v>
      </c>
      <c r="H257" s="41">
        <v>1.04</v>
      </c>
    </row>
    <row r="258" ht="14.25" customHeight="1">
      <c r="A258" s="40">
        <v>2336.0</v>
      </c>
      <c r="B258" s="40" t="s">
        <v>41</v>
      </c>
      <c r="D258" s="41">
        <v>2326.0</v>
      </c>
      <c r="E258" s="41">
        <v>6.0</v>
      </c>
      <c r="F258" s="41" t="s">
        <v>3942</v>
      </c>
      <c r="G258" s="41" t="s">
        <v>38</v>
      </c>
      <c r="H258" s="41">
        <v>1.04</v>
      </c>
    </row>
    <row r="259" ht="14.25" customHeight="1">
      <c r="A259" s="40">
        <v>2337.0</v>
      </c>
      <c r="B259" s="40" t="s">
        <v>41</v>
      </c>
      <c r="D259" s="41">
        <v>2327.0</v>
      </c>
      <c r="E259" s="41">
        <v>6.0</v>
      </c>
      <c r="F259" s="41" t="s">
        <v>3942</v>
      </c>
      <c r="G259" s="41" t="s">
        <v>38</v>
      </c>
      <c r="H259" s="41">
        <v>1.04</v>
      </c>
    </row>
    <row r="260" ht="14.25" customHeight="1">
      <c r="A260" s="40">
        <v>2338.0</v>
      </c>
      <c r="B260" s="40" t="s">
        <v>41</v>
      </c>
      <c r="D260" s="41">
        <v>2328.0</v>
      </c>
      <c r="E260" s="41">
        <v>7.0</v>
      </c>
      <c r="F260" s="41" t="s">
        <v>3942</v>
      </c>
      <c r="G260" s="41" t="s">
        <v>41</v>
      </c>
      <c r="H260" s="41">
        <v>1.04</v>
      </c>
    </row>
    <row r="261" ht="14.25" customHeight="1">
      <c r="A261" s="40">
        <v>2339.0</v>
      </c>
      <c r="B261" s="40" t="s">
        <v>41</v>
      </c>
      <c r="D261" s="41">
        <v>2329.0</v>
      </c>
      <c r="E261" s="41">
        <v>7.0</v>
      </c>
      <c r="F261" s="41" t="s">
        <v>3943</v>
      </c>
      <c r="G261" s="41" t="s">
        <v>41</v>
      </c>
      <c r="H261" s="41">
        <v>1.04</v>
      </c>
    </row>
    <row r="262" ht="14.25" customHeight="1">
      <c r="A262" s="40">
        <v>2340.0</v>
      </c>
      <c r="B262" s="40" t="s">
        <v>41</v>
      </c>
      <c r="D262" s="41">
        <v>2330.0</v>
      </c>
      <c r="E262" s="41">
        <v>6.0</v>
      </c>
      <c r="F262" s="41" t="s">
        <v>3942</v>
      </c>
      <c r="G262" s="41" t="s">
        <v>38</v>
      </c>
      <c r="H262" s="41">
        <v>1.05</v>
      </c>
    </row>
    <row r="263" ht="14.25" customHeight="1">
      <c r="A263" s="40">
        <v>2341.0</v>
      </c>
      <c r="B263" s="40" t="s">
        <v>41</v>
      </c>
      <c r="D263" s="41">
        <v>2331.0</v>
      </c>
      <c r="E263" s="41">
        <v>6.0</v>
      </c>
      <c r="F263" s="41" t="s">
        <v>3942</v>
      </c>
      <c r="G263" s="41" t="s">
        <v>38</v>
      </c>
      <c r="H263" s="41">
        <v>1.04</v>
      </c>
    </row>
    <row r="264" ht="14.25" customHeight="1">
      <c r="A264" s="40">
        <v>2342.0</v>
      </c>
      <c r="B264" s="40" t="s">
        <v>41</v>
      </c>
      <c r="D264" s="41">
        <v>2333.0</v>
      </c>
      <c r="E264" s="41">
        <v>7.0</v>
      </c>
      <c r="F264" s="41" t="s">
        <v>3942</v>
      </c>
      <c r="G264" s="41" t="s">
        <v>41</v>
      </c>
      <c r="H264" s="41">
        <v>1.04</v>
      </c>
    </row>
    <row r="265" ht="14.25" customHeight="1">
      <c r="A265" s="40">
        <v>2343.0</v>
      </c>
      <c r="B265" s="40" t="s">
        <v>41</v>
      </c>
      <c r="D265" s="41">
        <v>2334.0</v>
      </c>
      <c r="E265" s="41">
        <v>6.0</v>
      </c>
      <c r="F265" s="41" t="s">
        <v>3942</v>
      </c>
      <c r="G265" s="41" t="s">
        <v>38</v>
      </c>
      <c r="H265" s="41">
        <v>1.04</v>
      </c>
    </row>
    <row r="266" ht="14.25" customHeight="1">
      <c r="A266" s="40">
        <v>2344.0</v>
      </c>
      <c r="B266" s="40" t="s">
        <v>41</v>
      </c>
      <c r="D266" s="41">
        <v>2335.0</v>
      </c>
      <c r="E266" s="41">
        <v>6.0</v>
      </c>
      <c r="F266" s="41" t="s">
        <v>3942</v>
      </c>
      <c r="G266" s="41" t="s">
        <v>38</v>
      </c>
      <c r="H266" s="41">
        <v>1.04</v>
      </c>
    </row>
    <row r="267" ht="14.25" customHeight="1">
      <c r="A267" s="40">
        <v>2345.0</v>
      </c>
      <c r="B267" s="40" t="s">
        <v>41</v>
      </c>
      <c r="D267" s="41">
        <v>2336.0</v>
      </c>
      <c r="E267" s="41">
        <v>7.0</v>
      </c>
      <c r="F267" s="41" t="s">
        <v>3942</v>
      </c>
      <c r="G267" s="41" t="s">
        <v>41</v>
      </c>
      <c r="H267" s="41">
        <v>1.04</v>
      </c>
    </row>
    <row r="268" ht="14.25" customHeight="1">
      <c r="A268" s="40">
        <v>2346.0</v>
      </c>
      <c r="B268" s="40" t="s">
        <v>41</v>
      </c>
      <c r="D268" s="41">
        <v>2337.0</v>
      </c>
      <c r="E268" s="41">
        <v>7.0</v>
      </c>
      <c r="F268" s="41" t="s">
        <v>3942</v>
      </c>
      <c r="G268" s="41" t="s">
        <v>41</v>
      </c>
      <c r="H268" s="41">
        <v>1.05</v>
      </c>
    </row>
    <row r="269" ht="14.25" customHeight="1">
      <c r="A269" s="40">
        <v>2347.0</v>
      </c>
      <c r="B269" s="40" t="s">
        <v>41</v>
      </c>
      <c r="D269" s="41">
        <v>2338.0</v>
      </c>
      <c r="E269" s="41">
        <v>7.0</v>
      </c>
      <c r="F269" s="41" t="s">
        <v>3943</v>
      </c>
      <c r="G269" s="41" t="s">
        <v>41</v>
      </c>
      <c r="H269" s="41">
        <v>1.05</v>
      </c>
    </row>
    <row r="270" ht="14.25" customHeight="1">
      <c r="A270" s="40">
        <v>2350.0</v>
      </c>
      <c r="B270" s="40" t="s">
        <v>41</v>
      </c>
      <c r="D270" s="41">
        <v>2339.0</v>
      </c>
      <c r="E270" s="41">
        <v>7.0</v>
      </c>
      <c r="F270" s="41" t="s">
        <v>3943</v>
      </c>
      <c r="G270" s="41" t="s">
        <v>41</v>
      </c>
      <c r="H270" s="41">
        <v>1.05</v>
      </c>
    </row>
    <row r="271" ht="14.25" customHeight="1">
      <c r="A271" s="40">
        <v>2352.0</v>
      </c>
      <c r="B271" s="40" t="s">
        <v>41</v>
      </c>
      <c r="D271" s="41">
        <v>2340.0</v>
      </c>
      <c r="E271" s="41">
        <v>7.0</v>
      </c>
      <c r="F271" s="41" t="s">
        <v>3943</v>
      </c>
      <c r="G271" s="41" t="s">
        <v>41</v>
      </c>
      <c r="H271" s="41">
        <v>1.05</v>
      </c>
    </row>
    <row r="272" ht="14.25" customHeight="1">
      <c r="A272" s="40">
        <v>2353.0</v>
      </c>
      <c r="B272" s="40" t="s">
        <v>41</v>
      </c>
      <c r="D272" s="41">
        <v>2341.0</v>
      </c>
      <c r="E272" s="41">
        <v>7.0</v>
      </c>
      <c r="F272" s="41" t="s">
        <v>3943</v>
      </c>
      <c r="G272" s="41" t="s">
        <v>41</v>
      </c>
      <c r="H272" s="41">
        <v>1.05</v>
      </c>
    </row>
    <row r="273" ht="14.25" customHeight="1">
      <c r="A273" s="40">
        <v>2354.0</v>
      </c>
      <c r="B273" s="40" t="s">
        <v>41</v>
      </c>
      <c r="D273" s="41">
        <v>2342.0</v>
      </c>
      <c r="E273" s="41">
        <v>4.0</v>
      </c>
      <c r="F273" s="41" t="s">
        <v>3943</v>
      </c>
      <c r="G273" s="41" t="s">
        <v>41</v>
      </c>
      <c r="H273" s="41">
        <v>1.05</v>
      </c>
    </row>
    <row r="274" ht="14.25" customHeight="1">
      <c r="A274" s="40">
        <v>2355.0</v>
      </c>
      <c r="B274" s="40" t="s">
        <v>41</v>
      </c>
      <c r="D274" s="41">
        <v>2343.0</v>
      </c>
      <c r="E274" s="41">
        <v>7.0</v>
      </c>
      <c r="F274" s="41" t="s">
        <v>3943</v>
      </c>
      <c r="G274" s="41" t="s">
        <v>41</v>
      </c>
      <c r="H274" s="41">
        <v>1.05</v>
      </c>
    </row>
    <row r="275" ht="14.25" customHeight="1">
      <c r="A275" s="40">
        <v>2356.0</v>
      </c>
      <c r="B275" s="40" t="s">
        <v>41</v>
      </c>
      <c r="D275" s="41">
        <v>2344.0</v>
      </c>
      <c r="E275" s="41">
        <v>7.0</v>
      </c>
      <c r="F275" s="41" t="s">
        <v>3943</v>
      </c>
      <c r="G275" s="41" t="s">
        <v>41</v>
      </c>
      <c r="H275" s="41">
        <v>1.05</v>
      </c>
    </row>
    <row r="276" ht="14.25" customHeight="1">
      <c r="A276" s="40">
        <v>2357.0</v>
      </c>
      <c r="B276" s="40" t="s">
        <v>41</v>
      </c>
      <c r="D276" s="41">
        <v>2345.0</v>
      </c>
      <c r="E276" s="41">
        <v>7.0</v>
      </c>
      <c r="F276" s="41" t="s">
        <v>3943</v>
      </c>
      <c r="G276" s="41" t="s">
        <v>41</v>
      </c>
      <c r="H276" s="41">
        <v>1.05</v>
      </c>
    </row>
    <row r="277" ht="14.25" customHeight="1">
      <c r="A277" s="40">
        <v>2358.0</v>
      </c>
      <c r="B277" s="40" t="s">
        <v>41</v>
      </c>
      <c r="D277" s="41">
        <v>2346.0</v>
      </c>
      <c r="E277" s="41">
        <v>7.0</v>
      </c>
      <c r="F277" s="41" t="s">
        <v>3943</v>
      </c>
      <c r="G277" s="41" t="s">
        <v>41</v>
      </c>
      <c r="H277" s="41">
        <v>1.05</v>
      </c>
    </row>
    <row r="278" ht="14.25" customHeight="1">
      <c r="A278" s="40">
        <v>2359.0</v>
      </c>
      <c r="B278" s="40" t="s">
        <v>41</v>
      </c>
      <c r="D278" s="41">
        <v>2347.0</v>
      </c>
      <c r="E278" s="41">
        <v>7.0</v>
      </c>
      <c r="F278" s="41" t="s">
        <v>3943</v>
      </c>
      <c r="G278" s="41" t="s">
        <v>41</v>
      </c>
      <c r="H278" s="41">
        <v>1.05</v>
      </c>
    </row>
    <row r="279" ht="14.25" customHeight="1">
      <c r="A279" s="40">
        <v>2360.0</v>
      </c>
      <c r="B279" s="40" t="s">
        <v>41</v>
      </c>
      <c r="D279" s="41">
        <v>2350.0</v>
      </c>
      <c r="E279" s="41">
        <v>7.0</v>
      </c>
      <c r="F279" s="41" t="s">
        <v>3943</v>
      </c>
      <c r="G279" s="41" t="s">
        <v>41</v>
      </c>
      <c r="H279" s="41">
        <v>1.05</v>
      </c>
    </row>
    <row r="280" ht="14.25" customHeight="1">
      <c r="A280" s="40">
        <v>2361.0</v>
      </c>
      <c r="B280" s="40" t="s">
        <v>41</v>
      </c>
      <c r="D280" s="41">
        <v>2351.0</v>
      </c>
      <c r="E280" s="41">
        <v>7.0</v>
      </c>
      <c r="F280" s="41" t="s">
        <v>3943</v>
      </c>
      <c r="G280" s="41" t="s">
        <v>41</v>
      </c>
      <c r="H280" s="41">
        <v>1.05</v>
      </c>
    </row>
    <row r="281" ht="14.25" customHeight="1">
      <c r="A281" s="40">
        <v>2365.0</v>
      </c>
      <c r="B281" s="40" t="s">
        <v>41</v>
      </c>
      <c r="D281" s="41">
        <v>2352.0</v>
      </c>
      <c r="E281" s="41">
        <v>7.0</v>
      </c>
      <c r="F281" s="41" t="s">
        <v>3943</v>
      </c>
      <c r="G281" s="41" t="s">
        <v>41</v>
      </c>
      <c r="H281" s="41">
        <v>1.05</v>
      </c>
    </row>
    <row r="282" ht="14.25" customHeight="1">
      <c r="A282" s="40">
        <v>2369.0</v>
      </c>
      <c r="B282" s="40" t="s">
        <v>41</v>
      </c>
      <c r="D282" s="41">
        <v>2353.0</v>
      </c>
      <c r="E282" s="41">
        <v>7.0</v>
      </c>
      <c r="F282" s="41" t="s">
        <v>3943</v>
      </c>
      <c r="G282" s="41" t="s">
        <v>41</v>
      </c>
      <c r="H282" s="41">
        <v>1.05</v>
      </c>
    </row>
    <row r="283" ht="14.25" customHeight="1">
      <c r="A283" s="40">
        <v>2370.0</v>
      </c>
      <c r="B283" s="40" t="s">
        <v>41</v>
      </c>
      <c r="D283" s="41">
        <v>2354.0</v>
      </c>
      <c r="E283" s="41">
        <v>7.0</v>
      </c>
      <c r="F283" s="41" t="s">
        <v>3943</v>
      </c>
      <c r="G283" s="41" t="s">
        <v>41</v>
      </c>
      <c r="H283" s="41">
        <v>1.05</v>
      </c>
    </row>
    <row r="284" ht="14.25" customHeight="1">
      <c r="A284" s="40">
        <v>2371.0</v>
      </c>
      <c r="B284" s="40" t="s">
        <v>41</v>
      </c>
      <c r="D284" s="41">
        <v>2355.0</v>
      </c>
      <c r="E284" s="41">
        <v>7.0</v>
      </c>
      <c r="F284" s="41" t="s">
        <v>3943</v>
      </c>
      <c r="G284" s="41" t="s">
        <v>41</v>
      </c>
      <c r="H284" s="41">
        <v>1.05</v>
      </c>
    </row>
    <row r="285" ht="14.25" customHeight="1">
      <c r="A285" s="40">
        <v>2372.0</v>
      </c>
      <c r="B285" s="40" t="s">
        <v>41</v>
      </c>
      <c r="D285" s="41">
        <v>2356.0</v>
      </c>
      <c r="E285" s="41">
        <v>4.0</v>
      </c>
      <c r="F285" s="41" t="s">
        <v>3943</v>
      </c>
      <c r="G285" s="41" t="s">
        <v>41</v>
      </c>
      <c r="H285" s="41">
        <v>1.05</v>
      </c>
    </row>
    <row r="286" ht="14.25" customHeight="1">
      <c r="A286" s="40">
        <v>2379.0</v>
      </c>
      <c r="B286" s="40" t="s">
        <v>41</v>
      </c>
      <c r="D286" s="41">
        <v>2357.0</v>
      </c>
      <c r="E286" s="41">
        <v>4.0</v>
      </c>
      <c r="F286" s="41" t="s">
        <v>3943</v>
      </c>
      <c r="G286" s="41" t="s">
        <v>41</v>
      </c>
      <c r="H286" s="41">
        <v>1.05</v>
      </c>
    </row>
    <row r="287" ht="14.25" customHeight="1">
      <c r="A287" s="40">
        <v>2380.0</v>
      </c>
      <c r="B287" s="40" t="s">
        <v>41</v>
      </c>
      <c r="D287" s="41">
        <v>2358.0</v>
      </c>
      <c r="E287" s="41">
        <v>7.0</v>
      </c>
      <c r="F287" s="41" t="s">
        <v>3943</v>
      </c>
      <c r="G287" s="41" t="s">
        <v>41</v>
      </c>
      <c r="H287" s="41">
        <v>1.05</v>
      </c>
    </row>
    <row r="288" ht="14.25" customHeight="1">
      <c r="A288" s="40">
        <v>2381.0</v>
      </c>
      <c r="B288" s="40" t="s">
        <v>41</v>
      </c>
      <c r="D288" s="41">
        <v>2359.0</v>
      </c>
      <c r="E288" s="41">
        <v>4.0</v>
      </c>
      <c r="F288" s="41" t="s">
        <v>3943</v>
      </c>
      <c r="G288" s="41" t="s">
        <v>41</v>
      </c>
      <c r="H288" s="41">
        <v>1.05</v>
      </c>
    </row>
    <row r="289" ht="14.25" customHeight="1">
      <c r="A289" s="40">
        <v>2382.0</v>
      </c>
      <c r="B289" s="40" t="s">
        <v>41</v>
      </c>
      <c r="D289" s="41">
        <v>2360.0</v>
      </c>
      <c r="E289" s="41">
        <v>7.0</v>
      </c>
      <c r="F289" s="41" t="s">
        <v>3943</v>
      </c>
      <c r="G289" s="41" t="s">
        <v>41</v>
      </c>
      <c r="H289" s="41">
        <v>1.05</v>
      </c>
    </row>
    <row r="290" ht="14.25" customHeight="1">
      <c r="A290" s="40">
        <v>2386.0</v>
      </c>
      <c r="B290" s="40" t="s">
        <v>38</v>
      </c>
      <c r="D290" s="41">
        <v>2361.0</v>
      </c>
      <c r="E290" s="41">
        <v>7.0</v>
      </c>
      <c r="F290" s="41" t="s">
        <v>3943</v>
      </c>
      <c r="G290" s="41" t="s">
        <v>41</v>
      </c>
      <c r="H290" s="41">
        <v>1.05</v>
      </c>
    </row>
    <row r="291" ht="14.25" customHeight="1">
      <c r="A291" s="40">
        <v>2387.0</v>
      </c>
      <c r="B291" s="40" t="s">
        <v>38</v>
      </c>
      <c r="D291" s="41">
        <v>2365.0</v>
      </c>
      <c r="E291" s="41">
        <v>7.0</v>
      </c>
      <c r="F291" s="41" t="s">
        <v>3943</v>
      </c>
      <c r="G291" s="41" t="s">
        <v>41</v>
      </c>
      <c r="H291" s="41">
        <v>1.05</v>
      </c>
    </row>
    <row r="292" ht="14.25" customHeight="1">
      <c r="A292" s="40">
        <v>2388.0</v>
      </c>
      <c r="B292" s="40" t="s">
        <v>38</v>
      </c>
      <c r="D292" s="41">
        <v>2369.0</v>
      </c>
      <c r="E292" s="41">
        <v>7.0</v>
      </c>
      <c r="F292" s="41" t="s">
        <v>3943</v>
      </c>
      <c r="G292" s="41" t="s">
        <v>41</v>
      </c>
      <c r="H292" s="41">
        <v>1.05</v>
      </c>
    </row>
    <row r="293" ht="14.25" customHeight="1">
      <c r="A293" s="40">
        <v>2390.0</v>
      </c>
      <c r="B293" s="40" t="s">
        <v>38</v>
      </c>
      <c r="D293" s="41">
        <v>2370.0</v>
      </c>
      <c r="E293" s="41">
        <v>7.0</v>
      </c>
      <c r="F293" s="41" t="s">
        <v>3943</v>
      </c>
      <c r="G293" s="41" t="s">
        <v>41</v>
      </c>
      <c r="H293" s="41">
        <v>1.05</v>
      </c>
    </row>
    <row r="294" ht="14.25" customHeight="1">
      <c r="A294" s="40">
        <v>2395.0</v>
      </c>
      <c r="B294" s="40" t="s">
        <v>41</v>
      </c>
      <c r="D294" s="41">
        <v>2371.0</v>
      </c>
      <c r="E294" s="41">
        <v>7.0</v>
      </c>
      <c r="F294" s="41" t="s">
        <v>3943</v>
      </c>
      <c r="G294" s="41" t="s">
        <v>41</v>
      </c>
      <c r="H294" s="41">
        <v>1.05</v>
      </c>
    </row>
    <row r="295" ht="14.25" customHeight="1">
      <c r="A295" s="40">
        <v>2396.0</v>
      </c>
      <c r="B295" s="40" t="s">
        <v>41</v>
      </c>
      <c r="D295" s="41">
        <v>2372.0</v>
      </c>
      <c r="E295" s="41">
        <v>4.0</v>
      </c>
      <c r="F295" s="41" t="s">
        <v>3943</v>
      </c>
      <c r="G295" s="41" t="s">
        <v>41</v>
      </c>
      <c r="H295" s="41">
        <v>1.05</v>
      </c>
    </row>
    <row r="296" ht="14.25" customHeight="1">
      <c r="A296" s="40">
        <v>2397.0</v>
      </c>
      <c r="B296" s="40" t="s">
        <v>38</v>
      </c>
      <c r="D296" s="41">
        <v>2379.0</v>
      </c>
      <c r="E296" s="41">
        <v>4.0</v>
      </c>
      <c r="F296" s="41" t="s">
        <v>3943</v>
      </c>
      <c r="G296" s="41" t="s">
        <v>41</v>
      </c>
      <c r="H296" s="41">
        <v>1.05</v>
      </c>
    </row>
    <row r="297" ht="14.25" customHeight="1">
      <c r="A297" s="40">
        <v>2398.0</v>
      </c>
      <c r="B297" s="40" t="s">
        <v>38</v>
      </c>
      <c r="D297" s="41">
        <v>2380.0</v>
      </c>
      <c r="E297" s="41">
        <v>7.0</v>
      </c>
      <c r="F297" s="41" t="s">
        <v>3943</v>
      </c>
      <c r="G297" s="41" t="s">
        <v>41</v>
      </c>
      <c r="H297" s="41">
        <v>1.05</v>
      </c>
    </row>
    <row r="298" ht="14.25" customHeight="1">
      <c r="A298" s="40">
        <v>2399.0</v>
      </c>
      <c r="B298" s="40" t="s">
        <v>38</v>
      </c>
      <c r="D298" s="41">
        <v>2381.0</v>
      </c>
      <c r="E298" s="41">
        <v>7.0</v>
      </c>
      <c r="F298" s="41" t="s">
        <v>3943</v>
      </c>
      <c r="G298" s="41" t="s">
        <v>41</v>
      </c>
      <c r="H298" s="41">
        <v>1.05</v>
      </c>
    </row>
    <row r="299" ht="14.25" customHeight="1">
      <c r="A299" s="40">
        <v>2400.0</v>
      </c>
      <c r="B299" s="40" t="s">
        <v>38</v>
      </c>
      <c r="D299" s="41">
        <v>2382.0</v>
      </c>
      <c r="E299" s="41">
        <v>7.0</v>
      </c>
      <c r="F299" s="41" t="s">
        <v>3943</v>
      </c>
      <c r="G299" s="41" t="s">
        <v>41</v>
      </c>
      <c r="H299" s="41">
        <v>1.05</v>
      </c>
    </row>
    <row r="300" ht="14.25" customHeight="1">
      <c r="A300" s="40">
        <v>2401.0</v>
      </c>
      <c r="B300" s="40" t="s">
        <v>38</v>
      </c>
      <c r="D300" s="41">
        <v>2386.0</v>
      </c>
      <c r="E300" s="41">
        <v>4.0</v>
      </c>
      <c r="F300" s="41" t="s">
        <v>3943</v>
      </c>
      <c r="G300" s="41" t="s">
        <v>38</v>
      </c>
      <c r="H300" s="41">
        <v>1.05</v>
      </c>
    </row>
    <row r="301" ht="14.25" customHeight="1">
      <c r="A301" s="40">
        <v>2402.0</v>
      </c>
      <c r="B301" s="40" t="s">
        <v>38</v>
      </c>
      <c r="D301" s="41">
        <v>2387.0</v>
      </c>
      <c r="E301" s="41">
        <v>4.0</v>
      </c>
      <c r="F301" s="41" t="s">
        <v>3943</v>
      </c>
      <c r="G301" s="41" t="s">
        <v>38</v>
      </c>
      <c r="H301" s="41">
        <v>1.05</v>
      </c>
    </row>
    <row r="302" ht="14.25" customHeight="1">
      <c r="A302" s="40">
        <v>2403.0</v>
      </c>
      <c r="B302" s="40" t="s">
        <v>41</v>
      </c>
      <c r="D302" s="41">
        <v>2388.0</v>
      </c>
      <c r="E302" s="41">
        <v>4.0</v>
      </c>
      <c r="F302" s="41" t="s">
        <v>3943</v>
      </c>
      <c r="G302" s="41" t="s">
        <v>38</v>
      </c>
      <c r="H302" s="41">
        <v>1.05</v>
      </c>
    </row>
    <row r="303" ht="14.25" customHeight="1">
      <c r="A303" s="40">
        <v>2404.0</v>
      </c>
      <c r="B303" s="40" t="s">
        <v>41</v>
      </c>
      <c r="D303" s="41">
        <v>2390.0</v>
      </c>
      <c r="E303" s="41">
        <v>4.0</v>
      </c>
      <c r="F303" s="41" t="s">
        <v>3943</v>
      </c>
      <c r="G303" s="41" t="s">
        <v>38</v>
      </c>
      <c r="H303" s="41">
        <v>1.05</v>
      </c>
    </row>
    <row r="304" ht="14.25" customHeight="1">
      <c r="A304" s="40">
        <v>2405.0</v>
      </c>
      <c r="B304" s="40" t="s">
        <v>38</v>
      </c>
      <c r="D304" s="41">
        <v>2395.0</v>
      </c>
      <c r="E304" s="41">
        <v>4.0</v>
      </c>
      <c r="F304" s="41" t="s">
        <v>3943</v>
      </c>
      <c r="G304" s="41" t="s">
        <v>41</v>
      </c>
      <c r="H304" s="41">
        <v>1.05</v>
      </c>
    </row>
    <row r="305" ht="14.25" customHeight="1">
      <c r="A305" s="40">
        <v>2406.0</v>
      </c>
      <c r="B305" s="40" t="s">
        <v>38</v>
      </c>
      <c r="D305" s="41">
        <v>2396.0</v>
      </c>
      <c r="E305" s="41">
        <v>4.0</v>
      </c>
      <c r="F305" s="41" t="s">
        <v>3943</v>
      </c>
      <c r="G305" s="41" t="s">
        <v>41</v>
      </c>
      <c r="H305" s="41">
        <v>1.05</v>
      </c>
    </row>
    <row r="306" ht="14.25" customHeight="1">
      <c r="A306" s="40">
        <v>2408.0</v>
      </c>
      <c r="B306" s="40" t="s">
        <v>38</v>
      </c>
      <c r="D306" s="41">
        <v>2397.0</v>
      </c>
      <c r="E306" s="41">
        <v>4.0</v>
      </c>
      <c r="F306" s="41" t="s">
        <v>3943</v>
      </c>
      <c r="G306" s="41" t="s">
        <v>38</v>
      </c>
      <c r="H306" s="41">
        <v>1.05</v>
      </c>
    </row>
    <row r="307" ht="14.25" customHeight="1">
      <c r="A307" s="40">
        <v>2409.0</v>
      </c>
      <c r="B307" s="40" t="s">
        <v>38</v>
      </c>
      <c r="D307" s="41">
        <v>2398.0</v>
      </c>
      <c r="E307" s="41">
        <v>4.0</v>
      </c>
      <c r="F307" s="41" t="s">
        <v>3943</v>
      </c>
      <c r="G307" s="41" t="s">
        <v>38</v>
      </c>
      <c r="H307" s="41">
        <v>1.05</v>
      </c>
    </row>
    <row r="308" ht="14.25" customHeight="1">
      <c r="A308" s="40">
        <v>2410.0</v>
      </c>
      <c r="B308" s="40" t="s">
        <v>38</v>
      </c>
      <c r="D308" s="41">
        <v>2399.0</v>
      </c>
      <c r="E308" s="41">
        <v>4.0</v>
      </c>
      <c r="F308" s="41" t="s">
        <v>3943</v>
      </c>
      <c r="G308" s="41" t="s">
        <v>38</v>
      </c>
      <c r="H308" s="41">
        <v>1.05</v>
      </c>
    </row>
    <row r="309" ht="14.25" customHeight="1">
      <c r="A309" s="40">
        <v>2411.0</v>
      </c>
      <c r="B309" s="40" t="s">
        <v>38</v>
      </c>
      <c r="D309" s="41">
        <v>2400.0</v>
      </c>
      <c r="E309" s="41">
        <v>4.0</v>
      </c>
      <c r="F309" s="41" t="s">
        <v>3943</v>
      </c>
      <c r="G309" s="41" t="s">
        <v>38</v>
      </c>
      <c r="H309" s="41">
        <v>1.05</v>
      </c>
    </row>
    <row r="310" ht="14.25" customHeight="1">
      <c r="A310" s="40">
        <v>2415.0</v>
      </c>
      <c r="B310" s="40" t="s">
        <v>38</v>
      </c>
      <c r="D310" s="41">
        <v>2401.0</v>
      </c>
      <c r="E310" s="41">
        <v>4.0</v>
      </c>
      <c r="F310" s="41" t="s">
        <v>3943</v>
      </c>
      <c r="G310" s="41" t="s">
        <v>38</v>
      </c>
      <c r="H310" s="41">
        <v>1.05</v>
      </c>
    </row>
    <row r="311" ht="14.25" customHeight="1">
      <c r="A311" s="40">
        <v>2420.0</v>
      </c>
      <c r="B311" s="40" t="s">
        <v>38</v>
      </c>
      <c r="D311" s="41">
        <v>2402.0</v>
      </c>
      <c r="E311" s="41">
        <v>4.0</v>
      </c>
      <c r="F311" s="41" t="s">
        <v>3943</v>
      </c>
      <c r="G311" s="41" t="s">
        <v>38</v>
      </c>
      <c r="H311" s="41">
        <v>1.05</v>
      </c>
    </row>
    <row r="312" ht="14.25" customHeight="1">
      <c r="A312" s="40">
        <v>2421.0</v>
      </c>
      <c r="B312" s="40" t="s">
        <v>38</v>
      </c>
      <c r="D312" s="41">
        <v>2403.0</v>
      </c>
      <c r="E312" s="41">
        <v>7.0</v>
      </c>
      <c r="F312" s="41" t="s">
        <v>3943</v>
      </c>
      <c r="G312" s="41" t="s">
        <v>41</v>
      </c>
      <c r="H312" s="41">
        <v>1.05</v>
      </c>
    </row>
    <row r="313" ht="14.25" customHeight="1">
      <c r="A313" s="40">
        <v>2422.0</v>
      </c>
      <c r="B313" s="40" t="s">
        <v>38</v>
      </c>
      <c r="D313" s="41">
        <v>2404.0</v>
      </c>
      <c r="E313" s="41">
        <v>7.0</v>
      </c>
      <c r="F313" s="41" t="s">
        <v>3943</v>
      </c>
      <c r="G313" s="41" t="s">
        <v>41</v>
      </c>
      <c r="H313" s="41">
        <v>1.05</v>
      </c>
    </row>
    <row r="314" ht="14.25" customHeight="1">
      <c r="A314" s="40">
        <v>2423.0</v>
      </c>
      <c r="B314" s="40" t="s">
        <v>38</v>
      </c>
      <c r="D314" s="41">
        <v>2405.0</v>
      </c>
      <c r="E314" s="41">
        <v>3.0</v>
      </c>
      <c r="F314" s="41" t="s">
        <v>3943</v>
      </c>
      <c r="G314" s="41" t="s">
        <v>38</v>
      </c>
      <c r="H314" s="41">
        <v>1.05</v>
      </c>
    </row>
    <row r="315" ht="14.25" customHeight="1">
      <c r="A315" s="40">
        <v>2424.0</v>
      </c>
      <c r="B315" s="40" t="s">
        <v>38</v>
      </c>
      <c r="D315" s="41">
        <v>2406.0</v>
      </c>
      <c r="E315" s="41">
        <v>4.0</v>
      </c>
      <c r="F315" s="41" t="s">
        <v>3943</v>
      </c>
      <c r="G315" s="41" t="s">
        <v>38</v>
      </c>
      <c r="H315" s="41">
        <v>1.05</v>
      </c>
    </row>
    <row r="316" ht="14.25" customHeight="1">
      <c r="A316" s="40">
        <v>2425.0</v>
      </c>
      <c r="B316" s="40" t="s">
        <v>38</v>
      </c>
      <c r="D316" s="41">
        <v>2408.0</v>
      </c>
      <c r="E316" s="41">
        <v>4.0</v>
      </c>
      <c r="F316" s="41" t="s">
        <v>3943</v>
      </c>
      <c r="G316" s="41" t="s">
        <v>38</v>
      </c>
      <c r="H316" s="41">
        <v>1.05</v>
      </c>
    </row>
    <row r="317" ht="14.25" customHeight="1">
      <c r="A317" s="40">
        <v>2426.0</v>
      </c>
      <c r="B317" s="40" t="s">
        <v>38</v>
      </c>
      <c r="D317" s="41">
        <v>2409.0</v>
      </c>
      <c r="E317" s="41">
        <v>4.0</v>
      </c>
      <c r="F317" s="41" t="s">
        <v>3943</v>
      </c>
      <c r="G317" s="41" t="s">
        <v>38</v>
      </c>
      <c r="H317" s="41">
        <v>1.05</v>
      </c>
    </row>
    <row r="318" ht="14.25" customHeight="1">
      <c r="A318" s="40">
        <v>2427.0</v>
      </c>
      <c r="B318" s="40" t="s">
        <v>38</v>
      </c>
      <c r="D318" s="41">
        <v>2410.0</v>
      </c>
      <c r="E318" s="41">
        <v>4.0</v>
      </c>
      <c r="F318" s="41" t="s">
        <v>3943</v>
      </c>
      <c r="G318" s="41" t="s">
        <v>38</v>
      </c>
      <c r="H318" s="41">
        <v>1.05</v>
      </c>
    </row>
    <row r="319" ht="14.25" customHeight="1">
      <c r="A319" s="40">
        <v>2428.0</v>
      </c>
      <c r="B319" s="40" t="s">
        <v>38</v>
      </c>
      <c r="D319" s="41">
        <v>2411.0</v>
      </c>
      <c r="E319" s="41">
        <v>4.0</v>
      </c>
      <c r="F319" s="41" t="s">
        <v>3943</v>
      </c>
      <c r="G319" s="41" t="s">
        <v>38</v>
      </c>
      <c r="H319" s="41">
        <v>1.05</v>
      </c>
    </row>
    <row r="320" ht="14.25" customHeight="1">
      <c r="A320" s="40">
        <v>2429.0</v>
      </c>
      <c r="B320" s="40" t="s">
        <v>38</v>
      </c>
      <c r="D320" s="41">
        <v>2415.0</v>
      </c>
      <c r="E320" s="41">
        <v>6.0</v>
      </c>
      <c r="F320" s="41" t="s">
        <v>3943</v>
      </c>
      <c r="G320" s="41" t="s">
        <v>38</v>
      </c>
      <c r="H320" s="41">
        <v>1.05</v>
      </c>
    </row>
    <row r="321" ht="14.25" customHeight="1">
      <c r="A321" s="40">
        <v>2430.0</v>
      </c>
      <c r="B321" s="40" t="s">
        <v>38</v>
      </c>
      <c r="D321" s="41">
        <v>2420.0</v>
      </c>
      <c r="E321" s="41">
        <v>6.0</v>
      </c>
      <c r="F321" s="41" t="s">
        <v>3943</v>
      </c>
      <c r="G321" s="41" t="s">
        <v>38</v>
      </c>
      <c r="H321" s="41">
        <v>1.05</v>
      </c>
    </row>
    <row r="322" ht="14.25" customHeight="1">
      <c r="A322" s="40">
        <v>2431.0</v>
      </c>
      <c r="B322" s="40" t="s">
        <v>38</v>
      </c>
      <c r="D322" s="41">
        <v>2421.0</v>
      </c>
      <c r="E322" s="41">
        <v>6.0</v>
      </c>
      <c r="F322" s="41" t="s">
        <v>3943</v>
      </c>
      <c r="G322" s="41" t="s">
        <v>38</v>
      </c>
      <c r="H322" s="41">
        <v>1.05</v>
      </c>
    </row>
    <row r="323" ht="14.25" customHeight="1">
      <c r="A323" s="40">
        <v>2439.0</v>
      </c>
      <c r="B323" s="40" t="s">
        <v>38</v>
      </c>
      <c r="D323" s="41">
        <v>2422.0</v>
      </c>
      <c r="E323" s="41">
        <v>6.0</v>
      </c>
      <c r="F323" s="41" t="s">
        <v>3943</v>
      </c>
      <c r="G323" s="41" t="s">
        <v>38</v>
      </c>
      <c r="H323" s="41">
        <v>1.05</v>
      </c>
    </row>
    <row r="324" ht="14.25" customHeight="1">
      <c r="A324" s="40">
        <v>2440.0</v>
      </c>
      <c r="B324" s="40" t="s">
        <v>38</v>
      </c>
      <c r="D324" s="41">
        <v>2423.0</v>
      </c>
      <c r="E324" s="41">
        <v>2.0</v>
      </c>
      <c r="F324" s="41" t="s">
        <v>3943</v>
      </c>
      <c r="G324" s="41" t="s">
        <v>38</v>
      </c>
      <c r="H324" s="41">
        <v>1.05</v>
      </c>
    </row>
    <row r="325" ht="14.25" customHeight="1">
      <c r="A325" s="40">
        <v>2441.0</v>
      </c>
      <c r="B325" s="40" t="s">
        <v>38</v>
      </c>
      <c r="D325" s="41">
        <v>2424.0</v>
      </c>
      <c r="E325" s="41">
        <v>6.0</v>
      </c>
      <c r="F325" s="41" t="s">
        <v>3943</v>
      </c>
      <c r="G325" s="41" t="s">
        <v>38</v>
      </c>
      <c r="H325" s="41">
        <v>1.05</v>
      </c>
    </row>
    <row r="326" ht="14.25" customHeight="1">
      <c r="A326" s="40">
        <v>2443.0</v>
      </c>
      <c r="B326" s="40" t="s">
        <v>38</v>
      </c>
      <c r="D326" s="41">
        <v>2425.0</v>
      </c>
      <c r="E326" s="41">
        <v>6.0</v>
      </c>
      <c r="F326" s="41" t="s">
        <v>3943</v>
      </c>
      <c r="G326" s="41" t="s">
        <v>38</v>
      </c>
      <c r="H326" s="41">
        <v>1.05</v>
      </c>
    </row>
    <row r="327" ht="14.25" customHeight="1">
      <c r="A327" s="40">
        <v>2444.0</v>
      </c>
      <c r="B327" s="40" t="s">
        <v>38</v>
      </c>
      <c r="D327" s="41">
        <v>2426.0</v>
      </c>
      <c r="E327" s="41">
        <v>5.0</v>
      </c>
      <c r="F327" s="41" t="s">
        <v>3943</v>
      </c>
      <c r="G327" s="41" t="s">
        <v>38</v>
      </c>
      <c r="H327" s="41">
        <v>1.05</v>
      </c>
    </row>
    <row r="328" ht="14.25" customHeight="1">
      <c r="A328" s="40">
        <v>2445.0</v>
      </c>
      <c r="B328" s="40" t="s">
        <v>38</v>
      </c>
      <c r="D328" s="41">
        <v>2427.0</v>
      </c>
      <c r="E328" s="41">
        <v>5.0</v>
      </c>
      <c r="F328" s="41" t="s">
        <v>3943</v>
      </c>
      <c r="G328" s="41" t="s">
        <v>38</v>
      </c>
      <c r="H328" s="41">
        <v>1.05</v>
      </c>
    </row>
    <row r="329" ht="14.25" customHeight="1">
      <c r="A329" s="40">
        <v>2446.0</v>
      </c>
      <c r="B329" s="40" t="s">
        <v>38</v>
      </c>
      <c r="D329" s="41">
        <v>2428.0</v>
      </c>
      <c r="E329" s="41">
        <v>5.0</v>
      </c>
      <c r="F329" s="41" t="s">
        <v>3943</v>
      </c>
      <c r="G329" s="41" t="s">
        <v>38</v>
      </c>
      <c r="H329" s="41">
        <v>1.05</v>
      </c>
    </row>
    <row r="330" ht="14.25" customHeight="1">
      <c r="A330" s="40">
        <v>2447.0</v>
      </c>
      <c r="B330" s="40" t="s">
        <v>38</v>
      </c>
      <c r="D330" s="41">
        <v>2429.0</v>
      </c>
      <c r="E330" s="41">
        <v>5.0</v>
      </c>
      <c r="F330" s="41" t="s">
        <v>3943</v>
      </c>
      <c r="G330" s="41" t="s">
        <v>38</v>
      </c>
      <c r="H330" s="41">
        <v>1.05</v>
      </c>
    </row>
    <row r="331" ht="14.25" customHeight="1">
      <c r="A331" s="40">
        <v>2448.0</v>
      </c>
      <c r="B331" s="40" t="s">
        <v>38</v>
      </c>
      <c r="D331" s="41">
        <v>2430.0</v>
      </c>
      <c r="E331" s="41">
        <v>5.0</v>
      </c>
      <c r="F331" s="41" t="s">
        <v>3943</v>
      </c>
      <c r="G331" s="41" t="s">
        <v>38</v>
      </c>
      <c r="H331" s="41">
        <v>1.05</v>
      </c>
    </row>
    <row r="332" ht="14.25" customHeight="1">
      <c r="A332" s="40">
        <v>2449.0</v>
      </c>
      <c r="B332" s="40" t="s">
        <v>38</v>
      </c>
      <c r="D332" s="41">
        <v>2431.0</v>
      </c>
      <c r="E332" s="41">
        <v>2.0</v>
      </c>
      <c r="F332" s="41" t="s">
        <v>3943</v>
      </c>
      <c r="G332" s="41" t="s">
        <v>38</v>
      </c>
      <c r="H332" s="41">
        <v>1.05</v>
      </c>
    </row>
    <row r="333" ht="14.25" customHeight="1">
      <c r="A333" s="40">
        <v>2450.0</v>
      </c>
      <c r="B333" s="40" t="s">
        <v>38</v>
      </c>
      <c r="D333" s="41">
        <v>2439.0</v>
      </c>
      <c r="E333" s="41">
        <v>5.0</v>
      </c>
      <c r="F333" s="41" t="s">
        <v>3943</v>
      </c>
      <c r="G333" s="41" t="s">
        <v>38</v>
      </c>
      <c r="H333" s="41">
        <v>1.05</v>
      </c>
    </row>
    <row r="334" ht="14.25" customHeight="1">
      <c r="A334" s="40">
        <v>2452.0</v>
      </c>
      <c r="B334" s="40" t="s">
        <v>38</v>
      </c>
      <c r="D334" s="41">
        <v>2440.0</v>
      </c>
      <c r="E334" s="41">
        <v>2.0</v>
      </c>
      <c r="F334" s="41" t="s">
        <v>3943</v>
      </c>
      <c r="G334" s="41" t="s">
        <v>38</v>
      </c>
      <c r="H334" s="41">
        <v>1.05</v>
      </c>
    </row>
    <row r="335" ht="14.25" customHeight="1">
      <c r="A335" s="40">
        <v>2453.0</v>
      </c>
      <c r="B335" s="40" t="s">
        <v>41</v>
      </c>
      <c r="D335" s="41">
        <v>2441.0</v>
      </c>
      <c r="E335" s="41">
        <v>2.0</v>
      </c>
      <c r="F335" s="41" t="s">
        <v>3943</v>
      </c>
      <c r="G335" s="41" t="s">
        <v>38</v>
      </c>
      <c r="H335" s="41">
        <v>1.05</v>
      </c>
    </row>
    <row r="336" ht="14.25" customHeight="1">
      <c r="A336" s="40">
        <v>2454.0</v>
      </c>
      <c r="B336" s="40" t="s">
        <v>38</v>
      </c>
      <c r="D336" s="41">
        <v>2443.0</v>
      </c>
      <c r="E336" s="41">
        <v>5.0</v>
      </c>
      <c r="F336" s="41" t="s">
        <v>3943</v>
      </c>
      <c r="G336" s="41" t="s">
        <v>38</v>
      </c>
      <c r="H336" s="41">
        <v>1.05</v>
      </c>
    </row>
    <row r="337" ht="14.25" customHeight="1">
      <c r="A337" s="40">
        <v>2455.0</v>
      </c>
      <c r="B337" s="40" t="s">
        <v>38</v>
      </c>
      <c r="D337" s="41">
        <v>2444.0</v>
      </c>
      <c r="E337" s="41">
        <v>5.0</v>
      </c>
      <c r="F337" s="41" t="s">
        <v>3943</v>
      </c>
      <c r="G337" s="41" t="s">
        <v>38</v>
      </c>
      <c r="H337" s="41">
        <v>1.05</v>
      </c>
    </row>
    <row r="338" ht="14.25" customHeight="1">
      <c r="A338" s="40">
        <v>2456.0</v>
      </c>
      <c r="B338" s="40" t="s">
        <v>38</v>
      </c>
      <c r="D338" s="41">
        <v>2445.0</v>
      </c>
      <c r="E338" s="41">
        <v>5.0</v>
      </c>
      <c r="F338" s="41" t="s">
        <v>3943</v>
      </c>
      <c r="G338" s="41" t="s">
        <v>38</v>
      </c>
      <c r="H338" s="41">
        <v>1.05</v>
      </c>
    </row>
    <row r="339" ht="14.25" customHeight="1">
      <c r="A339" s="40">
        <v>2460.0</v>
      </c>
      <c r="B339" s="40" t="s">
        <v>38</v>
      </c>
      <c r="D339" s="41">
        <v>2446.0</v>
      </c>
      <c r="E339" s="41">
        <v>5.0</v>
      </c>
      <c r="F339" s="41" t="s">
        <v>3943</v>
      </c>
      <c r="G339" s="41" t="s">
        <v>38</v>
      </c>
      <c r="H339" s="41">
        <v>1.05</v>
      </c>
    </row>
    <row r="340" ht="14.25" customHeight="1">
      <c r="A340" s="40">
        <v>2462.0</v>
      </c>
      <c r="B340" s="40" t="s">
        <v>38</v>
      </c>
      <c r="D340" s="41">
        <v>2447.0</v>
      </c>
      <c r="E340" s="41">
        <v>2.0</v>
      </c>
      <c r="F340" s="41" t="s">
        <v>3943</v>
      </c>
      <c r="G340" s="41" t="s">
        <v>38</v>
      </c>
      <c r="H340" s="41">
        <v>1.05</v>
      </c>
    </row>
    <row r="341" ht="14.25" customHeight="1">
      <c r="A341" s="40">
        <v>2463.0</v>
      </c>
      <c r="B341" s="40" t="s">
        <v>38</v>
      </c>
      <c r="D341" s="41">
        <v>2448.0</v>
      </c>
      <c r="E341" s="41">
        <v>2.0</v>
      </c>
      <c r="F341" s="41" t="s">
        <v>3943</v>
      </c>
      <c r="G341" s="41" t="s">
        <v>38</v>
      </c>
      <c r="H341" s="41">
        <v>1.05</v>
      </c>
    </row>
    <row r="342" ht="14.25" customHeight="1">
      <c r="A342" s="40">
        <v>2464.0</v>
      </c>
      <c r="B342" s="40" t="s">
        <v>38</v>
      </c>
      <c r="D342" s="41">
        <v>2449.0</v>
      </c>
      <c r="E342" s="41">
        <v>2.0</v>
      </c>
      <c r="F342" s="41" t="s">
        <v>3943</v>
      </c>
      <c r="G342" s="41" t="s">
        <v>38</v>
      </c>
      <c r="H342" s="41">
        <v>1.05</v>
      </c>
    </row>
    <row r="343" ht="14.25" customHeight="1">
      <c r="A343" s="40">
        <v>2465.0</v>
      </c>
      <c r="B343" s="40" t="s">
        <v>38</v>
      </c>
      <c r="D343" s="41">
        <v>2450.0</v>
      </c>
      <c r="E343" s="41">
        <v>2.0</v>
      </c>
      <c r="F343" s="41" t="s">
        <v>3943</v>
      </c>
      <c r="G343" s="41" t="s">
        <v>38</v>
      </c>
      <c r="H343" s="41">
        <v>1.05</v>
      </c>
    </row>
    <row r="344" ht="14.25" customHeight="1">
      <c r="A344" s="40">
        <v>2466.0</v>
      </c>
      <c r="B344" s="40" t="s">
        <v>38</v>
      </c>
      <c r="D344" s="41">
        <v>2452.0</v>
      </c>
      <c r="E344" s="41">
        <v>2.0</v>
      </c>
      <c r="F344" s="41" t="s">
        <v>3943</v>
      </c>
      <c r="G344" s="41" t="s">
        <v>38</v>
      </c>
      <c r="H344" s="41">
        <v>1.05</v>
      </c>
    </row>
    <row r="345" ht="14.25" customHeight="1">
      <c r="A345" s="40">
        <v>2469.0</v>
      </c>
      <c r="B345" s="40" t="s">
        <v>38</v>
      </c>
      <c r="D345" s="41">
        <v>2453.0</v>
      </c>
      <c r="E345" s="41">
        <v>7.0</v>
      </c>
      <c r="F345" s="41" t="s">
        <v>3943</v>
      </c>
      <c r="G345" s="41" t="s">
        <v>41</v>
      </c>
      <c r="H345" s="41">
        <v>1.05</v>
      </c>
    </row>
    <row r="346" ht="14.25" customHeight="1">
      <c r="A346" s="40">
        <v>2470.0</v>
      </c>
      <c r="B346" s="40" t="s">
        <v>38</v>
      </c>
      <c r="D346" s="41">
        <v>2454.0</v>
      </c>
      <c r="E346" s="41">
        <v>2.0</v>
      </c>
      <c r="F346" s="41" t="s">
        <v>3943</v>
      </c>
      <c r="G346" s="41" t="s">
        <v>38</v>
      </c>
      <c r="H346" s="41">
        <v>1.05</v>
      </c>
    </row>
    <row r="347" ht="14.25" customHeight="1">
      <c r="A347" s="40">
        <v>2471.0</v>
      </c>
      <c r="B347" s="40" t="s">
        <v>38</v>
      </c>
      <c r="D347" s="41">
        <v>2455.0</v>
      </c>
      <c r="E347" s="41">
        <v>2.0</v>
      </c>
      <c r="F347" s="41" t="s">
        <v>3943</v>
      </c>
      <c r="G347" s="41" t="s">
        <v>38</v>
      </c>
      <c r="H347" s="41">
        <v>1.05</v>
      </c>
    </row>
    <row r="348" ht="14.25" customHeight="1">
      <c r="A348" s="40">
        <v>2472.0</v>
      </c>
      <c r="B348" s="40" t="s">
        <v>38</v>
      </c>
      <c r="D348" s="41">
        <v>2456.0</v>
      </c>
      <c r="E348" s="41">
        <v>2.0</v>
      </c>
      <c r="F348" s="41" t="s">
        <v>3943</v>
      </c>
      <c r="G348" s="41" t="s">
        <v>38</v>
      </c>
      <c r="H348" s="41">
        <v>1.05</v>
      </c>
    </row>
    <row r="349" ht="14.25" customHeight="1">
      <c r="A349" s="40">
        <v>2473.0</v>
      </c>
      <c r="B349" s="40" t="s">
        <v>38</v>
      </c>
      <c r="D349" s="41">
        <v>2460.0</v>
      </c>
      <c r="E349" s="41">
        <v>2.0</v>
      </c>
      <c r="F349" s="41" t="s">
        <v>3943</v>
      </c>
      <c r="G349" s="41" t="s">
        <v>38</v>
      </c>
      <c r="H349" s="41">
        <v>1.05</v>
      </c>
    </row>
    <row r="350" ht="14.25" customHeight="1">
      <c r="A350" s="40">
        <v>2474.0</v>
      </c>
      <c r="B350" s="40" t="s">
        <v>38</v>
      </c>
      <c r="D350" s="41">
        <v>2462.0</v>
      </c>
      <c r="E350" s="41">
        <v>2.0</v>
      </c>
      <c r="F350" s="41" t="s">
        <v>3943</v>
      </c>
      <c r="G350" s="41" t="s">
        <v>38</v>
      </c>
      <c r="H350" s="41">
        <v>1.05</v>
      </c>
    </row>
    <row r="351" ht="14.25" customHeight="1">
      <c r="A351" s="40">
        <v>2475.0</v>
      </c>
      <c r="B351" s="40" t="s">
        <v>41</v>
      </c>
      <c r="D351" s="41">
        <v>2463.0</v>
      </c>
      <c r="E351" s="41">
        <v>2.0</v>
      </c>
      <c r="F351" s="41" t="s">
        <v>3943</v>
      </c>
      <c r="G351" s="41" t="s">
        <v>38</v>
      </c>
      <c r="H351" s="41">
        <v>1.05</v>
      </c>
    </row>
    <row r="352" ht="14.25" customHeight="1">
      <c r="A352" s="40">
        <v>2476.0</v>
      </c>
      <c r="B352" s="40" t="s">
        <v>41</v>
      </c>
      <c r="D352" s="41">
        <v>2464.0</v>
      </c>
      <c r="E352" s="41">
        <v>2.0</v>
      </c>
      <c r="F352" s="41" t="s">
        <v>3943</v>
      </c>
      <c r="G352" s="41" t="s">
        <v>38</v>
      </c>
      <c r="H352" s="41">
        <v>1.05</v>
      </c>
    </row>
    <row r="353" ht="14.25" customHeight="1">
      <c r="A353" s="40">
        <v>2477.0</v>
      </c>
      <c r="B353" s="40" t="s">
        <v>35</v>
      </c>
      <c r="D353" s="41">
        <v>2465.0</v>
      </c>
      <c r="E353" s="41">
        <v>2.0</v>
      </c>
      <c r="F353" s="41" t="s">
        <v>3943</v>
      </c>
      <c r="G353" s="41" t="s">
        <v>38</v>
      </c>
      <c r="H353" s="41">
        <v>1.05</v>
      </c>
    </row>
    <row r="354" ht="14.25" customHeight="1">
      <c r="A354" s="40">
        <v>2478.0</v>
      </c>
      <c r="B354" s="40" t="s">
        <v>35</v>
      </c>
      <c r="D354" s="41">
        <v>2466.0</v>
      </c>
      <c r="E354" s="41">
        <v>2.0</v>
      </c>
      <c r="F354" s="41" t="s">
        <v>3943</v>
      </c>
      <c r="G354" s="41" t="s">
        <v>38</v>
      </c>
      <c r="H354" s="41">
        <v>1.05</v>
      </c>
    </row>
    <row r="355" ht="14.25" customHeight="1">
      <c r="A355" s="40">
        <v>2479.0</v>
      </c>
      <c r="B355" s="40" t="s">
        <v>35</v>
      </c>
      <c r="D355" s="41">
        <v>2469.0</v>
      </c>
      <c r="E355" s="41">
        <v>2.0</v>
      </c>
      <c r="F355" s="41" t="s">
        <v>3943</v>
      </c>
      <c r="G355" s="41" t="s">
        <v>38</v>
      </c>
      <c r="H355" s="41">
        <v>1.05</v>
      </c>
    </row>
    <row r="356" ht="14.25" customHeight="1">
      <c r="A356" s="40">
        <v>2480.0</v>
      </c>
      <c r="B356" s="40" t="s">
        <v>38</v>
      </c>
      <c r="D356" s="41">
        <v>2470.0</v>
      </c>
      <c r="E356" s="41">
        <v>2.0</v>
      </c>
      <c r="F356" s="41" t="s">
        <v>3943</v>
      </c>
      <c r="G356" s="41" t="s">
        <v>38</v>
      </c>
      <c r="H356" s="41">
        <v>1.05</v>
      </c>
    </row>
    <row r="357" ht="14.25" customHeight="1">
      <c r="A357" s="40">
        <v>2481.0</v>
      </c>
      <c r="B357" s="40" t="s">
        <v>35</v>
      </c>
      <c r="D357" s="41">
        <v>2471.0</v>
      </c>
      <c r="E357" s="41">
        <v>2.0</v>
      </c>
      <c r="F357" s="41" t="s">
        <v>3943</v>
      </c>
      <c r="G357" s="41" t="s">
        <v>38</v>
      </c>
      <c r="H357" s="41">
        <v>1.05</v>
      </c>
    </row>
    <row r="358" ht="14.25" customHeight="1">
      <c r="A358" s="40">
        <v>2482.0</v>
      </c>
      <c r="B358" s="40" t="s">
        <v>35</v>
      </c>
      <c r="D358" s="41">
        <v>2472.0</v>
      </c>
      <c r="E358" s="41">
        <v>2.0</v>
      </c>
      <c r="F358" s="41" t="s">
        <v>3943</v>
      </c>
      <c r="G358" s="41" t="s">
        <v>38</v>
      </c>
      <c r="H358" s="41">
        <v>1.05</v>
      </c>
    </row>
    <row r="359" ht="14.25" customHeight="1">
      <c r="A359" s="40">
        <v>2483.0</v>
      </c>
      <c r="B359" s="40" t="s">
        <v>35</v>
      </c>
      <c r="D359" s="41">
        <v>2473.0</v>
      </c>
      <c r="E359" s="41">
        <v>2.0</v>
      </c>
      <c r="F359" s="41" t="s">
        <v>3943</v>
      </c>
      <c r="G359" s="41" t="s">
        <v>38</v>
      </c>
      <c r="H359" s="41">
        <v>1.05</v>
      </c>
    </row>
    <row r="360" ht="14.25" customHeight="1">
      <c r="A360" s="40">
        <v>2484.0</v>
      </c>
      <c r="B360" s="40" t="s">
        <v>35</v>
      </c>
      <c r="D360" s="41">
        <v>2474.0</v>
      </c>
      <c r="E360" s="41">
        <v>2.0</v>
      </c>
      <c r="F360" s="41" t="s">
        <v>3943</v>
      </c>
      <c r="G360" s="41" t="s">
        <v>38</v>
      </c>
      <c r="H360" s="41">
        <v>1.05</v>
      </c>
    </row>
    <row r="361" ht="14.25" customHeight="1">
      <c r="A361" s="40">
        <v>2485.0</v>
      </c>
      <c r="B361" s="40" t="s">
        <v>35</v>
      </c>
      <c r="D361" s="41">
        <v>2475.0</v>
      </c>
      <c r="E361" s="41">
        <v>2.0</v>
      </c>
      <c r="F361" s="41" t="s">
        <v>3943</v>
      </c>
      <c r="G361" s="41" t="s">
        <v>41</v>
      </c>
      <c r="H361" s="41">
        <v>1.05</v>
      </c>
    </row>
    <row r="362" ht="14.25" customHeight="1">
      <c r="A362" s="40">
        <v>2486.0</v>
      </c>
      <c r="B362" s="40" t="s">
        <v>35</v>
      </c>
      <c r="D362" s="41">
        <v>2476.0</v>
      </c>
      <c r="E362" s="41">
        <v>7.0</v>
      </c>
      <c r="F362" s="41" t="s">
        <v>3943</v>
      </c>
      <c r="G362" s="41" t="s">
        <v>41</v>
      </c>
      <c r="H362" s="41">
        <v>1.05</v>
      </c>
    </row>
    <row r="363" ht="14.25" customHeight="1">
      <c r="A363" s="40">
        <v>2487.0</v>
      </c>
      <c r="B363" s="40" t="s">
        <v>35</v>
      </c>
      <c r="D363" s="41">
        <v>2477.0</v>
      </c>
      <c r="E363" s="41">
        <v>2.0</v>
      </c>
      <c r="F363" s="41" t="s">
        <v>3943</v>
      </c>
      <c r="G363" s="41" t="s">
        <v>35</v>
      </c>
      <c r="H363" s="41">
        <v>1.05</v>
      </c>
    </row>
    <row r="364" ht="14.25" customHeight="1">
      <c r="A364" s="40">
        <v>2488.0</v>
      </c>
      <c r="B364" s="40" t="s">
        <v>35</v>
      </c>
      <c r="D364" s="41">
        <v>2478.0</v>
      </c>
      <c r="E364" s="41">
        <v>2.0</v>
      </c>
      <c r="F364" s="41" t="s">
        <v>3943</v>
      </c>
      <c r="G364" s="41" t="s">
        <v>35</v>
      </c>
      <c r="H364" s="41">
        <v>1.05</v>
      </c>
    </row>
    <row r="365" ht="14.25" customHeight="1">
      <c r="A365" s="40">
        <v>2489.0</v>
      </c>
      <c r="B365" s="40" t="s">
        <v>35</v>
      </c>
      <c r="D365" s="41">
        <v>2479.0</v>
      </c>
      <c r="E365" s="41">
        <v>2.0</v>
      </c>
      <c r="F365" s="41" t="s">
        <v>3943</v>
      </c>
      <c r="G365" s="41" t="s">
        <v>35</v>
      </c>
      <c r="H365" s="41">
        <v>1.05</v>
      </c>
    </row>
    <row r="366" ht="14.25" customHeight="1">
      <c r="A366" s="40">
        <v>2490.0</v>
      </c>
      <c r="B366" s="40" t="s">
        <v>35</v>
      </c>
      <c r="D366" s="41">
        <v>2480.0</v>
      </c>
      <c r="E366" s="41">
        <v>2.0</v>
      </c>
      <c r="F366" s="41" t="s">
        <v>3943</v>
      </c>
      <c r="G366" s="41" t="s">
        <v>38</v>
      </c>
      <c r="H366" s="41">
        <v>1.05</v>
      </c>
    </row>
    <row r="367" ht="14.25" customHeight="1">
      <c r="A367" s="40">
        <v>2500.0</v>
      </c>
      <c r="B367" s="40" t="s">
        <v>38</v>
      </c>
      <c r="D367" s="41">
        <v>2481.0</v>
      </c>
      <c r="E367" s="41">
        <v>2.0</v>
      </c>
      <c r="F367" s="41" t="s">
        <v>3943</v>
      </c>
      <c r="G367" s="41" t="s">
        <v>35</v>
      </c>
      <c r="H367" s="41">
        <v>1.05</v>
      </c>
    </row>
    <row r="368" ht="14.25" customHeight="1">
      <c r="A368" s="40">
        <v>2502.0</v>
      </c>
      <c r="B368" s="40" t="s">
        <v>38</v>
      </c>
      <c r="D368" s="41">
        <v>2482.0</v>
      </c>
      <c r="E368" s="41">
        <v>2.0</v>
      </c>
      <c r="F368" s="41" t="s">
        <v>3943</v>
      </c>
      <c r="G368" s="41" t="s">
        <v>35</v>
      </c>
      <c r="H368" s="41">
        <v>1.05</v>
      </c>
    </row>
    <row r="369" ht="14.25" customHeight="1">
      <c r="A369" s="40">
        <v>2505.0</v>
      </c>
      <c r="B369" s="40" t="s">
        <v>38</v>
      </c>
      <c r="D369" s="41">
        <v>2483.0</v>
      </c>
      <c r="E369" s="41">
        <v>2.0</v>
      </c>
      <c r="F369" s="41" t="s">
        <v>3943</v>
      </c>
      <c r="G369" s="41" t="s">
        <v>35</v>
      </c>
      <c r="H369" s="41">
        <v>1.05</v>
      </c>
    </row>
    <row r="370" ht="14.25" customHeight="1">
      <c r="A370" s="40">
        <v>2506.0</v>
      </c>
      <c r="B370" s="40" t="s">
        <v>38</v>
      </c>
      <c r="D370" s="41">
        <v>2484.0</v>
      </c>
      <c r="E370" s="41">
        <v>2.0</v>
      </c>
      <c r="F370" s="41" t="s">
        <v>3943</v>
      </c>
      <c r="G370" s="41" t="s">
        <v>35</v>
      </c>
      <c r="H370" s="41">
        <v>1.05</v>
      </c>
    </row>
    <row r="371" ht="14.25" customHeight="1">
      <c r="A371" s="40">
        <v>2508.0</v>
      </c>
      <c r="B371" s="40" t="s">
        <v>38</v>
      </c>
      <c r="D371" s="41">
        <v>2485.0</v>
      </c>
      <c r="E371" s="41">
        <v>2.0</v>
      </c>
      <c r="F371" s="41" t="s">
        <v>3943</v>
      </c>
      <c r="G371" s="41" t="s">
        <v>35</v>
      </c>
      <c r="H371" s="41">
        <v>1.05</v>
      </c>
    </row>
    <row r="372" ht="14.25" customHeight="1">
      <c r="A372" s="40">
        <v>2515.0</v>
      </c>
      <c r="B372" s="40" t="s">
        <v>38</v>
      </c>
      <c r="D372" s="41">
        <v>2486.0</v>
      </c>
      <c r="E372" s="41">
        <v>2.0</v>
      </c>
      <c r="F372" s="41" t="s">
        <v>3943</v>
      </c>
      <c r="G372" s="41" t="s">
        <v>35</v>
      </c>
      <c r="H372" s="41">
        <v>1.05</v>
      </c>
    </row>
    <row r="373" ht="14.25" customHeight="1">
      <c r="A373" s="40">
        <v>2516.0</v>
      </c>
      <c r="B373" s="40" t="s">
        <v>38</v>
      </c>
      <c r="D373" s="41">
        <v>2487.0</v>
      </c>
      <c r="E373" s="41">
        <v>2.0</v>
      </c>
      <c r="F373" s="41" t="s">
        <v>3943</v>
      </c>
      <c r="G373" s="41" t="s">
        <v>35</v>
      </c>
      <c r="H373" s="41">
        <v>1.05</v>
      </c>
    </row>
    <row r="374" ht="14.25" customHeight="1">
      <c r="A374" s="40">
        <v>2517.0</v>
      </c>
      <c r="B374" s="40" t="s">
        <v>38</v>
      </c>
      <c r="D374" s="41">
        <v>2488.0</v>
      </c>
      <c r="E374" s="41">
        <v>2.0</v>
      </c>
      <c r="F374" s="41" t="s">
        <v>3943</v>
      </c>
      <c r="G374" s="41" t="s">
        <v>35</v>
      </c>
      <c r="H374" s="41">
        <v>1.05</v>
      </c>
    </row>
    <row r="375" ht="14.25" customHeight="1">
      <c r="A375" s="40">
        <v>2518.0</v>
      </c>
      <c r="B375" s="40" t="s">
        <v>38</v>
      </c>
      <c r="D375" s="41">
        <v>2489.0</v>
      </c>
      <c r="E375" s="41">
        <v>2.0</v>
      </c>
      <c r="F375" s="41" t="s">
        <v>3943</v>
      </c>
      <c r="G375" s="41" t="s">
        <v>35</v>
      </c>
      <c r="H375" s="41">
        <v>1.05</v>
      </c>
    </row>
    <row r="376" ht="14.25" customHeight="1">
      <c r="A376" s="40">
        <v>2519.0</v>
      </c>
      <c r="B376" s="40" t="s">
        <v>38</v>
      </c>
      <c r="D376" s="41">
        <v>2490.0</v>
      </c>
      <c r="E376" s="41">
        <v>2.0</v>
      </c>
      <c r="F376" s="41" t="s">
        <v>3943</v>
      </c>
      <c r="G376" s="41" t="s">
        <v>35</v>
      </c>
      <c r="H376" s="41">
        <v>1.05</v>
      </c>
    </row>
    <row r="377" ht="14.25" customHeight="1">
      <c r="A377" s="40">
        <v>2525.0</v>
      </c>
      <c r="B377" s="40" t="s">
        <v>38</v>
      </c>
      <c r="D377" s="41">
        <v>2500.0</v>
      </c>
      <c r="E377" s="41">
        <v>5.0</v>
      </c>
      <c r="F377" s="41" t="s">
        <v>3942</v>
      </c>
      <c r="G377" s="41" t="s">
        <v>38</v>
      </c>
      <c r="H377" s="41">
        <v>1.05</v>
      </c>
    </row>
    <row r="378" ht="14.25" customHeight="1">
      <c r="A378" s="40">
        <v>2526.0</v>
      </c>
      <c r="B378" s="40" t="s">
        <v>38</v>
      </c>
      <c r="D378" s="41">
        <v>2502.0</v>
      </c>
      <c r="E378" s="41">
        <v>5.0</v>
      </c>
      <c r="F378" s="41" t="s">
        <v>3942</v>
      </c>
      <c r="G378" s="41" t="s">
        <v>38</v>
      </c>
      <c r="H378" s="41">
        <v>1.05</v>
      </c>
    </row>
    <row r="379" ht="14.25" customHeight="1">
      <c r="A379" s="40">
        <v>2527.0</v>
      </c>
      <c r="B379" s="40" t="s">
        <v>41</v>
      </c>
      <c r="D379" s="41">
        <v>2505.0</v>
      </c>
      <c r="E379" s="41">
        <v>5.0</v>
      </c>
      <c r="F379" s="41" t="s">
        <v>3942</v>
      </c>
      <c r="G379" s="41" t="s">
        <v>38</v>
      </c>
      <c r="H379" s="41">
        <v>1.05</v>
      </c>
    </row>
    <row r="380" ht="14.25" customHeight="1">
      <c r="A380" s="40">
        <v>2528.0</v>
      </c>
      <c r="B380" s="40" t="s">
        <v>38</v>
      </c>
      <c r="D380" s="41">
        <v>2506.0</v>
      </c>
      <c r="E380" s="41">
        <v>5.0</v>
      </c>
      <c r="F380" s="41" t="s">
        <v>3942</v>
      </c>
      <c r="G380" s="41" t="s">
        <v>38</v>
      </c>
      <c r="H380" s="41">
        <v>1.05</v>
      </c>
    </row>
    <row r="381" ht="14.25" customHeight="1">
      <c r="A381" s="40">
        <v>2529.0</v>
      </c>
      <c r="B381" s="40" t="s">
        <v>41</v>
      </c>
      <c r="D381" s="41">
        <v>2508.0</v>
      </c>
      <c r="E381" s="41">
        <v>5.0</v>
      </c>
      <c r="F381" s="41" t="s">
        <v>3942</v>
      </c>
      <c r="G381" s="41" t="s">
        <v>38</v>
      </c>
      <c r="H381" s="41">
        <v>1.05</v>
      </c>
    </row>
    <row r="382" ht="14.25" customHeight="1">
      <c r="A382" s="40">
        <v>2530.0</v>
      </c>
      <c r="B382" s="40" t="s">
        <v>38</v>
      </c>
      <c r="D382" s="41">
        <v>2515.0</v>
      </c>
      <c r="E382" s="41">
        <v>5.0</v>
      </c>
      <c r="F382" s="41" t="s">
        <v>3942</v>
      </c>
      <c r="G382" s="41" t="s">
        <v>38</v>
      </c>
      <c r="H382" s="41">
        <v>1.05</v>
      </c>
    </row>
    <row r="383" ht="14.25" customHeight="1">
      <c r="A383" s="40">
        <v>2533.0</v>
      </c>
      <c r="B383" s="40" t="s">
        <v>41</v>
      </c>
      <c r="D383" s="41">
        <v>2516.0</v>
      </c>
      <c r="E383" s="41">
        <v>5.0</v>
      </c>
      <c r="F383" s="41" t="s">
        <v>3942</v>
      </c>
      <c r="G383" s="41" t="s">
        <v>38</v>
      </c>
      <c r="H383" s="41">
        <v>1.05</v>
      </c>
    </row>
    <row r="384" ht="14.25" customHeight="1">
      <c r="A384" s="40">
        <v>2534.0</v>
      </c>
      <c r="B384" s="40" t="s">
        <v>41</v>
      </c>
      <c r="D384" s="41">
        <v>2517.0</v>
      </c>
      <c r="E384" s="41">
        <v>5.0</v>
      </c>
      <c r="F384" s="41" t="s">
        <v>3942</v>
      </c>
      <c r="G384" s="41" t="s">
        <v>38</v>
      </c>
      <c r="H384" s="41">
        <v>1.05</v>
      </c>
    </row>
    <row r="385" ht="14.25" customHeight="1">
      <c r="A385" s="40">
        <v>2535.0</v>
      </c>
      <c r="B385" s="40" t="s">
        <v>41</v>
      </c>
      <c r="D385" s="41">
        <v>2518.0</v>
      </c>
      <c r="E385" s="41">
        <v>5.0</v>
      </c>
      <c r="F385" s="41" t="s">
        <v>3942</v>
      </c>
      <c r="G385" s="41" t="s">
        <v>38</v>
      </c>
      <c r="H385" s="41">
        <v>1.05</v>
      </c>
    </row>
    <row r="386" ht="14.25" customHeight="1">
      <c r="A386" s="40">
        <v>2536.0</v>
      </c>
      <c r="B386" s="40" t="s">
        <v>41</v>
      </c>
      <c r="D386" s="41">
        <v>2519.0</v>
      </c>
      <c r="E386" s="41">
        <v>5.0</v>
      </c>
      <c r="F386" s="41" t="s">
        <v>3942</v>
      </c>
      <c r="G386" s="41" t="s">
        <v>38</v>
      </c>
      <c r="H386" s="41">
        <v>1.05</v>
      </c>
    </row>
    <row r="387" ht="14.25" customHeight="1">
      <c r="A387" s="40">
        <v>2537.0</v>
      </c>
      <c r="B387" s="40" t="s">
        <v>41</v>
      </c>
      <c r="D387" s="41">
        <v>2522.0</v>
      </c>
      <c r="E387" s="41">
        <v>5.0</v>
      </c>
      <c r="F387" s="41" t="s">
        <v>3942</v>
      </c>
      <c r="G387" s="41" t="s">
        <v>38</v>
      </c>
      <c r="H387" s="41">
        <v>1.05</v>
      </c>
    </row>
    <row r="388" ht="14.25" customHeight="1">
      <c r="A388" s="40">
        <v>2538.0</v>
      </c>
      <c r="B388" s="40" t="s">
        <v>41</v>
      </c>
      <c r="D388" s="41">
        <v>2525.0</v>
      </c>
      <c r="E388" s="41">
        <v>5.0</v>
      </c>
      <c r="F388" s="41" t="s">
        <v>3942</v>
      </c>
      <c r="G388" s="41" t="s">
        <v>38</v>
      </c>
      <c r="H388" s="41">
        <v>1.05</v>
      </c>
    </row>
    <row r="389" ht="14.25" customHeight="1">
      <c r="A389" s="40">
        <v>2539.0</v>
      </c>
      <c r="B389" s="40" t="s">
        <v>41</v>
      </c>
      <c r="D389" s="41">
        <v>2526.0</v>
      </c>
      <c r="E389" s="41">
        <v>5.0</v>
      </c>
      <c r="F389" s="41" t="s">
        <v>3942</v>
      </c>
      <c r="G389" s="41" t="s">
        <v>38</v>
      </c>
      <c r="H389" s="41">
        <v>1.05</v>
      </c>
    </row>
    <row r="390" ht="14.25" customHeight="1">
      <c r="A390" s="40">
        <v>2540.0</v>
      </c>
      <c r="B390" s="40" t="s">
        <v>41</v>
      </c>
      <c r="D390" s="41">
        <v>2527.0</v>
      </c>
      <c r="E390" s="41">
        <v>6.0</v>
      </c>
      <c r="F390" s="41" t="s">
        <v>3942</v>
      </c>
      <c r="G390" s="41" t="s">
        <v>41</v>
      </c>
      <c r="H390" s="41">
        <v>1.05</v>
      </c>
    </row>
    <row r="391" ht="14.25" customHeight="1">
      <c r="A391" s="40">
        <v>2541.0</v>
      </c>
      <c r="B391" s="40" t="s">
        <v>41</v>
      </c>
      <c r="D391" s="41">
        <v>2528.0</v>
      </c>
      <c r="E391" s="41">
        <v>5.0</v>
      </c>
      <c r="F391" s="41" t="s">
        <v>3942</v>
      </c>
      <c r="G391" s="41" t="s">
        <v>38</v>
      </c>
      <c r="H391" s="41">
        <v>1.05</v>
      </c>
    </row>
    <row r="392" ht="14.25" customHeight="1">
      <c r="A392" s="40">
        <v>2545.0</v>
      </c>
      <c r="B392" s="40" t="s">
        <v>41</v>
      </c>
      <c r="D392" s="41">
        <v>2529.0</v>
      </c>
      <c r="E392" s="41">
        <v>6.0</v>
      </c>
      <c r="F392" s="41" t="s">
        <v>3942</v>
      </c>
      <c r="G392" s="41" t="s">
        <v>41</v>
      </c>
      <c r="H392" s="41">
        <v>1.05</v>
      </c>
    </row>
    <row r="393" ht="14.25" customHeight="1">
      <c r="A393" s="40">
        <v>2546.0</v>
      </c>
      <c r="B393" s="40" t="s">
        <v>41</v>
      </c>
      <c r="D393" s="41">
        <v>2530.0</v>
      </c>
      <c r="E393" s="41">
        <v>5.0</v>
      </c>
      <c r="F393" s="41" t="s">
        <v>3942</v>
      </c>
      <c r="G393" s="41" t="s">
        <v>38</v>
      </c>
      <c r="H393" s="41">
        <v>1.05</v>
      </c>
    </row>
    <row r="394" ht="14.25" customHeight="1">
      <c r="A394" s="40">
        <v>2548.0</v>
      </c>
      <c r="B394" s="40" t="s">
        <v>41</v>
      </c>
      <c r="D394" s="41">
        <v>2533.0</v>
      </c>
      <c r="E394" s="41">
        <v>6.0</v>
      </c>
      <c r="F394" s="41" t="s">
        <v>3942</v>
      </c>
      <c r="G394" s="41" t="s">
        <v>41</v>
      </c>
      <c r="H394" s="41">
        <v>1.05</v>
      </c>
    </row>
    <row r="395" ht="14.25" customHeight="1">
      <c r="A395" s="40">
        <v>2549.0</v>
      </c>
      <c r="B395" s="40" t="s">
        <v>41</v>
      </c>
      <c r="D395" s="41">
        <v>2534.0</v>
      </c>
      <c r="E395" s="41">
        <v>6.0</v>
      </c>
      <c r="F395" s="41" t="s">
        <v>3942</v>
      </c>
      <c r="G395" s="41" t="s">
        <v>41</v>
      </c>
      <c r="H395" s="41">
        <v>1.05</v>
      </c>
    </row>
    <row r="396" ht="14.25" customHeight="1">
      <c r="A396" s="40">
        <v>2550.0</v>
      </c>
      <c r="B396" s="40" t="s">
        <v>41</v>
      </c>
      <c r="D396" s="41">
        <v>2535.0</v>
      </c>
      <c r="E396" s="41">
        <v>6.0</v>
      </c>
      <c r="F396" s="41" t="s">
        <v>3942</v>
      </c>
      <c r="G396" s="41" t="s">
        <v>41</v>
      </c>
      <c r="H396" s="41">
        <v>1.05</v>
      </c>
    </row>
    <row r="397" ht="14.25" customHeight="1">
      <c r="A397" s="40">
        <v>2551.0</v>
      </c>
      <c r="B397" s="40" t="s">
        <v>41</v>
      </c>
      <c r="D397" s="41">
        <v>2536.0</v>
      </c>
      <c r="E397" s="41">
        <v>6.0</v>
      </c>
      <c r="F397" s="41" t="s">
        <v>3943</v>
      </c>
      <c r="G397" s="41" t="s">
        <v>41</v>
      </c>
      <c r="H397" s="41">
        <v>1.05</v>
      </c>
    </row>
    <row r="398" ht="14.25" customHeight="1">
      <c r="A398" s="40">
        <v>2555.0</v>
      </c>
      <c r="B398" s="40" t="s">
        <v>38</v>
      </c>
      <c r="D398" s="41">
        <v>2537.0</v>
      </c>
      <c r="E398" s="41">
        <v>6.0</v>
      </c>
      <c r="F398" s="41" t="s">
        <v>3943</v>
      </c>
      <c r="G398" s="41" t="s">
        <v>41</v>
      </c>
      <c r="H398" s="41">
        <v>1.05</v>
      </c>
    </row>
    <row r="399" ht="14.25" customHeight="1">
      <c r="A399" s="40">
        <v>2556.0</v>
      </c>
      <c r="B399" s="40" t="s">
        <v>38</v>
      </c>
      <c r="D399" s="41">
        <v>2538.0</v>
      </c>
      <c r="E399" s="41">
        <v>6.0</v>
      </c>
      <c r="F399" s="41" t="s">
        <v>3942</v>
      </c>
      <c r="G399" s="41" t="s">
        <v>41</v>
      </c>
      <c r="H399" s="41">
        <v>1.05</v>
      </c>
    </row>
    <row r="400" ht="14.25" customHeight="1">
      <c r="A400" s="40">
        <v>2557.0</v>
      </c>
      <c r="B400" s="40" t="s">
        <v>38</v>
      </c>
      <c r="D400" s="41">
        <v>2539.0</v>
      </c>
      <c r="E400" s="41">
        <v>6.0</v>
      </c>
      <c r="F400" s="41" t="s">
        <v>3942</v>
      </c>
      <c r="G400" s="41" t="s">
        <v>41</v>
      </c>
      <c r="H400" s="41">
        <v>1.05</v>
      </c>
    </row>
    <row r="401" ht="14.25" customHeight="1">
      <c r="A401" s="40">
        <v>2558.0</v>
      </c>
      <c r="B401" s="40" t="s">
        <v>38</v>
      </c>
      <c r="D401" s="41">
        <v>2540.0</v>
      </c>
      <c r="E401" s="41">
        <v>6.0</v>
      </c>
      <c r="F401" s="41" t="s">
        <v>3942</v>
      </c>
      <c r="G401" s="41" t="s">
        <v>41</v>
      </c>
      <c r="H401" s="41">
        <v>1.05</v>
      </c>
    </row>
    <row r="402" ht="14.25" customHeight="1">
      <c r="A402" s="40">
        <v>2559.0</v>
      </c>
      <c r="B402" s="40" t="s">
        <v>38</v>
      </c>
      <c r="D402" s="41">
        <v>2541.0</v>
      </c>
      <c r="E402" s="41">
        <v>6.0</v>
      </c>
      <c r="F402" s="41" t="s">
        <v>3942</v>
      </c>
      <c r="G402" s="41" t="s">
        <v>41</v>
      </c>
      <c r="H402" s="41">
        <v>1.05</v>
      </c>
    </row>
    <row r="403" ht="14.25" customHeight="1">
      <c r="A403" s="40">
        <v>2560.0</v>
      </c>
      <c r="B403" s="40" t="s">
        <v>38</v>
      </c>
      <c r="D403" s="41">
        <v>2545.0</v>
      </c>
      <c r="E403" s="41">
        <v>6.0</v>
      </c>
      <c r="F403" s="41" t="s">
        <v>3943</v>
      </c>
      <c r="G403" s="41" t="s">
        <v>41</v>
      </c>
      <c r="H403" s="41">
        <v>1.05</v>
      </c>
    </row>
    <row r="404" ht="14.25" customHeight="1">
      <c r="A404" s="40">
        <v>2563.0</v>
      </c>
      <c r="B404" s="40" t="s">
        <v>38</v>
      </c>
      <c r="D404" s="41">
        <v>2546.0</v>
      </c>
      <c r="E404" s="41">
        <v>6.0</v>
      </c>
      <c r="F404" s="41" t="s">
        <v>3943</v>
      </c>
      <c r="G404" s="41" t="s">
        <v>41</v>
      </c>
      <c r="H404" s="41">
        <v>1.05</v>
      </c>
    </row>
    <row r="405" ht="14.25" customHeight="1">
      <c r="A405" s="40">
        <v>2564.0</v>
      </c>
      <c r="B405" s="40" t="s">
        <v>38</v>
      </c>
      <c r="D405" s="41">
        <v>2548.0</v>
      </c>
      <c r="E405" s="41">
        <v>6.0</v>
      </c>
      <c r="F405" s="41" t="s">
        <v>3943</v>
      </c>
      <c r="G405" s="41" t="s">
        <v>41</v>
      </c>
      <c r="H405" s="41">
        <v>1.05</v>
      </c>
    </row>
    <row r="406" ht="14.25" customHeight="1">
      <c r="A406" s="40">
        <v>2565.0</v>
      </c>
      <c r="B406" s="40" t="s">
        <v>38</v>
      </c>
      <c r="D406" s="41">
        <v>2549.0</v>
      </c>
      <c r="E406" s="41">
        <v>6.0</v>
      </c>
      <c r="F406" s="41" t="s">
        <v>3943</v>
      </c>
      <c r="G406" s="41" t="s">
        <v>41</v>
      </c>
      <c r="H406" s="41">
        <v>1.05</v>
      </c>
    </row>
    <row r="407" ht="14.25" customHeight="1">
      <c r="A407" s="40">
        <v>2566.0</v>
      </c>
      <c r="B407" s="40" t="s">
        <v>38</v>
      </c>
      <c r="D407" s="41">
        <v>2550.0</v>
      </c>
      <c r="E407" s="41">
        <v>6.0</v>
      </c>
      <c r="F407" s="41" t="s">
        <v>3943</v>
      </c>
      <c r="G407" s="41" t="s">
        <v>41</v>
      </c>
      <c r="H407" s="41">
        <v>1.05</v>
      </c>
    </row>
    <row r="408" ht="14.25" customHeight="1">
      <c r="A408" s="40">
        <v>2567.0</v>
      </c>
      <c r="B408" s="40" t="s">
        <v>38</v>
      </c>
      <c r="D408" s="41">
        <v>2551.0</v>
      </c>
      <c r="E408" s="41">
        <v>6.0</v>
      </c>
      <c r="F408" s="41" t="s">
        <v>3943</v>
      </c>
      <c r="G408" s="41" t="s">
        <v>41</v>
      </c>
      <c r="H408" s="41">
        <v>1.05</v>
      </c>
    </row>
    <row r="409" ht="14.25" customHeight="1">
      <c r="A409" s="40">
        <v>2568.0</v>
      </c>
      <c r="B409" s="40" t="s">
        <v>38</v>
      </c>
      <c r="D409" s="41">
        <v>2555.0</v>
      </c>
      <c r="E409" s="41">
        <v>6.0</v>
      </c>
      <c r="F409" s="41" t="s">
        <v>3942</v>
      </c>
      <c r="G409" s="41" t="s">
        <v>38</v>
      </c>
      <c r="H409" s="41">
        <v>1.05</v>
      </c>
    </row>
    <row r="410" ht="14.25" customHeight="1">
      <c r="A410" s="40">
        <v>2569.0</v>
      </c>
      <c r="B410" s="40" t="s">
        <v>38</v>
      </c>
      <c r="D410" s="41">
        <v>2556.0</v>
      </c>
      <c r="E410" s="41">
        <v>6.0</v>
      </c>
      <c r="F410" s="41" t="s">
        <v>3942</v>
      </c>
      <c r="G410" s="41" t="s">
        <v>38</v>
      </c>
      <c r="H410" s="41">
        <v>1.05</v>
      </c>
    </row>
    <row r="411" ht="14.25" customHeight="1">
      <c r="A411" s="40">
        <v>2570.0</v>
      </c>
      <c r="B411" s="40" t="s">
        <v>38</v>
      </c>
      <c r="D411" s="41">
        <v>2557.0</v>
      </c>
      <c r="E411" s="41">
        <v>6.0</v>
      </c>
      <c r="F411" s="41" t="s">
        <v>3942</v>
      </c>
      <c r="G411" s="41" t="s">
        <v>38</v>
      </c>
      <c r="H411" s="41">
        <v>1.05</v>
      </c>
    </row>
    <row r="412" ht="14.25" customHeight="1">
      <c r="A412" s="40">
        <v>2571.0</v>
      </c>
      <c r="B412" s="40" t="s">
        <v>38</v>
      </c>
      <c r="D412" s="41">
        <v>2558.0</v>
      </c>
      <c r="E412" s="41">
        <v>6.0</v>
      </c>
      <c r="F412" s="41" t="s">
        <v>3942</v>
      </c>
      <c r="G412" s="41" t="s">
        <v>38</v>
      </c>
      <c r="H412" s="41">
        <v>1.05</v>
      </c>
    </row>
    <row r="413" ht="14.25" customHeight="1">
      <c r="A413" s="40">
        <v>2572.0</v>
      </c>
      <c r="B413" s="40" t="s">
        <v>38</v>
      </c>
      <c r="D413" s="41">
        <v>2559.0</v>
      </c>
      <c r="E413" s="41">
        <v>6.0</v>
      </c>
      <c r="F413" s="41" t="s">
        <v>3942</v>
      </c>
      <c r="G413" s="41" t="s">
        <v>38</v>
      </c>
      <c r="H413" s="41">
        <v>1.05</v>
      </c>
    </row>
    <row r="414" ht="14.25" customHeight="1">
      <c r="A414" s="40">
        <v>2573.0</v>
      </c>
      <c r="B414" s="40" t="s">
        <v>38</v>
      </c>
      <c r="D414" s="41">
        <v>2560.0</v>
      </c>
      <c r="E414" s="41">
        <v>6.0</v>
      </c>
      <c r="F414" s="41" t="s">
        <v>3942</v>
      </c>
      <c r="G414" s="41" t="s">
        <v>38</v>
      </c>
      <c r="H414" s="41">
        <v>1.05</v>
      </c>
    </row>
    <row r="415" ht="14.25" customHeight="1">
      <c r="A415" s="40">
        <v>2574.0</v>
      </c>
      <c r="B415" s="40" t="s">
        <v>38</v>
      </c>
      <c r="D415" s="41">
        <v>2563.0</v>
      </c>
      <c r="E415" s="41">
        <v>6.0</v>
      </c>
      <c r="F415" s="41" t="s">
        <v>3942</v>
      </c>
      <c r="G415" s="41" t="s">
        <v>38</v>
      </c>
      <c r="H415" s="41">
        <v>1.05</v>
      </c>
    </row>
    <row r="416" ht="14.25" customHeight="1">
      <c r="A416" s="40">
        <v>2575.0</v>
      </c>
      <c r="B416" s="40" t="s">
        <v>41</v>
      </c>
      <c r="D416" s="41">
        <v>2564.0</v>
      </c>
      <c r="E416" s="41">
        <v>6.0</v>
      </c>
      <c r="F416" s="41" t="s">
        <v>3942</v>
      </c>
      <c r="G416" s="41" t="s">
        <v>38</v>
      </c>
      <c r="H416" s="41">
        <v>1.05</v>
      </c>
    </row>
    <row r="417" ht="14.25" customHeight="1">
      <c r="A417" s="40">
        <v>2576.0</v>
      </c>
      <c r="B417" s="40" t="s">
        <v>41</v>
      </c>
      <c r="D417" s="41">
        <v>2565.0</v>
      </c>
      <c r="E417" s="41">
        <v>6.0</v>
      </c>
      <c r="F417" s="41" t="s">
        <v>3942</v>
      </c>
      <c r="G417" s="41" t="s">
        <v>38</v>
      </c>
      <c r="H417" s="41">
        <v>1.05</v>
      </c>
    </row>
    <row r="418" ht="14.25" customHeight="1">
      <c r="A418" s="40">
        <v>2577.0</v>
      </c>
      <c r="B418" s="40" t="s">
        <v>41</v>
      </c>
      <c r="D418" s="41">
        <v>2566.0</v>
      </c>
      <c r="E418" s="41">
        <v>6.0</v>
      </c>
      <c r="F418" s="41" t="s">
        <v>3942</v>
      </c>
      <c r="G418" s="41" t="s">
        <v>38</v>
      </c>
      <c r="H418" s="41">
        <v>1.05</v>
      </c>
    </row>
    <row r="419" ht="14.25" customHeight="1">
      <c r="A419" s="40">
        <v>2578.0</v>
      </c>
      <c r="B419" s="40" t="s">
        <v>41</v>
      </c>
      <c r="D419" s="41">
        <v>2567.0</v>
      </c>
      <c r="E419" s="41">
        <v>6.0</v>
      </c>
      <c r="F419" s="41" t="s">
        <v>3942</v>
      </c>
      <c r="G419" s="41" t="s">
        <v>38</v>
      </c>
      <c r="H419" s="41">
        <v>1.05</v>
      </c>
    </row>
    <row r="420" ht="14.25" customHeight="1">
      <c r="A420" s="40">
        <v>2579.0</v>
      </c>
      <c r="B420" s="40" t="s">
        <v>41</v>
      </c>
      <c r="D420" s="41">
        <v>2568.0</v>
      </c>
      <c r="E420" s="41">
        <v>6.0</v>
      </c>
      <c r="F420" s="41" t="s">
        <v>3942</v>
      </c>
      <c r="G420" s="41" t="s">
        <v>38</v>
      </c>
      <c r="H420" s="41">
        <v>1.05</v>
      </c>
    </row>
    <row r="421" ht="14.25" customHeight="1">
      <c r="A421" s="40">
        <v>2580.0</v>
      </c>
      <c r="B421" s="40" t="s">
        <v>41</v>
      </c>
      <c r="D421" s="41">
        <v>2569.0</v>
      </c>
      <c r="E421" s="41">
        <v>6.0</v>
      </c>
      <c r="F421" s="41" t="s">
        <v>3942</v>
      </c>
      <c r="G421" s="41" t="s">
        <v>38</v>
      </c>
      <c r="H421" s="41">
        <v>1.05</v>
      </c>
    </row>
    <row r="422" ht="14.25" customHeight="1">
      <c r="A422" s="40">
        <v>2581.0</v>
      </c>
      <c r="B422" s="40" t="s">
        <v>41</v>
      </c>
      <c r="D422" s="41">
        <v>2570.0</v>
      </c>
      <c r="E422" s="41">
        <v>6.0</v>
      </c>
      <c r="F422" s="41" t="s">
        <v>3942</v>
      </c>
      <c r="G422" s="41" t="s">
        <v>38</v>
      </c>
      <c r="H422" s="41">
        <v>1.05</v>
      </c>
    </row>
    <row r="423" ht="14.25" customHeight="1">
      <c r="A423" s="40">
        <v>2582.0</v>
      </c>
      <c r="B423" s="40" t="s">
        <v>41</v>
      </c>
      <c r="D423" s="41">
        <v>2571.0</v>
      </c>
      <c r="E423" s="41">
        <v>6.0</v>
      </c>
      <c r="F423" s="41" t="s">
        <v>3942</v>
      </c>
      <c r="G423" s="41" t="s">
        <v>38</v>
      </c>
      <c r="H423" s="41">
        <v>1.05</v>
      </c>
    </row>
    <row r="424" ht="14.25" customHeight="1">
      <c r="A424" s="40">
        <v>2583.0</v>
      </c>
      <c r="B424" s="40" t="s">
        <v>41</v>
      </c>
      <c r="D424" s="41">
        <v>2572.0</v>
      </c>
      <c r="E424" s="41">
        <v>6.0</v>
      </c>
      <c r="F424" s="41" t="s">
        <v>3942</v>
      </c>
      <c r="G424" s="41" t="s">
        <v>38</v>
      </c>
      <c r="H424" s="41">
        <v>1.05</v>
      </c>
    </row>
    <row r="425" ht="14.25" customHeight="1">
      <c r="A425" s="40">
        <v>2584.0</v>
      </c>
      <c r="B425" s="40" t="s">
        <v>41</v>
      </c>
      <c r="D425" s="41">
        <v>2573.0</v>
      </c>
      <c r="E425" s="41">
        <v>6.0</v>
      </c>
      <c r="F425" s="41" t="s">
        <v>3942</v>
      </c>
      <c r="G425" s="41" t="s">
        <v>38</v>
      </c>
      <c r="H425" s="41">
        <v>1.05</v>
      </c>
    </row>
    <row r="426" ht="14.25" customHeight="1">
      <c r="A426" s="40">
        <v>2585.0</v>
      </c>
      <c r="B426" s="40" t="s">
        <v>41</v>
      </c>
      <c r="D426" s="41">
        <v>2574.0</v>
      </c>
      <c r="E426" s="41">
        <v>6.0</v>
      </c>
      <c r="F426" s="41" t="s">
        <v>3942</v>
      </c>
      <c r="G426" s="41" t="s">
        <v>38</v>
      </c>
      <c r="H426" s="41">
        <v>1.05</v>
      </c>
    </row>
    <row r="427" ht="14.25" customHeight="1">
      <c r="A427" s="40">
        <v>2586.0</v>
      </c>
      <c r="B427" s="40" t="s">
        <v>41</v>
      </c>
      <c r="D427" s="41">
        <v>2575.0</v>
      </c>
      <c r="E427" s="41">
        <v>7.0</v>
      </c>
      <c r="F427" s="41" t="s">
        <v>3942</v>
      </c>
      <c r="G427" s="41" t="s">
        <v>41</v>
      </c>
      <c r="H427" s="41">
        <v>1.05</v>
      </c>
    </row>
    <row r="428" ht="14.25" customHeight="1">
      <c r="A428" s="40">
        <v>2587.0</v>
      </c>
      <c r="B428" s="40" t="s">
        <v>41</v>
      </c>
      <c r="D428" s="41">
        <v>2576.0</v>
      </c>
      <c r="E428" s="41">
        <v>6.0</v>
      </c>
      <c r="F428" s="41" t="s">
        <v>3942</v>
      </c>
      <c r="G428" s="41" t="s">
        <v>41</v>
      </c>
      <c r="H428" s="41">
        <v>1.05</v>
      </c>
    </row>
    <row r="429" ht="14.25" customHeight="1">
      <c r="A429" s="40">
        <v>2588.0</v>
      </c>
      <c r="B429" s="40" t="s">
        <v>41</v>
      </c>
      <c r="D429" s="41">
        <v>2577.0</v>
      </c>
      <c r="E429" s="41">
        <v>7.0</v>
      </c>
      <c r="F429" s="41" t="s">
        <v>3942</v>
      </c>
      <c r="G429" s="41" t="s">
        <v>41</v>
      </c>
      <c r="H429" s="41">
        <v>1.05</v>
      </c>
    </row>
    <row r="430" ht="14.25" customHeight="1">
      <c r="A430" s="40">
        <v>2590.0</v>
      </c>
      <c r="B430" s="40" t="s">
        <v>41</v>
      </c>
      <c r="D430" s="41">
        <v>2578.0</v>
      </c>
      <c r="E430" s="41">
        <v>7.0</v>
      </c>
      <c r="F430" s="41" t="s">
        <v>3942</v>
      </c>
      <c r="G430" s="41" t="s">
        <v>41</v>
      </c>
      <c r="H430" s="41">
        <v>1.05</v>
      </c>
    </row>
    <row r="431" ht="14.25" customHeight="1">
      <c r="A431" s="40">
        <v>2594.0</v>
      </c>
      <c r="B431" s="40" t="s">
        <v>41</v>
      </c>
      <c r="D431" s="41">
        <v>2579.0</v>
      </c>
      <c r="E431" s="41">
        <v>7.0</v>
      </c>
      <c r="F431" s="41" t="s">
        <v>3943</v>
      </c>
      <c r="G431" s="41" t="s">
        <v>41</v>
      </c>
      <c r="H431" s="41">
        <v>1.05</v>
      </c>
    </row>
    <row r="432" ht="14.25" customHeight="1">
      <c r="A432" s="40">
        <v>2619.0</v>
      </c>
      <c r="B432" s="40" t="s">
        <v>41</v>
      </c>
      <c r="D432" s="41">
        <v>2580.0</v>
      </c>
      <c r="E432" s="41">
        <v>7.0</v>
      </c>
      <c r="F432" s="41" t="s">
        <v>3943</v>
      </c>
      <c r="G432" s="41" t="s">
        <v>41</v>
      </c>
      <c r="H432" s="41">
        <v>1.05</v>
      </c>
    </row>
    <row r="433" ht="14.25" customHeight="1">
      <c r="A433" s="40">
        <v>2620.0</v>
      </c>
      <c r="B433" s="40" t="s">
        <v>41</v>
      </c>
      <c r="D433" s="41">
        <v>2581.0</v>
      </c>
      <c r="E433" s="41">
        <v>7.0</v>
      </c>
      <c r="F433" s="41" t="s">
        <v>3943</v>
      </c>
      <c r="G433" s="41" t="s">
        <v>41</v>
      </c>
      <c r="H433" s="41">
        <v>1.05</v>
      </c>
    </row>
    <row r="434" ht="14.25" customHeight="1">
      <c r="A434" s="40">
        <v>2621.0</v>
      </c>
      <c r="B434" s="40" t="s">
        <v>41</v>
      </c>
      <c r="D434" s="41">
        <v>2582.0</v>
      </c>
      <c r="E434" s="41">
        <v>7.0</v>
      </c>
      <c r="F434" s="41" t="s">
        <v>3943</v>
      </c>
      <c r="G434" s="41" t="s">
        <v>41</v>
      </c>
      <c r="H434" s="41">
        <v>1.05</v>
      </c>
    </row>
    <row r="435" ht="14.25" customHeight="1">
      <c r="A435" s="40">
        <v>2622.0</v>
      </c>
      <c r="B435" s="40" t="s">
        <v>41</v>
      </c>
      <c r="D435" s="41">
        <v>2583.0</v>
      </c>
      <c r="E435" s="41">
        <v>7.0</v>
      </c>
      <c r="F435" s="41" t="s">
        <v>3943</v>
      </c>
      <c r="G435" s="41" t="s">
        <v>41</v>
      </c>
      <c r="H435" s="41">
        <v>1.05</v>
      </c>
    </row>
    <row r="436" ht="14.25" customHeight="1">
      <c r="A436" s="40">
        <v>2623.0</v>
      </c>
      <c r="B436" s="40" t="s">
        <v>41</v>
      </c>
      <c r="D436" s="41">
        <v>2584.0</v>
      </c>
      <c r="E436" s="41">
        <v>4.0</v>
      </c>
      <c r="F436" s="41" t="s">
        <v>3943</v>
      </c>
      <c r="G436" s="41" t="s">
        <v>41</v>
      </c>
      <c r="H436" s="41">
        <v>1.05</v>
      </c>
    </row>
    <row r="437" ht="14.25" customHeight="1">
      <c r="A437" s="40">
        <v>2624.0</v>
      </c>
      <c r="B437" s="40" t="s">
        <v>41</v>
      </c>
      <c r="D437" s="41">
        <v>2585.0</v>
      </c>
      <c r="E437" s="41">
        <v>4.0</v>
      </c>
      <c r="F437" s="41" t="s">
        <v>3943</v>
      </c>
      <c r="G437" s="41" t="s">
        <v>41</v>
      </c>
      <c r="H437" s="41">
        <v>1.05</v>
      </c>
    </row>
    <row r="438" ht="14.25" customHeight="1">
      <c r="A438" s="40">
        <v>2625.0</v>
      </c>
      <c r="B438" s="40" t="s">
        <v>41</v>
      </c>
      <c r="D438" s="41">
        <v>2586.0</v>
      </c>
      <c r="E438" s="41">
        <v>4.0</v>
      </c>
      <c r="F438" s="41" t="s">
        <v>3943</v>
      </c>
      <c r="G438" s="41" t="s">
        <v>41</v>
      </c>
      <c r="H438" s="41">
        <v>1.05</v>
      </c>
    </row>
    <row r="439" ht="14.25" customHeight="1">
      <c r="A439" s="40">
        <v>2626.0</v>
      </c>
      <c r="B439" s="40" t="s">
        <v>41</v>
      </c>
      <c r="D439" s="41">
        <v>2587.0</v>
      </c>
      <c r="E439" s="41">
        <v>7.0</v>
      </c>
      <c r="F439" s="41" t="s">
        <v>3943</v>
      </c>
      <c r="G439" s="41" t="s">
        <v>41</v>
      </c>
      <c r="H439" s="41">
        <v>1.05</v>
      </c>
    </row>
    <row r="440" ht="14.25" customHeight="1">
      <c r="A440" s="40">
        <v>2627.0</v>
      </c>
      <c r="B440" s="40" t="s">
        <v>41</v>
      </c>
      <c r="D440" s="41">
        <v>2588.0</v>
      </c>
      <c r="E440" s="41">
        <v>4.0</v>
      </c>
      <c r="F440" s="41" t="s">
        <v>3943</v>
      </c>
      <c r="G440" s="41" t="s">
        <v>41</v>
      </c>
      <c r="H440" s="41">
        <v>1.05</v>
      </c>
    </row>
    <row r="441" ht="14.25" customHeight="1">
      <c r="A441" s="40">
        <v>2628.0</v>
      </c>
      <c r="B441" s="40" t="s">
        <v>41</v>
      </c>
      <c r="D441" s="41">
        <v>2590.0</v>
      </c>
      <c r="E441" s="41">
        <v>4.0</v>
      </c>
      <c r="F441" s="41" t="s">
        <v>3943</v>
      </c>
      <c r="G441" s="41" t="s">
        <v>41</v>
      </c>
      <c r="H441" s="41">
        <v>1.05</v>
      </c>
    </row>
    <row r="442" ht="14.25" customHeight="1">
      <c r="A442" s="40">
        <v>2629.0</v>
      </c>
      <c r="B442" s="40" t="s">
        <v>41</v>
      </c>
      <c r="D442" s="41">
        <v>2594.0</v>
      </c>
      <c r="E442" s="41">
        <v>7.0</v>
      </c>
      <c r="F442" s="41" t="s">
        <v>3943</v>
      </c>
      <c r="G442" s="41" t="s">
        <v>41</v>
      </c>
      <c r="H442" s="41">
        <v>1.05</v>
      </c>
    </row>
    <row r="443" ht="14.25" customHeight="1">
      <c r="A443" s="40">
        <v>2630.0</v>
      </c>
      <c r="B443" s="40" t="s">
        <v>41</v>
      </c>
      <c r="D443" s="41">
        <v>2611.0</v>
      </c>
      <c r="E443" s="41">
        <v>7.0</v>
      </c>
      <c r="F443" s="41" t="s">
        <v>3943</v>
      </c>
      <c r="G443" s="41" t="s">
        <v>41</v>
      </c>
      <c r="H443" s="41">
        <v>1.05</v>
      </c>
    </row>
    <row r="444" ht="14.25" customHeight="1">
      <c r="A444" s="40">
        <v>2631.0</v>
      </c>
      <c r="B444" s="40" t="s">
        <v>41</v>
      </c>
      <c r="D444" s="41">
        <v>2618.0</v>
      </c>
      <c r="E444" s="41">
        <v>7.0</v>
      </c>
      <c r="F444" s="41" t="s">
        <v>3943</v>
      </c>
      <c r="G444" s="41" t="s">
        <v>41</v>
      </c>
      <c r="H444" s="41">
        <v>1.05</v>
      </c>
    </row>
    <row r="445" ht="14.25" customHeight="1">
      <c r="A445" s="40">
        <v>2632.0</v>
      </c>
      <c r="B445" s="40" t="s">
        <v>41</v>
      </c>
      <c r="D445" s="41">
        <v>2619.0</v>
      </c>
      <c r="E445" s="41">
        <v>7.0</v>
      </c>
      <c r="F445" s="41" t="s">
        <v>3943</v>
      </c>
      <c r="G445" s="41" t="s">
        <v>41</v>
      </c>
      <c r="H445" s="41">
        <v>1.05</v>
      </c>
    </row>
    <row r="446" ht="14.25" customHeight="1">
      <c r="A446" s="40">
        <v>2633.0</v>
      </c>
      <c r="B446" s="40" t="s">
        <v>41</v>
      </c>
      <c r="D446" s="41">
        <v>2620.0</v>
      </c>
      <c r="E446" s="41">
        <v>7.0</v>
      </c>
      <c r="F446" s="41" t="s">
        <v>3943</v>
      </c>
      <c r="G446" s="41" t="s">
        <v>41</v>
      </c>
      <c r="H446" s="41">
        <v>1.05</v>
      </c>
    </row>
    <row r="447" ht="14.25" customHeight="1">
      <c r="A447" s="40">
        <v>2640.0</v>
      </c>
      <c r="B447" s="40" t="s">
        <v>41</v>
      </c>
      <c r="D447" s="41">
        <v>2621.0</v>
      </c>
      <c r="E447" s="41">
        <v>7.0</v>
      </c>
      <c r="F447" s="41" t="s">
        <v>3943</v>
      </c>
      <c r="G447" s="41" t="s">
        <v>41</v>
      </c>
      <c r="H447" s="41">
        <v>1.05</v>
      </c>
    </row>
    <row r="448" ht="14.25" customHeight="1">
      <c r="A448" s="40">
        <v>2641.0</v>
      </c>
      <c r="B448" s="40" t="s">
        <v>41</v>
      </c>
      <c r="D448" s="41">
        <v>2622.0</v>
      </c>
      <c r="E448" s="41">
        <v>7.0</v>
      </c>
      <c r="F448" s="41" t="s">
        <v>3943</v>
      </c>
      <c r="G448" s="41" t="s">
        <v>41</v>
      </c>
      <c r="H448" s="41">
        <v>1.05</v>
      </c>
    </row>
    <row r="449" ht="14.25" customHeight="1">
      <c r="A449" s="40">
        <v>2642.0</v>
      </c>
      <c r="B449" s="40" t="s">
        <v>41</v>
      </c>
      <c r="D449" s="41">
        <v>2623.0</v>
      </c>
      <c r="E449" s="41">
        <v>7.0</v>
      </c>
      <c r="F449" s="41">
        <v>1.03</v>
      </c>
      <c r="G449" s="41" t="s">
        <v>41</v>
      </c>
      <c r="H449" s="41">
        <v>1.05</v>
      </c>
    </row>
    <row r="450" ht="14.25" customHeight="1">
      <c r="A450" s="40">
        <v>2643.0</v>
      </c>
      <c r="B450" s="40" t="s">
        <v>41</v>
      </c>
      <c r="D450" s="41">
        <v>2624.0</v>
      </c>
      <c r="E450" s="41">
        <v>8.0</v>
      </c>
      <c r="F450" s="41">
        <v>1.03</v>
      </c>
      <c r="G450" s="41" t="s">
        <v>41</v>
      </c>
      <c r="H450" s="41">
        <v>1.05</v>
      </c>
    </row>
    <row r="451" ht="14.25" customHeight="1">
      <c r="A451" s="40">
        <v>2644.0</v>
      </c>
      <c r="B451" s="40" t="s">
        <v>41</v>
      </c>
      <c r="D451" s="41">
        <v>2625.0</v>
      </c>
      <c r="E451" s="41">
        <v>8.0</v>
      </c>
      <c r="F451" s="41">
        <v>1.03</v>
      </c>
      <c r="G451" s="41" t="s">
        <v>41</v>
      </c>
      <c r="H451" s="41">
        <v>1.05</v>
      </c>
    </row>
    <row r="452" ht="14.25" customHeight="1">
      <c r="A452" s="40">
        <v>2645.0</v>
      </c>
      <c r="B452" s="40" t="s">
        <v>41</v>
      </c>
      <c r="D452" s="41">
        <v>2626.0</v>
      </c>
      <c r="E452" s="41">
        <v>7.0</v>
      </c>
      <c r="F452" s="41" t="s">
        <v>3943</v>
      </c>
      <c r="G452" s="41" t="s">
        <v>41</v>
      </c>
      <c r="H452" s="41">
        <v>1.05</v>
      </c>
    </row>
    <row r="453" ht="14.25" customHeight="1">
      <c r="A453" s="40">
        <v>2646.0</v>
      </c>
      <c r="B453" s="40" t="s">
        <v>41</v>
      </c>
      <c r="D453" s="41">
        <v>2627.0</v>
      </c>
      <c r="E453" s="41">
        <v>8.0</v>
      </c>
      <c r="F453" s="41" t="s">
        <v>3943</v>
      </c>
      <c r="G453" s="41" t="s">
        <v>41</v>
      </c>
      <c r="H453" s="41">
        <v>1.05</v>
      </c>
    </row>
    <row r="454" ht="14.25" customHeight="1">
      <c r="A454" s="40">
        <v>2647.0</v>
      </c>
      <c r="B454" s="40" t="s">
        <v>41</v>
      </c>
      <c r="D454" s="41">
        <v>2628.0</v>
      </c>
      <c r="E454" s="41">
        <v>7.0</v>
      </c>
      <c r="F454" s="41" t="s">
        <v>3943</v>
      </c>
      <c r="G454" s="41" t="s">
        <v>41</v>
      </c>
      <c r="H454" s="41">
        <v>1.05</v>
      </c>
    </row>
    <row r="455" ht="14.25" customHeight="1">
      <c r="A455" s="40">
        <v>2648.0</v>
      </c>
      <c r="B455" s="40" t="s">
        <v>38</v>
      </c>
      <c r="D455" s="41">
        <v>2629.0</v>
      </c>
      <c r="E455" s="41">
        <v>8.0</v>
      </c>
      <c r="F455" s="41">
        <v>1.03</v>
      </c>
      <c r="G455" s="41" t="s">
        <v>41</v>
      </c>
      <c r="H455" s="41">
        <v>1.05</v>
      </c>
    </row>
    <row r="456" ht="14.25" customHeight="1">
      <c r="A456" s="40">
        <v>2649.0</v>
      </c>
      <c r="B456" s="40" t="s">
        <v>41</v>
      </c>
      <c r="D456" s="41">
        <v>2630.0</v>
      </c>
      <c r="E456" s="41">
        <v>7.0</v>
      </c>
      <c r="F456" s="41" t="s">
        <v>3943</v>
      </c>
      <c r="G456" s="41" t="s">
        <v>41</v>
      </c>
      <c r="H456" s="41">
        <v>1.05</v>
      </c>
    </row>
    <row r="457" ht="14.25" customHeight="1">
      <c r="A457" s="40">
        <v>2650.0</v>
      </c>
      <c r="B457" s="40" t="s">
        <v>41</v>
      </c>
      <c r="D457" s="41">
        <v>2631.0</v>
      </c>
      <c r="E457" s="41">
        <v>7.0</v>
      </c>
      <c r="F457" s="41" t="s">
        <v>3943</v>
      </c>
      <c r="G457" s="41" t="s">
        <v>41</v>
      </c>
      <c r="H457" s="41">
        <v>1.05</v>
      </c>
    </row>
    <row r="458" ht="14.25" customHeight="1">
      <c r="A458" s="40">
        <v>2651.0</v>
      </c>
      <c r="B458" s="40" t="s">
        <v>41</v>
      </c>
      <c r="D458" s="41">
        <v>2632.0</v>
      </c>
      <c r="E458" s="41">
        <v>7.0</v>
      </c>
      <c r="F458" s="41" t="s">
        <v>3943</v>
      </c>
      <c r="G458" s="41" t="s">
        <v>41</v>
      </c>
      <c r="H458" s="41">
        <v>1.05</v>
      </c>
    </row>
    <row r="459" ht="14.25" customHeight="1">
      <c r="A459" s="40">
        <v>2652.0</v>
      </c>
      <c r="B459" s="40" t="s">
        <v>41</v>
      </c>
      <c r="D459" s="41">
        <v>2633.0</v>
      </c>
      <c r="E459" s="41">
        <v>7.0</v>
      </c>
      <c r="F459" s="41" t="s">
        <v>3943</v>
      </c>
      <c r="G459" s="41" t="s">
        <v>41</v>
      </c>
      <c r="H459" s="41">
        <v>1.05</v>
      </c>
    </row>
    <row r="460" ht="14.25" customHeight="1">
      <c r="A460" s="40">
        <v>2653.0</v>
      </c>
      <c r="B460" s="40" t="s">
        <v>41</v>
      </c>
      <c r="D460" s="41">
        <v>2640.0</v>
      </c>
      <c r="E460" s="41">
        <v>4.0</v>
      </c>
      <c r="F460" s="41" t="s">
        <v>3943</v>
      </c>
      <c r="G460" s="41" t="s">
        <v>41</v>
      </c>
      <c r="H460" s="41">
        <v>1.05</v>
      </c>
    </row>
    <row r="461" ht="14.25" customHeight="1">
      <c r="A461" s="40">
        <v>2655.0</v>
      </c>
      <c r="B461" s="40" t="s">
        <v>41</v>
      </c>
      <c r="D461" s="41">
        <v>2641.0</v>
      </c>
      <c r="E461" s="41">
        <v>4.0</v>
      </c>
      <c r="F461" s="41" t="s">
        <v>3943</v>
      </c>
      <c r="G461" s="41" t="s">
        <v>41</v>
      </c>
      <c r="H461" s="41">
        <v>1.05</v>
      </c>
    </row>
    <row r="462" ht="14.25" customHeight="1">
      <c r="A462" s="40">
        <v>2656.0</v>
      </c>
      <c r="B462" s="40" t="s">
        <v>41</v>
      </c>
      <c r="D462" s="41">
        <v>2642.0</v>
      </c>
      <c r="E462" s="41">
        <v>4.0</v>
      </c>
      <c r="F462" s="41" t="s">
        <v>3943</v>
      </c>
      <c r="G462" s="41" t="s">
        <v>41</v>
      </c>
      <c r="H462" s="41">
        <v>1.05</v>
      </c>
    </row>
    <row r="463" ht="14.25" customHeight="1">
      <c r="A463" s="40">
        <v>2658.0</v>
      </c>
      <c r="B463" s="40" t="s">
        <v>41</v>
      </c>
      <c r="D463" s="41">
        <v>2643.0</v>
      </c>
      <c r="E463" s="41">
        <v>4.0</v>
      </c>
      <c r="F463" s="41" t="s">
        <v>3943</v>
      </c>
      <c r="G463" s="41" t="s">
        <v>41</v>
      </c>
      <c r="H463" s="41">
        <v>1.05</v>
      </c>
    </row>
    <row r="464" ht="14.25" customHeight="1">
      <c r="A464" s="40">
        <v>2659.0</v>
      </c>
      <c r="B464" s="40" t="s">
        <v>41</v>
      </c>
      <c r="D464" s="41">
        <v>2644.0</v>
      </c>
      <c r="E464" s="41">
        <v>4.0</v>
      </c>
      <c r="F464" s="41" t="s">
        <v>3943</v>
      </c>
      <c r="G464" s="41" t="s">
        <v>41</v>
      </c>
      <c r="H464" s="41">
        <v>1.05</v>
      </c>
    </row>
    <row r="465" ht="14.25" customHeight="1">
      <c r="A465" s="40">
        <v>2660.0</v>
      </c>
      <c r="B465" s="40" t="s">
        <v>41</v>
      </c>
      <c r="D465" s="41">
        <v>2645.0</v>
      </c>
      <c r="E465" s="41">
        <v>4.0</v>
      </c>
      <c r="F465" s="41" t="s">
        <v>3943</v>
      </c>
      <c r="G465" s="41" t="s">
        <v>41</v>
      </c>
      <c r="H465" s="41">
        <v>1.05</v>
      </c>
    </row>
    <row r="466" ht="14.25" customHeight="1">
      <c r="A466" s="40">
        <v>2663.0</v>
      </c>
      <c r="B466" s="40" t="s">
        <v>41</v>
      </c>
      <c r="D466" s="41">
        <v>2646.0</v>
      </c>
      <c r="E466" s="41">
        <v>4.0</v>
      </c>
      <c r="F466" s="41" t="s">
        <v>3943</v>
      </c>
      <c r="G466" s="41" t="s">
        <v>41</v>
      </c>
      <c r="H466" s="41">
        <v>1.05</v>
      </c>
    </row>
    <row r="467" ht="14.25" customHeight="1">
      <c r="A467" s="40">
        <v>2665.0</v>
      </c>
      <c r="B467" s="40" t="s">
        <v>41</v>
      </c>
      <c r="D467" s="41">
        <v>2647.0</v>
      </c>
      <c r="E467" s="41">
        <v>4.0</v>
      </c>
      <c r="F467" s="41" t="s">
        <v>3943</v>
      </c>
      <c r="G467" s="41" t="s">
        <v>41</v>
      </c>
      <c r="H467" s="41">
        <v>1.05</v>
      </c>
    </row>
    <row r="468" ht="14.25" customHeight="1">
      <c r="A468" s="40">
        <v>2666.0</v>
      </c>
      <c r="B468" s="40" t="s">
        <v>41</v>
      </c>
      <c r="D468" s="41">
        <v>2648.0</v>
      </c>
      <c r="E468" s="41">
        <v>4.0</v>
      </c>
      <c r="F468" s="41" t="s">
        <v>3943</v>
      </c>
      <c r="G468" s="41" t="s">
        <v>38</v>
      </c>
      <c r="H468" s="41">
        <v>1.05</v>
      </c>
    </row>
    <row r="469" ht="14.25" customHeight="1">
      <c r="A469" s="40">
        <v>2668.0</v>
      </c>
      <c r="B469" s="40" t="s">
        <v>41</v>
      </c>
      <c r="D469" s="41">
        <v>2649.0</v>
      </c>
      <c r="E469" s="41">
        <v>7.0</v>
      </c>
      <c r="F469" s="41" t="s">
        <v>3943</v>
      </c>
      <c r="G469" s="41" t="s">
        <v>41</v>
      </c>
      <c r="H469" s="41">
        <v>1.05</v>
      </c>
    </row>
    <row r="470" ht="14.25" customHeight="1">
      <c r="A470" s="40">
        <v>2669.0</v>
      </c>
      <c r="B470" s="40" t="s">
        <v>38</v>
      </c>
      <c r="D470" s="41">
        <v>2650.0</v>
      </c>
      <c r="E470" s="41">
        <v>4.0</v>
      </c>
      <c r="F470" s="41" t="s">
        <v>3943</v>
      </c>
      <c r="G470" s="41" t="s">
        <v>41</v>
      </c>
      <c r="H470" s="41">
        <v>1.05</v>
      </c>
    </row>
    <row r="471" ht="14.25" customHeight="1">
      <c r="A471" s="40">
        <v>2671.0</v>
      </c>
      <c r="B471" s="40" t="s">
        <v>41</v>
      </c>
      <c r="D471" s="41">
        <v>2651.0</v>
      </c>
      <c r="E471" s="41">
        <v>4.0</v>
      </c>
      <c r="F471" s="41" t="s">
        <v>3943</v>
      </c>
      <c r="G471" s="41" t="s">
        <v>41</v>
      </c>
      <c r="H471" s="41">
        <v>1.05</v>
      </c>
    </row>
    <row r="472" ht="14.25" customHeight="1">
      <c r="A472" s="40">
        <v>2672.0</v>
      </c>
      <c r="B472" s="40" t="s">
        <v>38</v>
      </c>
      <c r="D472" s="41">
        <v>2652.0</v>
      </c>
      <c r="E472" s="41">
        <v>4.0</v>
      </c>
      <c r="F472" s="41" t="s">
        <v>3943</v>
      </c>
      <c r="G472" s="41" t="s">
        <v>41</v>
      </c>
      <c r="H472" s="41">
        <v>1.05</v>
      </c>
    </row>
    <row r="473" ht="14.25" customHeight="1">
      <c r="A473" s="40">
        <v>2675.0</v>
      </c>
      <c r="B473" s="40" t="s">
        <v>38</v>
      </c>
      <c r="D473" s="41">
        <v>2653.0</v>
      </c>
      <c r="E473" s="41">
        <v>7.0</v>
      </c>
      <c r="F473" s="41" t="s">
        <v>3943</v>
      </c>
      <c r="G473" s="41" t="s">
        <v>41</v>
      </c>
      <c r="H473" s="41">
        <v>1.05</v>
      </c>
    </row>
    <row r="474" ht="14.25" customHeight="1">
      <c r="A474" s="40">
        <v>2678.0</v>
      </c>
      <c r="B474" s="40" t="s">
        <v>38</v>
      </c>
      <c r="D474" s="41">
        <v>2655.0</v>
      </c>
      <c r="E474" s="41">
        <v>4.0</v>
      </c>
      <c r="F474" s="41" t="s">
        <v>3943</v>
      </c>
      <c r="G474" s="41" t="s">
        <v>41</v>
      </c>
      <c r="H474" s="41">
        <v>1.05</v>
      </c>
    </row>
    <row r="475" ht="14.25" customHeight="1">
      <c r="A475" s="40">
        <v>2680.0</v>
      </c>
      <c r="B475" s="40" t="s">
        <v>38</v>
      </c>
      <c r="D475" s="41">
        <v>2656.0</v>
      </c>
      <c r="E475" s="41">
        <v>4.0</v>
      </c>
      <c r="F475" s="41" t="s">
        <v>3943</v>
      </c>
      <c r="G475" s="41" t="s">
        <v>41</v>
      </c>
      <c r="H475" s="41">
        <v>1.05</v>
      </c>
    </row>
    <row r="476" ht="14.25" customHeight="1">
      <c r="A476" s="40">
        <v>2681.0</v>
      </c>
      <c r="B476" s="40" t="s">
        <v>38</v>
      </c>
      <c r="D476" s="41">
        <v>2658.0</v>
      </c>
      <c r="E476" s="41">
        <v>4.0</v>
      </c>
      <c r="F476" s="41" t="s">
        <v>3943</v>
      </c>
      <c r="G476" s="41" t="s">
        <v>41</v>
      </c>
      <c r="H476" s="41">
        <v>1.05</v>
      </c>
    </row>
    <row r="477" ht="14.25" customHeight="1">
      <c r="A477" s="40">
        <v>2700.0</v>
      </c>
      <c r="B477" s="40" t="s">
        <v>38</v>
      </c>
      <c r="D477" s="41">
        <v>2659.0</v>
      </c>
      <c r="E477" s="41">
        <v>4.0</v>
      </c>
      <c r="F477" s="41" t="s">
        <v>3943</v>
      </c>
      <c r="G477" s="41" t="s">
        <v>41</v>
      </c>
      <c r="H477" s="41">
        <v>1.05</v>
      </c>
    </row>
    <row r="478" ht="14.25" customHeight="1">
      <c r="A478" s="40">
        <v>2701.0</v>
      </c>
      <c r="B478" s="40" t="s">
        <v>41</v>
      </c>
      <c r="D478" s="41">
        <v>2660.0</v>
      </c>
      <c r="E478" s="41">
        <v>4.0</v>
      </c>
      <c r="F478" s="41" t="s">
        <v>3943</v>
      </c>
      <c r="G478" s="41" t="s">
        <v>41</v>
      </c>
      <c r="H478" s="41">
        <v>1.05</v>
      </c>
    </row>
    <row r="479" ht="14.25" customHeight="1">
      <c r="A479" s="40">
        <v>2702.0</v>
      </c>
      <c r="B479" s="40" t="s">
        <v>41</v>
      </c>
      <c r="D479" s="41">
        <v>2661.0</v>
      </c>
      <c r="E479" s="41">
        <v>4.0</v>
      </c>
      <c r="F479" s="41" t="s">
        <v>3943</v>
      </c>
      <c r="G479" s="41" t="s">
        <v>41</v>
      </c>
      <c r="H479" s="41">
        <v>1.05</v>
      </c>
    </row>
    <row r="480" ht="14.25" customHeight="1">
      <c r="A480" s="40">
        <v>2703.0</v>
      </c>
      <c r="B480" s="40" t="s">
        <v>38</v>
      </c>
      <c r="D480" s="41">
        <v>2663.0</v>
      </c>
      <c r="E480" s="41">
        <v>4.0</v>
      </c>
      <c r="F480" s="41" t="s">
        <v>3943</v>
      </c>
      <c r="G480" s="41" t="s">
        <v>41</v>
      </c>
      <c r="H480" s="41">
        <v>1.05</v>
      </c>
    </row>
    <row r="481" ht="14.25" customHeight="1">
      <c r="A481" s="40">
        <v>2705.0</v>
      </c>
      <c r="B481" s="40" t="s">
        <v>38</v>
      </c>
      <c r="D481" s="41">
        <v>2665.0</v>
      </c>
      <c r="E481" s="41">
        <v>4.0</v>
      </c>
      <c r="F481" s="41" t="s">
        <v>3943</v>
      </c>
      <c r="G481" s="41" t="s">
        <v>41</v>
      </c>
      <c r="H481" s="41">
        <v>1.05</v>
      </c>
    </row>
    <row r="482" ht="14.25" customHeight="1">
      <c r="A482" s="40">
        <v>2706.0</v>
      </c>
      <c r="B482" s="40" t="s">
        <v>38</v>
      </c>
      <c r="D482" s="41">
        <v>2666.0</v>
      </c>
      <c r="E482" s="41">
        <v>4.0</v>
      </c>
      <c r="F482" s="41" t="s">
        <v>3943</v>
      </c>
      <c r="G482" s="41" t="s">
        <v>41</v>
      </c>
      <c r="H482" s="41">
        <v>1.05</v>
      </c>
    </row>
    <row r="483" ht="14.25" customHeight="1">
      <c r="A483" s="40">
        <v>2707.0</v>
      </c>
      <c r="B483" s="40" t="s">
        <v>38</v>
      </c>
      <c r="D483" s="41">
        <v>2668.0</v>
      </c>
      <c r="E483" s="41">
        <v>4.0</v>
      </c>
      <c r="F483" s="41" t="s">
        <v>3943</v>
      </c>
      <c r="G483" s="41" t="s">
        <v>41</v>
      </c>
      <c r="H483" s="41">
        <v>1.05</v>
      </c>
    </row>
    <row r="484" ht="14.25" customHeight="1">
      <c r="A484" s="40">
        <v>2710.0</v>
      </c>
      <c r="B484" s="40" t="s">
        <v>38</v>
      </c>
      <c r="D484" s="41">
        <v>2669.0</v>
      </c>
      <c r="E484" s="41">
        <v>4.0</v>
      </c>
      <c r="F484" s="41" t="s">
        <v>3943</v>
      </c>
      <c r="G484" s="41" t="s">
        <v>38</v>
      </c>
      <c r="H484" s="41">
        <v>1.05</v>
      </c>
    </row>
    <row r="485" ht="14.25" customHeight="1">
      <c r="A485" s="40">
        <v>2711.0</v>
      </c>
      <c r="B485" s="40" t="s">
        <v>38</v>
      </c>
      <c r="D485" s="41">
        <v>2671.0</v>
      </c>
      <c r="E485" s="41">
        <v>4.0</v>
      </c>
      <c r="F485" s="41" t="s">
        <v>3943</v>
      </c>
      <c r="G485" s="41" t="s">
        <v>41</v>
      </c>
      <c r="H485" s="41">
        <v>1.05</v>
      </c>
    </row>
    <row r="486" ht="14.25" customHeight="1">
      <c r="A486" s="40">
        <v>2712.0</v>
      </c>
      <c r="B486" s="40" t="s">
        <v>41</v>
      </c>
      <c r="D486" s="41">
        <v>2672.0</v>
      </c>
      <c r="E486" s="41">
        <v>4.0</v>
      </c>
      <c r="F486" s="41" t="s">
        <v>3943</v>
      </c>
      <c r="G486" s="41" t="s">
        <v>38</v>
      </c>
      <c r="H486" s="41">
        <v>1.05</v>
      </c>
    </row>
    <row r="487" ht="14.25" customHeight="1">
      <c r="A487" s="40">
        <v>2713.0</v>
      </c>
      <c r="B487" s="40" t="s">
        <v>38</v>
      </c>
      <c r="D487" s="41">
        <v>2675.0</v>
      </c>
      <c r="E487" s="41">
        <v>4.0</v>
      </c>
      <c r="F487" s="41" t="s">
        <v>3943</v>
      </c>
      <c r="G487" s="41" t="s">
        <v>38</v>
      </c>
      <c r="H487" s="41">
        <v>1.05</v>
      </c>
    </row>
    <row r="488" ht="14.25" customHeight="1">
      <c r="A488" s="40">
        <v>2714.0</v>
      </c>
      <c r="B488" s="40" t="s">
        <v>38</v>
      </c>
      <c r="D488" s="41">
        <v>2678.0</v>
      </c>
      <c r="E488" s="41">
        <v>4.0</v>
      </c>
      <c r="F488" s="41">
        <v>1.03</v>
      </c>
      <c r="G488" s="41" t="s">
        <v>38</v>
      </c>
      <c r="H488" s="41">
        <v>1.05</v>
      </c>
    </row>
    <row r="489" ht="14.25" customHeight="1">
      <c r="A489" s="40">
        <v>2715.0</v>
      </c>
      <c r="B489" s="40" t="s">
        <v>38</v>
      </c>
      <c r="D489" s="41">
        <v>2680.0</v>
      </c>
      <c r="E489" s="41">
        <v>4.0</v>
      </c>
      <c r="F489" s="41" t="s">
        <v>3943</v>
      </c>
      <c r="G489" s="41" t="s">
        <v>38</v>
      </c>
      <c r="H489" s="41">
        <v>1.05</v>
      </c>
    </row>
    <row r="490" ht="14.25" customHeight="1">
      <c r="A490" s="40">
        <v>2716.0</v>
      </c>
      <c r="B490" s="40" t="s">
        <v>38</v>
      </c>
      <c r="D490" s="41">
        <v>2681.0</v>
      </c>
      <c r="E490" s="41">
        <v>4.0</v>
      </c>
      <c r="F490" s="41" t="s">
        <v>3943</v>
      </c>
      <c r="G490" s="41" t="s">
        <v>38</v>
      </c>
      <c r="H490" s="41">
        <v>1.05</v>
      </c>
    </row>
    <row r="491" ht="14.25" customHeight="1">
      <c r="A491" s="40">
        <v>2717.0</v>
      </c>
      <c r="B491" s="40" t="s">
        <v>38</v>
      </c>
      <c r="D491" s="41">
        <v>2700.0</v>
      </c>
      <c r="E491" s="41">
        <v>4.0</v>
      </c>
      <c r="F491" s="41" t="s">
        <v>3943</v>
      </c>
      <c r="G491" s="41" t="s">
        <v>38</v>
      </c>
      <c r="H491" s="41">
        <v>1.05</v>
      </c>
    </row>
    <row r="492" ht="14.25" customHeight="1">
      <c r="A492" s="40">
        <v>2720.0</v>
      </c>
      <c r="B492" s="40" t="s">
        <v>41</v>
      </c>
      <c r="D492" s="41">
        <v>2701.0</v>
      </c>
      <c r="E492" s="41">
        <v>4.0</v>
      </c>
      <c r="F492" s="41" t="s">
        <v>3943</v>
      </c>
      <c r="G492" s="41" t="s">
        <v>41</v>
      </c>
      <c r="H492" s="41">
        <v>1.05</v>
      </c>
    </row>
    <row r="493" ht="14.25" customHeight="1">
      <c r="A493" s="40">
        <v>2721.0</v>
      </c>
      <c r="B493" s="40" t="s">
        <v>41</v>
      </c>
      <c r="D493" s="41">
        <v>2702.0</v>
      </c>
      <c r="E493" s="41">
        <v>4.0</v>
      </c>
      <c r="F493" s="41" t="s">
        <v>3943</v>
      </c>
      <c r="G493" s="41" t="s">
        <v>41</v>
      </c>
      <c r="H493" s="41">
        <v>1.05</v>
      </c>
    </row>
    <row r="494" ht="14.25" customHeight="1">
      <c r="A494" s="40">
        <v>2722.0</v>
      </c>
      <c r="B494" s="40" t="s">
        <v>41</v>
      </c>
      <c r="D494" s="41">
        <v>2703.0</v>
      </c>
      <c r="E494" s="41">
        <v>4.0</v>
      </c>
      <c r="F494" s="41" t="s">
        <v>3943</v>
      </c>
      <c r="G494" s="41" t="s">
        <v>38</v>
      </c>
      <c r="H494" s="41">
        <v>1.05</v>
      </c>
    </row>
    <row r="495" ht="14.25" customHeight="1">
      <c r="A495" s="40">
        <v>2725.0</v>
      </c>
      <c r="B495" s="40" t="s">
        <v>41</v>
      </c>
      <c r="D495" s="41">
        <v>2705.0</v>
      </c>
      <c r="E495" s="41">
        <v>4.0</v>
      </c>
      <c r="F495" s="41" t="s">
        <v>3943</v>
      </c>
      <c r="G495" s="41" t="s">
        <v>38</v>
      </c>
      <c r="H495" s="41">
        <v>1.05</v>
      </c>
    </row>
    <row r="496" ht="14.25" customHeight="1">
      <c r="A496" s="40">
        <v>2726.0</v>
      </c>
      <c r="B496" s="40" t="s">
        <v>41</v>
      </c>
      <c r="D496" s="41">
        <v>2706.0</v>
      </c>
      <c r="E496" s="41">
        <v>4.0</v>
      </c>
      <c r="F496" s="41" t="s">
        <v>3943</v>
      </c>
      <c r="G496" s="41" t="s">
        <v>38</v>
      </c>
      <c r="H496" s="41">
        <v>1.05</v>
      </c>
    </row>
    <row r="497" ht="14.25" customHeight="1">
      <c r="A497" s="40">
        <v>2727.0</v>
      </c>
      <c r="B497" s="40" t="s">
        <v>41</v>
      </c>
      <c r="D497" s="41">
        <v>2707.0</v>
      </c>
      <c r="E497" s="41">
        <v>4.0</v>
      </c>
      <c r="F497" s="41" t="s">
        <v>3943</v>
      </c>
      <c r="G497" s="41" t="s">
        <v>38</v>
      </c>
      <c r="H497" s="41">
        <v>1.05</v>
      </c>
    </row>
    <row r="498" ht="14.25" customHeight="1">
      <c r="A498" s="40">
        <v>2729.0</v>
      </c>
      <c r="B498" s="40" t="s">
        <v>41</v>
      </c>
      <c r="D498" s="41">
        <v>2710.0</v>
      </c>
      <c r="E498" s="41">
        <v>4.0</v>
      </c>
      <c r="F498" s="41" t="s">
        <v>3943</v>
      </c>
      <c r="G498" s="41" t="s">
        <v>38</v>
      </c>
      <c r="H498" s="41">
        <v>1.05</v>
      </c>
    </row>
    <row r="499" ht="14.25" customHeight="1">
      <c r="A499" s="40">
        <v>2730.0</v>
      </c>
      <c r="B499" s="40" t="s">
        <v>41</v>
      </c>
      <c r="D499" s="41">
        <v>2711.0</v>
      </c>
      <c r="E499" s="41">
        <v>4.0</v>
      </c>
      <c r="F499" s="41" t="s">
        <v>3943</v>
      </c>
      <c r="G499" s="41" t="s">
        <v>38</v>
      </c>
      <c r="H499" s="41">
        <v>1.05</v>
      </c>
    </row>
    <row r="500" ht="14.25" customHeight="1">
      <c r="A500" s="40">
        <v>2731.0</v>
      </c>
      <c r="B500" s="40" t="s">
        <v>38</v>
      </c>
      <c r="D500" s="41">
        <v>2712.0</v>
      </c>
      <c r="E500" s="41">
        <v>4.0</v>
      </c>
      <c r="F500" s="41" t="s">
        <v>3943</v>
      </c>
      <c r="G500" s="41" t="s">
        <v>41</v>
      </c>
      <c r="H500" s="41">
        <v>1.05</v>
      </c>
    </row>
    <row r="501" ht="14.25" customHeight="1">
      <c r="A501" s="40">
        <v>2732.0</v>
      </c>
      <c r="B501" s="40" t="s">
        <v>38</v>
      </c>
      <c r="D501" s="41">
        <v>2713.0</v>
      </c>
      <c r="E501" s="41">
        <v>4.0</v>
      </c>
      <c r="F501" s="41" t="s">
        <v>3943</v>
      </c>
      <c r="G501" s="41" t="s">
        <v>38</v>
      </c>
      <c r="H501" s="41">
        <v>1.05</v>
      </c>
    </row>
    <row r="502" ht="14.25" customHeight="1">
      <c r="A502" s="40">
        <v>2733.0</v>
      </c>
      <c r="B502" s="40" t="s">
        <v>38</v>
      </c>
      <c r="D502" s="41">
        <v>2714.0</v>
      </c>
      <c r="E502" s="41">
        <v>4.0</v>
      </c>
      <c r="F502" s="41" t="s">
        <v>3943</v>
      </c>
      <c r="G502" s="41" t="s">
        <v>38</v>
      </c>
      <c r="H502" s="41">
        <v>1.05</v>
      </c>
    </row>
    <row r="503" ht="14.25" customHeight="1">
      <c r="A503" s="40">
        <v>2734.0</v>
      </c>
      <c r="B503" s="40" t="s">
        <v>38</v>
      </c>
      <c r="D503" s="41">
        <v>2715.0</v>
      </c>
      <c r="E503" s="41">
        <v>4.0</v>
      </c>
      <c r="F503" s="41" t="s">
        <v>3943</v>
      </c>
      <c r="G503" s="41" t="s">
        <v>38</v>
      </c>
      <c r="H503" s="41">
        <v>1.05</v>
      </c>
    </row>
    <row r="504" ht="14.25" customHeight="1">
      <c r="A504" s="40">
        <v>2735.0</v>
      </c>
      <c r="B504" s="40" t="s">
        <v>38</v>
      </c>
      <c r="D504" s="41">
        <v>2716.0</v>
      </c>
      <c r="E504" s="41">
        <v>4.0</v>
      </c>
      <c r="F504" s="41" t="s">
        <v>3943</v>
      </c>
      <c r="G504" s="41" t="s">
        <v>38</v>
      </c>
      <c r="H504" s="41">
        <v>1.05</v>
      </c>
    </row>
    <row r="505" ht="14.25" customHeight="1">
      <c r="A505" s="40">
        <v>2736.0</v>
      </c>
      <c r="B505" s="40" t="s">
        <v>38</v>
      </c>
      <c r="D505" s="41">
        <v>2717.0</v>
      </c>
      <c r="E505" s="41">
        <v>4.0</v>
      </c>
      <c r="F505" s="41" t="s">
        <v>3943</v>
      </c>
      <c r="G505" s="41" t="s">
        <v>38</v>
      </c>
      <c r="H505" s="41">
        <v>1.05</v>
      </c>
    </row>
    <row r="506" ht="14.25" customHeight="1">
      <c r="A506" s="40">
        <v>2737.0</v>
      </c>
      <c r="B506" s="40" t="s">
        <v>38</v>
      </c>
      <c r="D506" s="41">
        <v>2720.0</v>
      </c>
      <c r="E506" s="41">
        <v>7.0</v>
      </c>
      <c r="F506" s="41" t="s">
        <v>3943</v>
      </c>
      <c r="G506" s="41" t="s">
        <v>41</v>
      </c>
      <c r="H506" s="41">
        <v>1.05</v>
      </c>
    </row>
    <row r="507" ht="14.25" customHeight="1">
      <c r="A507" s="40">
        <v>2738.0</v>
      </c>
      <c r="B507" s="40" t="s">
        <v>38</v>
      </c>
      <c r="D507" s="41">
        <v>2721.0</v>
      </c>
      <c r="E507" s="41">
        <v>4.0</v>
      </c>
      <c r="F507" s="41" t="s">
        <v>3943</v>
      </c>
      <c r="G507" s="41" t="s">
        <v>41</v>
      </c>
      <c r="H507" s="41">
        <v>1.05</v>
      </c>
    </row>
    <row r="508" ht="14.25" customHeight="1">
      <c r="A508" s="40">
        <v>2739.0</v>
      </c>
      <c r="B508" s="40" t="s">
        <v>38</v>
      </c>
      <c r="D508" s="41">
        <v>2722.0</v>
      </c>
      <c r="E508" s="41">
        <v>4.0</v>
      </c>
      <c r="F508" s="41" t="s">
        <v>3943</v>
      </c>
      <c r="G508" s="41" t="s">
        <v>41</v>
      </c>
      <c r="H508" s="41">
        <v>1.05</v>
      </c>
    </row>
    <row r="509" ht="14.25" customHeight="1">
      <c r="A509" s="40">
        <v>2745.0</v>
      </c>
      <c r="B509" s="40" t="s">
        <v>38</v>
      </c>
      <c r="D509" s="41">
        <v>2725.0</v>
      </c>
      <c r="E509" s="41">
        <v>4.0</v>
      </c>
      <c r="F509" s="41" t="s">
        <v>3943</v>
      </c>
      <c r="G509" s="41" t="s">
        <v>41</v>
      </c>
      <c r="H509" s="41">
        <v>1.05</v>
      </c>
    </row>
    <row r="510" ht="14.25" customHeight="1">
      <c r="A510" s="40">
        <v>2747.0</v>
      </c>
      <c r="B510" s="40" t="s">
        <v>38</v>
      </c>
      <c r="D510" s="41">
        <v>2726.0</v>
      </c>
      <c r="E510" s="41">
        <v>4.0</v>
      </c>
      <c r="F510" s="41" t="s">
        <v>3943</v>
      </c>
      <c r="G510" s="41" t="s">
        <v>41</v>
      </c>
      <c r="H510" s="41">
        <v>1.05</v>
      </c>
    </row>
    <row r="511" ht="14.25" customHeight="1">
      <c r="A511" s="40">
        <v>2748.0</v>
      </c>
      <c r="B511" s="40" t="s">
        <v>38</v>
      </c>
      <c r="D511" s="41">
        <v>2727.0</v>
      </c>
      <c r="E511" s="41">
        <v>4.0</v>
      </c>
      <c r="F511" s="41" t="s">
        <v>3943</v>
      </c>
      <c r="G511" s="41" t="s">
        <v>41</v>
      </c>
      <c r="H511" s="41">
        <v>1.05</v>
      </c>
    </row>
    <row r="512" ht="14.25" customHeight="1">
      <c r="A512" s="40">
        <v>2749.0</v>
      </c>
      <c r="B512" s="40" t="s">
        <v>38</v>
      </c>
      <c r="D512" s="41">
        <v>2729.0</v>
      </c>
      <c r="E512" s="41">
        <v>4.0</v>
      </c>
      <c r="F512" s="41" t="s">
        <v>3943</v>
      </c>
      <c r="G512" s="41" t="s">
        <v>41</v>
      </c>
      <c r="H512" s="41">
        <v>1.05</v>
      </c>
    </row>
    <row r="513" ht="14.25" customHeight="1">
      <c r="A513" s="40">
        <v>2750.0</v>
      </c>
      <c r="B513" s="40" t="s">
        <v>38</v>
      </c>
      <c r="D513" s="41">
        <v>2730.0</v>
      </c>
      <c r="E513" s="41">
        <v>7.0</v>
      </c>
      <c r="F513" s="41" t="s">
        <v>3943</v>
      </c>
      <c r="G513" s="41" t="s">
        <v>41</v>
      </c>
      <c r="H513" s="41">
        <v>1.05</v>
      </c>
    </row>
    <row r="514" ht="14.25" customHeight="1">
      <c r="A514" s="40">
        <v>2752.0</v>
      </c>
      <c r="B514" s="40" t="s">
        <v>38</v>
      </c>
      <c r="D514" s="41">
        <v>2731.0</v>
      </c>
      <c r="E514" s="41">
        <v>4.0</v>
      </c>
      <c r="F514" s="41" t="s">
        <v>3943</v>
      </c>
      <c r="G514" s="41" t="s">
        <v>38</v>
      </c>
      <c r="H514" s="41">
        <v>1.05</v>
      </c>
    </row>
    <row r="515" ht="14.25" customHeight="1">
      <c r="A515" s="40">
        <v>2753.0</v>
      </c>
      <c r="B515" s="40" t="s">
        <v>38</v>
      </c>
      <c r="D515" s="41">
        <v>2732.0</v>
      </c>
      <c r="E515" s="41">
        <v>4.0</v>
      </c>
      <c r="F515" s="41" t="s">
        <v>3943</v>
      </c>
      <c r="G515" s="41" t="s">
        <v>38</v>
      </c>
      <c r="H515" s="41">
        <v>1.05</v>
      </c>
    </row>
    <row r="516" ht="14.25" customHeight="1">
      <c r="A516" s="40">
        <v>2754.0</v>
      </c>
      <c r="B516" s="40" t="s">
        <v>38</v>
      </c>
      <c r="D516" s="41">
        <v>2733.0</v>
      </c>
      <c r="E516" s="41">
        <v>4.0</v>
      </c>
      <c r="F516" s="41" t="s">
        <v>3943</v>
      </c>
      <c r="G516" s="41" t="s">
        <v>38</v>
      </c>
      <c r="H516" s="41">
        <v>1.05</v>
      </c>
    </row>
    <row r="517" ht="14.25" customHeight="1">
      <c r="A517" s="40">
        <v>2756.0</v>
      </c>
      <c r="B517" s="40" t="s">
        <v>38</v>
      </c>
      <c r="D517" s="41">
        <v>2734.0</v>
      </c>
      <c r="E517" s="41">
        <v>4.0</v>
      </c>
      <c r="F517" s="41" t="s">
        <v>3943</v>
      </c>
      <c r="G517" s="41" t="s">
        <v>38</v>
      </c>
      <c r="H517" s="41">
        <v>1.05</v>
      </c>
    </row>
    <row r="518" ht="14.25" customHeight="1">
      <c r="A518" s="40">
        <v>2757.0</v>
      </c>
      <c r="B518" s="40" t="s">
        <v>38</v>
      </c>
      <c r="D518" s="41">
        <v>2735.0</v>
      </c>
      <c r="E518" s="41">
        <v>4.0</v>
      </c>
      <c r="F518" s="41" t="s">
        <v>3943</v>
      </c>
      <c r="G518" s="41" t="s">
        <v>38</v>
      </c>
      <c r="H518" s="41">
        <v>1.05</v>
      </c>
    </row>
    <row r="519" ht="14.25" customHeight="1">
      <c r="A519" s="40">
        <v>2758.0</v>
      </c>
      <c r="B519" s="40" t="s">
        <v>38</v>
      </c>
      <c r="D519" s="41">
        <v>2736.0</v>
      </c>
      <c r="E519" s="41">
        <v>4.0</v>
      </c>
      <c r="F519" s="41" t="s">
        <v>3943</v>
      </c>
      <c r="G519" s="41" t="s">
        <v>38</v>
      </c>
      <c r="H519" s="41">
        <v>1.05</v>
      </c>
    </row>
    <row r="520" ht="14.25" customHeight="1">
      <c r="A520" s="40">
        <v>2759.0</v>
      </c>
      <c r="B520" s="40" t="s">
        <v>38</v>
      </c>
      <c r="D520" s="41">
        <v>2737.0</v>
      </c>
      <c r="E520" s="41">
        <v>4.0</v>
      </c>
      <c r="F520" s="41" t="s">
        <v>3943</v>
      </c>
      <c r="G520" s="41" t="s">
        <v>38</v>
      </c>
      <c r="H520" s="41">
        <v>1.05</v>
      </c>
    </row>
    <row r="521" ht="14.25" customHeight="1">
      <c r="A521" s="40">
        <v>2760.0</v>
      </c>
      <c r="B521" s="40" t="s">
        <v>38</v>
      </c>
      <c r="D521" s="41">
        <v>2738.0</v>
      </c>
      <c r="E521" s="41">
        <v>4.0</v>
      </c>
      <c r="F521" s="41" t="s">
        <v>3943</v>
      </c>
      <c r="G521" s="41" t="s">
        <v>38</v>
      </c>
      <c r="H521" s="41">
        <v>1.05</v>
      </c>
    </row>
    <row r="522" ht="14.25" customHeight="1">
      <c r="A522" s="40">
        <v>2761.0</v>
      </c>
      <c r="B522" s="40" t="s">
        <v>38</v>
      </c>
      <c r="D522" s="41">
        <v>2739.0</v>
      </c>
      <c r="E522" s="41">
        <v>4.0</v>
      </c>
      <c r="F522" s="41" t="s">
        <v>3943</v>
      </c>
      <c r="G522" s="41" t="s">
        <v>38</v>
      </c>
      <c r="H522" s="41">
        <v>1.05</v>
      </c>
    </row>
    <row r="523" ht="14.25" customHeight="1">
      <c r="A523" s="40">
        <v>2762.0</v>
      </c>
      <c r="B523" s="40" t="s">
        <v>38</v>
      </c>
      <c r="D523" s="41">
        <v>2745.0</v>
      </c>
      <c r="E523" s="41">
        <v>6.0</v>
      </c>
      <c r="F523" s="41" t="s">
        <v>3942</v>
      </c>
      <c r="G523" s="41" t="s">
        <v>38</v>
      </c>
      <c r="H523" s="41">
        <v>1.05</v>
      </c>
    </row>
    <row r="524" ht="14.25" customHeight="1">
      <c r="A524" s="40">
        <v>2763.0</v>
      </c>
      <c r="B524" s="40" t="s">
        <v>38</v>
      </c>
      <c r="D524" s="41">
        <v>2747.0</v>
      </c>
      <c r="E524" s="41">
        <v>6.0</v>
      </c>
      <c r="F524" s="41" t="s">
        <v>3942</v>
      </c>
      <c r="G524" s="41" t="s">
        <v>38</v>
      </c>
      <c r="H524" s="41">
        <v>1.05</v>
      </c>
    </row>
    <row r="525" ht="14.25" customHeight="1">
      <c r="A525" s="40">
        <v>2765.0</v>
      </c>
      <c r="B525" s="40" t="s">
        <v>38</v>
      </c>
      <c r="D525" s="41">
        <v>2748.0</v>
      </c>
      <c r="E525" s="41">
        <v>6.0</v>
      </c>
      <c r="F525" s="41" t="s">
        <v>3942</v>
      </c>
      <c r="G525" s="41" t="s">
        <v>38</v>
      </c>
      <c r="H525" s="41">
        <v>1.05</v>
      </c>
    </row>
    <row r="526" ht="14.25" customHeight="1">
      <c r="A526" s="40">
        <v>2766.0</v>
      </c>
      <c r="B526" s="40" t="s">
        <v>38</v>
      </c>
      <c r="D526" s="41">
        <v>2749.0</v>
      </c>
      <c r="E526" s="41">
        <v>6.0</v>
      </c>
      <c r="F526" s="41" t="s">
        <v>3942</v>
      </c>
      <c r="G526" s="41" t="s">
        <v>38</v>
      </c>
      <c r="H526" s="41">
        <v>1.05</v>
      </c>
    </row>
    <row r="527" ht="14.25" customHeight="1">
      <c r="A527" s="40">
        <v>2767.0</v>
      </c>
      <c r="B527" s="40" t="s">
        <v>38</v>
      </c>
      <c r="D527" s="41">
        <v>2750.0</v>
      </c>
      <c r="E527" s="41">
        <v>6.0</v>
      </c>
      <c r="F527" s="41" t="s">
        <v>3942</v>
      </c>
      <c r="G527" s="41" t="s">
        <v>38</v>
      </c>
      <c r="H527" s="41">
        <v>1.05</v>
      </c>
    </row>
    <row r="528" ht="14.25" customHeight="1">
      <c r="A528" s="40">
        <v>2768.0</v>
      </c>
      <c r="B528" s="40" t="s">
        <v>38</v>
      </c>
      <c r="D528" s="41">
        <v>2752.0</v>
      </c>
      <c r="E528" s="41">
        <v>6.0</v>
      </c>
      <c r="F528" s="41" t="s">
        <v>3942</v>
      </c>
      <c r="G528" s="41" t="s">
        <v>38</v>
      </c>
      <c r="H528" s="41">
        <v>1.05</v>
      </c>
    </row>
    <row r="529" ht="14.25" customHeight="1">
      <c r="A529" s="40">
        <v>2769.0</v>
      </c>
      <c r="B529" s="40" t="s">
        <v>38</v>
      </c>
      <c r="D529" s="41">
        <v>2753.0</v>
      </c>
      <c r="E529" s="41">
        <v>6.0</v>
      </c>
      <c r="F529" s="41" t="s">
        <v>3942</v>
      </c>
      <c r="G529" s="41" t="s">
        <v>38</v>
      </c>
      <c r="H529" s="41">
        <v>1.05</v>
      </c>
    </row>
    <row r="530" ht="14.25" customHeight="1">
      <c r="A530" s="40">
        <v>2770.0</v>
      </c>
      <c r="B530" s="40" t="s">
        <v>38</v>
      </c>
      <c r="D530" s="41">
        <v>2754.0</v>
      </c>
      <c r="E530" s="41">
        <v>6.0</v>
      </c>
      <c r="F530" s="41" t="s">
        <v>3942</v>
      </c>
      <c r="G530" s="41" t="s">
        <v>38</v>
      </c>
      <c r="H530" s="41">
        <v>1.05</v>
      </c>
    </row>
    <row r="531" ht="14.25" customHeight="1">
      <c r="A531" s="40">
        <v>2773.0</v>
      </c>
      <c r="B531" s="40" t="s">
        <v>38</v>
      </c>
      <c r="D531" s="41">
        <v>2756.0</v>
      </c>
      <c r="E531" s="41">
        <v>6.0</v>
      </c>
      <c r="F531" s="41" t="s">
        <v>3942</v>
      </c>
      <c r="G531" s="41" t="s">
        <v>38</v>
      </c>
      <c r="H531" s="41">
        <v>1.05</v>
      </c>
    </row>
    <row r="532" ht="14.25" customHeight="1">
      <c r="A532" s="40">
        <v>2774.0</v>
      </c>
      <c r="B532" s="40" t="s">
        <v>38</v>
      </c>
      <c r="D532" s="41">
        <v>2757.0</v>
      </c>
      <c r="E532" s="41">
        <v>6.0</v>
      </c>
      <c r="F532" s="41" t="s">
        <v>3942</v>
      </c>
      <c r="G532" s="41" t="s">
        <v>38</v>
      </c>
      <c r="H532" s="41">
        <v>1.05</v>
      </c>
    </row>
    <row r="533" ht="14.25" customHeight="1">
      <c r="A533" s="40">
        <v>2775.0</v>
      </c>
      <c r="B533" s="40" t="s">
        <v>38</v>
      </c>
      <c r="D533" s="41">
        <v>2758.0</v>
      </c>
      <c r="E533" s="41">
        <v>6.0</v>
      </c>
      <c r="F533" s="41" t="s">
        <v>3942</v>
      </c>
      <c r="G533" s="41" t="s">
        <v>38</v>
      </c>
      <c r="H533" s="41">
        <v>1.05</v>
      </c>
    </row>
    <row r="534" ht="14.25" customHeight="1">
      <c r="A534" s="40">
        <v>2776.0</v>
      </c>
      <c r="B534" s="40" t="s">
        <v>41</v>
      </c>
      <c r="D534" s="41">
        <v>2759.0</v>
      </c>
      <c r="E534" s="41">
        <v>6.0</v>
      </c>
      <c r="F534" s="41" t="s">
        <v>3942</v>
      </c>
      <c r="G534" s="41" t="s">
        <v>38</v>
      </c>
      <c r="H534" s="41">
        <v>1.05</v>
      </c>
    </row>
    <row r="535" ht="14.25" customHeight="1">
      <c r="A535" s="40">
        <v>2777.0</v>
      </c>
      <c r="B535" s="40" t="s">
        <v>38</v>
      </c>
      <c r="D535" s="41">
        <v>2760.0</v>
      </c>
      <c r="E535" s="41">
        <v>6.0</v>
      </c>
      <c r="F535" s="41" t="s">
        <v>3942</v>
      </c>
      <c r="G535" s="41" t="s">
        <v>38</v>
      </c>
      <c r="H535" s="41">
        <v>1.05</v>
      </c>
    </row>
    <row r="536" ht="14.25" customHeight="1">
      <c r="A536" s="40">
        <v>2778.0</v>
      </c>
      <c r="B536" s="40" t="s">
        <v>41</v>
      </c>
      <c r="D536" s="41">
        <v>2761.0</v>
      </c>
      <c r="E536" s="41">
        <v>6.0</v>
      </c>
      <c r="F536" s="41" t="s">
        <v>3942</v>
      </c>
      <c r="G536" s="41" t="s">
        <v>38</v>
      </c>
      <c r="H536" s="41">
        <v>1.05</v>
      </c>
    </row>
    <row r="537" ht="14.25" customHeight="1">
      <c r="A537" s="40">
        <v>2779.0</v>
      </c>
      <c r="B537" s="40" t="s">
        <v>41</v>
      </c>
      <c r="D537" s="41">
        <v>2762.0</v>
      </c>
      <c r="E537" s="41">
        <v>6.0</v>
      </c>
      <c r="F537" s="41" t="s">
        <v>3942</v>
      </c>
      <c r="G537" s="41" t="s">
        <v>38</v>
      </c>
      <c r="H537" s="41">
        <v>1.05</v>
      </c>
    </row>
    <row r="538" ht="14.25" customHeight="1">
      <c r="A538" s="40">
        <v>2780.0</v>
      </c>
      <c r="B538" s="40" t="s">
        <v>41</v>
      </c>
      <c r="D538" s="41">
        <v>2763.0</v>
      </c>
      <c r="E538" s="41">
        <v>6.0</v>
      </c>
      <c r="F538" s="41" t="s">
        <v>3942</v>
      </c>
      <c r="G538" s="41" t="s">
        <v>38</v>
      </c>
      <c r="H538" s="41">
        <v>1.05</v>
      </c>
    </row>
    <row r="539" ht="14.25" customHeight="1">
      <c r="A539" s="40">
        <v>2782.0</v>
      </c>
      <c r="B539" s="40" t="s">
        <v>41</v>
      </c>
      <c r="D539" s="41">
        <v>2765.0</v>
      </c>
      <c r="E539" s="41">
        <v>6.0</v>
      </c>
      <c r="F539" s="41" t="s">
        <v>3942</v>
      </c>
      <c r="G539" s="41" t="s">
        <v>38</v>
      </c>
      <c r="H539" s="41">
        <v>1.05</v>
      </c>
    </row>
    <row r="540" ht="14.25" customHeight="1">
      <c r="A540" s="40">
        <v>2783.0</v>
      </c>
      <c r="B540" s="40" t="s">
        <v>41</v>
      </c>
      <c r="D540" s="41">
        <v>2766.0</v>
      </c>
      <c r="E540" s="41">
        <v>6.0</v>
      </c>
      <c r="F540" s="41" t="s">
        <v>3942</v>
      </c>
      <c r="G540" s="41" t="s">
        <v>38</v>
      </c>
      <c r="H540" s="41">
        <v>1.05</v>
      </c>
    </row>
    <row r="541" ht="14.25" customHeight="1">
      <c r="A541" s="40">
        <v>2784.0</v>
      </c>
      <c r="B541" s="40" t="s">
        <v>41</v>
      </c>
      <c r="D541" s="41">
        <v>2767.0</v>
      </c>
      <c r="E541" s="41">
        <v>6.0</v>
      </c>
      <c r="F541" s="41" t="s">
        <v>3942</v>
      </c>
      <c r="G541" s="41" t="s">
        <v>38</v>
      </c>
      <c r="H541" s="41">
        <v>1.05</v>
      </c>
    </row>
    <row r="542" ht="14.25" customHeight="1">
      <c r="A542" s="40">
        <v>2785.0</v>
      </c>
      <c r="B542" s="40" t="s">
        <v>41</v>
      </c>
      <c r="D542" s="41">
        <v>2768.0</v>
      </c>
      <c r="E542" s="41">
        <v>6.0</v>
      </c>
      <c r="F542" s="41" t="s">
        <v>3942</v>
      </c>
      <c r="G542" s="41" t="s">
        <v>38</v>
      </c>
      <c r="H542" s="41">
        <v>1.05</v>
      </c>
    </row>
    <row r="543" ht="14.25" customHeight="1">
      <c r="A543" s="40">
        <v>2786.0</v>
      </c>
      <c r="B543" s="40" t="s">
        <v>41</v>
      </c>
      <c r="D543" s="41">
        <v>2769.0</v>
      </c>
      <c r="E543" s="41">
        <v>6.0</v>
      </c>
      <c r="F543" s="41" t="s">
        <v>3942</v>
      </c>
      <c r="G543" s="41" t="s">
        <v>38</v>
      </c>
      <c r="H543" s="41">
        <v>1.05</v>
      </c>
    </row>
    <row r="544" ht="14.25" customHeight="1">
      <c r="A544" s="40">
        <v>2787.0</v>
      </c>
      <c r="B544" s="40" t="s">
        <v>41</v>
      </c>
      <c r="D544" s="41">
        <v>2770.0</v>
      </c>
      <c r="E544" s="41">
        <v>6.0</v>
      </c>
      <c r="F544" s="41" t="s">
        <v>3942</v>
      </c>
      <c r="G544" s="41" t="s">
        <v>38</v>
      </c>
      <c r="H544" s="41">
        <v>1.05</v>
      </c>
    </row>
    <row r="545" ht="14.25" customHeight="1">
      <c r="A545" s="40">
        <v>2790.0</v>
      </c>
      <c r="B545" s="40" t="s">
        <v>41</v>
      </c>
      <c r="D545" s="41">
        <v>2773.0</v>
      </c>
      <c r="E545" s="41">
        <v>6.0</v>
      </c>
      <c r="F545" s="41" t="s">
        <v>3942</v>
      </c>
      <c r="G545" s="41" t="s">
        <v>38</v>
      </c>
      <c r="H545" s="41">
        <v>1.05</v>
      </c>
    </row>
    <row r="546" ht="14.25" customHeight="1">
      <c r="A546" s="40">
        <v>2791.0</v>
      </c>
      <c r="B546" s="40" t="s">
        <v>41</v>
      </c>
      <c r="D546" s="41">
        <v>2774.0</v>
      </c>
      <c r="E546" s="41">
        <v>6.0</v>
      </c>
      <c r="F546" s="41" t="s">
        <v>3942</v>
      </c>
      <c r="G546" s="41" t="s">
        <v>38</v>
      </c>
      <c r="H546" s="41">
        <v>1.05</v>
      </c>
    </row>
    <row r="547" ht="14.25" customHeight="1">
      <c r="A547" s="40">
        <v>2792.0</v>
      </c>
      <c r="B547" s="40" t="s">
        <v>41</v>
      </c>
      <c r="D547" s="41">
        <v>2775.0</v>
      </c>
      <c r="E547" s="41">
        <v>6.0</v>
      </c>
      <c r="F547" s="41" t="s">
        <v>3942</v>
      </c>
      <c r="G547" s="41" t="s">
        <v>38</v>
      </c>
      <c r="H547" s="41">
        <v>1.04</v>
      </c>
    </row>
    <row r="548" ht="14.25" customHeight="1">
      <c r="A548" s="40">
        <v>2793.0</v>
      </c>
      <c r="B548" s="40" t="s">
        <v>41</v>
      </c>
      <c r="D548" s="41">
        <v>2776.0</v>
      </c>
      <c r="E548" s="41">
        <v>7.0</v>
      </c>
      <c r="F548" s="41" t="s">
        <v>3942</v>
      </c>
      <c r="G548" s="41" t="s">
        <v>41</v>
      </c>
      <c r="H548" s="41">
        <v>1.05</v>
      </c>
    </row>
    <row r="549" ht="14.25" customHeight="1">
      <c r="A549" s="40">
        <v>2794.0</v>
      </c>
      <c r="B549" s="40" t="s">
        <v>41</v>
      </c>
      <c r="D549" s="41">
        <v>2777.0</v>
      </c>
      <c r="E549" s="41">
        <v>6.0</v>
      </c>
      <c r="F549" s="41" t="s">
        <v>3942</v>
      </c>
      <c r="G549" s="41" t="s">
        <v>38</v>
      </c>
      <c r="H549" s="41">
        <v>1.05</v>
      </c>
    </row>
    <row r="550" ht="14.25" customHeight="1">
      <c r="A550" s="40">
        <v>2795.0</v>
      </c>
      <c r="B550" s="40" t="s">
        <v>41</v>
      </c>
      <c r="D550" s="41">
        <v>2778.0</v>
      </c>
      <c r="E550" s="41">
        <v>7.0</v>
      </c>
      <c r="F550" s="41" t="s">
        <v>3942</v>
      </c>
      <c r="G550" s="41" t="s">
        <v>41</v>
      </c>
      <c r="H550" s="41">
        <v>1.05</v>
      </c>
    </row>
    <row r="551" ht="14.25" customHeight="1">
      <c r="A551" s="40">
        <v>2797.0</v>
      </c>
      <c r="B551" s="40" t="s">
        <v>41</v>
      </c>
      <c r="D551" s="41">
        <v>2779.0</v>
      </c>
      <c r="E551" s="41">
        <v>7.0</v>
      </c>
      <c r="F551" s="41" t="s">
        <v>3942</v>
      </c>
      <c r="G551" s="41" t="s">
        <v>41</v>
      </c>
      <c r="H551" s="41">
        <v>1.05</v>
      </c>
    </row>
    <row r="552" ht="14.25" customHeight="1">
      <c r="A552" s="40">
        <v>2798.0</v>
      </c>
      <c r="B552" s="40" t="s">
        <v>41</v>
      </c>
      <c r="D552" s="41">
        <v>2780.0</v>
      </c>
      <c r="E552" s="41">
        <v>7.0</v>
      </c>
      <c r="F552" s="41" t="s">
        <v>3942</v>
      </c>
      <c r="G552" s="41" t="s">
        <v>41</v>
      </c>
      <c r="H552" s="41">
        <v>1.05</v>
      </c>
    </row>
    <row r="553" ht="14.25" customHeight="1">
      <c r="A553" s="40">
        <v>2799.0</v>
      </c>
      <c r="B553" s="40" t="s">
        <v>41</v>
      </c>
      <c r="D553" s="41">
        <v>2782.0</v>
      </c>
      <c r="E553" s="41">
        <v>7.0</v>
      </c>
      <c r="F553" s="41" t="s">
        <v>3942</v>
      </c>
      <c r="G553" s="41" t="s">
        <v>41</v>
      </c>
      <c r="H553" s="41">
        <v>1.05</v>
      </c>
    </row>
    <row r="554" ht="14.25" customHeight="1">
      <c r="A554" s="40">
        <v>2800.0</v>
      </c>
      <c r="B554" s="40" t="s">
        <v>41</v>
      </c>
      <c r="D554" s="41">
        <v>2783.0</v>
      </c>
      <c r="E554" s="41">
        <v>7.0</v>
      </c>
      <c r="F554" s="41" t="s">
        <v>3942</v>
      </c>
      <c r="G554" s="41" t="s">
        <v>41</v>
      </c>
      <c r="H554" s="41">
        <v>1.05</v>
      </c>
    </row>
    <row r="555" ht="14.25" customHeight="1">
      <c r="A555" s="40">
        <v>2803.0</v>
      </c>
      <c r="B555" s="40" t="s">
        <v>41</v>
      </c>
      <c r="D555" s="41">
        <v>2784.0</v>
      </c>
      <c r="E555" s="41">
        <v>7.0</v>
      </c>
      <c r="F555" s="41" t="s">
        <v>3942</v>
      </c>
      <c r="G555" s="41" t="s">
        <v>41</v>
      </c>
      <c r="H555" s="41">
        <v>1.05</v>
      </c>
    </row>
    <row r="556" ht="14.25" customHeight="1">
      <c r="A556" s="40">
        <v>2804.0</v>
      </c>
      <c r="B556" s="40" t="s">
        <v>41</v>
      </c>
      <c r="D556" s="41">
        <v>2785.0</v>
      </c>
      <c r="E556" s="41">
        <v>7.0</v>
      </c>
      <c r="F556" s="41" t="s">
        <v>3942</v>
      </c>
      <c r="G556" s="41" t="s">
        <v>41</v>
      </c>
      <c r="H556" s="41">
        <v>1.05</v>
      </c>
    </row>
    <row r="557" ht="14.25" customHeight="1">
      <c r="A557" s="40">
        <v>2805.0</v>
      </c>
      <c r="B557" s="40" t="s">
        <v>41</v>
      </c>
      <c r="D557" s="41">
        <v>2786.0</v>
      </c>
      <c r="E557" s="41">
        <v>7.0</v>
      </c>
      <c r="F557" s="41" t="s">
        <v>3942</v>
      </c>
      <c r="G557" s="41" t="s">
        <v>41</v>
      </c>
      <c r="H557" s="41">
        <v>1.05</v>
      </c>
    </row>
    <row r="558" ht="14.25" customHeight="1">
      <c r="A558" s="40">
        <v>2806.0</v>
      </c>
      <c r="B558" s="40" t="s">
        <v>41</v>
      </c>
      <c r="D558" s="41">
        <v>2787.0</v>
      </c>
      <c r="E558" s="41">
        <v>7.0</v>
      </c>
      <c r="F558" s="41" t="s">
        <v>3943</v>
      </c>
      <c r="G558" s="41" t="s">
        <v>41</v>
      </c>
      <c r="H558" s="41">
        <v>1.05</v>
      </c>
    </row>
    <row r="559" ht="14.25" customHeight="1">
      <c r="A559" s="40">
        <v>2807.0</v>
      </c>
      <c r="B559" s="40" t="s">
        <v>41</v>
      </c>
      <c r="D559" s="41">
        <v>2790.0</v>
      </c>
      <c r="E559" s="41">
        <v>7.0</v>
      </c>
      <c r="F559" s="41" t="s">
        <v>3942</v>
      </c>
      <c r="G559" s="41" t="s">
        <v>41</v>
      </c>
      <c r="H559" s="41">
        <v>1.05</v>
      </c>
    </row>
    <row r="560" ht="14.25" customHeight="1">
      <c r="A560" s="40">
        <v>2808.0</v>
      </c>
      <c r="B560" s="40" t="s">
        <v>41</v>
      </c>
      <c r="D560" s="41">
        <v>2791.0</v>
      </c>
      <c r="E560" s="41">
        <v>7.0</v>
      </c>
      <c r="F560" s="41" t="s">
        <v>3943</v>
      </c>
      <c r="G560" s="41" t="s">
        <v>41</v>
      </c>
      <c r="H560" s="41">
        <v>1.05</v>
      </c>
    </row>
    <row r="561" ht="14.25" customHeight="1">
      <c r="A561" s="40">
        <v>2809.0</v>
      </c>
      <c r="B561" s="40" t="s">
        <v>41</v>
      </c>
      <c r="D561" s="41">
        <v>2792.0</v>
      </c>
      <c r="E561" s="41">
        <v>7.0</v>
      </c>
      <c r="F561" s="41" t="s">
        <v>3943</v>
      </c>
      <c r="G561" s="41" t="s">
        <v>41</v>
      </c>
      <c r="H561" s="41">
        <v>1.05</v>
      </c>
    </row>
    <row r="562" ht="14.25" customHeight="1">
      <c r="A562" s="40">
        <v>2810.0</v>
      </c>
      <c r="B562" s="40" t="s">
        <v>41</v>
      </c>
      <c r="D562" s="41">
        <v>2793.0</v>
      </c>
      <c r="E562" s="41">
        <v>7.0</v>
      </c>
      <c r="F562" s="41" t="s">
        <v>3943</v>
      </c>
      <c r="G562" s="41" t="s">
        <v>41</v>
      </c>
      <c r="H562" s="41">
        <v>1.05</v>
      </c>
    </row>
    <row r="563" ht="14.25" customHeight="1">
      <c r="A563" s="40">
        <v>2817.0</v>
      </c>
      <c r="B563" s="40" t="s">
        <v>38</v>
      </c>
      <c r="D563" s="41">
        <v>2794.0</v>
      </c>
      <c r="E563" s="41">
        <v>4.0</v>
      </c>
      <c r="F563" s="41" t="s">
        <v>3943</v>
      </c>
      <c r="G563" s="41" t="s">
        <v>41</v>
      </c>
      <c r="H563" s="41">
        <v>1.05</v>
      </c>
    </row>
    <row r="564" ht="14.25" customHeight="1">
      <c r="A564" s="40">
        <v>2818.0</v>
      </c>
      <c r="B564" s="40" t="s">
        <v>38</v>
      </c>
      <c r="D564" s="41">
        <v>2795.0</v>
      </c>
      <c r="E564" s="41">
        <v>7.0</v>
      </c>
      <c r="F564" s="41" t="s">
        <v>3943</v>
      </c>
      <c r="G564" s="41" t="s">
        <v>41</v>
      </c>
      <c r="H564" s="41">
        <v>1.05</v>
      </c>
    </row>
    <row r="565" ht="14.25" customHeight="1">
      <c r="A565" s="40">
        <v>2820.0</v>
      </c>
      <c r="B565" s="40" t="s">
        <v>41</v>
      </c>
      <c r="D565" s="41">
        <v>2797.0</v>
      </c>
      <c r="E565" s="41">
        <v>7.0</v>
      </c>
      <c r="F565" s="41" t="s">
        <v>3943</v>
      </c>
      <c r="G565" s="41" t="s">
        <v>41</v>
      </c>
      <c r="H565" s="41">
        <v>1.05</v>
      </c>
    </row>
    <row r="566" ht="14.25" customHeight="1">
      <c r="A566" s="40">
        <v>2821.0</v>
      </c>
      <c r="B566" s="40" t="s">
        <v>41</v>
      </c>
      <c r="D566" s="41">
        <v>2798.0</v>
      </c>
      <c r="E566" s="41">
        <v>7.0</v>
      </c>
      <c r="F566" s="41" t="s">
        <v>3943</v>
      </c>
      <c r="G566" s="41" t="s">
        <v>41</v>
      </c>
      <c r="H566" s="41">
        <v>1.05</v>
      </c>
    </row>
    <row r="567" ht="14.25" customHeight="1">
      <c r="A567" s="40">
        <v>2822.0</v>
      </c>
      <c r="B567" s="40" t="s">
        <v>38</v>
      </c>
      <c r="D567" s="41">
        <v>2799.0</v>
      </c>
      <c r="E567" s="41">
        <v>7.0</v>
      </c>
      <c r="F567" s="41" t="s">
        <v>3943</v>
      </c>
      <c r="G567" s="41" t="s">
        <v>41</v>
      </c>
      <c r="H567" s="41">
        <v>1.05</v>
      </c>
    </row>
    <row r="568" ht="14.25" customHeight="1">
      <c r="A568" s="40">
        <v>2823.0</v>
      </c>
      <c r="B568" s="40" t="s">
        <v>41</v>
      </c>
      <c r="D568" s="41">
        <v>2800.0</v>
      </c>
      <c r="E568" s="41">
        <v>7.0</v>
      </c>
      <c r="F568" s="41" t="s">
        <v>3943</v>
      </c>
      <c r="G568" s="41" t="s">
        <v>41</v>
      </c>
      <c r="H568" s="41">
        <v>1.05</v>
      </c>
    </row>
    <row r="569" ht="14.25" customHeight="1">
      <c r="A569" s="40">
        <v>2824.0</v>
      </c>
      <c r="B569" s="40" t="s">
        <v>41</v>
      </c>
      <c r="D569" s="41">
        <v>2803.0</v>
      </c>
      <c r="E569" s="41">
        <v>7.0</v>
      </c>
      <c r="F569" s="41" t="s">
        <v>3943</v>
      </c>
      <c r="G569" s="41" t="s">
        <v>41</v>
      </c>
      <c r="H569" s="41">
        <v>1.05</v>
      </c>
    </row>
    <row r="570" ht="14.25" customHeight="1">
      <c r="A570" s="40">
        <v>2825.0</v>
      </c>
      <c r="B570" s="40" t="s">
        <v>41</v>
      </c>
      <c r="D570" s="41">
        <v>2804.0</v>
      </c>
      <c r="E570" s="41">
        <v>4.0</v>
      </c>
      <c r="F570" s="41" t="s">
        <v>3943</v>
      </c>
      <c r="G570" s="41" t="s">
        <v>41</v>
      </c>
      <c r="H570" s="41">
        <v>1.05</v>
      </c>
    </row>
    <row r="571" ht="14.25" customHeight="1">
      <c r="A571" s="40">
        <v>2826.0</v>
      </c>
      <c r="B571" s="40" t="s">
        <v>38</v>
      </c>
      <c r="D571" s="41">
        <v>2805.0</v>
      </c>
      <c r="E571" s="41">
        <v>4.0</v>
      </c>
      <c r="F571" s="41" t="s">
        <v>3943</v>
      </c>
      <c r="G571" s="41" t="s">
        <v>41</v>
      </c>
      <c r="H571" s="41">
        <v>1.05</v>
      </c>
    </row>
    <row r="572" ht="14.25" customHeight="1">
      <c r="A572" s="40">
        <v>2827.0</v>
      </c>
      <c r="B572" s="40" t="s">
        <v>41</v>
      </c>
      <c r="D572" s="41">
        <v>2806.0</v>
      </c>
      <c r="E572" s="41">
        <v>4.0</v>
      </c>
      <c r="F572" s="41" t="s">
        <v>3943</v>
      </c>
      <c r="G572" s="41" t="s">
        <v>41</v>
      </c>
      <c r="H572" s="41">
        <v>1.05</v>
      </c>
    </row>
    <row r="573" ht="14.25" customHeight="1">
      <c r="A573" s="40">
        <v>2828.0</v>
      </c>
      <c r="B573" s="40" t="s">
        <v>41</v>
      </c>
      <c r="D573" s="41">
        <v>2807.0</v>
      </c>
      <c r="E573" s="41">
        <v>7.0</v>
      </c>
      <c r="F573" s="41" t="s">
        <v>3943</v>
      </c>
      <c r="G573" s="41" t="s">
        <v>41</v>
      </c>
      <c r="H573" s="41">
        <v>1.05</v>
      </c>
    </row>
    <row r="574" ht="14.25" customHeight="1">
      <c r="A574" s="40">
        <v>2829.0</v>
      </c>
      <c r="B574" s="40" t="s">
        <v>41</v>
      </c>
      <c r="D574" s="41">
        <v>2808.0</v>
      </c>
      <c r="E574" s="41">
        <v>4.0</v>
      </c>
      <c r="F574" s="41" t="s">
        <v>3943</v>
      </c>
      <c r="G574" s="41" t="s">
        <v>41</v>
      </c>
      <c r="H574" s="41">
        <v>1.05</v>
      </c>
    </row>
    <row r="575" ht="14.25" customHeight="1">
      <c r="A575" s="40">
        <v>2830.0</v>
      </c>
      <c r="B575" s="40" t="s">
        <v>41</v>
      </c>
      <c r="D575" s="41">
        <v>2809.0</v>
      </c>
      <c r="E575" s="41">
        <v>4.0</v>
      </c>
      <c r="F575" s="41" t="s">
        <v>3943</v>
      </c>
      <c r="G575" s="41" t="s">
        <v>41</v>
      </c>
      <c r="H575" s="41">
        <v>1.05</v>
      </c>
    </row>
    <row r="576" ht="14.25" customHeight="1">
      <c r="A576" s="40">
        <v>2831.0</v>
      </c>
      <c r="B576" s="40" t="s">
        <v>38</v>
      </c>
      <c r="D576" s="41">
        <v>2810.0</v>
      </c>
      <c r="E576" s="41">
        <v>4.0</v>
      </c>
      <c r="F576" s="41" t="s">
        <v>3943</v>
      </c>
      <c r="G576" s="41" t="s">
        <v>41</v>
      </c>
      <c r="H576" s="41">
        <v>1.05</v>
      </c>
    </row>
    <row r="577" ht="14.25" customHeight="1">
      <c r="A577" s="40">
        <v>2832.0</v>
      </c>
      <c r="B577" s="40" t="s">
        <v>38</v>
      </c>
      <c r="D577" s="41">
        <v>2817.0</v>
      </c>
      <c r="E577" s="41">
        <v>4.0</v>
      </c>
      <c r="F577" s="41">
        <v>1.03</v>
      </c>
      <c r="G577" s="41" t="s">
        <v>41</v>
      </c>
      <c r="H577" s="41">
        <v>1.05</v>
      </c>
    </row>
    <row r="578" ht="14.25" customHeight="1">
      <c r="A578" s="40">
        <v>2833.0</v>
      </c>
      <c r="B578" s="40" t="s">
        <v>38</v>
      </c>
      <c r="D578" s="41">
        <v>2818.0</v>
      </c>
      <c r="E578" s="41">
        <v>4.0</v>
      </c>
      <c r="F578" s="41">
        <v>1.03</v>
      </c>
      <c r="G578" s="41" t="s">
        <v>41</v>
      </c>
      <c r="H578" s="41">
        <v>1.05</v>
      </c>
    </row>
    <row r="579" ht="14.25" customHeight="1">
      <c r="A579" s="40">
        <v>2834.0</v>
      </c>
      <c r="B579" s="40" t="s">
        <v>38</v>
      </c>
      <c r="D579" s="41">
        <v>2820.0</v>
      </c>
      <c r="E579" s="41">
        <v>4.0</v>
      </c>
      <c r="F579" s="41" t="s">
        <v>3943</v>
      </c>
      <c r="G579" s="41" t="s">
        <v>41</v>
      </c>
      <c r="H579" s="41">
        <v>1.05</v>
      </c>
    </row>
    <row r="580" ht="14.25" customHeight="1">
      <c r="A580" s="40">
        <v>2835.0</v>
      </c>
      <c r="B580" s="40" t="s">
        <v>38</v>
      </c>
      <c r="D580" s="41">
        <v>2821.0</v>
      </c>
      <c r="E580" s="41">
        <v>4.0</v>
      </c>
      <c r="F580" s="41" t="s">
        <v>3943</v>
      </c>
      <c r="G580" s="41" t="s">
        <v>41</v>
      </c>
      <c r="H580" s="41">
        <v>1.05</v>
      </c>
    </row>
    <row r="581" ht="14.25" customHeight="1">
      <c r="A581" s="40">
        <v>2836.0</v>
      </c>
      <c r="B581" s="40" t="s">
        <v>38</v>
      </c>
      <c r="D581" s="41">
        <v>2822.0</v>
      </c>
      <c r="E581" s="41">
        <v>4.0</v>
      </c>
      <c r="F581" s="41">
        <v>1.03</v>
      </c>
      <c r="G581" s="41" t="s">
        <v>41</v>
      </c>
      <c r="H581" s="41">
        <v>1.05</v>
      </c>
    </row>
    <row r="582" ht="14.25" customHeight="1">
      <c r="A582" s="40">
        <v>2838.0</v>
      </c>
      <c r="B582" s="40" t="s">
        <v>38</v>
      </c>
      <c r="D582" s="41">
        <v>2823.0</v>
      </c>
      <c r="E582" s="41">
        <v>4.0</v>
      </c>
      <c r="F582" s="41" t="s">
        <v>3943</v>
      </c>
      <c r="G582" s="41" t="s">
        <v>41</v>
      </c>
      <c r="H582" s="41">
        <v>1.05</v>
      </c>
    </row>
    <row r="583" ht="14.25" customHeight="1">
      <c r="A583" s="40">
        <v>2839.0</v>
      </c>
      <c r="B583" s="40" t="s">
        <v>38</v>
      </c>
      <c r="D583" s="41">
        <v>2824.0</v>
      </c>
      <c r="E583" s="41">
        <v>4.0</v>
      </c>
      <c r="F583" s="41" t="s">
        <v>3943</v>
      </c>
      <c r="G583" s="41" t="s">
        <v>41</v>
      </c>
      <c r="H583" s="41">
        <v>1.05</v>
      </c>
    </row>
    <row r="584" ht="14.25" customHeight="1">
      <c r="A584" s="40">
        <v>2840.0</v>
      </c>
      <c r="B584" s="40" t="s">
        <v>38</v>
      </c>
      <c r="D584" s="41">
        <v>2825.0</v>
      </c>
      <c r="E584" s="41">
        <v>4.0</v>
      </c>
      <c r="F584" s="41" t="s">
        <v>3943</v>
      </c>
      <c r="G584" s="41" t="s">
        <v>41</v>
      </c>
      <c r="H584" s="41">
        <v>1.05</v>
      </c>
    </row>
    <row r="585" ht="14.25" customHeight="1">
      <c r="A585" s="40">
        <v>2842.0</v>
      </c>
      <c r="B585" s="40" t="s">
        <v>41</v>
      </c>
      <c r="D585" s="41">
        <v>2826.0</v>
      </c>
      <c r="E585" s="41">
        <v>4.0</v>
      </c>
      <c r="F585" s="41">
        <v>1.03</v>
      </c>
      <c r="G585" s="41" t="s">
        <v>41</v>
      </c>
      <c r="H585" s="41">
        <v>1.05</v>
      </c>
    </row>
    <row r="586" ht="14.25" customHeight="1">
      <c r="A586" s="40">
        <v>2843.0</v>
      </c>
      <c r="B586" s="40" t="s">
        <v>41</v>
      </c>
      <c r="D586" s="41">
        <v>2827.0</v>
      </c>
      <c r="E586" s="41">
        <v>4.0</v>
      </c>
      <c r="F586" s="41" t="s">
        <v>3943</v>
      </c>
      <c r="G586" s="41" t="s">
        <v>41</v>
      </c>
      <c r="H586" s="41">
        <v>1.05</v>
      </c>
    </row>
    <row r="587" ht="14.25" customHeight="1">
      <c r="A587" s="40">
        <v>2844.0</v>
      </c>
      <c r="B587" s="40" t="s">
        <v>41</v>
      </c>
      <c r="D587" s="41">
        <v>2828.0</v>
      </c>
      <c r="E587" s="41">
        <v>4.0</v>
      </c>
      <c r="F587" s="41" t="s">
        <v>3943</v>
      </c>
      <c r="G587" s="41" t="s">
        <v>41</v>
      </c>
      <c r="H587" s="41">
        <v>1.05</v>
      </c>
    </row>
    <row r="588" ht="14.25" customHeight="1">
      <c r="A588" s="40">
        <v>2845.0</v>
      </c>
      <c r="B588" s="40" t="s">
        <v>41</v>
      </c>
      <c r="D588" s="41">
        <v>2829.0</v>
      </c>
      <c r="E588" s="41">
        <v>4.0</v>
      </c>
      <c r="F588" s="41" t="s">
        <v>3943</v>
      </c>
      <c r="G588" s="41" t="s">
        <v>41</v>
      </c>
      <c r="H588" s="41">
        <v>1.05</v>
      </c>
    </row>
    <row r="589" ht="14.25" customHeight="1">
      <c r="A589" s="40">
        <v>2846.0</v>
      </c>
      <c r="B589" s="40" t="s">
        <v>41</v>
      </c>
      <c r="D589" s="41">
        <v>2830.0</v>
      </c>
      <c r="E589" s="41">
        <v>4.0</v>
      </c>
      <c r="F589" s="41" t="s">
        <v>3943</v>
      </c>
      <c r="G589" s="41" t="s">
        <v>41</v>
      </c>
      <c r="H589" s="41">
        <v>1.05</v>
      </c>
    </row>
    <row r="590" ht="14.25" customHeight="1">
      <c r="A590" s="40">
        <v>2847.0</v>
      </c>
      <c r="B590" s="40" t="s">
        <v>41</v>
      </c>
      <c r="D590" s="41">
        <v>2831.0</v>
      </c>
      <c r="E590" s="41">
        <v>4.0</v>
      </c>
      <c r="F590" s="41" t="s">
        <v>3943</v>
      </c>
      <c r="G590" s="41" t="s">
        <v>38</v>
      </c>
      <c r="H590" s="41">
        <v>1.05</v>
      </c>
    </row>
    <row r="591" ht="14.25" customHeight="1">
      <c r="A591" s="40">
        <v>2848.0</v>
      </c>
      <c r="B591" s="40" t="s">
        <v>41</v>
      </c>
      <c r="D591" s="41">
        <v>2832.0</v>
      </c>
      <c r="E591" s="41">
        <v>4.0</v>
      </c>
      <c r="F591" s="41" t="s">
        <v>3943</v>
      </c>
      <c r="G591" s="41" t="s">
        <v>38</v>
      </c>
      <c r="H591" s="41">
        <v>1.05</v>
      </c>
    </row>
    <row r="592" ht="14.25" customHeight="1">
      <c r="A592" s="40">
        <v>2849.0</v>
      </c>
      <c r="B592" s="40" t="s">
        <v>41</v>
      </c>
      <c r="D592" s="41">
        <v>2833.0</v>
      </c>
      <c r="E592" s="41">
        <v>4.0</v>
      </c>
      <c r="F592" s="41" t="s">
        <v>3943</v>
      </c>
      <c r="G592" s="41" t="s">
        <v>38</v>
      </c>
      <c r="H592" s="41">
        <v>1.05</v>
      </c>
    </row>
    <row r="593" ht="14.25" customHeight="1">
      <c r="A593" s="40">
        <v>2850.0</v>
      </c>
      <c r="B593" s="40" t="s">
        <v>41</v>
      </c>
      <c r="D593" s="41">
        <v>2834.0</v>
      </c>
      <c r="E593" s="41">
        <v>4.0</v>
      </c>
      <c r="F593" s="41" t="s">
        <v>3943</v>
      </c>
      <c r="G593" s="41" t="s">
        <v>38</v>
      </c>
      <c r="H593" s="41">
        <v>1.05</v>
      </c>
    </row>
    <row r="594" ht="14.25" customHeight="1">
      <c r="A594" s="40">
        <v>2852.0</v>
      </c>
      <c r="B594" s="40" t="s">
        <v>41</v>
      </c>
      <c r="D594" s="41">
        <v>2835.0</v>
      </c>
      <c r="E594" s="41">
        <v>4.0</v>
      </c>
      <c r="F594" s="41" t="s">
        <v>3943</v>
      </c>
      <c r="G594" s="41" t="s">
        <v>38</v>
      </c>
      <c r="H594" s="41">
        <v>1.05</v>
      </c>
    </row>
    <row r="595" ht="14.25" customHeight="1">
      <c r="A595" s="40">
        <v>2864.0</v>
      </c>
      <c r="B595" s="40" t="s">
        <v>41</v>
      </c>
      <c r="D595" s="41">
        <v>2836.0</v>
      </c>
      <c r="E595" s="41">
        <v>4.0</v>
      </c>
      <c r="F595" s="41" t="s">
        <v>3943</v>
      </c>
      <c r="G595" s="41" t="s">
        <v>38</v>
      </c>
      <c r="H595" s="41">
        <v>1.05</v>
      </c>
    </row>
    <row r="596" ht="14.25" customHeight="1">
      <c r="A596" s="40">
        <v>2865.0</v>
      </c>
      <c r="B596" s="40" t="s">
        <v>41</v>
      </c>
      <c r="D596" s="41">
        <v>2838.0</v>
      </c>
      <c r="E596" s="41">
        <v>4.0</v>
      </c>
      <c r="F596" s="41">
        <v>1.03</v>
      </c>
      <c r="G596" s="41" t="s">
        <v>38</v>
      </c>
      <c r="H596" s="41">
        <v>1.05</v>
      </c>
    </row>
    <row r="597" ht="14.25" customHeight="1">
      <c r="A597" s="40">
        <v>2866.0</v>
      </c>
      <c r="B597" s="40" t="s">
        <v>41</v>
      </c>
      <c r="D597" s="41">
        <v>2839.0</v>
      </c>
      <c r="E597" s="41">
        <v>4.0</v>
      </c>
      <c r="F597" s="41" t="s">
        <v>3943</v>
      </c>
      <c r="G597" s="41" t="s">
        <v>38</v>
      </c>
      <c r="H597" s="41">
        <v>1.05</v>
      </c>
    </row>
    <row r="598" ht="14.25" customHeight="1">
      <c r="A598" s="40">
        <v>2867.0</v>
      </c>
      <c r="B598" s="40" t="s">
        <v>41</v>
      </c>
      <c r="D598" s="41">
        <v>2840.0</v>
      </c>
      <c r="E598" s="41">
        <v>4.0</v>
      </c>
      <c r="F598" s="41" t="s">
        <v>3943</v>
      </c>
      <c r="G598" s="41" t="s">
        <v>38</v>
      </c>
      <c r="H598" s="41">
        <v>1.05</v>
      </c>
    </row>
    <row r="599" ht="14.25" customHeight="1">
      <c r="A599" s="40">
        <v>2868.0</v>
      </c>
      <c r="B599" s="40" t="s">
        <v>41</v>
      </c>
      <c r="D599" s="41">
        <v>2842.0</v>
      </c>
      <c r="E599" s="41">
        <v>4.0</v>
      </c>
      <c r="F599" s="41" t="s">
        <v>3943</v>
      </c>
      <c r="G599" s="41" t="s">
        <v>41</v>
      </c>
      <c r="H599" s="41">
        <v>1.05</v>
      </c>
    </row>
    <row r="600" ht="14.25" customHeight="1">
      <c r="A600" s="40">
        <v>2869.0</v>
      </c>
      <c r="B600" s="40" t="s">
        <v>41</v>
      </c>
      <c r="D600" s="41">
        <v>2843.0</v>
      </c>
      <c r="E600" s="41">
        <v>4.0</v>
      </c>
      <c r="F600" s="41" t="s">
        <v>3943</v>
      </c>
      <c r="G600" s="41" t="s">
        <v>41</v>
      </c>
      <c r="H600" s="41">
        <v>1.05</v>
      </c>
    </row>
    <row r="601" ht="14.25" customHeight="1">
      <c r="A601" s="40">
        <v>2870.0</v>
      </c>
      <c r="B601" s="40" t="s">
        <v>41</v>
      </c>
      <c r="D601" s="41">
        <v>2844.0</v>
      </c>
      <c r="E601" s="41">
        <v>4.0</v>
      </c>
      <c r="F601" s="41" t="s">
        <v>3943</v>
      </c>
      <c r="G601" s="41" t="s">
        <v>41</v>
      </c>
      <c r="H601" s="41">
        <v>1.05</v>
      </c>
    </row>
    <row r="602" ht="14.25" customHeight="1">
      <c r="A602" s="40">
        <v>2871.0</v>
      </c>
      <c r="B602" s="40" t="s">
        <v>41</v>
      </c>
      <c r="D602" s="41">
        <v>2845.0</v>
      </c>
      <c r="E602" s="41">
        <v>7.0</v>
      </c>
      <c r="F602" s="41" t="s">
        <v>3942</v>
      </c>
      <c r="G602" s="41" t="s">
        <v>41</v>
      </c>
      <c r="H602" s="41">
        <v>1.05</v>
      </c>
    </row>
    <row r="603" ht="14.25" customHeight="1">
      <c r="A603" s="40">
        <v>2873.0</v>
      </c>
      <c r="B603" s="40" t="s">
        <v>41</v>
      </c>
      <c r="D603" s="41">
        <v>2846.0</v>
      </c>
      <c r="E603" s="41">
        <v>7.0</v>
      </c>
      <c r="F603" s="41" t="s">
        <v>3942</v>
      </c>
      <c r="G603" s="41" t="s">
        <v>41</v>
      </c>
      <c r="H603" s="41">
        <v>1.05</v>
      </c>
    </row>
    <row r="604" ht="14.25" customHeight="1">
      <c r="A604" s="40">
        <v>2874.0</v>
      </c>
      <c r="B604" s="40" t="s">
        <v>41</v>
      </c>
      <c r="D604" s="41">
        <v>2847.0</v>
      </c>
      <c r="E604" s="41">
        <v>7.0</v>
      </c>
      <c r="F604" s="41" t="s">
        <v>3942</v>
      </c>
      <c r="G604" s="41" t="s">
        <v>41</v>
      </c>
      <c r="H604" s="41">
        <v>1.05</v>
      </c>
    </row>
    <row r="605" ht="14.25" customHeight="1">
      <c r="A605" s="40">
        <v>2875.0</v>
      </c>
      <c r="B605" s="40" t="s">
        <v>41</v>
      </c>
      <c r="D605" s="41">
        <v>2848.0</v>
      </c>
      <c r="E605" s="41">
        <v>7.0</v>
      </c>
      <c r="F605" s="41" t="s">
        <v>3942</v>
      </c>
      <c r="G605" s="41" t="s">
        <v>41</v>
      </c>
      <c r="H605" s="41">
        <v>1.05</v>
      </c>
    </row>
    <row r="606" ht="14.25" customHeight="1">
      <c r="A606" s="40">
        <v>2876.0</v>
      </c>
      <c r="B606" s="40" t="s">
        <v>41</v>
      </c>
      <c r="D606" s="41">
        <v>2849.0</v>
      </c>
      <c r="E606" s="41">
        <v>7.0</v>
      </c>
      <c r="F606" s="41" t="s">
        <v>3942</v>
      </c>
      <c r="G606" s="41" t="s">
        <v>41</v>
      </c>
      <c r="H606" s="41">
        <v>1.05</v>
      </c>
    </row>
    <row r="607" ht="14.25" customHeight="1">
      <c r="A607" s="40">
        <v>2877.0</v>
      </c>
      <c r="B607" s="40" t="s">
        <v>38</v>
      </c>
      <c r="D607" s="41">
        <v>2850.0</v>
      </c>
      <c r="E607" s="41">
        <v>7.0</v>
      </c>
      <c r="F607" s="41" t="s">
        <v>3943</v>
      </c>
      <c r="G607" s="41" t="s">
        <v>41</v>
      </c>
      <c r="H607" s="41">
        <v>1.05</v>
      </c>
    </row>
    <row r="608" ht="14.25" customHeight="1">
      <c r="A608" s="40">
        <v>2878.0</v>
      </c>
      <c r="B608" s="40" t="s">
        <v>38</v>
      </c>
      <c r="D608" s="41">
        <v>2852.0</v>
      </c>
      <c r="E608" s="41">
        <v>4.0</v>
      </c>
      <c r="F608" s="41" t="s">
        <v>3943</v>
      </c>
      <c r="G608" s="41" t="s">
        <v>41</v>
      </c>
      <c r="H608" s="41">
        <v>1.05</v>
      </c>
    </row>
    <row r="609" ht="14.25" customHeight="1">
      <c r="A609" s="40">
        <v>2879.0</v>
      </c>
      <c r="B609" s="40" t="s">
        <v>38</v>
      </c>
      <c r="D609" s="41">
        <v>2864.0</v>
      </c>
      <c r="E609" s="41">
        <v>4.0</v>
      </c>
      <c r="F609" s="41" t="s">
        <v>3943</v>
      </c>
      <c r="G609" s="41" t="s">
        <v>41</v>
      </c>
      <c r="H609" s="41">
        <v>1.05</v>
      </c>
    </row>
    <row r="610" ht="14.25" customHeight="1">
      <c r="A610" s="40">
        <v>2880.0</v>
      </c>
      <c r="B610" s="40" t="s">
        <v>38</v>
      </c>
      <c r="D610" s="41">
        <v>2865.0</v>
      </c>
      <c r="E610" s="41">
        <v>7.0</v>
      </c>
      <c r="F610" s="41" t="s">
        <v>3943</v>
      </c>
      <c r="G610" s="41" t="s">
        <v>41</v>
      </c>
      <c r="H610" s="41">
        <v>1.05</v>
      </c>
    </row>
    <row r="611" ht="14.25" customHeight="1">
      <c r="A611" s="40">
        <v>2898.0</v>
      </c>
      <c r="B611" s="40" t="s">
        <v>38</v>
      </c>
      <c r="D611" s="41">
        <v>2866.0</v>
      </c>
      <c r="E611" s="41">
        <v>7.0</v>
      </c>
      <c r="F611" s="41" t="s">
        <v>3943</v>
      </c>
      <c r="G611" s="41" t="s">
        <v>41</v>
      </c>
      <c r="H611" s="41">
        <v>1.05</v>
      </c>
    </row>
    <row r="612" ht="14.25" customHeight="1">
      <c r="D612" s="41">
        <v>2867.0</v>
      </c>
      <c r="E612" s="41">
        <v>7.0</v>
      </c>
      <c r="F612" s="41" t="s">
        <v>3943</v>
      </c>
      <c r="G612" s="41" t="s">
        <v>41</v>
      </c>
      <c r="H612" s="41">
        <v>1.05</v>
      </c>
    </row>
    <row r="613" ht="14.25" customHeight="1">
      <c r="D613" s="41">
        <v>2868.0</v>
      </c>
      <c r="E613" s="41">
        <v>4.0</v>
      </c>
      <c r="F613" s="41" t="s">
        <v>3943</v>
      </c>
      <c r="G613" s="41" t="s">
        <v>41</v>
      </c>
      <c r="H613" s="41">
        <v>1.05</v>
      </c>
    </row>
    <row r="614" ht="14.25" customHeight="1">
      <c r="D614" s="41">
        <v>2869.0</v>
      </c>
      <c r="E614" s="41">
        <v>4.0</v>
      </c>
      <c r="F614" s="41" t="s">
        <v>3943</v>
      </c>
      <c r="G614" s="41" t="s">
        <v>41</v>
      </c>
      <c r="H614" s="41">
        <v>1.05</v>
      </c>
    </row>
    <row r="615" ht="14.25" customHeight="1">
      <c r="D615" s="41">
        <v>2870.0</v>
      </c>
      <c r="E615" s="41">
        <v>4.0</v>
      </c>
      <c r="F615" s="41" t="s">
        <v>3943</v>
      </c>
      <c r="G615" s="41" t="s">
        <v>41</v>
      </c>
      <c r="H615" s="41">
        <v>1.05</v>
      </c>
    </row>
    <row r="616" ht="14.25" customHeight="1">
      <c r="D616" s="41">
        <v>2871.0</v>
      </c>
      <c r="E616" s="41">
        <v>4.0</v>
      </c>
      <c r="F616" s="41" t="s">
        <v>3943</v>
      </c>
      <c r="G616" s="41" t="s">
        <v>41</v>
      </c>
      <c r="H616" s="41">
        <v>1.05</v>
      </c>
    </row>
    <row r="617" ht="14.25" customHeight="1">
      <c r="D617" s="41">
        <v>2873.0</v>
      </c>
      <c r="E617" s="41">
        <v>4.0</v>
      </c>
      <c r="F617" s="41" t="s">
        <v>3943</v>
      </c>
      <c r="G617" s="41" t="s">
        <v>41</v>
      </c>
      <c r="H617" s="41">
        <v>1.05</v>
      </c>
    </row>
    <row r="618" ht="14.25" customHeight="1">
      <c r="D618" s="41">
        <v>2874.0</v>
      </c>
      <c r="E618" s="41">
        <v>4.0</v>
      </c>
      <c r="F618" s="41" t="s">
        <v>3943</v>
      </c>
      <c r="G618" s="41" t="s">
        <v>41</v>
      </c>
      <c r="H618" s="41">
        <v>1.05</v>
      </c>
    </row>
    <row r="619" ht="14.25" customHeight="1">
      <c r="D619" s="41">
        <v>2875.0</v>
      </c>
      <c r="E619" s="41">
        <v>4.0</v>
      </c>
      <c r="F619" s="41" t="s">
        <v>3943</v>
      </c>
      <c r="G619" s="41" t="s">
        <v>41</v>
      </c>
      <c r="H619" s="41">
        <v>1.05</v>
      </c>
    </row>
    <row r="620" ht="14.25" customHeight="1">
      <c r="D620" s="41">
        <v>2876.0</v>
      </c>
      <c r="E620" s="41">
        <v>4.0</v>
      </c>
      <c r="F620" s="41" t="s">
        <v>3943</v>
      </c>
      <c r="G620" s="41" t="s">
        <v>41</v>
      </c>
      <c r="H620" s="41">
        <v>1.05</v>
      </c>
    </row>
    <row r="621" ht="14.25" customHeight="1">
      <c r="D621" s="41">
        <v>2877.0</v>
      </c>
      <c r="E621" s="41">
        <v>4.0</v>
      </c>
      <c r="F621" s="41" t="s">
        <v>3943</v>
      </c>
      <c r="G621" s="41" t="s">
        <v>38</v>
      </c>
      <c r="H621" s="41">
        <v>1.05</v>
      </c>
    </row>
    <row r="622" ht="14.25" customHeight="1">
      <c r="D622" s="41">
        <v>2878.0</v>
      </c>
      <c r="E622" s="41">
        <v>4.0</v>
      </c>
      <c r="F622" s="41" t="s">
        <v>3943</v>
      </c>
      <c r="G622" s="41" t="s">
        <v>38</v>
      </c>
      <c r="H622" s="41">
        <v>1.05</v>
      </c>
    </row>
    <row r="623" ht="14.25" customHeight="1">
      <c r="D623" s="41">
        <v>2879.0</v>
      </c>
      <c r="E623" s="41">
        <v>4.0</v>
      </c>
      <c r="F623" s="41" t="s">
        <v>3943</v>
      </c>
      <c r="G623" s="41" t="s">
        <v>38</v>
      </c>
      <c r="H623" s="41">
        <v>1.05</v>
      </c>
    </row>
    <row r="624" ht="14.25" customHeight="1">
      <c r="D624" s="41">
        <v>2880.0</v>
      </c>
      <c r="E624" s="41">
        <v>4.0</v>
      </c>
      <c r="F624" s="41" t="s">
        <v>3943</v>
      </c>
      <c r="G624" s="41" t="s">
        <v>38</v>
      </c>
      <c r="H624" s="41">
        <v>1.05</v>
      </c>
    </row>
    <row r="625" ht="14.25" customHeight="1">
      <c r="D625" s="41">
        <v>2890.0</v>
      </c>
      <c r="E625" s="41">
        <v>2.0</v>
      </c>
      <c r="F625" s="41" t="s">
        <v>3942</v>
      </c>
      <c r="G625" s="41" t="s">
        <v>38</v>
      </c>
      <c r="H625" s="41">
        <v>1.05</v>
      </c>
    </row>
    <row r="626" ht="14.25" customHeight="1">
      <c r="D626" s="41">
        <v>2898.0</v>
      </c>
      <c r="E626" s="41">
        <v>2.0</v>
      </c>
      <c r="F626" s="41" t="s">
        <v>3942</v>
      </c>
      <c r="G626" s="41" t="s">
        <v>38</v>
      </c>
      <c r="H626" s="41">
        <v>1.05</v>
      </c>
    </row>
    <row r="627" ht="14.25" customHeight="1">
      <c r="D627" s="41">
        <v>2899.0</v>
      </c>
      <c r="E627" s="41">
        <v>2.0</v>
      </c>
      <c r="F627" s="41" t="s">
        <v>3942</v>
      </c>
      <c r="G627" s="41" t="s">
        <v>38</v>
      </c>
      <c r="H627" s="41">
        <v>1.05</v>
      </c>
    </row>
    <row r="628" ht="14.25" customHeight="1">
      <c r="D628" s="41">
        <v>3644.0</v>
      </c>
      <c r="E628" s="41">
        <v>4.0</v>
      </c>
      <c r="F628" s="41" t="s">
        <v>3943</v>
      </c>
      <c r="G628" s="41" t="s">
        <v>41</v>
      </c>
      <c r="H628" s="41">
        <v>1.05</v>
      </c>
    </row>
    <row r="629" ht="14.25" customHeight="1">
      <c r="D629" s="41">
        <v>3691.0</v>
      </c>
      <c r="E629" s="41">
        <v>4.0</v>
      </c>
      <c r="F629" s="41">
        <v>1.03</v>
      </c>
      <c r="G629" s="41" t="s">
        <v>41</v>
      </c>
      <c r="H629" s="41">
        <v>1.05</v>
      </c>
    </row>
    <row r="630" ht="14.25" customHeight="1">
      <c r="D630" s="41">
        <v>3707.0</v>
      </c>
      <c r="E630" s="41">
        <v>7.0</v>
      </c>
      <c r="F630" s="41">
        <v>1.03</v>
      </c>
      <c r="G630" s="41" t="s">
        <v>41</v>
      </c>
      <c r="H630" s="41">
        <v>1.05</v>
      </c>
    </row>
    <row r="631" ht="14.25" customHeight="1">
      <c r="D631" s="41">
        <v>4375.0</v>
      </c>
      <c r="E631" s="41">
        <v>6.0</v>
      </c>
      <c r="F631" s="41">
        <v>1.03</v>
      </c>
      <c r="G631" s="41" t="s">
        <v>38</v>
      </c>
      <c r="H631" s="41">
        <v>1.05</v>
      </c>
    </row>
    <row r="632" ht="14.25" customHeight="1">
      <c r="D632" s="41">
        <v>4377.0</v>
      </c>
      <c r="E632" s="41">
        <v>6.0</v>
      </c>
      <c r="F632" s="41">
        <v>1.03</v>
      </c>
      <c r="G632" s="41" t="s">
        <v>38</v>
      </c>
      <c r="H632" s="41">
        <v>1.05</v>
      </c>
    </row>
    <row r="633" ht="14.25" customHeight="1">
      <c r="D633" s="41">
        <v>4380.0</v>
      </c>
      <c r="E633" s="41">
        <v>6.0</v>
      </c>
      <c r="F633" s="41">
        <v>1.03</v>
      </c>
      <c r="G633" s="41" t="s">
        <v>38</v>
      </c>
      <c r="H633" s="41">
        <v>1.05</v>
      </c>
    </row>
    <row r="634" ht="14.25" customHeight="1">
      <c r="D634" s="41">
        <v>4383.0</v>
      </c>
      <c r="E634" s="41">
        <v>6.0</v>
      </c>
      <c r="F634" s="41">
        <v>1.03</v>
      </c>
      <c r="G634" s="41" t="s">
        <v>38</v>
      </c>
      <c r="H634" s="41">
        <v>1.05</v>
      </c>
    </row>
    <row r="635" ht="14.25" customHeight="1">
      <c r="D635" s="41">
        <v>4385.0</v>
      </c>
      <c r="E635" s="41">
        <v>4.0</v>
      </c>
      <c r="F635" s="41">
        <v>1.03</v>
      </c>
      <c r="G635" s="41" t="s">
        <v>38</v>
      </c>
      <c r="H635" s="41">
        <v>1.05</v>
      </c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baseType="lpstr" size="8">
      <vt:lpstr>PRC AC</vt:lpstr>
      <vt:lpstr>REFERENCES</vt:lpstr>
      <vt:lpstr>Cold Zone</vt:lpstr>
      <vt:lpstr>Average Zone</vt:lpstr>
      <vt:lpstr>POSTCODES</vt:lpstr>
      <vt:lpstr>BCACZ</vt:lpstr>
      <vt:lpstr>Postcodes</vt:lpstr>
      <vt:lpstr>Postcodes_PRCs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2017-09-13T06:29:21Z</dcterms:created>
  <dc:creator>Gary Knox</dc:creator>
  <dc:description/>
  <cp:keywords/>
  <cp:lastModifiedBy>Hamish Fanselow</cp:lastModifiedBy>
  <dcterms:modified xsi:type="dcterms:W3CDTF">2026-04-17T05:05:40Z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0x010100376E79C39411F74185143DD2511D3901</vt:lpwstr>
  </property>
  <property fmtid="{D5CDD505-2E9C-101B-9397-08002B2CF9AE}" pid="3" name="Order">
    <vt:r8>45200.0</vt:r8>
  </property>
  <property fmtid="{D5CDD505-2E9C-101B-9397-08002B2CF9AE}" pid="4" name="MediaServiceImageTags">
    <vt:lpwstr/>
  </property>
  <property fmtid="{D5CDD505-2E9C-101B-9397-08002B2CF9AE}" pid="5" name="Metadata">
    <vt:lpwstr/>
  </property>
</Properties>
</file>